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20.100.180\Hunet\HRD컨설팅본부\영업전략팀\★아레테 영업개발회의\2026년\260507\팀별자료\databook\"/>
    </mc:Choice>
  </mc:AlternateContent>
  <bookViews>
    <workbookView xWindow="0" yWindow="0" windowWidth="28800" windowHeight="11835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databook(취합)'!$A$22:$BH$1076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0" r:id="rId29"/>
    <pivotCache cacheId="1" r:id="rId3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32" i="15" l="1"/>
  <c r="AE432" i="15" s="1"/>
  <c r="AC127" i="15" l="1"/>
  <c r="AE127" i="15" s="1"/>
  <c r="AC68" i="15"/>
  <c r="AE68" i="15" s="1"/>
  <c r="AC751" i="15" l="1"/>
  <c r="AE751" i="15" s="1"/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33" i="15"/>
  <c r="AE1033" i="15" s="1"/>
  <c r="AC1034" i="15"/>
  <c r="AE1034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1" i="15"/>
  <c r="AE1041" i="15" s="1"/>
  <c r="AC1042" i="15"/>
  <c r="AE1042" i="15" s="1"/>
  <c r="AC1043" i="15"/>
  <c r="AE1043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29" i="15"/>
  <c r="AE829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9" i="15"/>
  <c r="AE959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1073" i="15"/>
  <c r="AE1073" i="15" s="1"/>
  <c r="AC1074" i="15"/>
  <c r="AE1074" i="15" s="1"/>
  <c r="AC1075" i="15"/>
  <c r="AE1075" i="15" s="1"/>
  <c r="AC1076" i="15"/>
  <c r="AE1076" i="15" s="1"/>
  <c r="AC23" i="15"/>
  <c r="AE23" i="15" s="1"/>
  <c r="AM21" i="15" l="1"/>
  <c r="AC3" i="15" l="1"/>
  <c r="AC13" i="15" l="1"/>
  <c r="A21" i="15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8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0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5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6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<sst xmlns="http://schemas.openxmlformats.org/spreadsheetml/2006/main" count="13424" uniqueCount="1061">
  <si>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</si>
  <si>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</si>
  <si>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</si>
  <si>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</si>
  <si>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</si>
  <si>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</si>
  <si>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</si>
  <si>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</si>
  <si>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</si>
  <si>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</si>
  <si>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</si>
  <si>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</si>
  <si>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</si>
  <si>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</si>
  <si>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</si>
  <si>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</si>
  <si>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</si>
  <si>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</si>
  <si>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</si>
  <si>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</si>
  <si>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</si>
  <si>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</si>
  <si>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</si>
  <si>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</si>
  <si>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</si>
  <si>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</si>
  <si>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</si>
  <si>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</si>
  <si>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</si>
  <si>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</si>
  <si>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</si>
  <si>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</si>
  <si>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</si>
  <si>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</si>
  <si>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</si>
  <si>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</si>
  <si>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</si>
  <si>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</si>
  <si>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</si>
  <si>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</si>
  <si>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</si>
  <si>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</si>
  <si>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</si>
  <si>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</si>
  <si>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</si>
  <si>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</si>
  <si>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</si>
  <si>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</si>
  <si>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</si>
  <si>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</si>
  <si>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</si>
  <si>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</si>
  <si>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</si>
  <si>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</si>
  <si>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</si>
  <si>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</si>
  <si>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</si>
  <si>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</si>
  <si>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</si>
  <si>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</si>
  <si>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</si>
  <si>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</si>
  <si>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</si>
  <si>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</si>
  <si>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</si>
  <si>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</si>
  <si>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</si>
  <si>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</si>
  <si>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</si>
  <si>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</si>
  <si>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</si>
  <si>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</si>
  <si>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</si>
  <si>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</si>
  <si>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</si>
  <si>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</si>
  <si>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</si>
  <si>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</si>
  <si>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</si>
  <si>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</si>
  <si>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</si>
  <si>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</si>
  <si>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</si>
  <si>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</si>
  <si>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</si>
  <si>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</si>
  <si>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</si>
  <si>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</si>
  <si>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</si>
  <si>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</si>
  <si>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</si>
  <si>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</si>
  <si>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</si>
  <si>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</si>
  <si>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</si>
  <si>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</si>
  <si>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</si>
  <si>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</si>
  <si>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</si>
  <si>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</si>
  <si>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</si>
  <si>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</si>
  <si>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</si>
  <si>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</si>
  <si>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</si>
  <si>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</si>
  <si>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</si>
  <si>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</si>
  <si>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</si>
  <si>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</si>
  <si>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</si>
  <si>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</si>
  <si>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</si>
  <si>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</si>
  <si>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</si>
  <si>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</si>
  <si>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</si>
  <si>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</si>
  <si>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</si>
  <si>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</si>
  <si>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</si>
  <si>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</si>
  <si>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</si>
  <si>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</si>
  <si>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</si>
  <si>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</si>
  <si>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</si>
  <si>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</si>
  <si>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</si>
  <si>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</si>
  <si>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</si>
  <si>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</si>
  <si>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</si>
  <si>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</si>
  <si>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</si>
  <si>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</si>
  <si>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</si>
  <si>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</si>
  <si>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</si>
  <si>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</si>
  <si>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</si>
  <si>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</si>
  <si>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</si>
  <si>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</si>
  <si>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</si>
  <si>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</si>
  <si>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</si>
  <si>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</si>
  <si>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</si>
  <si>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</si>
  <si>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</si>
  <si>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</si>
  <si>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</si>
  <si>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</si>
  <si>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</si>
  <si>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</si>
  <si>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</si>
  <si>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</si>
  <si>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</si>
  <si>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</si>
  <si>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</si>
  <si>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</si>
  <si>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</si>
  <si>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</si>
  <si>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</si>
  <si>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</si>
  <si>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</si>
  <si>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</si>
  <si>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</si>
  <si>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</si>
  <si>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</si>
  <si>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</si>
  <si>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</si>
  <si>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</si>
  <si>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</si>
  <si>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</si>
  <si>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</si>
  <si>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</si>
  <si>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</si>
  <si>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</si>
  <si>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</si>
  <si>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</si>
  <si>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</si>
  <si>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</si>
  <si>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</si>
  <si>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</si>
  <si>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</si>
  <si>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</si>
  <si>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</si>
  <si>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</si>
  <si>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</si>
  <si>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</si>
  <si>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</si>
  <si>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</si>
  <si>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</si>
  <si>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</si>
  <si>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</si>
  <si>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</si>
  <si>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</si>
  <si>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</si>
  <si>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</si>
  <si>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</si>
  <si>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</si>
  <si>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</si>
  <si>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</si>
  <si>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</si>
  <si>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</si>
  <si>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</si>
  <si>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</si>
  <si>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</si>
  <si>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</si>
  <si>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</si>
  <si>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</si>
  <si>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</si>
  <si>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</si>
  <si>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</si>
  <si>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</si>
  <si>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</si>
  <si>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</si>
  <si>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</si>
  <si>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</si>
  <si>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</si>
  <si>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</si>
  <si>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</si>
  <si>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</si>
  <si>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</si>
  <si>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</si>
  <si>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</si>
  <si>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</si>
  <si>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</si>
  <si>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</si>
  <si>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</si>
  <si>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</si>
  <si>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</si>
  <si>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</si>
  <si>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</si>
  <si>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</si>
  <si>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</si>
  <si>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</si>
  <si>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</si>
  <si>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</si>
  <si>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</si>
  <si>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</si>
  <si>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</si>
  <si>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</si>
  <si>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</si>
  <si>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</si>
  <si>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</si>
  <si>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</si>
  <si>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</si>
  <si>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</si>
  <si>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</si>
  <si>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</si>
  <si>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</si>
  <si>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</si>
  <si>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</si>
  <si>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</si>
  <si>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</si>
  <si>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</si>
  <si>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</si>
  <si>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</si>
  <si>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</si>
  <si>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</si>
  <si>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</si>
  <si>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</si>
  <si>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</si>
  <si>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</si>
  <si>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</si>
  <si>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</si>
  <si>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</si>
  <si>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</si>
  <si>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</si>
  <si>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</si>
  <si>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</si>
  <si>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</si>
  <si>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</si>
  <si>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</si>
  <si>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</si>
  <si>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</si>
  <si>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</si>
  <si>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</si>
  <si>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</si>
  <si>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</si>
  <si>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</si>
  <si>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</si>
  <si>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</si>
  <si>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</si>
  <si>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</si>
  <si>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</si>
  <si>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</si>
  <si>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</si>
  <si>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</si>
  <si>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</si>
  <si>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</si>
  <si>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</si>
  <si>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</si>
  <si>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</si>
  <si>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</si>
  <si>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</si>
  <si>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</si>
  <si>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</si>
  <si>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</si>
  <si>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</si>
  <si>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</si>
  <si>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</si>
  <si>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</si>
  <si>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</si>
  <si>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</si>
  <si>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</si>
  <si>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</si>
  <si>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</si>
  <si>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</si>
  <si>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</si>
  <si>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</si>
  <si>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</si>
  <si>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</si>
  <si>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</si>
  <si>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</si>
  <si>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</si>
  <si>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</si>
  <si>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</si>
  <si>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</si>
  <si>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</si>
  <si>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</si>
  <si>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</si>
  <si>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</si>
  <si>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</si>
  <si>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</si>
  <si>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</si>
  <si>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</si>
  <si>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</si>
  <si>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</si>
  <si>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</si>
  <si>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</si>
  <si>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</si>
  <si>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</si>
  <si>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</si>
  <si>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</si>
  <si>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</si>
  <si>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</si>
  <si>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</si>
  <si>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</si>
  <si>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</si>
  <si>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</si>
  <si>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</si>
  <si>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</si>
  <si>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</si>
  <si>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</si>
  <si>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</si>
  <si>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</si>
  <si>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</si>
  <si>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</si>
  <si>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</si>
  <si>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</si>
  <si>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</si>
  <si>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</si>
  <si>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</si>
  <si>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</si>
  <si>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</si>
  <si>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</si>
  <si>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</si>
  <si>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</si>
  <si>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</si>
  <si>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</si>
  <si>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</si>
  <si>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</si>
  <si>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</si>
  <si>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</si>
  <si>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</si>
  <si>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</si>
  <si>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</si>
  <si>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</si>
  <si>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</si>
  <si>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</si>
  <si>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</si>
  <si>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</si>
  <si>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</si>
  <si>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</si>
  <si>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</si>
  <si>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</si>
  <si>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</si>
  <si>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</si>
  <si>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</si>
  <si>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</si>
  <si>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</si>
  <si>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</si>
  <si>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</si>
  <si>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</si>
  <si>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</si>
  <si>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</si>
  <si>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</si>
  <si>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</si>
  <si>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</si>
  <si>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</si>
  <si>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</si>
  <si>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</si>
  <si>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</si>
  <si>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</si>
  <si>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</si>
  <si>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</si>
  <si>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</si>
  <si>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</si>
  <si>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</si>
  <si>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</si>
  <si>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</si>
  <si>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</si>
  <si>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</si>
  <si>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</si>
  <si>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</si>
  <si>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</si>
  <si>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</si>
  <si>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</si>
  <si>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</si>
  <si>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</si>
  <si>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</si>
  <si>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</si>
  <si>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</si>
  <si>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</si>
  <si>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</si>
  <si>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</si>
  <si>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</si>
  <si>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</si>
  <si>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</si>
  <si>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</si>
  <si>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</si>
  <si>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</si>
  <si>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</si>
  <si>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</si>
  <si>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</si>
  <si>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</si>
  <si>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</si>
  <si>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</si>
  <si>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</si>
  <si>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</si>
  <si>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</si>
  <si>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</si>
  <si>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</si>
  <si>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</si>
  <si>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</si>
  <si>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</si>
  <si>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</si>
  <si>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</si>
  <si>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</si>
  <si>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</si>
  <si>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</si>
  <si>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</si>
  <si>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</si>
  <si>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</si>
  <si>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</si>
  <si>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</si>
  <si>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</si>
  <si>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</si>
  <si>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</si>
  <si>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</si>
  <si>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</si>
  <si>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</si>
  <si>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</si>
  <si>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</si>
  <si>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</si>
  <si>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</si>
  <si>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</si>
  <si>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</si>
  <si>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</si>
  <si>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</si>
  <si>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</si>
  <si>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</si>
  <si>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</si>
  <si>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</si>
  <si>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</si>
  <si>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</si>
  <si>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</si>
  <si>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</si>
  <si>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</si>
  <si>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</si>
  <si>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</si>
  <si>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</si>
  <si>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</si>
  <si>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</si>
  <si>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</si>
  <si>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</si>
  <si>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</si>
  <si>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</si>
  <si>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</si>
  <si>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</si>
  <si>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</si>
  <si>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</si>
  <si>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</si>
  <si>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</si>
  <si>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</si>
  <si>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</si>
  <si>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</si>
  <si>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</si>
  <si>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</si>
  <si>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</si>
  <si>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</si>
  <si>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</si>
  <si>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</si>
  <si>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</si>
  <si>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</si>
  <si>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</si>
  <si>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</si>
  <si>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</si>
  <si>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</si>
  <si>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</si>
  <si>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</si>
  <si>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</si>
  <si>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</si>
  <si>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</si>
  <si>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</si>
  <si>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</si>
  <si>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</si>
  <si>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</si>
  <si>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</si>
  <si>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</si>
  <si>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</si>
  <si>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</si>
  <si>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</si>
  <si>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</si>
  <si>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</si>
  <si>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</si>
  <si>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</si>
  <si>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</si>
  <si>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</si>
  <si>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</si>
  <si>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</si>
  <si>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</si>
  <si>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</si>
  <si>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</si>
  <si>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</si>
  <si>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</si>
  <si>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</si>
  <si>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</si>
  <si>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</si>
  <si>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</si>
  <si>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</si>
  <si>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</si>
  <si>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</si>
  <si>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</si>
  <si>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</si>
  <si>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</si>
  <si>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</si>
  <si>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</si>
  <si>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</si>
  <si>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</si>
  <si>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</si>
  <si>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</si>
  <si>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</si>
  <si>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</si>
  <si>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</si>
  <si>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</si>
  <si>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</si>
  <si>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</si>
  <si>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</si>
  <si>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</si>
  <si>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</si>
  <si>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</si>
  <si>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</si>
  <si>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</si>
  <si>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</si>
  <si>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</si>
  <si>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</si>
  <si>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</si>
  <si>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</si>
  <si>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</si>
  <si>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</si>
  <si>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</si>
  <si>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</si>
  <si>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</si>
  <si>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</si>
  <si>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</si>
  <si>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</si>
  <si>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</si>
  <si>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</si>
  <si>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</si>
  <si>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</si>
  <si>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</si>
  <si>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</si>
  <si>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</si>
  <si>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</si>
  <si>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</si>
  <si>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</si>
  <si>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</si>
  <si>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</si>
  <si>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</si>
  <si>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</si>
  <si>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</si>
  <si>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</si>
  <si>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</si>
  <si>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</si>
  <si>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</si>
  <si>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</si>
  <si>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</si>
  <si>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</si>
  <si>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</si>
  <si>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</si>
  <si>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</si>
  <si>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</si>
  <si>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</si>
  <si>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</si>
  <si>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</si>
  <si>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</si>
  <si>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</si>
  <si>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</si>
  <si>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</si>
  <si>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</si>
  <si>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</si>
  <si>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</si>
  <si>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</si>
  <si>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</si>
  <si>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</si>
  <si>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</si>
  <si>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</si>
  <si>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</si>
  <si>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</si>
  <si>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</si>
  <si>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</si>
  <si>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</si>
  <si>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</si>
  <si>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</si>
  <si>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</si>
  <si>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</si>
  <si>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</si>
  <si>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</si>
  <si>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</si>
  <si>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</si>
  <si>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</si>
  <si>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</si>
  <si>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</si>
  <si>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</si>
  <si>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</si>
  <si>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</si>
  <si>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</si>
  <si>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</si>
  <si>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</si>
  <si>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</si>
  <si>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</si>
  <si>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</si>
  <si>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</si>
  <si>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</si>
  <si>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</si>
  <si>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</si>
  <si>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</si>
  <si>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</si>
  <si>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</si>
  <si>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</si>
  <si>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</si>
  <si>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</si>
  <si>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</si>
  <si>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</si>
  <si>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</si>
  <si>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</si>
  <si>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</si>
  <si>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</si>
  <si>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</si>
  <si>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</si>
  <si>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</si>
  <si>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</si>
  <si>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</si>
  <si>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</si>
  <si>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</si>
  <si>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</si>
  <si>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</si>
  <si>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</si>
  <si>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</si>
  <si>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</si>
  <si>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</si>
  <si>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</si>
  <si>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</si>
  <si>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</si>
  <si>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</si>
  <si>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</si>
  <si>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</si>
  <si>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</si>
  <si>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</si>
  <si>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</si>
  <si>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</si>
  <si>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</si>
  <si>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</si>
  <si>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</si>
  <si>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</si>
  <si>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</si>
  <si>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</si>
  <si>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</si>
  <si>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</si>
  <si>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</si>
  <si>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</si>
  <si>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</si>
  <si>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</si>
  <si>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</si>
  <si>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</si>
  <si>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</si>
  <si>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</si>
  <si>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</si>
  <si>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</si>
  <si>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</si>
  <si>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</si>
  <si>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</si>
  <si>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</si>
  <si>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</si>
  <si>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</si>
  <si>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</si>
  <si>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</si>
  <si>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</si>
  <si>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</si>
  <si>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</si>
  <si>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</si>
  <si>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</si>
  <si>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</si>
  <si>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</si>
  <si>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</si>
  <si>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</si>
  <si>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</si>
  <si>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</si>
  <si>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</si>
  <si>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</si>
  <si>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</si>
  <si>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</si>
  <si>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</si>
  <si>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</si>
  <si>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</si>
  <si>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</si>
  <si>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</si>
  <si>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</si>
  <si>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</si>
  <si>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</si>
  <si>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</si>
  <si>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</si>
  <si>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</si>
  <si>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</si>
  <si>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</si>
  <si>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</si>
  <si>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</si>
  <si>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</si>
  <si>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</si>
  <si>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</si>
  <si>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</si>
  <si>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</si>
  <si>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</si>
  <si>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</si>
  <si>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</si>
  <si>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</si>
  <si>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</si>
  <si>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</si>
  <si>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</si>
  <si>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</si>
  <si>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</si>
  <si>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</si>
  <si>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</si>
  <si>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</si>
  <si>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</si>
  <si>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</si>
  <si>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</si>
  <si>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</si>
  <si>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</si>
  <si>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</si>
  <si>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</si>
  <si>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</si>
  <si>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</si>
  <si>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</si>
  <si>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</si>
  <si>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</si>
  <si>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</si>
  <si>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</si>
  <si>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</si>
  <si>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</si>
  <si>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</si>
  <si>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</si>
  <si>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</si>
  <si>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</si>
  <si>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</si>
  <si>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</si>
  <si>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</si>
  <si>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</si>
  <si>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</si>
  <si>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</si>
  <si>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</si>
  <si>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</si>
  <si>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</si>
  <si>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</si>
  <si>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</si>
  <si>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</si>
  <si>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</si>
  <si>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</si>
  <si>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</si>
  <si>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</si>
  <si>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</si>
  <si>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</si>
  <si>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</si>
  <si>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</si>
  <si>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</si>
  <si>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</si>
  <si>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</si>
  <si>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</si>
  <si>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</si>
  <si>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</si>
  <si>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</si>
  <si>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</si>
  <si>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</si>
  <si>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</si>
  <si>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</si>
  <si>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</si>
  <si>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</si>
  <si>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</si>
  <si>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</si>
  <si>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</si>
  <si>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</si>
  <si>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</si>
  <si>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</si>
  <si>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</si>
  <si>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</si>
  <si>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</si>
  <si>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</si>
  <si>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</si>
  <si>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</si>
  <si>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</si>
  <si>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</si>
  <si>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</si>
  <si>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</si>
  <si>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</si>
  <si>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</si>
  <si>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</si>
  <si>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</si>
  <si>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</si>
  <si>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</si>
  <si>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</si>
  <si>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</si>
  <si>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</si>
  <si>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</si>
  <si>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</si>
  <si>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</si>
  <si>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</si>
  <si>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</si>
  <si>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</si>
  <si>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</si>
  <si>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</si>
  <si>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</si>
  <si>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</si>
  <si>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</si>
  <si>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</si>
  <si>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</si>
  <si>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</si>
  <si>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</si>
  <si>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</si>
  <si>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</si>
  <si>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</si>
  <si>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</si>
  <si>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</si>
  <si>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</si>
  <si>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</si>
  <si>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</si>
  <si>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</si>
  <si>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</si>
  <si>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</si>
  <si>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</si>
  <si>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</si>
  <si>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</si>
  <si>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</si>
  <si>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</si>
  <si>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</si>
  <si>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</si>
  <si>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</si>
  <si>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</si>
  <si>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</si>
  <si>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</si>
  <si>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</si>
  <si>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</si>
  <si>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</si>
  <si>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</si>
  <si>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</si>
  <si>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</si>
  <si>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</si>
  <si>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</si>
  <si>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</si>
  <si>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</si>
  <si>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</si>
  <si>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</si>
  <si>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</si>
  <si>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</si>
  <si>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</si>
  <si>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</si>
  <si>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</si>
  <si>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</si>
  <si>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</si>
  <si>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</si>
  <si>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</si>
  <si>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</si>
  <si>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</si>
  <si>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</si>
  <si>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</si>
  <si>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</si>
  <si>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</si>
  <si>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</si>
  <si>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</si>
  <si>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</si>
  <si>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</si>
  <si>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</si>
  <si>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</si>
  <si>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</si>
  <si>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</si>
  <si>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</si>
  <si>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</si>
  <si>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</si>
  <si>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</si>
  <si>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</si>
  <si>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</si>
  <si>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</si>
  <si>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</si>
  <si>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</si>
  <si>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</si>
  <si>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</si>
  <si>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</si>
  <si>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</si>
  <si>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</si>
  <si>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</si>
  <si>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</si>
  <si>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</si>
  <si>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</si>
  <si>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</si>
  <si>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</si>
  <si>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</si>
  <si>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</si>
  <si>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</si>
  <si>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</si>
  <si>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</si>
  <si>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</si>
  <si>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</si>
  <si>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</si>
  <si>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</si>
  <si>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</si>
  <si>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</si>
  <si>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</si>
  <si>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</si>
  <si>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</si>
  <si>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</si>
  <si>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</si>
  <si>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</si>
  <si>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</si>
  <si>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</si>
  <si>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</si>
  <si>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</si>
  <si>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</si>
  <si>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</si>
  <si>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</si>
  <si>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</si>
  <si>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</si>
  <si>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</si>
  <si>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</si>
  <si>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</si>
  <si>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</si>
  <si>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</si>
  <si>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</si>
  <si>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</si>
  <si>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</si>
  <si>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</si>
  <si>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</si>
  <si>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</si>
  <si>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</si>
  <si>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</si>
  <si>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</si>
  <si>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</si>
  <si>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</si>
  <si>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</si>
  <si>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</si>
  <si>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</si>
  <si>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</si>
  <si>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</si>
  <si>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</si>
  <si>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</si>
  <si>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</si>
  <si>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</si>
  <si>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</si>
  <si>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</si>
  <si>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</si>
  <si>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</si>
  <si>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</si>
  <si>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</si>
  <si>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</si>
  <si>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</si>
  <si>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</si>
  <si>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</si>
  <si>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현대자동차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</si>
  <si>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</si>
  <si>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</si>
  <si>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</si>
  <si>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</si>
  <si>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</si>
  <si>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</si>
  <si>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</si>
  <si>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</si>
  <si>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</si>
  <si>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</si>
  <si>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</si>
  <si>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</si>
  <si>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</si>
  <si>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</si>
  <si>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</si>
  <si>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</si>
  <si>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</si>
  <si>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</si>
  <si>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</si>
  <si>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</si>
  <si>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</si>
  <si>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</si>
  <si>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</si>
  <si>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</si>
  <si>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</si>
  <si>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</si>
  <si>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</si>
  <si>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</si>
  <si>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</si>
  <si>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</si>
  <si>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</si>
  <si>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</si>
  <si>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</si>
  <si>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</si>
  <si>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</si>
  <si>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</si>
  <si>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</si>
  <si>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</si>
  <si>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</si>
  <si>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</si>
  <si>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</si>
  <si>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</si>
  <si>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</si>
  <si>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</si>
  <si>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</si>
  <si>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</si>
  <si>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</si>
  <si>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</si>
  <si>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</si>
  <si>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</si>
  <si>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</si>
  <si>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</si>
  <si>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</si>
  <si>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</si>
  <si>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</si>
  <si>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</si>
  <si>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01 확정</t>
    <phoneticPr fontId="2" type="noConversion"/>
  </si>
  <si>
    <t>한양이엔지(ex-MBA)</t>
    <phoneticPr fontId="2" type="noConversion"/>
  </si>
  <si>
    <t>어학 턴키 계열사별 예산 배분 이슈로 5월 발행</t>
  </si>
  <si>
    <t>결과보고 컨펌으로 5월 발행 예정</t>
  </si>
  <si>
    <t>한양이엔지 7.5백만, 쌍용건설 6.5백만 외 매출 변동</t>
    <phoneticPr fontId="2" type="noConversion"/>
  </si>
  <si>
    <t>변동 없음</t>
    <phoneticPr fontId="2" type="noConversion"/>
  </si>
  <si>
    <t>일부 상승</t>
  </si>
  <si>
    <t>인원 감소</t>
  </si>
  <si>
    <t>일부 비용 조정</t>
  </si>
  <si>
    <t>현대모비스, 현대자동차 매출 변동</t>
    <phoneticPr fontId="2" type="noConversion"/>
  </si>
  <si>
    <t>k</t>
  </si>
  <si>
    <t>삼정회계법인 9백만, 파리크라상 2.8백만 외 매출 변동</t>
    <phoneticPr fontId="2" type="noConversion"/>
  </si>
  <si>
    <t>기업교육1팀</t>
    <phoneticPr fontId="2" type="noConversion"/>
  </si>
  <si>
    <t>장지웅</t>
    <phoneticPr fontId="2" type="noConversion"/>
  </si>
  <si>
    <t>기업교육1팀</t>
    <phoneticPr fontId="2" type="noConversion"/>
  </si>
  <si>
    <t>장지웅</t>
    <phoneticPr fontId="2" type="noConversion"/>
  </si>
  <si>
    <t>에스케이이노베이션 MBA</t>
    <phoneticPr fontId="2" type="noConversion"/>
  </si>
  <si>
    <t>에스케이이노베이션 30백만 외 매출 변동</t>
    <phoneticPr fontId="2" type="noConversion"/>
  </si>
  <si>
    <t>셀트리온 2백만</t>
    <phoneticPr fontId="2" type="noConversion"/>
  </si>
  <si>
    <t>한화솔루션 큐셀</t>
    <phoneticPr fontId="2" type="noConversion"/>
  </si>
  <si>
    <t>한화솔루션 큐셀 9백만</t>
    <phoneticPr fontId="2" type="noConversion"/>
  </si>
  <si>
    <t>변동 없음</t>
    <phoneticPr fontId="2" type="noConversion"/>
  </si>
  <si>
    <t>퇴사, 이관 필요</t>
    <phoneticPr fontId="2" type="noConversion"/>
  </si>
  <si>
    <t>전배, 이관 필요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</si>
</sst>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38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pivotCacheDefinition" Target="pivotCache/pivotCacheDefinition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0260108_&#45936;&#51060;&#53552;&#48513;/26&#45380;%20&#54016;&#48324;&#52712;&#54633;/FS2&#54016;/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5&#45380;%20&#47560;&#44048;&#9733;/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su0228\Downloads\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ownloads/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kal2648/Desktop/&#9733;&#50689;&#50629;&#51204;&#47029;&#54016;&#9733;/&#9733;&#45936;&#51060;&#53552;&#48513;&#9733;/20251204/26&#45380;%20&#54016;&#48324;&#52712;&#54633;/&#44592;&#44368;4&#54016;/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wangjm/Desktop/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FS2&#54016;/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1&#54016;/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&#44592;&#44368;1&#54016;/&#9733;2026&#45380;_databook_&#44592;&#44368;1&#54016;_260507_&#44053;&#44148;&#47784;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&#44592;&#44368;1&#54016;/&#9733;2026&#45380;_databook_&#44592;&#44368;1&#54016;_260507_&#48149;&#51221;&#44508;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&#44592;&#44368;1&#54016;/&#9733;2026&#45380;_databook_&#44592;&#44368;1&#54016;_260507_&#51109;&#51648;&#50885;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6.35158263889" createdVersion="6" refreshedVersion="6" minRefreshableVersion="3" recordCount="1055">
  <cacheSource type="worksheet">
    <worksheetSource ref="A22:BF10005" sheet="26년 databook(취합)"/>
  </cacheSource>
  <cacheFields count="58">
    <cacheField name="고유번호" numFmtId="0">
      <sharedItems containsString="0" containsBlank="1" containsNumber="1" containsInteger="1" minValue="1" maxValue="1054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강건모"/>
        <s v="조미희"/>
        <s v="김도엽"/>
        <s v="김신정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String="0" containsBlank="1" containsNumber="1" containsInteger="1" minValue="57267" maxValue="57267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715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99000000" maxValue="30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21303942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5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1604920"/>
    <n v="32575640"/>
    <n v="-970720"/>
    <n v="2200030"/>
    <n v="2200030"/>
    <m/>
    <n v="2559410"/>
    <n v="2559410"/>
    <m/>
    <n v="2551840"/>
    <n v="2551840"/>
    <m/>
    <n v="2264360"/>
    <m/>
    <n v="202928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35370000"/>
    <n v="28170000"/>
    <n v="7200000"/>
    <m/>
    <m/>
    <m/>
    <m/>
    <m/>
    <m/>
    <n v="2850000"/>
    <n v="2850000"/>
    <m/>
    <n v="12320000"/>
    <m/>
    <n v="9200000"/>
    <m/>
    <m/>
    <m/>
    <m/>
    <m/>
    <m/>
    <m/>
    <m/>
    <m/>
    <n v="11000000"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4386280"/>
    <n v="92676280"/>
    <n v="1710000"/>
    <m/>
    <m/>
    <m/>
    <n v="6737800"/>
    <n v="6737800"/>
    <m/>
    <n v="8431100"/>
    <n v="8431100"/>
    <m/>
    <n v="988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6507200"/>
    <n v="525857200"/>
    <n v="650000"/>
    <n v="39034550"/>
    <n v="39174750"/>
    <m/>
    <n v="50000000"/>
    <n v="38321800"/>
    <m/>
    <n v="41355150"/>
    <n v="41355150"/>
    <m/>
    <n v="4465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8248430"/>
    <n v="452748230"/>
    <n v="5500200"/>
    <m/>
    <n v="1200000"/>
    <m/>
    <n v="40000000"/>
    <n v="40713300"/>
    <m/>
    <n v="42958600"/>
    <n v="42958600"/>
    <m/>
    <n v="40478210"/>
    <m/>
    <n v="57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5000000"/>
    <n v="10000000"/>
    <n v="-500000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736500"/>
    <n v="4560000"/>
    <n v="176500"/>
    <m/>
    <m/>
    <m/>
    <m/>
    <m/>
    <m/>
    <m/>
    <m/>
    <m/>
    <n v="47365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660730"/>
    <n v="67199750"/>
    <n v="460980"/>
    <n v="4296810"/>
    <m/>
    <m/>
    <n v="4101320"/>
    <n v="8445210"/>
    <m/>
    <n v="7473020"/>
    <n v="7473020"/>
    <m/>
    <n v="610020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61264700"/>
    <n v="59996000"/>
    <n v="1268700"/>
    <n v="5000000"/>
    <n v="1507800"/>
    <m/>
    <n v="6000000"/>
    <n v="1773300"/>
    <m/>
    <n v="6312300"/>
    <n v="6312300"/>
    <m/>
    <n v="59670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6000000"/>
    <n v="28200000"/>
    <n v="-2200000"/>
    <m/>
    <m/>
    <m/>
    <m/>
    <n v="2000000"/>
    <m/>
    <m/>
    <m/>
    <m/>
    <m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m/>
    <m/>
    <n v="13636364"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4083600"/>
    <n v="52388400"/>
    <n v="1695200"/>
    <n v="2385800"/>
    <n v="2385800"/>
    <m/>
    <n v="5000000"/>
    <n v="3385900"/>
    <m/>
    <n v="3196500"/>
    <n v="3196500"/>
    <m/>
    <n v="51154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m/>
    <m/>
    <s v="기업교육1팀"/>
    <x v="0"/>
    <m/>
    <m/>
    <s v="삼정회계법인(NEW)"/>
    <n v="57267"/>
    <m/>
    <n v="57267"/>
    <m/>
    <m/>
    <m/>
    <m/>
    <m/>
    <s v="08. 하이브리드러닝 - 하이브리드형 러닝"/>
    <m/>
    <m/>
    <m/>
    <m/>
    <m/>
    <m/>
    <x v="0"/>
    <m/>
    <m/>
    <n v="9000000"/>
    <m/>
    <n v="9000000"/>
    <m/>
    <m/>
    <m/>
    <m/>
    <m/>
    <m/>
    <m/>
    <m/>
    <m/>
    <m/>
    <m/>
    <m/>
    <m/>
    <n v="9000000"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50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1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2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5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12951570"/>
    <n v="408938310"/>
    <n v="4013260"/>
    <n v="28902770"/>
    <n v="31220560"/>
    <m/>
    <n v="35000000"/>
    <n v="31659350"/>
    <m/>
    <n v="34851730"/>
    <n v="33786330"/>
    <m/>
    <n v="4628533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7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60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3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4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6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1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1146760"/>
    <n v="113000000"/>
    <n v="-1853240"/>
    <m/>
    <m/>
    <m/>
    <m/>
    <m/>
    <m/>
    <m/>
    <m/>
    <m/>
    <n v="36146760"/>
    <m/>
    <m/>
    <m/>
    <m/>
    <m/>
    <n v="25000000"/>
    <m/>
    <m/>
    <m/>
    <m/>
    <m/>
    <n v="25000000"/>
    <m/>
    <m/>
    <m/>
    <n v="25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7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8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9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011620"/>
    <n v="96329420"/>
    <n v="-317800"/>
    <n v="7416100"/>
    <n v="10204500"/>
    <m/>
    <n v="6000000"/>
    <n v="7915300"/>
    <m/>
    <n v="7450380"/>
    <n v="7450380"/>
    <m/>
    <n v="74414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80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3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4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5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8340000"/>
    <n v="9000000"/>
    <n v="-660000"/>
    <m/>
    <m/>
    <m/>
    <n v="1000000"/>
    <m/>
    <m/>
    <m/>
    <m/>
    <m/>
    <n v="34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6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3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5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7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8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0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1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3"/>
    <m/>
    <m/>
    <s v="기업교육1팀"/>
    <s v="박정규"/>
    <s v="기업교육1팀"/>
    <x v="0"/>
    <m/>
    <m/>
    <s v="파리크라상"/>
    <m/>
    <m/>
    <n v="5941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4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5"/>
    <m/>
    <m/>
    <m/>
    <m/>
    <s v="기업교육1팀"/>
    <x v="0"/>
    <m/>
    <m/>
    <s v="파리크라상"/>
    <m/>
    <m/>
    <n v="59418"/>
    <m/>
    <m/>
    <m/>
    <m/>
    <m/>
    <s v="11. 구독 - 휴넷CEO멤버십"/>
    <m/>
    <m/>
    <m/>
    <m/>
    <m/>
    <m/>
    <x v="0"/>
    <m/>
    <m/>
    <n v="2800000"/>
    <m/>
    <n v="2800000"/>
    <m/>
    <m/>
    <m/>
    <m/>
    <m/>
    <m/>
    <m/>
    <m/>
    <m/>
    <n v="2800000"/>
    <m/>
    <m/>
    <m/>
    <m/>
    <m/>
    <m/>
    <m/>
    <m/>
    <m/>
    <m/>
    <m/>
    <m/>
    <m/>
    <m/>
    <m/>
    <m/>
    <m/>
  </r>
  <r>
    <n v="106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7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8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90390000"/>
    <n v="674110000"/>
    <n v="16280000"/>
    <n v="60000000"/>
    <n v="79810000"/>
    <m/>
    <n v="50000000"/>
    <n v="64850000"/>
    <m/>
    <n v="53700000"/>
    <n v="69420000"/>
    <m/>
    <n v="5631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10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125500"/>
    <n v="3221500"/>
    <n v="-96000"/>
    <m/>
    <n v="118000"/>
    <m/>
    <m/>
    <m/>
    <m/>
    <n v="159000"/>
    <n v="159000"/>
    <m/>
    <n v="448500"/>
    <m/>
    <n v="300000"/>
    <m/>
    <n v="300000"/>
    <m/>
    <n v="300000"/>
    <m/>
    <n v="300000"/>
    <m/>
    <n v="300000"/>
    <m/>
    <n v="300000"/>
    <m/>
    <n v="300000"/>
    <m/>
    <n v="300000"/>
    <m/>
  </r>
  <r>
    <n v="111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5750000"/>
    <n v="30000000"/>
    <n v="5750000"/>
    <m/>
    <m/>
    <m/>
    <m/>
    <m/>
    <m/>
    <m/>
    <m/>
    <m/>
    <n v="35750000"/>
    <m/>
    <m/>
    <m/>
    <m/>
    <m/>
    <m/>
    <m/>
    <m/>
    <m/>
    <m/>
    <m/>
    <m/>
    <m/>
    <m/>
    <m/>
    <m/>
    <m/>
  </r>
  <r>
    <n v="113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4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5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6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7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20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21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2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3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9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30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3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9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3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4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5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7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8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2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3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4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6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7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9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61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71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2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3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9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80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2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3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4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5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6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7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9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3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6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7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8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9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3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5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8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9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3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5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9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20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21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3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4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5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7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3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4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6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8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9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40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41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3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4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5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7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30000000"/>
    <n v="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50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51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2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3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4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5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6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7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8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3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4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5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6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7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8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9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70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71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2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4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5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8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9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80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81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7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91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4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5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6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7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9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300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4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5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6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10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0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11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2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4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5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6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7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8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9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20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5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6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7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70000000"/>
    <n v="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8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9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2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4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5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4000000"/>
    <n v="27000000"/>
    <n v="-3000000"/>
    <m/>
    <m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</r>
  <r>
    <n v="336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7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8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9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5620000"/>
    <n v="56202000"/>
    <n v="-582000"/>
    <n v="4040000"/>
    <n v="4040000"/>
    <m/>
    <n v="3120000"/>
    <n v="3120000"/>
    <m/>
    <n v="4042000"/>
    <n v="4042000"/>
    <m/>
    <n v="4418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41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3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5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213039420"/>
    <m/>
    <n v="60000000"/>
    <m/>
    <n v="60000000"/>
    <m/>
    <n v="66960580"/>
    <m/>
    <n v="100000000"/>
    <m/>
    <n v="100000000"/>
    <m/>
    <n v="79735200"/>
    <m/>
    <n v="70000000"/>
    <m/>
    <n v="10529600"/>
    <m/>
  </r>
  <r>
    <n v="347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9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51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2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3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4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5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6660800"/>
    <n v="48985000"/>
    <n v="-2324200"/>
    <n v="765400"/>
    <n v="765400"/>
    <m/>
    <n v="1333000"/>
    <n v="1333000"/>
    <m/>
    <n v="1886600"/>
    <n v="1886600"/>
    <m/>
    <n v="26758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7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2000000"/>
    <n v="5000000"/>
    <n v="-3000000"/>
    <m/>
    <m/>
    <m/>
    <m/>
    <m/>
    <m/>
    <m/>
    <m/>
    <m/>
    <n v="2000000"/>
    <m/>
    <n v="0"/>
    <m/>
    <m/>
    <m/>
    <m/>
    <m/>
    <m/>
    <m/>
    <m/>
    <m/>
    <m/>
    <m/>
    <m/>
    <m/>
    <m/>
    <m/>
  </r>
  <r>
    <n v="359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0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61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5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6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9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70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9647400"/>
    <n v="10200000"/>
    <n v="-552600"/>
    <m/>
    <m/>
    <m/>
    <m/>
    <m/>
    <m/>
    <n v="2200000"/>
    <n v="2200000"/>
    <m/>
    <n v="3447400"/>
    <m/>
    <n v="0"/>
    <m/>
    <n v="2000000"/>
    <m/>
    <n v="0"/>
    <m/>
    <n v="2000000"/>
    <m/>
    <n v="0"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4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7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3648300"/>
    <n v="34097800"/>
    <n v="-449500"/>
    <m/>
    <m/>
    <m/>
    <n v="3282800"/>
    <n v="3282800"/>
    <m/>
    <n v="4135500"/>
    <n v="3815000"/>
    <m/>
    <n v="25505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8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2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3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4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5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6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0"/>
    <m/>
    <n v="5000000"/>
    <m/>
    <n v="5000000"/>
    <m/>
    <m/>
    <m/>
    <m/>
    <m/>
    <m/>
    <m/>
    <m/>
    <m/>
    <m/>
    <m/>
    <m/>
    <m/>
  </r>
  <r>
    <n v="387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0445700"/>
    <n v="166445700"/>
    <n v="-6000000"/>
    <n v="19242000"/>
    <n v="19242000"/>
    <m/>
    <n v="15242200"/>
    <n v="15242200"/>
    <m/>
    <n v="0"/>
    <m/>
    <s v="아이엠뱅크 3월 계산서 이월 발행"/>
    <n v="12961500"/>
    <m/>
    <n v="15000000"/>
    <m/>
    <n v="15000000"/>
    <m/>
    <n v="18000000"/>
    <m/>
    <n v="18000000"/>
    <m/>
    <n v="18000000"/>
    <m/>
    <n v="15000000"/>
    <m/>
    <n v="14000000"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3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3000000"/>
    <n v="14000000"/>
    <n v="-1000000"/>
    <m/>
    <m/>
    <m/>
    <m/>
    <m/>
    <m/>
    <n v="0"/>
    <m/>
    <m/>
    <n v="0"/>
    <m/>
    <n v="2000000"/>
    <m/>
    <n v="1000000"/>
    <m/>
    <n v="2000000"/>
    <m/>
    <n v="2000000"/>
    <m/>
    <n v="1000000"/>
    <m/>
    <n v="2000000"/>
    <m/>
    <n v="2000000"/>
    <m/>
    <n v="1000000"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7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9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00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2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3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4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8000000"/>
    <n v="9000000"/>
    <n v="-1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405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0318700"/>
    <n v="21602500"/>
    <n v="-1283800"/>
    <n v="1297000"/>
    <n v="1297000"/>
    <m/>
    <n v="1261500"/>
    <n v="1261500"/>
    <m/>
    <n v="1044000"/>
    <n v="1044000"/>
    <m/>
    <n v="7162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1팀"/>
    <s v="장지웅"/>
    <s v="기업교육1팀"/>
    <x v="3"/>
    <m/>
    <m/>
    <s v="에스케이이노베이션 MBA"/>
    <m/>
    <m/>
    <n v="67154"/>
    <s v="01 1~1000대"/>
    <s v="03 신규"/>
    <s v="03 휴넷 LMS"/>
    <m/>
    <m/>
    <s v="02. 이러닝 - 단과"/>
    <m/>
    <m/>
    <m/>
    <m/>
    <m/>
    <m/>
    <x v="0"/>
    <m/>
    <m/>
    <n v="30000000"/>
    <n v="0"/>
    <n v="30000000"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  <m/>
    <m/>
    <m/>
    <m/>
  </r>
  <r>
    <n v="411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12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3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4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5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6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7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8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6452080"/>
    <n v="49254880"/>
    <n v="-2802800"/>
    <n v="1686120"/>
    <n v="1885080"/>
    <m/>
    <n v="985400"/>
    <n v="985400"/>
    <m/>
    <n v="5884400"/>
    <n v="5884400"/>
    <m/>
    <n v="1697200"/>
    <m/>
    <n v="4500000"/>
    <m/>
    <n v="4500000"/>
    <m/>
    <n v="4500000"/>
    <m/>
    <n v="4500000"/>
    <m/>
    <n v="4500000"/>
    <m/>
    <n v="4500000"/>
    <m/>
    <n v="4500000"/>
    <m/>
    <n v="4500000"/>
    <m/>
  </r>
  <r>
    <n v="420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21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22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3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5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7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8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30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31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32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5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6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41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42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3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4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7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8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50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7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4025900"/>
    <n v="35509900"/>
    <n v="-1484000"/>
    <n v="2525000"/>
    <n v="2525000"/>
    <m/>
    <n v="3089400"/>
    <n v="3089400"/>
    <m/>
    <n v="2895500"/>
    <n v="2895500"/>
    <m/>
    <n v="1516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60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3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4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6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9000000"/>
    <n v="56000000"/>
    <n v="3000000"/>
    <m/>
    <m/>
    <m/>
    <m/>
    <m/>
    <m/>
    <n v="6000000"/>
    <n v="6000000"/>
    <m/>
    <n v="3000000"/>
    <m/>
    <m/>
    <m/>
    <m/>
    <m/>
    <m/>
    <m/>
    <n v="50000000"/>
    <m/>
    <m/>
    <m/>
    <m/>
    <m/>
    <m/>
    <m/>
    <m/>
    <m/>
  </r>
  <r>
    <n v="467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70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71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4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2000000"/>
    <n v="15000000"/>
    <n v="-3000000"/>
    <m/>
    <m/>
    <m/>
    <m/>
    <m/>
    <m/>
    <m/>
    <m/>
    <m/>
    <m/>
    <m/>
    <n v="3000000"/>
    <m/>
    <m/>
    <m/>
    <n v="3000000"/>
    <m/>
    <m/>
    <m/>
    <n v="3000000"/>
    <m/>
    <n v="3000000"/>
    <m/>
    <m/>
    <m/>
    <m/>
    <m/>
  </r>
  <r>
    <n v="476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7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0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3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4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25000"/>
    <n v="19005000"/>
    <n v="20000"/>
    <m/>
    <m/>
    <m/>
    <m/>
    <m/>
    <m/>
    <n v="5000"/>
    <n v="5000"/>
    <m/>
    <n v="20000"/>
    <m/>
    <n v="0"/>
    <m/>
    <n v="0"/>
    <m/>
    <n v="0"/>
    <m/>
    <n v="0"/>
    <m/>
    <n v="0"/>
    <m/>
    <n v="19000000"/>
    <m/>
    <n v="0"/>
    <m/>
    <n v="0"/>
    <m/>
  </r>
  <r>
    <n v="486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7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9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90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1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3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4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5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6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7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9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500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0"/>
    <n v="99000000"/>
    <n v="-99000000"/>
    <m/>
    <m/>
    <m/>
    <m/>
    <m/>
    <m/>
    <m/>
    <m/>
    <m/>
    <m/>
    <m/>
    <m/>
    <m/>
    <m/>
    <m/>
    <m/>
    <m/>
    <m/>
    <m/>
    <m/>
    <m/>
    <m/>
    <m/>
    <m/>
    <m/>
    <m/>
    <m/>
  </r>
  <r>
    <n v="503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0"/>
    <n v="60000000"/>
    <n v="-6000000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0"/>
    <n v="12000000"/>
    <n v="-12000000"/>
    <m/>
    <m/>
    <m/>
    <m/>
    <m/>
    <m/>
    <m/>
    <m/>
    <m/>
    <m/>
    <m/>
    <m/>
    <m/>
    <m/>
    <m/>
    <m/>
    <m/>
    <m/>
    <m/>
    <m/>
    <m/>
    <m/>
    <m/>
    <m/>
    <m/>
    <m/>
    <m/>
  </r>
  <r>
    <n v="506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0"/>
    <n v="10000000"/>
    <n v="-10000000"/>
    <m/>
    <m/>
    <m/>
    <m/>
    <m/>
    <m/>
    <m/>
    <m/>
    <m/>
    <m/>
    <m/>
    <m/>
    <m/>
    <m/>
    <m/>
    <m/>
    <m/>
    <m/>
    <m/>
    <m/>
    <m/>
    <m/>
    <m/>
    <m/>
    <m/>
    <m/>
    <m/>
  </r>
  <r>
    <n v="507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9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10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5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8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21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22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3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4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6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7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1"/>
    <m/>
    <m/>
    <n v="18000000"/>
    <n v="0"/>
    <n v="18000000"/>
    <m/>
    <m/>
    <m/>
    <m/>
    <m/>
    <m/>
    <m/>
    <m/>
    <m/>
    <m/>
    <m/>
    <m/>
    <m/>
    <m/>
    <m/>
    <m/>
    <m/>
    <m/>
    <m/>
    <n v="18000000"/>
    <m/>
    <m/>
    <m/>
    <m/>
    <m/>
    <m/>
    <m/>
  </r>
  <r>
    <n v="528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0"/>
    <m/>
    <m/>
    <n v="2000000"/>
    <n v="20000000"/>
    <n v="-1800000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30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31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3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6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7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9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40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42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3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5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6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8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9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51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52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6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9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62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3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8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9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72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3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4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7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9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80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5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6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7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8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90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91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3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4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5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6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7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8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602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4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6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8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9"/>
    <m/>
    <m/>
    <s v="기업교육1팀"/>
    <s v="강건모"/>
    <s v="기업교육1팀"/>
    <x v="5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0"/>
    <m/>
    <m/>
    <s v="기업교육1팀"/>
    <s v="강건모"/>
    <s v="기업교육1팀"/>
    <x v="5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11"/>
    <m/>
    <m/>
    <s v="기업교육1팀"/>
    <s v="강건모"/>
    <s v="기업교육1팀"/>
    <x v="5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12"/>
    <m/>
    <m/>
    <s v="기업교육1팀"/>
    <s v="강건모"/>
    <s v="기업교육1팀"/>
    <x v="5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13"/>
    <m/>
    <m/>
    <s v="기업교육1팀"/>
    <s v="강건모"/>
    <s v="기업교육1팀"/>
    <x v="5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14"/>
    <m/>
    <m/>
    <s v="기업교육1팀"/>
    <s v="강건모"/>
    <s v="기업교육1팀"/>
    <x v="5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1팀"/>
    <s v="강건모"/>
    <s v="기업교육1팀"/>
    <x v="5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m/>
    <m/>
    <s v="기업교육1팀"/>
    <x v="5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17"/>
    <m/>
    <m/>
    <s v="기업교육1팀"/>
    <s v="강건모"/>
    <s v="기업교육1팀"/>
    <x v="5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18"/>
    <m/>
    <m/>
    <s v="기업교육1팀"/>
    <s v="강건모"/>
    <s v="기업교육1팀"/>
    <x v="5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619"/>
    <m/>
    <m/>
    <s v="기업교육1팀"/>
    <s v="강건모"/>
    <s v="기업교육1팀"/>
    <x v="5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0"/>
    <m/>
    <m/>
    <s v="기업교육1팀"/>
    <s v="강건모"/>
    <s v="기업교육1팀"/>
    <x v="5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1"/>
    <m/>
    <m/>
    <s v="기업교육1팀"/>
    <s v="강건모"/>
    <s v="기업교육1팀"/>
    <x v="5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22"/>
    <m/>
    <m/>
    <s v="기업교육1팀"/>
    <s v="강건모"/>
    <s v="기업교육1팀"/>
    <x v="5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23"/>
    <m/>
    <m/>
    <s v="기업교육1팀"/>
    <s v="강건모"/>
    <s v="기업교육1팀"/>
    <x v="5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24"/>
    <m/>
    <m/>
    <s v="기업교육1팀"/>
    <s v="강건모"/>
    <s v="기업교육1팀"/>
    <x v="5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625"/>
    <m/>
    <m/>
    <s v="기업교육1팀"/>
    <s v="강건모"/>
    <s v="기업교육1팀"/>
    <x v="5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26"/>
    <m/>
    <m/>
    <s v="기업교육1팀"/>
    <s v="강건모"/>
    <s v="기업교육1팀"/>
    <x v="5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1팀"/>
    <s v="강건모"/>
    <s v="기업교육1팀"/>
    <x v="5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28"/>
    <m/>
    <m/>
    <s v="기업교육1팀"/>
    <s v="강건모"/>
    <s v="기업교육1팀"/>
    <x v="5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29"/>
    <m/>
    <m/>
    <s v="기업교육1팀"/>
    <s v="강건모"/>
    <s v="기업교육1팀"/>
    <x v="5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강건모"/>
    <s v="기업교육1팀"/>
    <x v="5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631"/>
    <m/>
    <m/>
    <s v="기업교육1팀"/>
    <s v="강건모"/>
    <s v="기업교육1팀"/>
    <x v="5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632"/>
    <m/>
    <m/>
    <s v="기업교육1팀"/>
    <s v="강건모"/>
    <s v="기업교육1팀"/>
    <x v="5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24000000"/>
    <s v="어학 턴키 계열사별 예산 배분 이슈로 5월 발행"/>
    <n v="30000000"/>
    <m/>
    <n v="23000000"/>
    <m/>
    <m/>
    <m/>
    <n v="23000000"/>
    <m/>
    <m/>
    <m/>
    <n v="23000000"/>
    <m/>
    <m/>
    <m/>
    <n v="23000000"/>
    <m/>
  </r>
  <r>
    <n v="633"/>
    <m/>
    <m/>
    <m/>
    <m/>
    <s v="기업교육1팀"/>
    <x v="5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1팀"/>
    <s v="강건모"/>
    <s v="기업교육1팀"/>
    <x v="5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635"/>
    <m/>
    <m/>
    <s v="기업교육1팀"/>
    <s v="강건모"/>
    <s v="기업교육1팀"/>
    <x v="5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636"/>
    <m/>
    <m/>
    <s v="기업교육1팀"/>
    <s v="강건모"/>
    <s v="기업교육1팀"/>
    <x v="5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7"/>
    <m/>
    <m/>
    <s v="기업교육1팀"/>
    <s v="강건모"/>
    <s v="기업교육1팀"/>
    <x v="5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강건모"/>
    <s v="기업교육1팀"/>
    <x v="5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639"/>
    <m/>
    <m/>
    <s v="기업교육1팀"/>
    <s v="강건모"/>
    <s v="기업교육1팀"/>
    <x v="5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40"/>
    <m/>
    <m/>
    <s v="기업교육1팀"/>
    <s v="강건모"/>
    <s v="기업교육1팀"/>
    <x v="5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41"/>
    <m/>
    <m/>
    <s v="기업교육1팀"/>
    <s v="강건모"/>
    <s v="기업교육1팀"/>
    <x v="5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642"/>
    <m/>
    <m/>
    <s v="기업교육1팀"/>
    <s v="강건모"/>
    <s v="기업교육1팀"/>
    <x v="5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43"/>
    <m/>
    <m/>
    <s v="기업교육1팀"/>
    <s v="강건모"/>
    <s v="기업교육1팀"/>
    <x v="5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44"/>
    <m/>
    <m/>
    <s v="기업교육1팀"/>
    <s v="강건모"/>
    <s v="기업교육1팀"/>
    <x v="5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45"/>
    <m/>
    <m/>
    <s v="기업교육1팀"/>
    <s v="강건모"/>
    <s v="기업교육1팀"/>
    <x v="5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강건모"/>
    <s v="기업교육1팀"/>
    <x v="5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47"/>
    <m/>
    <m/>
    <s v="기업교육1팀"/>
    <s v="강건모"/>
    <s v="기업교육1팀"/>
    <x v="5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8"/>
    <m/>
    <m/>
    <s v="기업교육1팀"/>
    <s v="강건모"/>
    <s v="기업교육1팀"/>
    <x v="5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649"/>
    <m/>
    <m/>
    <s v="기업교육1팀"/>
    <s v="강건모"/>
    <s v="기업교육1팀"/>
    <x v="5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50"/>
    <m/>
    <m/>
    <s v="기업교육1팀"/>
    <s v="강건모"/>
    <s v="기업교육1팀"/>
    <x v="5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651"/>
    <m/>
    <m/>
    <s v="기업교육1팀"/>
    <s v="강건모"/>
    <s v="기업교육1팀"/>
    <x v="5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652"/>
    <m/>
    <m/>
    <s v="기업교육1팀"/>
    <s v="강건모"/>
    <s v="기업교육1팀"/>
    <x v="5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653"/>
    <m/>
    <m/>
    <s v="기업교육1팀"/>
    <s v="강건모"/>
    <s v="기업교육1팀"/>
    <x v="5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54"/>
    <m/>
    <m/>
    <s v="기업교육1팀"/>
    <s v="강건모"/>
    <s v="기업교육1팀"/>
    <x v="5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655"/>
    <m/>
    <m/>
    <s v="기업교육1팀"/>
    <s v="강건모"/>
    <s v="기업교육1팀"/>
    <x v="5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56"/>
    <m/>
    <m/>
    <s v="기업교육1팀"/>
    <s v="강건모"/>
    <s v="기업교육1팀"/>
    <x v="5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1팀"/>
    <s v="강건모"/>
    <s v="기업교육1팀"/>
    <x v="5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58"/>
    <m/>
    <m/>
    <s v="기업교육1팀"/>
    <s v="강건모"/>
    <s v="기업교육1팀"/>
    <x v="5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659"/>
    <m/>
    <m/>
    <s v="기업교육1팀"/>
    <s v="강건모"/>
    <s v="기업교육1팀"/>
    <x v="5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660"/>
    <m/>
    <m/>
    <s v="기업교육1팀"/>
    <s v="강건모"/>
    <s v="기업교육1팀"/>
    <x v="5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661"/>
    <m/>
    <m/>
    <s v="기업교육1팀"/>
    <s v="강건모"/>
    <s v="기업교육1팀"/>
    <x v="5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2"/>
    <m/>
    <m/>
    <s v="기업교육1팀"/>
    <s v="강건모"/>
    <s v="기업교육1팀"/>
    <x v="5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63"/>
    <m/>
    <m/>
    <s v="기업교육1팀"/>
    <s v="강건모"/>
    <s v="기업교육1팀"/>
    <x v="5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64"/>
    <m/>
    <m/>
    <s v="기업교육1팀"/>
    <s v="강건모"/>
    <s v="기업교육1팀"/>
    <x v="5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1팀"/>
    <s v="강건모"/>
    <s v="기업교육1팀"/>
    <x v="5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6"/>
    <m/>
    <m/>
    <s v="기업교육1팀"/>
    <s v="강건모"/>
    <s v="기업교육1팀"/>
    <x v="5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67"/>
    <m/>
    <m/>
    <s v="기업교육1팀"/>
    <s v="강건모"/>
    <s v="기업교육1팀"/>
    <x v="5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68"/>
    <m/>
    <m/>
    <s v="기업교육1팀"/>
    <s v="강건모"/>
    <s v="기업교육1팀"/>
    <x v="5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1팀"/>
    <s v="강건모"/>
    <s v="기업교육1팀"/>
    <x v="5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670"/>
    <m/>
    <m/>
    <s v="기업교육1팀"/>
    <s v="강건모"/>
    <s v="기업교육1팀"/>
    <x v="5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671"/>
    <m/>
    <m/>
    <s v="기업교육1팀"/>
    <s v="강건모"/>
    <s v="기업교육1팀"/>
    <x v="5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72"/>
    <m/>
    <m/>
    <s v="기업교육1팀"/>
    <s v="강건모"/>
    <s v="기업교육1팀"/>
    <x v="5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673"/>
    <m/>
    <m/>
    <s v="기업교육1팀"/>
    <s v="강건모"/>
    <s v="기업교육1팀"/>
    <x v="5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674"/>
    <m/>
    <m/>
    <s v="기업교육1팀"/>
    <s v="강건모"/>
    <s v="기업교육1팀"/>
    <x v="5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675"/>
    <m/>
    <m/>
    <s v="기업교육1팀"/>
    <s v="강건모"/>
    <s v="기업교육1팀"/>
    <x v="5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676"/>
    <m/>
    <m/>
    <s v="기업교육1팀"/>
    <s v="강건모"/>
    <s v="기업교육1팀"/>
    <x v="5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77"/>
    <m/>
    <m/>
    <m/>
    <m/>
    <s v="기업교육1팀"/>
    <x v="5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8"/>
    <m/>
    <m/>
    <s v="기업교육1팀"/>
    <s v="강건모"/>
    <s v="기업교육1팀"/>
    <x v="5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강건모"/>
    <s v="기업교육1팀"/>
    <x v="5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680"/>
    <m/>
    <m/>
    <s v="기업교육1팀"/>
    <s v="강건모"/>
    <s v="기업교육1팀"/>
    <x v="5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681"/>
    <m/>
    <m/>
    <s v="기업교육1팀"/>
    <s v="강건모"/>
    <s v="기업교육1팀"/>
    <x v="5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2"/>
    <m/>
    <m/>
    <m/>
    <m/>
    <s v="기업교육1팀"/>
    <x v="5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강건모"/>
    <s v="기업교육1팀"/>
    <x v="5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4"/>
    <m/>
    <m/>
    <s v="기업교육1팀"/>
    <s v="강건모"/>
    <s v="기업교육1팀"/>
    <x v="5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85"/>
    <m/>
    <m/>
    <s v="기업교육1팀"/>
    <s v="강건모"/>
    <s v="기업교육1팀"/>
    <x v="5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686"/>
    <m/>
    <m/>
    <s v="기업교육1팀"/>
    <s v="강건모"/>
    <s v="기업교육1팀"/>
    <x v="5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687"/>
    <m/>
    <m/>
    <s v="기업교육1팀"/>
    <s v="강건모"/>
    <s v="기업교육1팀"/>
    <x v="5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1팀"/>
    <s v="강건모"/>
    <s v="기업교육1팀"/>
    <x v="5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1팀"/>
    <s v="강건모"/>
    <s v="기업교육1팀"/>
    <x v="5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690"/>
    <m/>
    <m/>
    <s v="기업교육1팀"/>
    <s v="강건모"/>
    <s v="기업교육1팀"/>
    <x v="5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91"/>
    <m/>
    <m/>
    <s v="기업교육1팀"/>
    <s v="강건모"/>
    <s v="기업교육1팀"/>
    <x v="5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692"/>
    <m/>
    <m/>
    <s v="기업교육1팀"/>
    <s v="강건모"/>
    <s v="기업교육1팀"/>
    <x v="5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693"/>
    <m/>
    <m/>
    <s v="기업교육1팀"/>
    <s v="강건모"/>
    <s v="기업교육1팀"/>
    <x v="5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694"/>
    <m/>
    <m/>
    <s v="기업교육1팀"/>
    <s v="강건모"/>
    <s v="기업교육1팀"/>
    <x v="5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95"/>
    <m/>
    <m/>
    <s v="기업교육1팀"/>
    <s v="강건모"/>
    <s v="기업교육1팀"/>
    <x v="5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1팀"/>
    <s v="강건모"/>
    <s v="기업교육1팀"/>
    <x v="5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8623200"/>
    <n v="142094700"/>
    <n v="6528500"/>
    <m/>
    <m/>
    <m/>
    <m/>
    <m/>
    <m/>
    <n v="13994700"/>
    <n v="13994700"/>
    <m/>
    <n v="11558600"/>
    <m/>
    <n v="12336100"/>
    <m/>
    <n v="17633800"/>
    <m/>
    <n v="13100000"/>
    <m/>
    <n v="14000000"/>
    <m/>
    <n v="14000000"/>
    <m/>
    <n v="14000000"/>
    <m/>
    <n v="14000000"/>
    <m/>
    <n v="24000000"/>
    <m/>
  </r>
  <r>
    <n v="697"/>
    <m/>
    <m/>
    <s v="기업교육1팀"/>
    <s v="강건모"/>
    <s v="기업교육1팀"/>
    <x v="5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98"/>
    <m/>
    <m/>
    <s v="기업교육2팀"/>
    <s v="장윤오"/>
    <s v="기업교육1팀"/>
    <x v="5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699"/>
    <m/>
    <m/>
    <s v="기업교육1팀"/>
    <s v="강건모"/>
    <s v="기업교육1팀"/>
    <x v="5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00"/>
    <m/>
    <m/>
    <s v="기업교육1팀"/>
    <s v="강건모"/>
    <s v="기업교육1팀"/>
    <x v="5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01"/>
    <m/>
    <m/>
    <s v="기업교육1팀"/>
    <s v="강건모"/>
    <s v="기업교육1팀"/>
    <x v="5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1팀"/>
    <s v="강건모"/>
    <s v="기업교육1팀"/>
    <x v="5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1팀"/>
    <s v="김도엽"/>
    <s v="기업교육1팀"/>
    <x v="5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4"/>
    <m/>
    <m/>
    <s v="기업교육1팀"/>
    <s v="강건모"/>
    <s v="기업교육1팀"/>
    <x v="5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m/>
    <s v="결과보고 컨펌으로 5월 발행 예정"/>
    <n v="37375000"/>
    <m/>
    <m/>
    <m/>
    <n v="37375000"/>
    <m/>
    <m/>
    <m/>
    <m/>
    <m/>
    <n v="37375000"/>
    <m/>
    <m/>
    <m/>
    <n v="37375000"/>
    <m/>
  </r>
  <r>
    <n v="705"/>
    <m/>
    <m/>
    <s v="기업교육1팀"/>
    <s v="강건모"/>
    <s v="기업교육1팀"/>
    <x v="5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1팀"/>
    <s v="강건모"/>
    <s v="기업교육1팀"/>
    <x v="5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07"/>
    <m/>
    <m/>
    <s v="기업교육1팀"/>
    <s v="강건모"/>
    <s v="기업교육1팀"/>
    <x v="5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1팀"/>
    <s v="강건모"/>
    <s v="기업교육1팀"/>
    <x v="5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9"/>
    <m/>
    <m/>
    <s v="기업교육1팀"/>
    <s v="강건모"/>
    <s v="기업교육1팀"/>
    <x v="5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10"/>
    <m/>
    <m/>
    <s v="기업교육1팀"/>
    <s v="강건모"/>
    <s v="기업교육1팀"/>
    <x v="5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1"/>
    <m/>
    <m/>
    <m/>
    <m/>
    <s v="기업교육1팀"/>
    <x v="5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12"/>
    <m/>
    <m/>
    <s v="기업교육1팀"/>
    <s v="강건모"/>
    <s v="기업교육1팀"/>
    <x v="5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5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5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5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16"/>
    <m/>
    <m/>
    <s v="기업교육1팀"/>
    <s v="강건모"/>
    <s v="기업교육1팀"/>
    <x v="5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999950"/>
    <n v="99731730"/>
    <n v="268220"/>
    <m/>
    <m/>
    <m/>
    <n v="9000000"/>
    <n v="6731730"/>
    <m/>
    <n v="8520600"/>
    <n v="8520600"/>
    <m/>
    <n v="10833220"/>
    <m/>
    <n v="9000000"/>
    <m/>
    <n v="9000000"/>
    <m/>
    <n v="9000000"/>
    <m/>
    <n v="9000000"/>
    <m/>
    <n v="9000000"/>
    <m/>
    <n v="9000000"/>
    <m/>
    <n v="9000000"/>
    <m/>
    <n v="10914400"/>
    <m/>
  </r>
  <r>
    <n v="717"/>
    <m/>
    <m/>
    <s v="기업교육1팀"/>
    <s v="강건모"/>
    <s v="기업교육1팀"/>
    <x v="5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718"/>
    <m/>
    <m/>
    <s v="기업교육1팀"/>
    <s v="강건모"/>
    <s v="기업교육1팀"/>
    <x v="5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9"/>
    <m/>
    <m/>
    <s v="기업교육1팀"/>
    <s v="강건모"/>
    <s v="기업교육1팀"/>
    <x v="5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m/>
    <m/>
    <s v="기업교육1팀"/>
    <x v="5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721"/>
    <m/>
    <m/>
    <s v="기업교육1팀"/>
    <s v="강건모"/>
    <s v="기업교육1팀"/>
    <x v="5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722"/>
    <m/>
    <m/>
    <s v="기업교육1팀"/>
    <s v="강건모"/>
    <s v="기업교육1팀"/>
    <x v="5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1팀"/>
    <s v="강건모"/>
    <s v="기업교육1팀"/>
    <x v="5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1팀"/>
    <s v="강건모"/>
    <s v="기업교육1팀"/>
    <x v="5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725"/>
    <m/>
    <m/>
    <s v="기업교육1팀"/>
    <s v="강건모"/>
    <s v="기업교육1팀"/>
    <x v="5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726"/>
    <m/>
    <m/>
    <s v="기업교육1팀"/>
    <s v="강건모"/>
    <s v="기업교육1팀"/>
    <x v="5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727"/>
    <m/>
    <m/>
    <s v="기업교육1팀"/>
    <s v="강건모"/>
    <s v="기업교육1팀"/>
    <x v="5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8"/>
    <m/>
    <m/>
    <s v="기업교육1팀"/>
    <s v="강건모"/>
    <s v="기업교육1팀"/>
    <x v="5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9"/>
    <m/>
    <m/>
    <m/>
    <m/>
    <m/>
    <x v="5"/>
    <m/>
    <m/>
    <s v="한양이엔지(ex-MBA)"/>
    <m/>
    <m/>
    <n v="4128"/>
    <s v="01 1~1000대"/>
    <s v="03 신규"/>
    <s v="03 휴넷 LMS"/>
    <m/>
    <m/>
    <s v="02. 이러닝 - 단과"/>
    <m/>
    <m/>
    <m/>
    <m/>
    <m/>
    <m/>
    <x v="0"/>
    <m/>
    <m/>
    <n v="7500000"/>
    <n v="0"/>
    <n v="7500000"/>
    <m/>
    <m/>
    <m/>
    <m/>
    <m/>
    <m/>
    <m/>
    <m/>
    <m/>
    <m/>
    <m/>
    <n v="7500000"/>
    <m/>
    <m/>
    <m/>
    <m/>
    <m/>
    <m/>
    <m/>
    <m/>
    <m/>
    <m/>
    <m/>
    <m/>
    <m/>
    <m/>
    <m/>
  </r>
  <r>
    <n v="730"/>
    <m/>
    <m/>
    <s v="기업교육1팀"/>
    <s v="이재성"/>
    <s v="기업교육1팀"/>
    <x v="5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5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1팀"/>
    <s v="강건모"/>
    <s v="기업교육1팀"/>
    <x v="5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733"/>
    <m/>
    <m/>
    <s v="기업교육1팀"/>
    <s v="강건모"/>
    <s v="기업교육1팀"/>
    <x v="5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34"/>
    <m/>
    <m/>
    <s v="기업교육1팀"/>
    <s v="강건모"/>
    <s v="기업교육1팀"/>
    <x v="5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5910590"/>
    <m/>
    <n v="6000000"/>
    <m/>
    <n v="6000000"/>
    <m/>
    <n v="6000000"/>
    <m/>
    <n v="6000000"/>
    <m/>
    <n v="6000000"/>
    <m/>
    <n v="9889410"/>
    <m/>
    <n v="15000000"/>
    <m/>
    <n v="20000000"/>
    <m/>
  </r>
  <r>
    <n v="735"/>
    <m/>
    <m/>
    <s v="기업교육1팀"/>
    <s v="강건모"/>
    <s v="기업교육1팀"/>
    <x v="5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550000"/>
    <n v="18650000"/>
    <n v="-100000"/>
    <n v="5050000"/>
    <n v="5050000"/>
    <m/>
    <n v="3800000"/>
    <m/>
    <s v="3월자 발행 완료"/>
    <n v="3800000"/>
    <n v="3800000"/>
    <m/>
    <n v="9700000"/>
    <m/>
    <m/>
    <m/>
    <m/>
    <m/>
    <m/>
    <m/>
    <m/>
    <m/>
    <m/>
    <m/>
    <m/>
    <m/>
    <m/>
    <m/>
    <m/>
    <m/>
  </r>
  <r>
    <n v="736"/>
    <m/>
    <m/>
    <s v="기업교육1팀"/>
    <s v="강건모"/>
    <s v="기업교육1팀"/>
    <x v="5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737"/>
    <m/>
    <m/>
    <s v="기업교육1팀"/>
    <s v="강건모"/>
    <s v="기업교육1팀"/>
    <x v="5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738"/>
    <m/>
    <m/>
    <s v="기업교육1팀"/>
    <s v="강건모"/>
    <s v="기업교육1팀"/>
    <x v="5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739"/>
    <m/>
    <m/>
    <s v="기업교육1팀"/>
    <s v="강건모"/>
    <s v="기업교육1팀"/>
    <x v="5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0"/>
    <m/>
    <m/>
    <s v="기업교육1팀"/>
    <s v="강건모"/>
    <s v="기업교육1팀"/>
    <x v="5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1"/>
    <m/>
    <m/>
    <s v="기업교육1팀"/>
    <s v="강건모"/>
    <s v="기업교육1팀"/>
    <x v="5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42"/>
    <m/>
    <m/>
    <s v="기업교육1팀"/>
    <s v="강건모"/>
    <s v="기업교육1팀"/>
    <x v="5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743"/>
    <m/>
    <m/>
    <s v="기업교육1팀"/>
    <s v="강건모"/>
    <s v="기업교육1팀"/>
    <x v="5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44"/>
    <m/>
    <m/>
    <s v="기업교육1팀"/>
    <s v="강건모"/>
    <s v="기업교육1팀"/>
    <x v="5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45"/>
    <m/>
    <m/>
    <s v="기업교육1팀"/>
    <s v="조미희"/>
    <s v="기업교육1팀"/>
    <x v="5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746"/>
    <m/>
    <m/>
    <s v="기업교육1팀"/>
    <s v="조미희"/>
    <s v="기업교육1팀"/>
    <x v="6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7"/>
    <m/>
    <m/>
    <s v="기업교육1팀"/>
    <s v="조미희"/>
    <s v="기업교육1팀"/>
    <x v="6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748"/>
    <m/>
    <m/>
    <s v="기업교육1팀"/>
    <s v="조미희"/>
    <s v="기업교육1팀"/>
    <x v="6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749"/>
    <m/>
    <m/>
    <s v="기업교육1팀"/>
    <s v="조미희"/>
    <s v="기업교육1팀"/>
    <x v="6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750"/>
    <m/>
    <m/>
    <m/>
    <m/>
    <s v="기업교육1팀"/>
    <x v="6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751"/>
    <m/>
    <m/>
    <s v="기업교육1팀"/>
    <s v="조미희"/>
    <s v="기업교육1팀"/>
    <x v="6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조미희"/>
    <s v="기업교육1팀"/>
    <x v="6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753"/>
    <m/>
    <m/>
    <s v="기업교육1팀"/>
    <s v="조미희"/>
    <s v="기업교육1팀"/>
    <x v="6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754"/>
    <m/>
    <m/>
    <s v="기업교육1팀"/>
    <s v="조미희"/>
    <s v="기업교육1팀"/>
    <x v="6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755"/>
    <m/>
    <m/>
    <s v="기업교육1팀"/>
    <s v="조미희"/>
    <s v="기업교육1팀"/>
    <x v="6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6"/>
    <m/>
    <m/>
    <s v="기업교육1팀"/>
    <s v="조미희"/>
    <s v="기업교육1팀"/>
    <x v="6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757"/>
    <m/>
    <m/>
    <s v="기업교육1팀"/>
    <s v="조미희"/>
    <s v="기업교육1팀"/>
    <x v="6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758"/>
    <m/>
    <m/>
    <s v="기업교육1팀"/>
    <s v="조미희"/>
    <s v="기업교육1팀"/>
    <x v="6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759"/>
    <m/>
    <m/>
    <s v="기업교육1팀"/>
    <s v="조미희"/>
    <s v="기업교육1팀"/>
    <x v="6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760"/>
    <m/>
    <m/>
    <s v="기업교육1팀"/>
    <s v="조미희"/>
    <s v="기업교육1팀"/>
    <x v="6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1"/>
    <m/>
    <m/>
    <s v="기업교육1팀"/>
    <s v="조미희"/>
    <s v="기업교육1팀"/>
    <x v="6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62"/>
    <m/>
    <m/>
    <s v="기업교육1팀"/>
    <s v="조미희"/>
    <s v="기업교육1팀"/>
    <x v="6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3"/>
    <m/>
    <m/>
    <s v="기업교육1팀"/>
    <s v="조미희"/>
    <s v="기업교육1팀"/>
    <x v="6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764"/>
    <m/>
    <m/>
    <s v="기업교육1팀"/>
    <s v="조미희"/>
    <s v="기업교육1팀"/>
    <x v="6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765"/>
    <m/>
    <m/>
    <s v="기업교육1팀"/>
    <s v="조미희"/>
    <s v="기업교육1팀"/>
    <x v="6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766"/>
    <m/>
    <m/>
    <s v="기업교육1팀"/>
    <s v="조미희"/>
    <s v="기업교육1팀"/>
    <x v="6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67"/>
    <m/>
    <m/>
    <s v="기업교육1팀"/>
    <s v="조미희"/>
    <s v="기업교육1팀"/>
    <x v="6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68"/>
    <m/>
    <m/>
    <s v="기업교육1팀"/>
    <s v="조미희"/>
    <s v="기업교육1팀"/>
    <x v="6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69"/>
    <m/>
    <m/>
    <s v="기업교육1팀"/>
    <s v="조미희"/>
    <s v="기업교육1팀"/>
    <x v="6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70"/>
    <m/>
    <m/>
    <s v="기업교육1팀"/>
    <s v="조미희"/>
    <s v="기업교육1팀"/>
    <x v="6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771"/>
    <m/>
    <m/>
    <s v="기업교육1팀"/>
    <s v="조미희"/>
    <s v="기업교육1팀"/>
    <x v="6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72"/>
    <m/>
    <m/>
    <s v="기업교육1팀"/>
    <s v="조미희"/>
    <s v="기업교육1팀"/>
    <x v="6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73"/>
    <m/>
    <m/>
    <s v="기업교육1팀"/>
    <s v="조미희"/>
    <s v="기업교육1팀"/>
    <x v="6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74"/>
    <m/>
    <m/>
    <s v="기업교육1팀"/>
    <s v="조미희"/>
    <s v="기업교육1팀"/>
    <x v="6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775"/>
    <m/>
    <m/>
    <s v="기업교육1팀"/>
    <s v="조미희"/>
    <s v="기업교육1팀"/>
    <x v="6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776"/>
    <m/>
    <m/>
    <s v="기업교육1팀"/>
    <s v="조미희"/>
    <s v="기업교육1팀"/>
    <x v="6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777"/>
    <m/>
    <m/>
    <s v="기업교육1팀"/>
    <s v="조미희"/>
    <s v="기업교육1팀"/>
    <x v="6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8"/>
    <m/>
    <m/>
    <s v="기업교육1팀"/>
    <s v="조미희"/>
    <s v="기업교육1팀"/>
    <x v="6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779"/>
    <m/>
    <m/>
    <s v="기업교육1팀"/>
    <s v="조미희"/>
    <s v="기업교육1팀"/>
    <x v="6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780"/>
    <m/>
    <m/>
    <s v="기업교육1팀"/>
    <s v="조미희"/>
    <s v="기업교육1팀"/>
    <x v="6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781"/>
    <m/>
    <m/>
    <s v="기업교육1팀"/>
    <s v="조미희"/>
    <s v="기업교육1팀"/>
    <x v="6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782"/>
    <m/>
    <m/>
    <s v="기업교육1팀"/>
    <s v="조미희"/>
    <s v="기업교육1팀"/>
    <x v="6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783"/>
    <m/>
    <m/>
    <s v="기업교육1팀"/>
    <s v="조미희"/>
    <s v="기업교육1팀"/>
    <x v="6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4"/>
    <m/>
    <m/>
    <s v="기업교육1팀"/>
    <s v="조미희"/>
    <s v="기업교육1팀"/>
    <x v="6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85"/>
    <m/>
    <m/>
    <s v="기업교육1팀"/>
    <s v="조미희"/>
    <s v="기업교육1팀"/>
    <x v="6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86"/>
    <m/>
    <m/>
    <s v="기업교육1팀"/>
    <s v="조미희"/>
    <s v="기업교육1팀"/>
    <x v="6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87"/>
    <m/>
    <m/>
    <s v="기업교육1팀"/>
    <s v="조미희"/>
    <s v="기업교육1팀"/>
    <x v="6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8"/>
    <m/>
    <m/>
    <s v="기업교육1팀"/>
    <s v="조미희"/>
    <s v="기업교육1팀"/>
    <x v="6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789"/>
    <m/>
    <m/>
    <s v="기업교육1팀"/>
    <s v="조미희"/>
    <s v="기업교육1팀"/>
    <x v="6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90"/>
    <m/>
    <m/>
    <s v="기업교육1팀"/>
    <s v="조미희"/>
    <s v="기업교육1팀"/>
    <x v="6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91"/>
    <m/>
    <m/>
    <s v="기업교육1팀"/>
    <s v="조미희"/>
    <s v="기업교육1팀"/>
    <x v="6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92"/>
    <m/>
    <m/>
    <s v="기업교육1팀"/>
    <s v="조미희"/>
    <s v="기업교육1팀"/>
    <x v="6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793"/>
    <m/>
    <m/>
    <s v="기업교육1팀"/>
    <s v="조미희"/>
    <s v="기업교육1팀"/>
    <x v="6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794"/>
    <m/>
    <m/>
    <s v="기업교육1팀"/>
    <s v="조미희"/>
    <s v="기업교육1팀"/>
    <x v="6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795"/>
    <m/>
    <m/>
    <s v="기업교육1팀"/>
    <s v="조미희"/>
    <s v="기업교육1팀"/>
    <x v="6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96"/>
    <m/>
    <m/>
    <s v="기업교육1팀"/>
    <s v="조미희"/>
    <s v="기업교육1팀"/>
    <x v="6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797"/>
    <m/>
    <m/>
    <s v="기업교육1팀"/>
    <s v="조미희"/>
    <s v="기업교육1팀"/>
    <x v="6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798"/>
    <m/>
    <m/>
    <s v="기업교육1팀"/>
    <s v="조미희"/>
    <s v="기업교육1팀"/>
    <x v="6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99"/>
    <m/>
    <m/>
    <s v="기업교육1팀"/>
    <s v="조미희"/>
    <s v="기업교육1팀"/>
    <x v="6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00"/>
    <m/>
    <m/>
    <s v="기업교육1팀"/>
    <s v="조미희"/>
    <s v="기업교육1팀"/>
    <x v="6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01"/>
    <m/>
    <m/>
    <s v="기업교육1팀"/>
    <s v="조미희"/>
    <s v="기업교육1팀"/>
    <x v="6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02"/>
    <m/>
    <m/>
    <s v="기업교육1팀"/>
    <s v="조미희"/>
    <s v="기업교육1팀"/>
    <x v="6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03"/>
    <m/>
    <m/>
    <s v="기업교육1팀"/>
    <s v="조미희"/>
    <s v="기업교육1팀"/>
    <x v="6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04"/>
    <m/>
    <m/>
    <s v="기업교육1팀"/>
    <s v="조미희"/>
    <s v="기업교육1팀"/>
    <x v="6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05"/>
    <m/>
    <m/>
    <s v="기업교육1팀"/>
    <s v="조미희"/>
    <s v="기업교육1팀"/>
    <x v="6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06"/>
    <m/>
    <m/>
    <m/>
    <m/>
    <s v="기업교육1팀"/>
    <x v="6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조미희"/>
    <s v="기업교육1팀"/>
    <x v="6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8"/>
    <m/>
    <m/>
    <s v="기업교육1팀"/>
    <s v="조미희"/>
    <s v="기업교육1팀"/>
    <x v="6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9"/>
    <m/>
    <m/>
    <s v="기업교육1팀"/>
    <s v="조미희"/>
    <s v="기업교육1팀"/>
    <x v="6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10"/>
    <m/>
    <m/>
    <s v="기업교육1팀"/>
    <s v="조미희"/>
    <s v="기업교육1팀"/>
    <x v="6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1"/>
    <m/>
    <m/>
    <s v="기업교육1팀"/>
    <s v="조미희"/>
    <s v="기업교육1팀"/>
    <x v="6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12"/>
    <m/>
    <m/>
    <s v="기업교육1팀"/>
    <s v="조미희"/>
    <s v="기업교육1팀"/>
    <x v="6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조미희"/>
    <s v="기업교육1팀"/>
    <x v="6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14"/>
    <m/>
    <m/>
    <s v="기업교육1팀"/>
    <s v="조미희"/>
    <s v="기업교육1팀"/>
    <x v="6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5"/>
    <m/>
    <m/>
    <m/>
    <m/>
    <s v="기업교육1팀"/>
    <x v="6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16"/>
    <m/>
    <m/>
    <s v="기업교육1팀"/>
    <s v="조미희"/>
    <s v="기업교육1팀"/>
    <x v="6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17"/>
    <m/>
    <m/>
    <s v="기업교육1팀"/>
    <s v="조미희"/>
    <s v="기업교육1팀"/>
    <x v="6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18"/>
    <m/>
    <m/>
    <s v="기업교육1팀"/>
    <s v="조미희"/>
    <s v="기업교육1팀"/>
    <x v="6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819"/>
    <m/>
    <m/>
    <s v="기업교육1팀"/>
    <s v="조미희"/>
    <s v="기업교육1팀"/>
    <x v="6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조미희"/>
    <s v="기업교육1팀"/>
    <x v="6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821"/>
    <m/>
    <m/>
    <s v="기업교육1팀"/>
    <s v="조미희"/>
    <s v="기업교육1팀"/>
    <x v="6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22"/>
    <m/>
    <m/>
    <s v="기업교육1팀"/>
    <s v="조미희"/>
    <s v="기업교육1팀"/>
    <x v="6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823"/>
    <m/>
    <m/>
    <s v="기업교육1팀"/>
    <s v="조미희"/>
    <s v="기업교육1팀"/>
    <x v="6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24"/>
    <m/>
    <m/>
    <s v="기업교육1팀"/>
    <s v="조미희"/>
    <s v="기업교육1팀"/>
    <x v="6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25"/>
    <m/>
    <m/>
    <s v="기업교육1팀"/>
    <s v="조미희"/>
    <s v="기업교육1팀"/>
    <x v="6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826"/>
    <m/>
    <m/>
    <s v="기업교육1팀"/>
    <s v="조미희"/>
    <s v="기업교육1팀"/>
    <x v="6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827"/>
    <m/>
    <m/>
    <s v="기업교육1팀"/>
    <s v="조미희"/>
    <s v="기업교육1팀"/>
    <x v="6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8"/>
    <m/>
    <m/>
    <s v="기업교육1팀"/>
    <s v="조미희"/>
    <s v="기업교육1팀"/>
    <x v="6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829"/>
    <m/>
    <m/>
    <s v="기업교육1팀"/>
    <s v="조미희"/>
    <s v="기업교육1팀"/>
    <x v="6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830"/>
    <m/>
    <m/>
    <s v="기업교육1팀"/>
    <s v="조미희"/>
    <s v="기업교육1팀"/>
    <x v="6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831"/>
    <m/>
    <m/>
    <s v="기업교육1팀"/>
    <s v="조미희"/>
    <s v="기업교육1팀"/>
    <x v="6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832"/>
    <m/>
    <m/>
    <s v="기업교육1팀"/>
    <s v="조미희"/>
    <s v="기업교육1팀"/>
    <x v="6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833"/>
    <m/>
    <m/>
    <s v="기업교육1팀"/>
    <s v="조미희"/>
    <s v="기업교육1팀"/>
    <x v="6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834"/>
    <m/>
    <m/>
    <s v="기업교육1팀"/>
    <s v="조미희"/>
    <s v="기업교육1팀"/>
    <x v="6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835"/>
    <m/>
    <m/>
    <s v="기업교육1팀"/>
    <s v="조미희"/>
    <s v="기업교육1팀"/>
    <x v="6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6"/>
    <m/>
    <m/>
    <s v="기업교육1팀"/>
    <s v="조미희"/>
    <s v="기업교육1팀"/>
    <x v="6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37"/>
    <m/>
    <m/>
    <s v="기업교육1팀"/>
    <s v="조미희"/>
    <s v="기업교육1팀"/>
    <x v="6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38"/>
    <m/>
    <m/>
    <s v="기업교육1팀"/>
    <s v="조미희"/>
    <s v="기업교육1팀"/>
    <x v="6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839"/>
    <m/>
    <m/>
    <s v="기업교육1팀"/>
    <s v="조미희"/>
    <s v="기업교육1팀"/>
    <x v="6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40"/>
    <m/>
    <m/>
    <s v="기업교육1팀"/>
    <s v="조미희"/>
    <s v="기업교육1팀"/>
    <x v="6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841"/>
    <m/>
    <m/>
    <s v="기업교육1팀"/>
    <s v="조미희"/>
    <s v="기업교육1팀"/>
    <x v="6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42"/>
    <m/>
    <m/>
    <s v="기업교육1팀"/>
    <s v="조미희"/>
    <s v="기업교육1팀"/>
    <x v="6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43"/>
    <m/>
    <m/>
    <m/>
    <m/>
    <s v="기업교육1팀"/>
    <x v="6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844"/>
    <m/>
    <m/>
    <s v="기업교육1팀"/>
    <s v="조미희"/>
    <s v="기업교육1팀"/>
    <x v="6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황동현"/>
    <s v="기업교육1팀"/>
    <x v="6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46"/>
    <m/>
    <m/>
    <s v="기업교육1팀"/>
    <s v="황동현"/>
    <s v="기업교육1팀"/>
    <x v="6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847"/>
    <m/>
    <m/>
    <s v="기업교육1팀"/>
    <s v="조미희"/>
    <s v="기업교육1팀"/>
    <x v="6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848"/>
    <m/>
    <m/>
    <s v="기업교육1팀"/>
    <s v="조미희"/>
    <s v="기업교육1팀"/>
    <x v="6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849"/>
    <m/>
    <m/>
    <s v="기업교육1팀"/>
    <s v="조미희"/>
    <s v="기업교육1팀"/>
    <x v="6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850"/>
    <m/>
    <m/>
    <s v="기업교육1팀"/>
    <s v="조미희"/>
    <s v="기업교육1팀"/>
    <x v="6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51"/>
    <m/>
    <m/>
    <s v="기업교육1팀"/>
    <s v="조미희"/>
    <s v="기업교육1팀"/>
    <x v="6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52"/>
    <m/>
    <m/>
    <s v="기업교육1팀"/>
    <s v="조미희"/>
    <s v="기업교육1팀"/>
    <x v="6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853"/>
    <m/>
    <m/>
    <s v="기업교육1팀"/>
    <s v="조미희"/>
    <s v="기업교육1팀"/>
    <x v="6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54"/>
    <m/>
    <m/>
    <s v="기업교육1팀"/>
    <s v="조미희"/>
    <s v="기업교육1팀"/>
    <x v="6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6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6"/>
    <m/>
    <m/>
    <s v="기업교육1팀"/>
    <s v="조미희"/>
    <s v="기업교육1팀"/>
    <x v="6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7"/>
    <m/>
    <m/>
    <s v="기업교육1팀"/>
    <s v="조미희"/>
    <s v="기업교육1팀"/>
    <x v="6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858"/>
    <m/>
    <m/>
    <s v="기업교육1팀"/>
    <s v="조미희"/>
    <s v="기업교육1팀"/>
    <x v="6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859"/>
    <m/>
    <m/>
    <s v="기업교육1팀"/>
    <s v="조미희"/>
    <s v="기업교육1팀"/>
    <x v="6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60"/>
    <m/>
    <m/>
    <s v="기업교육1팀"/>
    <s v="조미희"/>
    <s v="기업교육1팀"/>
    <x v="6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61"/>
    <m/>
    <m/>
    <s v="기업교육1팀"/>
    <s v="김도엽"/>
    <s v="기업교육1팀"/>
    <x v="6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62"/>
    <m/>
    <m/>
    <s v="기업교육1팀"/>
    <s v="김도엽"/>
    <s v="기업교육1팀"/>
    <x v="7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63"/>
    <m/>
    <m/>
    <s v="기업교육1팀"/>
    <s v="김도엽"/>
    <s v="기업교육1팀"/>
    <x v="7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864"/>
    <m/>
    <m/>
    <s v="기업교육1팀"/>
    <s v="김도엽"/>
    <s v="기업교육1팀"/>
    <x v="7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865"/>
    <m/>
    <m/>
    <s v="기업교육1팀"/>
    <s v="김도엽"/>
    <s v="기업교육1팀"/>
    <x v="7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김도엽"/>
    <s v="기업교육1팀"/>
    <x v="7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867"/>
    <m/>
    <m/>
    <s v="기업교육1팀"/>
    <s v="김도엽"/>
    <s v="기업교육1팀"/>
    <x v="7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8"/>
    <m/>
    <m/>
    <m/>
    <m/>
    <s v="기업교육1팀"/>
    <x v="7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869"/>
    <m/>
    <m/>
    <s v="기업교육1팀"/>
    <s v="김도엽"/>
    <s v="기업교육1팀"/>
    <x v="7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김도엽"/>
    <s v="기업교육1팀"/>
    <x v="7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871"/>
    <m/>
    <m/>
    <s v="기업교육1팀"/>
    <s v="김도엽"/>
    <s v="기업교육1팀"/>
    <x v="7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2"/>
    <m/>
    <m/>
    <s v="기업교육1팀"/>
    <s v="김도엽"/>
    <s v="기업교육1팀"/>
    <x v="7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3"/>
    <m/>
    <m/>
    <s v="기업교육1팀"/>
    <s v="김도엽"/>
    <s v="기업교육1팀"/>
    <x v="7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n v="33654000"/>
    <m/>
    <n v="40000000"/>
    <m/>
    <n v="50000000"/>
    <m/>
    <n v="55000000"/>
    <m/>
    <n v="55000000"/>
    <m/>
    <n v="55000000"/>
    <m/>
    <n v="54446000"/>
    <m/>
    <m/>
    <m/>
    <m/>
    <m/>
  </r>
  <r>
    <n v="874"/>
    <m/>
    <m/>
    <s v="기업교육1팀"/>
    <s v="김도엽"/>
    <s v="기업교육1팀"/>
    <x v="7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5"/>
    <m/>
    <m/>
    <s v="기업교육1팀"/>
    <s v="김도엽"/>
    <s v="기업교육1팀"/>
    <x v="7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80000000"/>
    <n v="100000000"/>
    <n v="-20000000"/>
    <m/>
    <m/>
    <m/>
    <m/>
    <m/>
    <m/>
    <m/>
    <m/>
    <m/>
    <m/>
    <m/>
    <m/>
    <m/>
    <m/>
    <m/>
    <m/>
    <m/>
    <m/>
    <m/>
    <n v="50000000"/>
    <m/>
    <m/>
    <m/>
    <n v="30000000"/>
    <m/>
    <m/>
    <m/>
  </r>
  <r>
    <n v="876"/>
    <m/>
    <m/>
    <s v="기업교육1팀"/>
    <s v="김도엽"/>
    <s v="기업교육1팀"/>
    <x v="7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877"/>
    <m/>
    <m/>
    <s v="기업교육1팀"/>
    <s v="김도엽"/>
    <s v="기업교육1팀"/>
    <x v="7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8"/>
    <m/>
    <m/>
    <s v="기업교육1팀"/>
    <s v="김도엽"/>
    <s v="기업교육1팀"/>
    <x v="7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9"/>
    <m/>
    <m/>
    <s v="기업교육1팀"/>
    <s v="김도엽"/>
    <s v="기업교육1팀"/>
    <x v="7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0"/>
    <m/>
    <m/>
    <s v="기업교육1팀"/>
    <s v="김도엽"/>
    <s v="기업교육1팀"/>
    <x v="7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881"/>
    <m/>
    <m/>
    <s v="기업교육1팀"/>
    <s v="김도엽"/>
    <s v="기업교육1팀"/>
    <x v="7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882"/>
    <m/>
    <m/>
    <s v="기업교육1팀"/>
    <s v="김도엽"/>
    <s v="기업교육1팀"/>
    <x v="7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83"/>
    <m/>
    <m/>
    <s v="기업교육1팀"/>
    <s v="김도엽"/>
    <s v="기업교육1팀"/>
    <x v="7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4"/>
    <m/>
    <m/>
    <s v="기업교육1팀"/>
    <s v="김도엽"/>
    <s v="기업교육1팀"/>
    <x v="7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3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885"/>
    <m/>
    <m/>
    <s v="기업교육1팀"/>
    <s v="김도엽"/>
    <s v="기업교육1팀"/>
    <x v="7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886"/>
    <m/>
    <m/>
    <s v="기업교육1팀"/>
    <s v="김도엽"/>
    <s v="기업교육1팀"/>
    <x v="7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887"/>
    <m/>
    <m/>
    <s v="기업교육1팀"/>
    <s v="김도엽"/>
    <s v="기업교육1팀"/>
    <x v="7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888"/>
    <m/>
    <m/>
    <s v="기업교육1팀"/>
    <s v="김도엽"/>
    <s v="기업교육1팀"/>
    <x v="7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889"/>
    <m/>
    <m/>
    <s v="기업교육1팀"/>
    <s v="김도엽"/>
    <s v="기업교육1팀"/>
    <x v="7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890"/>
    <m/>
    <m/>
    <s v="기업교육1팀"/>
    <s v="김도엽"/>
    <s v="기업교육1팀"/>
    <x v="7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891"/>
    <m/>
    <m/>
    <s v="기업교육1팀"/>
    <s v="김도엽"/>
    <s v="기업교육1팀"/>
    <x v="7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892"/>
    <m/>
    <m/>
    <s v="기업교육1팀"/>
    <s v="김도엽"/>
    <s v="기업교육1팀"/>
    <x v="7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893"/>
    <m/>
    <m/>
    <s v="기업교육1팀"/>
    <s v="김도엽"/>
    <s v="기업교육1팀"/>
    <x v="7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94"/>
    <m/>
    <m/>
    <s v="기업교육1팀"/>
    <s v="김도엽"/>
    <s v="기업교육1팀"/>
    <x v="7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895"/>
    <m/>
    <m/>
    <s v="기업교육1팀"/>
    <s v="김도엽"/>
    <s v="기업교육1팀"/>
    <x v="7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896"/>
    <m/>
    <m/>
    <s v="기업교육1팀"/>
    <s v="김도엽"/>
    <s v="기업교육1팀"/>
    <x v="7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s v="기업교육1팀"/>
    <s v="김도엽"/>
    <s v="기업교육1팀"/>
    <x v="7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898"/>
    <m/>
    <m/>
    <s v="기업교육1팀"/>
    <s v="김도엽"/>
    <s v="기업교육1팀"/>
    <x v="7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899"/>
    <m/>
    <m/>
    <s v="기업교육1팀"/>
    <s v="김도엽"/>
    <s v="기업교육1팀"/>
    <x v="7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0"/>
    <m/>
    <m/>
    <s v="기업교육1팀"/>
    <s v="김도엽"/>
    <s v="기업교육1팀"/>
    <x v="7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01"/>
    <m/>
    <m/>
    <s v="기업교육1팀"/>
    <s v="김도엽"/>
    <s v="기업교육1팀"/>
    <x v="7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02"/>
    <m/>
    <m/>
    <s v="기업교육1팀"/>
    <s v="김도엽"/>
    <s v="기업교육1팀"/>
    <x v="7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03"/>
    <m/>
    <m/>
    <s v="기업교육1팀"/>
    <s v="김도엽"/>
    <s v="기업교육1팀"/>
    <x v="7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4"/>
    <m/>
    <m/>
    <s v="기업교육1팀"/>
    <s v="김도엽"/>
    <s v="기업교육1팀"/>
    <x v="7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5"/>
    <m/>
    <m/>
    <s v="기업교육1팀"/>
    <s v="김도엽"/>
    <s v="기업교육1팀"/>
    <x v="7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06"/>
    <m/>
    <m/>
    <s v="기업교육1팀"/>
    <s v="김도엽"/>
    <s v="기업교육1팀"/>
    <x v="7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07"/>
    <m/>
    <m/>
    <s v="기업교육1팀"/>
    <s v="김도엽"/>
    <s v="기업교육1팀"/>
    <x v="7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08"/>
    <m/>
    <m/>
    <s v="기업교육1팀"/>
    <s v="김도엽"/>
    <s v="기업교육1팀"/>
    <x v="7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09"/>
    <m/>
    <m/>
    <s v="기업교육1팀"/>
    <s v="김도엽"/>
    <s v="기업교육1팀"/>
    <x v="7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10"/>
    <m/>
    <m/>
    <s v="기업교육1팀"/>
    <s v="김도엽"/>
    <s v="기업교육1팀"/>
    <x v="7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1"/>
    <m/>
    <m/>
    <s v="기업교육1팀"/>
    <s v="김도엽"/>
    <s v="기업교육1팀"/>
    <x v="7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2"/>
    <m/>
    <m/>
    <s v="기업교육1팀"/>
    <s v="김도엽"/>
    <s v="기업교육1팀"/>
    <x v="7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13"/>
    <m/>
    <m/>
    <s v="기업교육1팀"/>
    <s v="김도엽"/>
    <s v="기업교육1팀"/>
    <x v="7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14"/>
    <m/>
    <m/>
    <s v="기업교육1팀"/>
    <s v="김도엽"/>
    <s v="기업교육1팀"/>
    <x v="7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15"/>
    <m/>
    <m/>
    <s v="기업교육1팀"/>
    <s v="김도엽"/>
    <s v="기업교육1팀"/>
    <x v="7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16"/>
    <m/>
    <m/>
    <s v="기업교육1팀"/>
    <s v="김도엽"/>
    <s v="기업교육1팀"/>
    <x v="7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7"/>
    <m/>
    <m/>
    <s v="기업교육1팀"/>
    <s v="김도엽"/>
    <s v="기업교육1팀"/>
    <x v="7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김도엽"/>
    <s v="기업교육1팀"/>
    <x v="7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919"/>
    <m/>
    <m/>
    <s v="기업교육1팀"/>
    <s v="김도엽"/>
    <s v="기업교육1팀"/>
    <x v="7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920"/>
    <m/>
    <m/>
    <s v="기업교육1팀"/>
    <s v="김도엽"/>
    <s v="기업교육1팀"/>
    <x v="7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921"/>
    <m/>
    <m/>
    <m/>
    <m/>
    <s v="기업교육1팀"/>
    <x v="7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m/>
    <m/>
    <s v="기업교육1팀"/>
    <x v="7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3"/>
    <m/>
    <m/>
    <s v="기업교육1팀"/>
    <s v="김도엽"/>
    <s v="기업교육1팀"/>
    <x v="7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75000"/>
    <n v="1800000"/>
    <n v="75000"/>
    <m/>
    <m/>
    <m/>
    <m/>
    <m/>
    <m/>
    <m/>
    <m/>
    <m/>
    <m/>
    <m/>
    <n v="1875000"/>
    <s v="일부 상승"/>
    <m/>
    <m/>
    <m/>
    <m/>
    <m/>
    <m/>
    <m/>
    <m/>
    <m/>
    <m/>
    <m/>
    <m/>
    <m/>
    <m/>
  </r>
  <r>
    <n v="924"/>
    <m/>
    <m/>
    <s v="기업교육1팀"/>
    <s v="김도엽"/>
    <s v="기업교육1팀"/>
    <x v="7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16000000"/>
    <n v="20000000"/>
    <n v="-4000000"/>
    <m/>
    <m/>
    <m/>
    <m/>
    <m/>
    <m/>
    <m/>
    <m/>
    <m/>
    <m/>
    <m/>
    <m/>
    <m/>
    <m/>
    <m/>
    <n v="8000000"/>
    <s v="인원 감소"/>
    <m/>
    <m/>
    <m/>
    <m/>
    <n v="8000000"/>
    <m/>
    <m/>
    <m/>
    <m/>
    <m/>
  </r>
  <r>
    <n v="925"/>
    <m/>
    <m/>
    <s v="기업교육1팀"/>
    <s v="김도엽"/>
    <s v="기업교육1팀"/>
    <x v="7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926"/>
    <m/>
    <m/>
    <s v="기업교육1팀"/>
    <s v="김도엽"/>
    <s v="기업교육1팀"/>
    <x v="7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927"/>
    <m/>
    <m/>
    <s v="기업교육1팀"/>
    <s v="김도엽"/>
    <s v="기업교육1팀"/>
    <x v="7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28"/>
    <m/>
    <m/>
    <s v="기업교육1팀"/>
    <s v="김도엽"/>
    <s v="기업교육1팀"/>
    <x v="7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9"/>
    <m/>
    <m/>
    <s v="기업교육1팀"/>
    <s v="김도엽"/>
    <s v="기업교육1팀"/>
    <x v="7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930"/>
    <m/>
    <m/>
    <s v="기업교육1팀"/>
    <s v="김도엽"/>
    <s v="기업교육1팀"/>
    <x v="7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1"/>
    <m/>
    <m/>
    <s v="기업교육1팀"/>
    <s v="김도엽"/>
    <s v="기업교육1팀"/>
    <x v="7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32"/>
    <m/>
    <m/>
    <s v="기업교육1팀"/>
    <s v="김도엽"/>
    <s v="기업교육1팀"/>
    <x v="7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933"/>
    <m/>
    <m/>
    <s v="기업교육1팀"/>
    <s v="김도엽"/>
    <s v="기업교육1팀"/>
    <x v="7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4"/>
    <m/>
    <m/>
    <s v="기업교육1팀"/>
    <s v="김도엽"/>
    <s v="기업교육1팀"/>
    <x v="7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35"/>
    <m/>
    <m/>
    <m/>
    <m/>
    <s v="기업교육1팀"/>
    <x v="7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936"/>
    <m/>
    <m/>
    <s v="기업교육1팀"/>
    <s v="김도엽"/>
    <s v="기업교육1팀"/>
    <x v="7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7"/>
    <m/>
    <m/>
    <m/>
    <m/>
    <s v="기업교육1팀"/>
    <x v="7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938"/>
    <m/>
    <m/>
    <s v="기업교육1팀"/>
    <s v="김도엽"/>
    <s v="기업교육1팀"/>
    <x v="7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45000000"/>
    <n v="50000000"/>
    <n v="-5000000"/>
    <m/>
    <m/>
    <m/>
    <m/>
    <m/>
    <m/>
    <m/>
    <m/>
    <m/>
    <m/>
    <m/>
    <m/>
    <m/>
    <n v="23000000"/>
    <s v="일부 비용 조정"/>
    <m/>
    <m/>
    <m/>
    <m/>
    <m/>
    <m/>
    <n v="22000000"/>
    <m/>
    <m/>
    <m/>
    <m/>
    <m/>
  </r>
  <r>
    <n v="939"/>
    <m/>
    <m/>
    <s v="기업교육1팀"/>
    <s v="김도엽"/>
    <s v="기업교육1팀"/>
    <x v="7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940"/>
    <m/>
    <m/>
    <s v="기업교육1팀"/>
    <s v="김도엽"/>
    <s v="기업교육1팀"/>
    <x v="7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941"/>
    <m/>
    <m/>
    <s v="기업교육1팀"/>
    <s v="김도엽"/>
    <s v="기업교육1팀"/>
    <x v="7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942"/>
    <m/>
    <m/>
    <s v="기업교육1팀"/>
    <s v="김도엽"/>
    <s v="기업교육1팀"/>
    <x v="7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4"/>
    <m/>
    <m/>
    <s v="기업교육1팀"/>
    <s v="김도엽"/>
    <s v="기업교육1팀"/>
    <x v="7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45"/>
    <m/>
    <m/>
    <s v="기업교육1팀"/>
    <s v="김도엽"/>
    <s v="기업교육1팀"/>
    <x v="7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7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47"/>
    <m/>
    <m/>
    <s v="기업교육1팀"/>
    <s v="김도엽"/>
    <s v="기업교육1팀"/>
    <x v="7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48"/>
    <m/>
    <m/>
    <s v="기업교육1팀"/>
    <s v="김도엽"/>
    <s v="기업교육1팀"/>
    <x v="7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7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s v="기업교육1팀"/>
    <s v="김도엽"/>
    <s v="기업교육1팀"/>
    <x v="7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m/>
    <m/>
    <m/>
    <m/>
    <n v="500000"/>
    <m/>
    <n v="500000"/>
    <m/>
    <n v="500000"/>
    <m/>
    <n v="500000"/>
    <m/>
    <m/>
    <m/>
    <m/>
    <m/>
    <m/>
    <m/>
  </r>
  <r>
    <n v="951"/>
    <m/>
    <m/>
    <s v="기업교육1팀"/>
    <s v="김도엽"/>
    <s v="기업교육1팀"/>
    <x v="7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7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953"/>
    <m/>
    <m/>
    <m/>
    <m/>
    <s v="기업교육1팀"/>
    <x v="7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7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7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6"/>
    <m/>
    <m/>
    <s v="기업교육1팀"/>
    <s v="김도엽"/>
    <s v="기업교육1팀"/>
    <x v="7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7"/>
    <m/>
    <m/>
    <s v="기업교육1팀"/>
    <s v="김도엽"/>
    <s v="기업교육1팀"/>
    <x v="7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8"/>
    <m/>
    <m/>
    <s v="기업교육1팀"/>
    <s v="김도엽"/>
    <s v="기업교육1팀"/>
    <x v="7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959"/>
    <m/>
    <m/>
    <s v="기업교육1팀"/>
    <s v="김도엽"/>
    <s v="기업교육1팀"/>
    <x v="7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7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7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7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3"/>
    <m/>
    <m/>
    <m/>
    <m/>
    <s v="기업교육1팀"/>
    <x v="7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64"/>
    <m/>
    <m/>
    <s v="기업교육1팀"/>
    <s v="이재성"/>
    <s v="기업교육1팀"/>
    <x v="7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5"/>
    <m/>
    <m/>
    <s v="기업교육1팀"/>
    <s v="김신정"/>
    <s v="기업교육1팀"/>
    <x v="8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966"/>
    <m/>
    <m/>
    <m/>
    <m/>
    <s v="기업교육1팀"/>
    <x v="8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7"/>
    <m/>
    <m/>
    <s v="기업교육1팀"/>
    <s v="김신정"/>
    <s v="기업교육1팀"/>
    <x v="8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968"/>
    <m/>
    <m/>
    <s v="기업교육1팀"/>
    <s v="김신정"/>
    <s v="기업교육1팀"/>
    <x v="8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969"/>
    <m/>
    <m/>
    <s v="기업교육1팀"/>
    <s v="김신정"/>
    <s v="기업교육1팀"/>
    <x v="8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970"/>
    <m/>
    <m/>
    <s v="기업교육1팀"/>
    <s v="김신정"/>
    <s v="기업교육1팀"/>
    <x v="8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971"/>
    <m/>
    <m/>
    <s v="기업교육1팀"/>
    <s v="김신정"/>
    <s v="기업교육1팀"/>
    <x v="8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2"/>
    <m/>
    <m/>
    <s v="기업교육1팀"/>
    <s v="김신정"/>
    <s v="기업교육1팀"/>
    <x v="8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973"/>
    <m/>
    <m/>
    <s v="기업교육1팀"/>
    <s v="김신정"/>
    <s v="기업교육1팀"/>
    <x v="8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974"/>
    <m/>
    <m/>
    <s v="기업교육1팀"/>
    <s v="김신정"/>
    <s v="기업교육1팀"/>
    <x v="8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975"/>
    <m/>
    <m/>
    <s v="기업교육1팀"/>
    <s v="김신정"/>
    <s v="기업교육1팀"/>
    <x v="8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976"/>
    <m/>
    <m/>
    <s v="기업교육1팀"/>
    <s v="김신정"/>
    <s v="기업교육1팀"/>
    <x v="8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977"/>
    <m/>
    <m/>
    <s v="기업교육1팀"/>
    <s v="김신정"/>
    <s v="기업교육1팀"/>
    <x v="8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8"/>
    <m/>
    <m/>
    <s v="기업교육1팀"/>
    <s v="김신정"/>
    <s v="기업교육1팀"/>
    <x v="8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신정"/>
    <s v="기업교육1팀"/>
    <x v="8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980"/>
    <m/>
    <m/>
    <s v="기업교육1팀"/>
    <s v="김신정"/>
    <s v="기업교육1팀"/>
    <x v="8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1"/>
    <m/>
    <m/>
    <s v="기업교육1팀"/>
    <s v="김신정"/>
    <s v="기업교육1팀"/>
    <x v="8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신정"/>
    <s v="기업교육1팀"/>
    <x v="8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983"/>
    <m/>
    <m/>
    <s v="기업교육1팀"/>
    <s v="김신정"/>
    <s v="기업교육1팀"/>
    <x v="8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984"/>
    <m/>
    <m/>
    <s v="기업교육1팀"/>
    <s v="김신정"/>
    <s v="기업교육1팀"/>
    <x v="8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985"/>
    <m/>
    <m/>
    <s v="기업교육1팀"/>
    <s v="김신정"/>
    <s v="기업교육1팀"/>
    <x v="8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86"/>
    <m/>
    <m/>
    <s v="기업교육1팀"/>
    <s v="김신정"/>
    <s v="기업교육1팀"/>
    <x v="8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87"/>
    <m/>
    <m/>
    <s v="기업교육1팀"/>
    <s v="김신정"/>
    <s v="기업교육1팀"/>
    <x v="8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988"/>
    <m/>
    <m/>
    <s v="기업교육1팀"/>
    <s v="김신정"/>
    <s v="기업교육1팀"/>
    <x v="8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신정"/>
    <s v="기업교육1팀"/>
    <x v="8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990"/>
    <m/>
    <m/>
    <s v="기업교육1팀"/>
    <s v="김신정"/>
    <s v="기업교육1팀"/>
    <x v="8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91"/>
    <m/>
    <m/>
    <s v="기업교육1팀"/>
    <s v="김신정"/>
    <s v="기업교육1팀"/>
    <x v="8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92"/>
    <m/>
    <m/>
    <s v="기업교육1팀"/>
    <s v="김신정"/>
    <s v="기업교육1팀"/>
    <x v="8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93"/>
    <m/>
    <m/>
    <s v="기업교육1팀"/>
    <s v="김신정"/>
    <s v="기업교육1팀"/>
    <x v="8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94"/>
    <m/>
    <m/>
    <s v="기업교육1팀"/>
    <s v="황동현"/>
    <s v="기업교육1팀"/>
    <x v="8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5"/>
    <m/>
    <m/>
    <s v="기업교육1팀"/>
    <s v="김신정"/>
    <s v="기업교육1팀"/>
    <x v="8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996"/>
    <m/>
    <m/>
    <m/>
    <m/>
    <s v="기업교육1팀"/>
    <x v="8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7"/>
    <m/>
    <m/>
    <s v="기업교육1팀"/>
    <s v="황동현"/>
    <s v="기업교육1팀"/>
    <x v="8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8"/>
    <m/>
    <m/>
    <m/>
    <m/>
    <s v="기업교육1팀"/>
    <x v="8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신정"/>
    <s v="기업교육1팀"/>
    <x v="8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신정"/>
    <s v="기업교육1팀"/>
    <x v="8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001"/>
    <m/>
    <m/>
    <s v="기업교육1팀"/>
    <s v="김신정"/>
    <s v="기업교육1팀"/>
    <x v="8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1002"/>
    <m/>
    <m/>
    <s v="기업교육1팀"/>
    <s v="김신정"/>
    <s v="기업교육1팀"/>
    <x v="8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1003"/>
    <m/>
    <m/>
    <s v="기업교육1팀"/>
    <s v="김신정"/>
    <s v="기업교육1팀"/>
    <x v="8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신정"/>
    <s v="기업교육1팀"/>
    <x v="8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1006"/>
    <m/>
    <m/>
    <s v="기업교육1팀"/>
    <s v="김신정"/>
    <s v="기업교육1팀"/>
    <x v="8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1007"/>
    <m/>
    <m/>
    <s v="기업교육1팀"/>
    <s v="김신정"/>
    <s v="기업교육1팀"/>
    <x v="8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1008"/>
    <m/>
    <m/>
    <s v="기업교육1팀"/>
    <s v="김신정"/>
    <s v="기업교육1팀"/>
    <x v="8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009"/>
    <m/>
    <m/>
    <s v="기업교육1팀"/>
    <s v="김신정"/>
    <s v="기업교육1팀"/>
    <x v="8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1010"/>
    <m/>
    <m/>
    <s v="기업교육1팀"/>
    <s v="김신정"/>
    <s v="기업교육1팀"/>
    <x v="8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1011"/>
    <m/>
    <m/>
    <s v="기업교육1팀"/>
    <s v="김신정"/>
    <s v="기업교육1팀"/>
    <x v="8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1012"/>
    <m/>
    <m/>
    <s v="기업교육1팀"/>
    <s v="김신정"/>
    <s v="기업교육1팀"/>
    <x v="8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1013"/>
    <m/>
    <m/>
    <s v="기업교육1팀"/>
    <s v="김신정"/>
    <s v="기업교육1팀"/>
    <x v="8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014"/>
    <m/>
    <m/>
    <s v="기업교육1팀"/>
    <s v="김신정"/>
    <s v="기업교육1팀"/>
    <x v="8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1015"/>
    <m/>
    <m/>
    <s v="기업교육1팀"/>
    <s v="김신정"/>
    <s v="기업교육1팀"/>
    <x v="8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016"/>
    <m/>
    <m/>
    <s v="기업교육1팀"/>
    <s v="김신정"/>
    <s v="기업교육1팀"/>
    <x v="8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1017"/>
    <m/>
    <m/>
    <s v="기업교육1팀"/>
    <s v="김신정"/>
    <s v="기업교육1팀"/>
    <x v="8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1018"/>
    <m/>
    <m/>
    <m/>
    <m/>
    <s v="기업교육1팀"/>
    <x v="8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9"/>
    <m/>
    <m/>
    <s v="기업교육1팀"/>
    <s v="김신정"/>
    <s v="기업교육1팀"/>
    <x v="8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1020"/>
    <m/>
    <m/>
    <s v="기업교육1팀"/>
    <s v="김신정"/>
    <s v="기업교육1팀"/>
    <x v="8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1021"/>
    <m/>
    <m/>
    <s v="기업교육1팀"/>
    <s v="김신정"/>
    <s v="기업교육1팀"/>
    <x v="8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1022"/>
    <m/>
    <m/>
    <s v="기업교육1팀"/>
    <s v="김신정"/>
    <s v="기업교육1팀"/>
    <x v="8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1023"/>
    <m/>
    <m/>
    <s v="기업교육1팀"/>
    <s v="김신정"/>
    <s v="기업교육1팀"/>
    <x v="8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1024"/>
    <m/>
    <m/>
    <s v="기업교육1팀"/>
    <s v="김신정"/>
    <s v="기업교육1팀"/>
    <x v="8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1025"/>
    <m/>
    <m/>
    <s v="기업교육1팀"/>
    <s v="김신정"/>
    <s v="기업교육1팀"/>
    <x v="8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1026"/>
    <m/>
    <m/>
    <s v="기업교육1팀"/>
    <s v="김신정"/>
    <s v="기업교육1팀"/>
    <x v="8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1027"/>
    <m/>
    <m/>
    <s v="기업교육1팀"/>
    <s v="김신정"/>
    <s v="기업교육1팀"/>
    <x v="8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1028"/>
    <m/>
    <m/>
    <s v="기업교육1팀"/>
    <s v="김신정"/>
    <s v="기업교육1팀"/>
    <x v="8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1029"/>
    <m/>
    <m/>
    <s v="기업교육1팀"/>
    <s v="황동현"/>
    <s v="기업교육1팀"/>
    <x v="8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0"/>
    <m/>
    <m/>
    <s v="기업교육1팀"/>
    <s v="황동현"/>
    <s v="기업교육1팀"/>
    <x v="8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이재성"/>
    <s v="기업교육1팀"/>
    <x v="8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1032"/>
    <m/>
    <m/>
    <s v="기업교육1팀"/>
    <s v="이재성"/>
    <s v="기업교육1팀"/>
    <x v="8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3"/>
    <m/>
    <m/>
    <s v="기업교육1팀"/>
    <s v="이재성"/>
    <s v="기업교육1팀"/>
    <x v="8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1034"/>
    <m/>
    <m/>
    <s v="기업교육1팀"/>
    <s v="이재성"/>
    <s v="기업교육1팀"/>
    <x v="8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35"/>
    <m/>
    <m/>
    <s v="기업교육1팀"/>
    <s v="이재성"/>
    <s v="기업교육1팀"/>
    <x v="8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신정"/>
    <s v="기업교육1팀"/>
    <x v="8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1037"/>
    <m/>
    <m/>
    <s v="기업교육1팀"/>
    <s v="김신정"/>
    <s v="기업교육1팀"/>
    <x v="8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신정"/>
    <s v="기업교육1팀"/>
    <x v="8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1039"/>
    <m/>
    <m/>
    <s v="기업교육1팀"/>
    <s v="김신정"/>
    <s v="기업교육1팀"/>
    <x v="8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황동현"/>
    <s v="기업교육1팀"/>
    <x v="8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1041"/>
    <m/>
    <m/>
    <m/>
    <m/>
    <s v="기업교육1팀"/>
    <x v="8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신정"/>
    <s v="기업교육1팀"/>
    <x v="8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1043"/>
    <m/>
    <m/>
    <m/>
    <m/>
    <s v="기업교육1팀"/>
    <x v="8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4"/>
    <m/>
    <m/>
    <s v="기업교육1팀"/>
    <s v="김신정"/>
    <s v="기업교육1팀"/>
    <x v="8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045"/>
    <m/>
    <m/>
    <m/>
    <m/>
    <s v="기업교육1팀"/>
    <x v="8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6"/>
    <m/>
    <m/>
    <s v="기업교육1팀"/>
    <s v="김신정"/>
    <s v="기업교육1팀"/>
    <x v="8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1047"/>
    <m/>
    <m/>
    <s v="기업교육1팀"/>
    <s v="김신정"/>
    <s v="기업교육1팀"/>
    <x v="8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1048"/>
    <m/>
    <m/>
    <s v="기업교육1팀"/>
    <s v="김신정"/>
    <s v="기업교육1팀"/>
    <x v="8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049"/>
    <m/>
    <m/>
    <s v="기업교육1팀"/>
    <s v="김신정"/>
    <s v="기업교육1팀"/>
    <x v="8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1050"/>
    <m/>
    <m/>
    <s v="기업교육1팀"/>
    <s v="강건모"/>
    <s v="기업교육1팀"/>
    <x v="8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1051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52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53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4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15" type="button" dataOnly="0" labelOnly="1" outline="0"/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69">
      <pivotArea outline="0" collapsedLevelsAreSubtotals="1" fieldPosition="0"/>
    </format>
    <format dxfId="68">
      <pivotArea field="15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fieldPosition="0">
        <references count="1">
          <reference field="15" count="0"/>
        </references>
      </pivotArea>
    </format>
    <format dxfId="65">
      <pivotArea dataOnly="0" labelOnly="1" grandCol="1" outline="0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type="origin" dataOnly="0" labelOnly="1" outline="0" fieldPosition="0"/>
    </format>
    <format dxfId="61">
      <pivotArea field="15" type="button" dataOnly="0" labelOnly="1" outline="0" axis="axisCol" fieldPosition="0"/>
    </format>
    <format dxfId="60">
      <pivotArea type="topRight" dataOnly="0" labelOnly="1" outline="0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0"/>
        </references>
      </pivotArea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15" count="0"/>
        </references>
      </pivotArea>
    </format>
    <format dxfId="5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77">
      <pivotArea outline="0" collapsedLevelsAreSubtotals="1" fieldPosition="0"/>
    </format>
    <format dxfId="7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15" type="button" dataOnly="0" labelOnly="1" outline="0" axis="axisRow" fieldPosition="0"/>
    </format>
    <format dxfId="72">
      <pivotArea dataOnly="0" labelOnly="1" fieldPosition="0">
        <references count="1">
          <reference field="15" count="0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25" type="button" dataOnly="0" labelOnly="1" outline="0" axis="axisRow" fieldPosition="0"/>
    </format>
    <format dxfId="16">
      <pivotArea dataOnly="0" labelOnly="1" fieldPosition="0">
        <references count="1">
          <reference field="25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5" type="button" dataOnly="0" labelOnly="1" outline="0" axis="axisRow" fieldPosition="0"/>
    </format>
    <format dxfId="10">
      <pivotArea dataOnly="0" labelOnly="1" fieldPosition="0">
        <references count="1">
          <reference field="25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5" type="button" dataOnly="0" labelOnly="1" outline="0" axis="axisRow" fieldPosition="0"/>
    </format>
    <format dxfId="4">
      <pivotArea dataOnly="0" labelOnly="1" fieldPosition="0">
        <references count="1">
          <reference field="25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2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47">
      <pivotArea grandRow="1" outline="0" collapsedLevelsAreSubtotals="1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field="25" type="button" dataOnly="0" labelOnly="1" outline="0" axis="axisCol" fieldPosition="0"/>
    </format>
    <format dxfId="42">
      <pivotArea type="topRight" dataOnly="0" labelOnly="1" outline="0" fieldPosition="0"/>
    </format>
    <format dxfId="41">
      <pivotArea dataOnly="0" labelOnly="1" grandRow="1" outline="0" fieldPosition="0"/>
    </format>
    <format dxfId="40">
      <pivotArea dataOnly="0" labelOnly="1" fieldPosition="0">
        <references count="1">
          <reference field="25" count="0"/>
        </references>
      </pivotArea>
    </format>
    <format dxfId="39">
      <pivotArea dataOnly="0" labelOnly="1" grandCol="1" outline="0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25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grandRow="1" outline="0" fieldPosition="0"/>
    </format>
    <format dxfId="32">
      <pivotArea dataOnly="0" labelOnly="1" fieldPosition="0">
        <references count="1">
          <reference field="25" count="0"/>
        </references>
      </pivotArea>
    </format>
    <format dxfId="31">
      <pivotArea dataOnly="0" labelOnly="1" grandCol="1" outline="0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25" type="button" dataOnly="0" labelOnly="1" outline="0" axis="axisCol" fieldPosition="0"/>
    </format>
    <format dxfId="26">
      <pivotArea type="topRight" dataOnly="0" labelOnly="1" outline="0" fieldPosition="0"/>
    </format>
    <format dxfId="25">
      <pivotArea dataOnly="0" labelOnly="1" grandRow="1" outline="0" fieldPosition="0"/>
    </format>
    <format dxfId="24">
      <pivotArea dataOnly="0" labelOnly="1" fieldPosition="0">
        <references count="1">
          <reference field="25" count="0"/>
        </references>
      </pivotArea>
    </format>
    <format dxfId="23">
      <pivotArea dataOnly="0" labelOnly="1" grandCol="1" outline="0" fieldPosition="0"/>
    </format>
    <format dxfId="22">
      <pivotArea outline="0" collapsedLevelsAreSubtotals="1" fieldPosition="0"/>
    </format>
    <format dxfId="21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BH1076"/>
  <sheetViews>
    <sheetView showGridLines="0" tabSelected="1" topLeftCell="A17" zoomScale="80" zoomScaleNormal="80" zoomScaleSheetLayoutView="85" workbookViewId="0">
      <selection activeCell="G34" sqref="G34"/>
    </sheetView>
  </sheetViews>
  <sheetFormatPr defaultColWidth="8.75" defaultRowHeight="16.5" outlineLevelRow="1" outlineLevelCol="1"/>
  <cols>
    <col min="1" max="1" width="10.625" style="195" customWidth="1"/>
    <col min="2" max="3" width="11.75" style="196" hidden="1" customWidth="1" outlineLevel="1"/>
    <col min="4" max="5" width="11.75" style="225" hidden="1" customWidth="1" outlineLevel="1"/>
    <col min="6" max="6" width="11.75" style="225" customWidth="1" collapsed="1"/>
    <col min="7" max="7" width="12.625" style="225" customWidth="1"/>
    <col min="8" max="8" width="12.625" style="225" hidden="1" customWidth="1" outlineLevel="1"/>
    <col min="9" max="9" width="12.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5" style="197" hidden="1" customWidth="1" outlineLevel="1"/>
    <col min="17" max="18" width="31.25" style="197" hidden="1" customWidth="1" outlineLevel="1"/>
    <col min="19" max="19" width="31.25" style="197" customWidth="1" collapsed="1"/>
    <col min="20" max="20" width="24.625" style="197" hidden="1" customWidth="1" outlineLevel="1"/>
    <col min="21" max="22" width="18.125" style="199" hidden="1" customWidth="1" outlineLevel="1"/>
    <col min="23" max="23" width="18.125" style="199" customWidth="1" collapsed="1"/>
    <col min="24" max="24" width="18.125" style="199" hidden="1" customWidth="1" outlineLevel="1"/>
    <col min="25" max="25" width="15.875" style="197" hidden="1" customWidth="1" outlineLevel="1"/>
    <col min="26" max="26" width="16" style="197" customWidth="1" collapsed="1"/>
    <col min="27" max="28" width="16" style="197" hidden="1" customWidth="1" outlineLevel="1"/>
    <col min="29" max="29" width="14.75" style="201" customWidth="1" collapsed="1"/>
    <col min="30" max="31" width="14.75" style="201" customWidth="1"/>
    <col min="32" max="32" width="15" style="202" hidden="1" customWidth="1" outlineLevel="1"/>
    <col min="33" max="33" width="15" style="202" customWidth="1" collapsed="1"/>
    <col min="34" max="35" width="15" style="202" hidden="1" customWidth="1" outlineLevel="1"/>
    <col min="36" max="36" width="15" style="202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75" style="204"/>
    <col min="60" max="16384" width="8.75" style="205"/>
  </cols>
  <sheetData>
    <row r="1" spans="4:37" ht="27.6" hidden="1" customHeight="1" outlineLevel="1">
      <c r="D1" s="291" t="s">
        <v>482</v>
      </c>
      <c r="E1" s="291"/>
      <c r="F1" s="291"/>
      <c r="G1" s="291"/>
      <c r="H1" s="291"/>
      <c r="I1" s="291"/>
      <c r="J1" s="291"/>
      <c r="K1" s="291"/>
      <c r="L1" s="291"/>
      <c r="M1" s="291"/>
      <c r="N1" s="197"/>
      <c r="O1" s="198"/>
      <c r="Y1" s="200"/>
      <c r="Z1" s="200"/>
      <c r="AA1" s="200"/>
      <c r="AB1" s="200"/>
    </row>
    <row r="2" spans="4:37" ht="22.15" hidden="1" customHeight="1" outlineLevel="1">
      <c r="D2" s="292" t="s">
        <v>694</v>
      </c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4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15" hidden="1" customHeight="1" outlineLevel="1">
      <c r="D3" s="295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  <c r="P3" s="296"/>
      <c r="Q3" s="296"/>
      <c r="R3" s="297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 t="shared" ref="AC3:AC13" si="0">SUMIFS($AC$22:$AC$2005,$Z$22:$Z$2005,"01 확정",$G$22:$G$2005,W3)</f>
        <v>4710213687.5</v>
      </c>
      <c r="AD3" s="213">
        <f t="shared" ref="AD3:AD12" si="1">AC3-Z3</f>
        <v>45407080</v>
      </c>
      <c r="AE3" s="214" t="s">
        <v>1048</v>
      </c>
      <c r="AH3" s="215"/>
      <c r="AK3" s="215"/>
    </row>
    <row r="4" spans="4:37" ht="22.15" hidden="1" customHeight="1" outlineLevel="1">
      <c r="D4" s="295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7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 t="shared" si="0"/>
        <v>4001510549</v>
      </c>
      <c r="AD4" s="213">
        <f t="shared" si="1"/>
        <v>0</v>
      </c>
      <c r="AE4" s="214" t="s">
        <v>1042</v>
      </c>
      <c r="AH4" s="215"/>
      <c r="AK4" s="215"/>
    </row>
    <row r="5" spans="4:37" ht="22.15" hidden="1" customHeight="1" outlineLevel="1">
      <c r="D5" s="295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7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 t="shared" si="0"/>
        <v>4030790930</v>
      </c>
      <c r="AD5" s="213">
        <f t="shared" si="1"/>
        <v>9000000</v>
      </c>
      <c r="AE5" s="214" t="s">
        <v>1057</v>
      </c>
      <c r="AH5" s="215"/>
      <c r="AK5" s="215"/>
    </row>
    <row r="6" spans="4:37" ht="22.15" hidden="1" customHeight="1" outlineLevel="1">
      <c r="D6" s="295"/>
      <c r="E6" s="296"/>
      <c r="F6" s="296"/>
      <c r="G6" s="296"/>
      <c r="H6" s="296"/>
      <c r="I6" s="296"/>
      <c r="J6" s="296"/>
      <c r="K6" s="296"/>
      <c r="L6" s="296"/>
      <c r="M6" s="296"/>
      <c r="N6" s="296"/>
      <c r="O6" s="296"/>
      <c r="P6" s="296"/>
      <c r="Q6" s="296"/>
      <c r="R6" s="297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 t="shared" si="0"/>
        <v>1898315058</v>
      </c>
      <c r="AD6" s="213">
        <f t="shared" si="1"/>
        <v>13541100</v>
      </c>
      <c r="AE6" s="214" t="s">
        <v>1054</v>
      </c>
      <c r="AH6" s="215"/>
      <c r="AK6" s="215"/>
    </row>
    <row r="7" spans="4:37" ht="22.15" hidden="1" customHeight="1" outlineLevel="1">
      <c r="D7" s="295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7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 t="shared" si="0"/>
        <v>1659753523</v>
      </c>
      <c r="AD7" s="213">
        <f t="shared" si="1"/>
        <v>2000000</v>
      </c>
      <c r="AE7" s="214" t="s">
        <v>1055</v>
      </c>
      <c r="AH7" s="215"/>
      <c r="AK7" s="215"/>
    </row>
    <row r="8" spans="4:37" ht="22.15" hidden="1" customHeight="1" outlineLevel="1">
      <c r="D8" s="295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6"/>
      <c r="Q8" s="296"/>
      <c r="R8" s="297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 t="shared" si="0"/>
        <v>1200994226</v>
      </c>
      <c r="AD8" s="213">
        <f t="shared" si="1"/>
        <v>14196720</v>
      </c>
      <c r="AE8" s="214" t="s">
        <v>1041</v>
      </c>
      <c r="AH8" s="215"/>
      <c r="AK8" s="215"/>
    </row>
    <row r="9" spans="4:37" ht="22.15" hidden="1" customHeight="1" outlineLevel="1">
      <c r="D9" s="295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7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 t="shared" si="0"/>
        <v>1082195105</v>
      </c>
      <c r="AD9" s="213">
        <f t="shared" si="1"/>
        <v>0</v>
      </c>
      <c r="AE9" s="214" t="s">
        <v>1058</v>
      </c>
      <c r="AH9" s="215"/>
      <c r="AK9" s="215"/>
    </row>
    <row r="10" spans="4:37" ht="22.15" hidden="1" customHeight="1" outlineLevel="1">
      <c r="D10" s="295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7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 t="shared" si="0"/>
        <v>3125440945</v>
      </c>
      <c r="AD10" s="213">
        <f t="shared" si="1"/>
        <v>-8925000</v>
      </c>
      <c r="AE10" s="214" t="s">
        <v>1046</v>
      </c>
      <c r="AH10" s="215"/>
      <c r="AK10" s="215"/>
    </row>
    <row r="11" spans="4:37" ht="22.15" hidden="1" customHeight="1" outlineLevel="1">
      <c r="D11" s="295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7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 t="shared" si="0"/>
        <v>683287785</v>
      </c>
      <c r="AD11" s="213">
        <f t="shared" si="1"/>
        <v>0</v>
      </c>
      <c r="AE11" s="214" t="s">
        <v>1060</v>
      </c>
      <c r="AH11" s="215"/>
      <c r="AK11" s="215"/>
    </row>
    <row r="12" spans="4:37" ht="22.15" hidden="1" customHeight="1" outlineLevel="1">
      <c r="D12" s="295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7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 t="shared" si="0"/>
        <v>2457883107</v>
      </c>
      <c r="AD12" s="213">
        <f t="shared" si="1"/>
        <v>0</v>
      </c>
      <c r="AE12" s="214" t="s">
        <v>1059</v>
      </c>
      <c r="AH12" s="215"/>
      <c r="AK12" s="215"/>
    </row>
    <row r="13" spans="4:37" ht="22.15" hidden="1" customHeight="1" outlineLevel="1">
      <c r="D13" s="295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7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 t="shared" si="0"/>
        <v>0</v>
      </c>
      <c r="AD13" s="213"/>
      <c r="AE13" s="214"/>
      <c r="AH13" s="215"/>
      <c r="AK13" s="209"/>
    </row>
    <row r="14" spans="4:37" ht="22.15" hidden="1" customHeight="1" outlineLevel="1">
      <c r="D14" s="298"/>
      <c r="E14" s="299"/>
      <c r="F14" s="299"/>
      <c r="G14" s="299"/>
      <c r="H14" s="299"/>
      <c r="I14" s="299"/>
      <c r="J14" s="299"/>
      <c r="K14" s="299"/>
      <c r="L14" s="299"/>
      <c r="M14" s="299"/>
      <c r="N14" s="299"/>
      <c r="O14" s="299"/>
      <c r="P14" s="299"/>
      <c r="Q14" s="299"/>
      <c r="R14" s="300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15" hidden="1" customHeight="1" outlineLevel="1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24850384915.5</v>
      </c>
      <c r="AD15" s="223">
        <f>SUM(AD3:AD13)</f>
        <v>75219900</v>
      </c>
      <c r="AE15" s="224"/>
      <c r="AH15" s="220"/>
      <c r="AK15" s="220"/>
    </row>
    <row r="16" spans="4:37" ht="17.45" hidden="1" customHeight="1" outlineLevel="1"/>
    <row r="17" spans="1:60" ht="20.45" customHeight="1" collapsed="1"/>
    <row r="18" spans="1:60">
      <c r="U18" s="226"/>
      <c r="V18" s="226"/>
      <c r="W18" s="226"/>
      <c r="X18" s="226"/>
    </row>
    <row r="19" spans="1:60">
      <c r="V19" s="301"/>
      <c r="W19" s="227"/>
      <c r="X19" s="227"/>
    </row>
    <row r="20" spans="1:60" ht="17.25">
      <c r="N20" s="303" t="s">
        <v>623</v>
      </c>
      <c r="O20" s="303"/>
      <c r="V20" s="302"/>
      <c r="W20" s="228" t="s">
        <v>984</v>
      </c>
      <c r="X20" s="228" t="s">
        <v>987</v>
      </c>
      <c r="AA20" s="282" t="s">
        <v>1009</v>
      </c>
      <c r="AB20" s="282" t="s">
        <v>1012</v>
      </c>
    </row>
    <row r="21" spans="1:60" ht="19.899999999999999" customHeight="1" thickBot="1">
      <c r="A21" s="279">
        <f>SUBTOTAL(3,A23:A10005)</f>
        <v>1054</v>
      </c>
      <c r="H21" s="282" t="s">
        <v>1009</v>
      </c>
      <c r="J21" s="229"/>
      <c r="K21" s="230"/>
      <c r="L21" s="282" t="s">
        <v>1009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21209544803.818184</v>
      </c>
      <c r="V21" s="232">
        <f>SUBTOTAL(9,V23:V1048576)</f>
        <v>23844285024.181816</v>
      </c>
      <c r="W21" s="232">
        <f>SUBTOTAL(9,W23:W1048576)</f>
        <v>27083689376</v>
      </c>
      <c r="X21" s="232">
        <f>SUBTOTAL(9,X23:X1048576)</f>
        <v>1817068625</v>
      </c>
      <c r="Y21" s="233"/>
      <c r="Z21" s="234" t="s">
        <v>3</v>
      </c>
      <c r="AA21" s="285"/>
      <c r="AB21" s="285"/>
      <c r="AC21" s="235">
        <f t="shared" ref="AC21:BE21" si="2">SUBTOTAL(9,AC23:AC1048576)</f>
        <v>37799564915.5</v>
      </c>
      <c r="AD21" s="235">
        <f t="shared" si="2"/>
        <v>37943345015.5</v>
      </c>
      <c r="AE21" s="235">
        <f t="shared" si="2"/>
        <v>-143780100</v>
      </c>
      <c r="AF21" s="235">
        <f t="shared" si="2"/>
        <v>852234182.5</v>
      </c>
      <c r="AG21" s="236">
        <f t="shared" si="2"/>
        <v>990760965</v>
      </c>
      <c r="AH21" s="237">
        <f t="shared" si="2"/>
        <v>0</v>
      </c>
      <c r="AI21" s="237">
        <f t="shared" si="2"/>
        <v>2950979637</v>
      </c>
      <c r="AJ21" s="236">
        <f t="shared" si="2"/>
        <v>1680107334</v>
      </c>
      <c r="AK21" s="237">
        <f t="shared" si="2"/>
        <v>0</v>
      </c>
      <c r="AL21" s="232">
        <f t="shared" si="2"/>
        <v>3221904005</v>
      </c>
      <c r="AM21" s="288">
        <f t="shared" si="2"/>
        <v>1939013064</v>
      </c>
      <c r="AN21" s="232">
        <f t="shared" si="2"/>
        <v>0</v>
      </c>
      <c r="AO21" s="232">
        <f t="shared" si="2"/>
        <v>3223361943</v>
      </c>
      <c r="AP21" s="232">
        <f t="shared" si="2"/>
        <v>0</v>
      </c>
      <c r="AQ21" s="232">
        <f t="shared" si="2"/>
        <v>5163072784</v>
      </c>
      <c r="AR21" s="232">
        <f t="shared" si="2"/>
        <v>0</v>
      </c>
      <c r="AS21" s="232">
        <f t="shared" si="2"/>
        <v>2923522800</v>
      </c>
      <c r="AT21" s="232">
        <f t="shared" si="2"/>
        <v>0</v>
      </c>
      <c r="AU21" s="232">
        <f t="shared" si="2"/>
        <v>3986883025</v>
      </c>
      <c r="AV21" s="232">
        <f t="shared" si="2"/>
        <v>0</v>
      </c>
      <c r="AW21" s="232">
        <f t="shared" si="2"/>
        <v>2499932500</v>
      </c>
      <c r="AX21" s="232">
        <f t="shared" si="2"/>
        <v>0</v>
      </c>
      <c r="AY21" s="232">
        <f t="shared" si="2"/>
        <v>3063206645</v>
      </c>
      <c r="AZ21" s="232">
        <f t="shared" si="2"/>
        <v>0</v>
      </c>
      <c r="BA21" s="232">
        <f t="shared" si="2"/>
        <v>3780313775</v>
      </c>
      <c r="BB21" s="232">
        <f t="shared" si="2"/>
        <v>0</v>
      </c>
      <c r="BC21" s="232">
        <f t="shared" si="2"/>
        <v>3478670110</v>
      </c>
      <c r="BD21" s="232">
        <f t="shared" si="2"/>
        <v>0</v>
      </c>
      <c r="BE21" s="232">
        <f t="shared" si="2"/>
        <v>5070719970.5</v>
      </c>
      <c r="BF21" s="232"/>
    </row>
    <row r="22" spans="1:60" s="259" customFormat="1" ht="34.5">
      <c r="A22" s="238" t="s">
        <v>993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1010</v>
      </c>
      <c r="I22" s="243" t="s">
        <v>734</v>
      </c>
      <c r="J22" s="244" t="s">
        <v>937</v>
      </c>
      <c r="K22" s="245" t="s">
        <v>950</v>
      </c>
      <c r="L22" s="284" t="s">
        <v>1011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986</v>
      </c>
      <c r="X22" s="252" t="s">
        <v>985</v>
      </c>
      <c r="Y22" s="253" t="s">
        <v>692</v>
      </c>
      <c r="Z22" s="254" t="s">
        <v>941</v>
      </c>
      <c r="AA22" s="286" t="s">
        <v>1013</v>
      </c>
      <c r="AB22" s="286" t="s">
        <v>1014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1031</v>
      </c>
      <c r="AH22" s="256" t="s">
        <v>807</v>
      </c>
      <c r="AI22" s="256" t="s">
        <v>322</v>
      </c>
      <c r="AJ22" s="257" t="s">
        <v>1030</v>
      </c>
      <c r="AK22" s="256" t="s">
        <v>807</v>
      </c>
      <c r="AL22" s="258" t="s">
        <v>323</v>
      </c>
      <c r="AM22" s="289" t="s">
        <v>1032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customHeight="1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 t="shared" ref="AC23:AC86" si="3">AG23+AJ23+AM23+AO23+AQ23+AS23+AU23+AW23+AY23+BA23+BC23+BE23</f>
        <v>31604920</v>
      </c>
      <c r="AD23" s="272">
        <v>32575640</v>
      </c>
      <c r="AE23" s="272">
        <f t="shared" ref="AE23:AE86" si="4">AC23-AD23</f>
        <v>-970720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2029280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customHeight="1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 t="shared" si="3"/>
        <v>35370000</v>
      </c>
      <c r="AD24" s="272">
        <v>28170000</v>
      </c>
      <c r="AE24" s="272">
        <f t="shared" si="4"/>
        <v>7200000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12320000</v>
      </c>
      <c r="AP24" s="275"/>
      <c r="AQ24" s="275">
        <v>9200000</v>
      </c>
      <c r="AR24" s="275"/>
      <c r="AS24" s="275"/>
      <c r="AT24" s="275"/>
      <c r="AU24" s="275"/>
      <c r="AV24" s="275"/>
      <c r="AW24" s="275"/>
      <c r="AX24" s="275"/>
      <c r="AY24" s="275"/>
      <c r="AZ24" s="275"/>
      <c r="BA24" s="275">
        <v>11000000</v>
      </c>
      <c r="BB24" s="275"/>
      <c r="BC24" s="275"/>
      <c r="BD24" s="275"/>
      <c r="BE24" s="275"/>
      <c r="BF24" s="275"/>
      <c r="BH24" s="277"/>
    </row>
    <row r="25" spans="1:60" ht="16.5" customHeight="1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 t="shared" si="3"/>
        <v>2293600</v>
      </c>
      <c r="AD25" s="272">
        <v>2293600</v>
      </c>
      <c r="AE25" s="272">
        <f t="shared" si="4"/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customHeight="1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 t="shared" si="3"/>
        <v>20300000</v>
      </c>
      <c r="AD26" s="272">
        <v>20300000</v>
      </c>
      <c r="AE26" s="272">
        <f t="shared" si="4"/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75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customHeight="1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 t="shared" si="3"/>
        <v>0</v>
      </c>
      <c r="AD27" s="272">
        <v>0</v>
      </c>
      <c r="AE27" s="272">
        <f t="shared" si="4"/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customHeight="1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 t="shared" si="3"/>
        <v>3169000</v>
      </c>
      <c r="AD28" s="272">
        <v>3169000</v>
      </c>
      <c r="AE28" s="272">
        <f t="shared" si="4"/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customHeight="1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 t="shared" si="3"/>
        <v>36069520</v>
      </c>
      <c r="AD29" s="272">
        <v>36069520</v>
      </c>
      <c r="AE29" s="272">
        <f t="shared" si="4"/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customHeight="1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 t="shared" si="3"/>
        <v>0</v>
      </c>
      <c r="AD30" s="272">
        <v>0</v>
      </c>
      <c r="AE30" s="272">
        <f t="shared" si="4"/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customHeight="1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 t="shared" si="3"/>
        <v>13150180</v>
      </c>
      <c r="AD31" s="272">
        <v>13150180</v>
      </c>
      <c r="AE31" s="272">
        <f t="shared" si="4"/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customHeight="1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 t="shared" si="3"/>
        <v>7201500</v>
      </c>
      <c r="AD32" s="272">
        <v>7201500</v>
      </c>
      <c r="AE32" s="272">
        <f t="shared" si="4"/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customHeight="1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 t="shared" si="3"/>
        <v>46360300</v>
      </c>
      <c r="AD33" s="272">
        <v>46360300</v>
      </c>
      <c r="AE33" s="272">
        <f t="shared" si="4"/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customHeight="1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 t="shared" si="3"/>
        <v>4000000</v>
      </c>
      <c r="AD34" s="272">
        <v>4000000</v>
      </c>
      <c r="AE34" s="272">
        <f t="shared" si="4"/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customHeight="1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 t="shared" si="3"/>
        <v>10134120</v>
      </c>
      <c r="AD35" s="272">
        <v>10134120</v>
      </c>
      <c r="AE35" s="272">
        <f t="shared" si="4"/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customHeight="1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 t="shared" si="3"/>
        <v>7291680</v>
      </c>
      <c r="AD36" s="272">
        <v>7291680</v>
      </c>
      <c r="AE36" s="272">
        <f t="shared" si="4"/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1047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customHeight="1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1037</v>
      </c>
      <c r="AA37" s="287"/>
      <c r="AB37" s="287"/>
      <c r="AC37" s="272">
        <f t="shared" si="3"/>
        <v>30221820</v>
      </c>
      <c r="AD37" s="272">
        <v>30221820</v>
      </c>
      <c r="AE37" s="272">
        <f t="shared" si="4"/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customHeight="1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 t="shared" si="3"/>
        <v>11200760</v>
      </c>
      <c r="AD38" s="272">
        <v>11200760</v>
      </c>
      <c r="AE38" s="272">
        <f t="shared" si="4"/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customHeight="1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 t="shared" si="3"/>
        <v>6357850</v>
      </c>
      <c r="AD39" s="272">
        <v>6357850</v>
      </c>
      <c r="AE39" s="272">
        <f t="shared" si="4"/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customHeight="1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 t="shared" si="3"/>
        <v>2100000</v>
      </c>
      <c r="AD40" s="272">
        <v>2100000</v>
      </c>
      <c r="AE40" s="272">
        <f t="shared" si="4"/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customHeight="1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 t="shared" si="3"/>
        <v>5638900</v>
      </c>
      <c r="AD41" s="272">
        <v>5638900</v>
      </c>
      <c r="AE41" s="272">
        <f t="shared" si="4"/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customHeight="1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1036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 t="shared" si="3"/>
        <v>94386280</v>
      </c>
      <c r="AD42" s="272">
        <v>92676280</v>
      </c>
      <c r="AE42" s="272">
        <f t="shared" si="4"/>
        <v>1710000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9882880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customHeight="1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 t="shared" si="3"/>
        <v>6000000</v>
      </c>
      <c r="AD43" s="272">
        <v>6000000</v>
      </c>
      <c r="AE43" s="272">
        <f t="shared" si="4"/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customHeight="1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 t="shared" si="3"/>
        <v>24130560</v>
      </c>
      <c r="AD44" s="272">
        <v>24130560</v>
      </c>
      <c r="AE44" s="272">
        <f t="shared" si="4"/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customHeight="1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 t="shared" si="3"/>
        <v>526507200</v>
      </c>
      <c r="AD45" s="272">
        <v>525857200</v>
      </c>
      <c r="AE45" s="272">
        <f t="shared" si="4"/>
        <v>650000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44652750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customHeight="1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 t="shared" si="3"/>
        <v>6000000</v>
      </c>
      <c r="AD46" s="272">
        <v>6000000</v>
      </c>
      <c r="AE46" s="272">
        <f t="shared" si="4"/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customHeight="1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 t="shared" si="3"/>
        <v>458248430</v>
      </c>
      <c r="AD47" s="272">
        <v>452748230</v>
      </c>
      <c r="AE47" s="272">
        <f t="shared" si="4"/>
        <v>5500200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40478210</v>
      </c>
      <c r="AP47" s="275"/>
      <c r="AQ47" s="275">
        <v>57898320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customHeight="1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 t="shared" si="3"/>
        <v>5000000</v>
      </c>
      <c r="AD48" s="272">
        <v>10000000</v>
      </c>
      <c r="AE48" s="272">
        <f t="shared" si="4"/>
        <v>-5000000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/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customHeight="1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 t="shared" si="3"/>
        <v>4736500</v>
      </c>
      <c r="AD49" s="272">
        <v>4560000</v>
      </c>
      <c r="AE49" s="272">
        <f t="shared" si="4"/>
        <v>176500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4736500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customHeight="1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 t="shared" si="3"/>
        <v>67660730</v>
      </c>
      <c r="AD50" s="272">
        <v>67199750</v>
      </c>
      <c r="AE50" s="272">
        <f t="shared" si="4"/>
        <v>460980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6100200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customHeight="1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 t="shared" si="3"/>
        <v>356000000</v>
      </c>
      <c r="AD51" s="272">
        <v>356000000</v>
      </c>
      <c r="AE51" s="272">
        <f t="shared" si="4"/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customHeight="1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 t="shared" si="3"/>
        <v>270000000</v>
      </c>
      <c r="AD52" s="272">
        <v>270000000</v>
      </c>
      <c r="AE52" s="272">
        <f t="shared" si="4"/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customHeight="1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 t="shared" si="3"/>
        <v>756000000</v>
      </c>
      <c r="AD53" s="272">
        <v>756000000</v>
      </c>
      <c r="AE53" s="272">
        <f t="shared" si="4"/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customHeight="1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 t="shared" si="3"/>
        <v>189000000</v>
      </c>
      <c r="AD54" s="272">
        <v>189000000</v>
      </c>
      <c r="AE54" s="272">
        <f t="shared" si="4"/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customHeight="1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 t="shared" si="3"/>
        <v>0</v>
      </c>
      <c r="AD55" s="272">
        <v>0</v>
      </c>
      <c r="AE55" s="272">
        <f t="shared" si="4"/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customHeight="1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 t="shared" si="3"/>
        <v>61264700</v>
      </c>
      <c r="AD56" s="272">
        <v>59996000</v>
      </c>
      <c r="AE56" s="272">
        <f t="shared" si="4"/>
        <v>1268700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5967000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customHeight="1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 t="shared" si="3"/>
        <v>0</v>
      </c>
      <c r="AD57" s="272">
        <v>0</v>
      </c>
      <c r="AE57" s="272">
        <f t="shared" si="4"/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customHeight="1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 t="shared" si="3"/>
        <v>13200000</v>
      </c>
      <c r="AD58" s="272">
        <v>13200000</v>
      </c>
      <c r="AE58" s="272">
        <f t="shared" si="4"/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customHeight="1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982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 t="shared" si="3"/>
        <v>0</v>
      </c>
      <c r="AD59" s="272">
        <v>0</v>
      </c>
      <c r="AE59" s="272">
        <f t="shared" si="4"/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customHeight="1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 t="shared" si="3"/>
        <v>120000000</v>
      </c>
      <c r="AD60" s="272">
        <v>120000000</v>
      </c>
      <c r="AE60" s="272">
        <f t="shared" si="4"/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customHeight="1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 t="shared" si="3"/>
        <v>60000000</v>
      </c>
      <c r="AD61" s="272">
        <v>60000000</v>
      </c>
      <c r="AE61" s="272">
        <f t="shared" si="4"/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customHeight="1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 t="shared" si="3"/>
        <v>82561600</v>
      </c>
      <c r="AD62" s="272">
        <v>82561600</v>
      </c>
      <c r="AE62" s="272">
        <f t="shared" si="4"/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customHeight="1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 t="shared" si="3"/>
        <v>54000000</v>
      </c>
      <c r="AD63" s="272">
        <v>54000000</v>
      </c>
      <c r="AE63" s="272">
        <f t="shared" si="4"/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customHeight="1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 t="shared" si="3"/>
        <v>26000000</v>
      </c>
      <c r="AD64" s="272">
        <v>28200000</v>
      </c>
      <c r="AE64" s="272">
        <f t="shared" si="4"/>
        <v>-2200000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/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customHeight="1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 t="shared" si="3"/>
        <v>0</v>
      </c>
      <c r="AD65" s="272">
        <v>0</v>
      </c>
      <c r="AE65" s="272">
        <f t="shared" si="4"/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customHeight="1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 t="shared" si="3"/>
        <v>27272727.5</v>
      </c>
      <c r="AD66" s="272">
        <v>27272727.5</v>
      </c>
      <c r="AE66" s="272">
        <f t="shared" si="4"/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/>
      <c r="AP66" s="275"/>
      <c r="AQ66" s="275">
        <v>13636364</v>
      </c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customHeight="1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 t="shared" si="3"/>
        <v>54083600</v>
      </c>
      <c r="AD67" s="272">
        <v>52388400</v>
      </c>
      <c r="AE67" s="272">
        <f t="shared" si="4"/>
        <v>1695200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5115400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customHeight="1">
      <c r="A68" s="260">
        <v>46</v>
      </c>
      <c r="B68" s="261"/>
      <c r="C68" s="261"/>
      <c r="D68" s="262"/>
      <c r="E68" s="262"/>
      <c r="F68" s="263" t="s">
        <v>15</v>
      </c>
      <c r="G68" s="264" t="s">
        <v>113</v>
      </c>
      <c r="H68" s="281"/>
      <c r="I68" s="265"/>
      <c r="J68" s="266" t="s">
        <v>129</v>
      </c>
      <c r="K68" s="262">
        <v>57267</v>
      </c>
      <c r="L68" s="262"/>
      <c r="M68" s="262">
        <v>57267</v>
      </c>
      <c r="N68" s="262"/>
      <c r="O68" s="262"/>
      <c r="P68" s="262"/>
      <c r="Q68" s="262"/>
      <c r="R68" s="262"/>
      <c r="S68" s="267" t="s">
        <v>468</v>
      </c>
      <c r="T68" s="268"/>
      <c r="U68" s="269"/>
      <c r="V68" s="269"/>
      <c r="W68" s="278"/>
      <c r="X68" s="270"/>
      <c r="Y68" s="262"/>
      <c r="Z68" s="271" t="s">
        <v>27</v>
      </c>
      <c r="AA68" s="287"/>
      <c r="AB68" s="287"/>
      <c r="AC68" s="272">
        <f t="shared" si="3"/>
        <v>9000000</v>
      </c>
      <c r="AD68" s="272"/>
      <c r="AE68" s="272">
        <f t="shared" si="4"/>
        <v>9000000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75"/>
      <c r="AR68" s="275"/>
      <c r="AS68" s="275">
        <v>9000000</v>
      </c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customHeight="1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58</v>
      </c>
      <c r="R69" s="262" t="s">
        <v>470</v>
      </c>
      <c r="S69" s="267" t="s">
        <v>822</v>
      </c>
      <c r="T69" s="268"/>
      <c r="U69" s="269"/>
      <c r="V69" s="269">
        <v>0</v>
      </c>
      <c r="W69" s="278">
        <v>0</v>
      </c>
      <c r="X69" s="270"/>
      <c r="Y69" s="262" t="s">
        <v>24</v>
      </c>
      <c r="Z69" s="271" t="s">
        <v>24</v>
      </c>
      <c r="AA69" s="287"/>
      <c r="AB69" s="287"/>
      <c r="AC69" s="272">
        <f t="shared" si="3"/>
        <v>40000000</v>
      </c>
      <c r="AD69" s="272">
        <v>40000000</v>
      </c>
      <c r="AE69" s="272">
        <f t="shared" si="4"/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>
        <v>40000000</v>
      </c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customHeight="1">
      <c r="A70" s="260">
        <v>48</v>
      </c>
      <c r="B70" s="261"/>
      <c r="C70" s="261"/>
      <c r="D70" s="262" t="s">
        <v>15</v>
      </c>
      <c r="E70" s="262" t="s">
        <v>113</v>
      </c>
      <c r="F70" s="263" t="s">
        <v>15</v>
      </c>
      <c r="G70" s="264" t="s">
        <v>113</v>
      </c>
      <c r="H70" s="281"/>
      <c r="I70" s="265"/>
      <c r="J70" s="266" t="s">
        <v>129</v>
      </c>
      <c r="K70" s="262"/>
      <c r="L70" s="262"/>
      <c r="M70" s="262">
        <v>57267</v>
      </c>
      <c r="N70" s="262" t="s">
        <v>22</v>
      </c>
      <c r="O70" s="262" t="s">
        <v>56</v>
      </c>
      <c r="P70" s="262" t="s">
        <v>57</v>
      </c>
      <c r="Q70" s="262" t="s">
        <v>54</v>
      </c>
      <c r="R70" s="262" t="s">
        <v>467</v>
      </c>
      <c r="S70" s="267" t="s">
        <v>826</v>
      </c>
      <c r="T70" s="268"/>
      <c r="U70" s="269">
        <v>35000000</v>
      </c>
      <c r="V70" s="269">
        <v>0</v>
      </c>
      <c r="W70" s="278">
        <v>0</v>
      </c>
      <c r="X70" s="270"/>
      <c r="Y70" s="262" t="s">
        <v>21</v>
      </c>
      <c r="Z70" s="271" t="s">
        <v>21</v>
      </c>
      <c r="AA70" s="287"/>
      <c r="AB70" s="287"/>
      <c r="AC70" s="272">
        <f t="shared" si="3"/>
        <v>0</v>
      </c>
      <c r="AD70" s="272">
        <v>0</v>
      </c>
      <c r="AE70" s="272">
        <f t="shared" si="4"/>
        <v>0</v>
      </c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/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/>
      <c r="BF70" s="275"/>
      <c r="BH70" s="277"/>
    </row>
    <row r="71" spans="1:60" ht="16.5" customHeight="1">
      <c r="A71" s="260">
        <v>49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130</v>
      </c>
      <c r="K71" s="262"/>
      <c r="L71" s="262"/>
      <c r="M71" s="262">
        <v>45755</v>
      </c>
      <c r="N71" s="262" t="s">
        <v>22</v>
      </c>
      <c r="O71" s="262" t="s">
        <v>212</v>
      </c>
      <c r="P71" s="262" t="s">
        <v>57</v>
      </c>
      <c r="Q71" s="262" t="s">
        <v>59</v>
      </c>
      <c r="R71" s="262" t="s">
        <v>476</v>
      </c>
      <c r="S71" s="267" t="s">
        <v>825</v>
      </c>
      <c r="T71" s="268"/>
      <c r="U71" s="269"/>
      <c r="V71" s="269">
        <v>30000000</v>
      </c>
      <c r="W71" s="278">
        <v>30000000</v>
      </c>
      <c r="X71" s="270"/>
      <c r="Y71" s="262" t="s">
        <v>27</v>
      </c>
      <c r="Z71" s="271" t="s">
        <v>27</v>
      </c>
      <c r="AA71" s="287"/>
      <c r="AB71" s="287"/>
      <c r="AC71" s="272">
        <f t="shared" si="3"/>
        <v>30000000</v>
      </c>
      <c r="AD71" s="272">
        <v>30000000</v>
      </c>
      <c r="AE71" s="272">
        <f t="shared" si="4"/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>
        <v>15000000</v>
      </c>
      <c r="AR71" s="275"/>
      <c r="AS71" s="275"/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>
        <v>15000000</v>
      </c>
      <c r="BF71" s="275"/>
      <c r="BH71" s="277"/>
    </row>
    <row r="72" spans="1:60" ht="16.5" customHeight="1">
      <c r="A72" s="260">
        <v>50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131</v>
      </c>
      <c r="K72" s="262"/>
      <c r="L72" s="262"/>
      <c r="M72" s="262">
        <v>3823</v>
      </c>
      <c r="N72" s="262" t="s">
        <v>22</v>
      </c>
      <c r="O72" s="262" t="s">
        <v>35</v>
      </c>
      <c r="P72" s="262" t="s">
        <v>57</v>
      </c>
      <c r="Q72" s="262" t="s">
        <v>44</v>
      </c>
      <c r="R72" s="262" t="s">
        <v>469</v>
      </c>
      <c r="S72" s="267" t="s">
        <v>469</v>
      </c>
      <c r="T72" s="268"/>
      <c r="U72" s="269"/>
      <c r="V72" s="269">
        <v>24442433</v>
      </c>
      <c r="W72" s="278">
        <v>0</v>
      </c>
      <c r="X72" s="270"/>
      <c r="Y72" s="262" t="s">
        <v>24</v>
      </c>
      <c r="Z72" s="271" t="s">
        <v>25</v>
      </c>
      <c r="AA72" s="287"/>
      <c r="AB72" s="287"/>
      <c r="AC72" s="272">
        <f t="shared" si="3"/>
        <v>30000000</v>
      </c>
      <c r="AD72" s="272">
        <v>30000000</v>
      </c>
      <c r="AE72" s="272">
        <f t="shared" si="4"/>
        <v>0</v>
      </c>
      <c r="AF72" s="273"/>
      <c r="AG72" s="274"/>
      <c r="AH72" s="273"/>
      <c r="AI72" s="273"/>
      <c r="AJ72" s="274"/>
      <c r="AK72" s="273"/>
      <c r="AL72" s="275"/>
      <c r="AM72" s="290"/>
      <c r="AN72" s="275"/>
      <c r="AO72" s="276"/>
      <c r="AP72" s="275"/>
      <c r="AQ72" s="275"/>
      <c r="AR72" s="275"/>
      <c r="AS72" s="275">
        <v>30000000</v>
      </c>
      <c r="AT72" s="275"/>
      <c r="AU72" s="275"/>
      <c r="AV72" s="275"/>
      <c r="AW72" s="275"/>
      <c r="AX72" s="275"/>
      <c r="AY72" s="275"/>
      <c r="AZ72" s="275"/>
      <c r="BA72" s="275"/>
      <c r="BB72" s="275"/>
      <c r="BC72" s="275"/>
      <c r="BD72" s="275"/>
      <c r="BE72" s="275"/>
      <c r="BF72" s="275"/>
      <c r="BH72" s="277"/>
    </row>
    <row r="73" spans="1:60" ht="16.5" customHeight="1">
      <c r="A73" s="260">
        <v>51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132</v>
      </c>
      <c r="K73" s="262"/>
      <c r="L73" s="262"/>
      <c r="M73" s="262">
        <v>48998</v>
      </c>
      <c r="N73" s="262" t="s">
        <v>22</v>
      </c>
      <c r="O73" s="262" t="s">
        <v>212</v>
      </c>
      <c r="P73" s="262" t="s">
        <v>57</v>
      </c>
      <c r="Q73" s="262" t="s">
        <v>54</v>
      </c>
      <c r="R73" s="262" t="s">
        <v>467</v>
      </c>
      <c r="S73" s="267" t="s">
        <v>826</v>
      </c>
      <c r="T73" s="268"/>
      <c r="U73" s="269">
        <v>27818182</v>
      </c>
      <c r="V73" s="269">
        <v>24000000</v>
      </c>
      <c r="W73" s="278">
        <v>24000000</v>
      </c>
      <c r="X73" s="270"/>
      <c r="Y73" s="262" t="s">
        <v>27</v>
      </c>
      <c r="Z73" s="271" t="s">
        <v>27</v>
      </c>
      <c r="AA73" s="287"/>
      <c r="AB73" s="287"/>
      <c r="AC73" s="272">
        <f t="shared" si="3"/>
        <v>24000000</v>
      </c>
      <c r="AD73" s="272">
        <v>24000000</v>
      </c>
      <c r="AE73" s="272">
        <f t="shared" si="4"/>
        <v>0</v>
      </c>
      <c r="AF73" s="273">
        <v>2000000</v>
      </c>
      <c r="AG73" s="274">
        <v>2000000</v>
      </c>
      <c r="AH73" s="273"/>
      <c r="AI73" s="273">
        <v>2000000</v>
      </c>
      <c r="AJ73" s="274">
        <v>2000000</v>
      </c>
      <c r="AK73" s="273"/>
      <c r="AL73" s="275">
        <v>2000000</v>
      </c>
      <c r="AM73" s="290">
        <v>2000000</v>
      </c>
      <c r="AN73" s="275"/>
      <c r="AO73" s="276">
        <v>2000000</v>
      </c>
      <c r="AP73" s="275"/>
      <c r="AQ73" s="275">
        <v>2000000</v>
      </c>
      <c r="AR73" s="275"/>
      <c r="AS73" s="275">
        <v>2000000</v>
      </c>
      <c r="AT73" s="275"/>
      <c r="AU73" s="275">
        <v>2000000</v>
      </c>
      <c r="AV73" s="275"/>
      <c r="AW73" s="275">
        <v>2000000</v>
      </c>
      <c r="AX73" s="275"/>
      <c r="AY73" s="275">
        <v>2000000</v>
      </c>
      <c r="AZ73" s="275"/>
      <c r="BA73" s="275">
        <v>2000000</v>
      </c>
      <c r="BB73" s="275"/>
      <c r="BC73" s="275">
        <v>2000000</v>
      </c>
      <c r="BD73" s="275"/>
      <c r="BE73" s="275">
        <v>2000000</v>
      </c>
      <c r="BF73" s="275"/>
      <c r="BH73" s="277"/>
    </row>
    <row r="74" spans="1:60" ht="16.5" customHeight="1">
      <c r="A74" s="260">
        <v>52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133</v>
      </c>
      <c r="K74" s="262"/>
      <c r="L74" s="262"/>
      <c r="M74" s="262">
        <v>46945</v>
      </c>
      <c r="N74" s="262" t="s">
        <v>22</v>
      </c>
      <c r="O74" s="262"/>
      <c r="P74" s="262" t="s">
        <v>57</v>
      </c>
      <c r="Q74" s="262" t="s">
        <v>59</v>
      </c>
      <c r="R74" s="262" t="s">
        <v>476</v>
      </c>
      <c r="S74" s="267" t="s">
        <v>825</v>
      </c>
      <c r="T74" s="268"/>
      <c r="U74" s="269">
        <v>150000000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 t="shared" si="3"/>
        <v>0</v>
      </c>
      <c r="AD74" s="272">
        <v>0</v>
      </c>
      <c r="AE74" s="272">
        <f t="shared" si="4"/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customHeight="1">
      <c r="A75" s="260">
        <v>53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21875</v>
      </c>
      <c r="N75" s="262" t="s">
        <v>22</v>
      </c>
      <c r="O75" s="262" t="s">
        <v>212</v>
      </c>
      <c r="P75" s="262" t="s">
        <v>57</v>
      </c>
      <c r="Q75" s="262" t="s">
        <v>18</v>
      </c>
      <c r="R75" s="262" t="s">
        <v>19</v>
      </c>
      <c r="S75" s="267" t="s">
        <v>19</v>
      </c>
      <c r="T75" s="268"/>
      <c r="U75" s="269">
        <v>8825000</v>
      </c>
      <c r="V75" s="269">
        <v>0</v>
      </c>
      <c r="W75" s="278">
        <v>0</v>
      </c>
      <c r="X75" s="270"/>
      <c r="Y75" s="262" t="s">
        <v>21</v>
      </c>
      <c r="Z75" s="271" t="s">
        <v>562</v>
      </c>
      <c r="AA75" s="287"/>
      <c r="AB75" s="287"/>
      <c r="AC75" s="272">
        <f t="shared" si="3"/>
        <v>0</v>
      </c>
      <c r="AD75" s="272">
        <v>0</v>
      </c>
      <c r="AE75" s="272">
        <f t="shared" si="4"/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/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customHeight="1">
      <c r="A76" s="260">
        <v>54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3745</v>
      </c>
      <c r="N76" s="262" t="s">
        <v>22</v>
      </c>
      <c r="O76" s="262" t="s">
        <v>212</v>
      </c>
      <c r="P76" s="262" t="s">
        <v>57</v>
      </c>
      <c r="Q76" s="262"/>
      <c r="R76" s="262" t="s">
        <v>31</v>
      </c>
      <c r="S76" s="267" t="s">
        <v>31</v>
      </c>
      <c r="T76" s="268"/>
      <c r="U76" s="269"/>
      <c r="V76" s="269"/>
      <c r="W76" s="278">
        <v>0</v>
      </c>
      <c r="X76" s="270"/>
      <c r="Y76" s="262" t="s">
        <v>27</v>
      </c>
      <c r="Z76" s="271" t="s">
        <v>27</v>
      </c>
      <c r="AA76" s="287"/>
      <c r="AB76" s="287"/>
      <c r="AC76" s="272">
        <f t="shared" si="3"/>
        <v>21000000</v>
      </c>
      <c r="AD76" s="272">
        <v>21000000</v>
      </c>
      <c r="AE76" s="272">
        <f t="shared" si="4"/>
        <v>0</v>
      </c>
      <c r="AF76" s="273"/>
      <c r="AG76" s="274"/>
      <c r="AH76" s="273"/>
      <c r="AI76" s="273"/>
      <c r="AJ76" s="274"/>
      <c r="AK76" s="273"/>
      <c r="AL76" s="275"/>
      <c r="AM76" s="290"/>
      <c r="AN76" s="275"/>
      <c r="AO76" s="276"/>
      <c r="AP76" s="275"/>
      <c r="AQ76" s="275"/>
      <c r="AR76" s="275"/>
      <c r="AS76" s="275"/>
      <c r="AT76" s="275"/>
      <c r="AU76" s="275">
        <v>21000000</v>
      </c>
      <c r="AV76" s="275"/>
      <c r="AW76" s="275"/>
      <c r="AX76" s="275"/>
      <c r="AY76" s="275"/>
      <c r="AZ76" s="275"/>
      <c r="BA76" s="275"/>
      <c r="BB76" s="275"/>
      <c r="BC76" s="275"/>
      <c r="BD76" s="275"/>
      <c r="BE76" s="275"/>
      <c r="BF76" s="275"/>
      <c r="BH76" s="277"/>
    </row>
    <row r="77" spans="1:60" ht="16.5" customHeight="1">
      <c r="A77" s="260">
        <v>55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134</v>
      </c>
      <c r="K77" s="262"/>
      <c r="L77" s="262"/>
      <c r="M77" s="262">
        <v>21875</v>
      </c>
      <c r="N77" s="262" t="s">
        <v>22</v>
      </c>
      <c r="O77" s="262" t="s">
        <v>212</v>
      </c>
      <c r="P77" s="262" t="s">
        <v>57</v>
      </c>
      <c r="Q77" s="262" t="s">
        <v>44</v>
      </c>
      <c r="R77" s="262" t="s">
        <v>469</v>
      </c>
      <c r="S77" s="267" t="s">
        <v>826</v>
      </c>
      <c r="T77" s="268"/>
      <c r="U77" s="269">
        <v>59454545</v>
      </c>
      <c r="V77" s="269">
        <v>54000000</v>
      </c>
      <c r="W77" s="278">
        <v>54000000</v>
      </c>
      <c r="X77" s="270"/>
      <c r="Y77" s="262" t="s">
        <v>27</v>
      </c>
      <c r="Z77" s="271" t="s">
        <v>27</v>
      </c>
      <c r="AA77" s="287"/>
      <c r="AB77" s="287"/>
      <c r="AC77" s="272">
        <f t="shared" si="3"/>
        <v>54000000</v>
      </c>
      <c r="AD77" s="272">
        <v>54000000</v>
      </c>
      <c r="AE77" s="272">
        <f t="shared" si="4"/>
        <v>0</v>
      </c>
      <c r="AF77" s="273">
        <v>4500000</v>
      </c>
      <c r="AG77" s="274">
        <v>4500000</v>
      </c>
      <c r="AH77" s="273"/>
      <c r="AI77" s="273">
        <v>4500000</v>
      </c>
      <c r="AJ77" s="274">
        <v>4500000</v>
      </c>
      <c r="AK77" s="273"/>
      <c r="AL77" s="275">
        <v>4500000</v>
      </c>
      <c r="AM77" s="290">
        <v>4500000</v>
      </c>
      <c r="AN77" s="275"/>
      <c r="AO77" s="276">
        <v>4500000</v>
      </c>
      <c r="AP77" s="275"/>
      <c r="AQ77" s="275">
        <v>4500000</v>
      </c>
      <c r="AR77" s="275"/>
      <c r="AS77" s="275">
        <v>4500000</v>
      </c>
      <c r="AT77" s="275"/>
      <c r="AU77" s="275">
        <v>4500000</v>
      </c>
      <c r="AV77" s="275"/>
      <c r="AW77" s="275">
        <v>4500000</v>
      </c>
      <c r="AX77" s="275"/>
      <c r="AY77" s="275">
        <v>4500000</v>
      </c>
      <c r="AZ77" s="275"/>
      <c r="BA77" s="275">
        <v>4500000</v>
      </c>
      <c r="BB77" s="275"/>
      <c r="BC77" s="275">
        <v>4500000</v>
      </c>
      <c r="BD77" s="275"/>
      <c r="BE77" s="275">
        <v>4500000</v>
      </c>
      <c r="BF77" s="275"/>
      <c r="BH77" s="277"/>
    </row>
    <row r="78" spans="1:60" ht="16.5" customHeight="1">
      <c r="A78" s="260">
        <v>56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212</v>
      </c>
      <c r="P78" s="262" t="s">
        <v>57</v>
      </c>
      <c r="Q78" s="262" t="s">
        <v>63</v>
      </c>
      <c r="R78" s="262" t="s">
        <v>28</v>
      </c>
      <c r="S78" s="267" t="s">
        <v>28</v>
      </c>
      <c r="T78" s="268" t="s">
        <v>951</v>
      </c>
      <c r="U78" s="269"/>
      <c r="V78" s="269">
        <v>370049200</v>
      </c>
      <c r="W78" s="278">
        <v>461407800</v>
      </c>
      <c r="X78" s="270"/>
      <c r="Y78" s="262" t="s">
        <v>27</v>
      </c>
      <c r="Z78" s="271" t="s">
        <v>27</v>
      </c>
      <c r="AA78" s="287"/>
      <c r="AB78" s="287"/>
      <c r="AC78" s="272">
        <f t="shared" si="3"/>
        <v>412951570</v>
      </c>
      <c r="AD78" s="272">
        <v>408938310</v>
      </c>
      <c r="AE78" s="272">
        <f t="shared" si="4"/>
        <v>4013260</v>
      </c>
      <c r="AF78" s="273">
        <v>28902770</v>
      </c>
      <c r="AG78" s="274">
        <v>31220560</v>
      </c>
      <c r="AH78" s="273"/>
      <c r="AI78" s="273">
        <v>35000000</v>
      </c>
      <c r="AJ78" s="274">
        <v>31659350</v>
      </c>
      <c r="AK78" s="273"/>
      <c r="AL78" s="275">
        <v>34851730</v>
      </c>
      <c r="AM78" s="290">
        <v>33786330</v>
      </c>
      <c r="AN78" s="275"/>
      <c r="AO78" s="276">
        <v>46285330</v>
      </c>
      <c r="AP78" s="275"/>
      <c r="AQ78" s="275">
        <v>35000000</v>
      </c>
      <c r="AR78" s="275"/>
      <c r="AS78" s="275">
        <v>35000000</v>
      </c>
      <c r="AT78" s="275"/>
      <c r="AU78" s="275">
        <v>35000000</v>
      </c>
      <c r="AV78" s="275"/>
      <c r="AW78" s="275">
        <v>30000000</v>
      </c>
      <c r="AX78" s="275"/>
      <c r="AY78" s="275">
        <v>35000000</v>
      </c>
      <c r="AZ78" s="275"/>
      <c r="BA78" s="275">
        <v>35000000</v>
      </c>
      <c r="BB78" s="275"/>
      <c r="BC78" s="275">
        <v>35000000</v>
      </c>
      <c r="BD78" s="275"/>
      <c r="BE78" s="275">
        <v>30000000</v>
      </c>
      <c r="BF78" s="275"/>
      <c r="BH78" s="277"/>
    </row>
    <row r="79" spans="1:60" ht="16.5" customHeight="1">
      <c r="A79" s="260">
        <v>57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135</v>
      </c>
      <c r="K79" s="262"/>
      <c r="L79" s="262"/>
      <c r="M79" s="262">
        <v>3745</v>
      </c>
      <c r="N79" s="262" t="s">
        <v>22</v>
      </c>
      <c r="O79" s="262" t="s">
        <v>56</v>
      </c>
      <c r="P79" s="262" t="s">
        <v>57</v>
      </c>
      <c r="Q79" s="262" t="s">
        <v>26</v>
      </c>
      <c r="R79" s="262" t="s">
        <v>468</v>
      </c>
      <c r="S79" s="267" t="s">
        <v>468</v>
      </c>
      <c r="T79" s="268"/>
      <c r="U79" s="269"/>
      <c r="V79" s="269">
        <v>5000000</v>
      </c>
      <c r="W79" s="278">
        <v>0</v>
      </c>
      <c r="X79" s="270"/>
      <c r="Y79" s="262" t="s">
        <v>20</v>
      </c>
      <c r="Z79" s="271" t="s">
        <v>27</v>
      </c>
      <c r="AA79" s="287"/>
      <c r="AB79" s="287"/>
      <c r="AC79" s="272">
        <f t="shared" si="3"/>
        <v>0</v>
      </c>
      <c r="AD79" s="272">
        <v>0</v>
      </c>
      <c r="AE79" s="272">
        <f t="shared" si="4"/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customHeight="1">
      <c r="A80" s="260">
        <v>58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628</v>
      </c>
      <c r="K80" s="262"/>
      <c r="L80" s="262"/>
      <c r="M80" s="262">
        <v>61219</v>
      </c>
      <c r="N80" s="262" t="s">
        <v>22</v>
      </c>
      <c r="O80" s="262" t="s">
        <v>212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/>
      <c r="V80" s="269">
        <v>234000</v>
      </c>
      <c r="W80" s="278">
        <v>528000</v>
      </c>
      <c r="X80" s="270"/>
      <c r="Y80" s="262" t="s">
        <v>20</v>
      </c>
      <c r="Z80" s="271" t="s">
        <v>24</v>
      </c>
      <c r="AA80" s="287"/>
      <c r="AB80" s="287"/>
      <c r="AC80" s="272">
        <f t="shared" si="3"/>
        <v>1000000</v>
      </c>
      <c r="AD80" s="272">
        <v>1000000</v>
      </c>
      <c r="AE80" s="272">
        <f t="shared" si="4"/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>
        <v>1000000</v>
      </c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customHeight="1">
      <c r="A81" s="260">
        <v>59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18</v>
      </c>
      <c r="R81" s="262" t="s">
        <v>19</v>
      </c>
      <c r="S81" s="267" t="s">
        <v>19</v>
      </c>
      <c r="T81" s="268"/>
      <c r="U81" s="269">
        <v>2760000</v>
      </c>
      <c r="V81" s="269">
        <v>6707499</v>
      </c>
      <c r="W81" s="278">
        <v>0</v>
      </c>
      <c r="X81" s="270"/>
      <c r="Y81" s="262" t="s">
        <v>27</v>
      </c>
      <c r="Z81" s="271" t="s">
        <v>24</v>
      </c>
      <c r="AA81" s="287"/>
      <c r="AB81" s="287"/>
      <c r="AC81" s="272">
        <f t="shared" si="3"/>
        <v>3000000</v>
      </c>
      <c r="AD81" s="272">
        <v>3000000</v>
      </c>
      <c r="AE81" s="272">
        <f t="shared" si="4"/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>
        <v>3000000</v>
      </c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customHeight="1">
      <c r="A82" s="260">
        <v>60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629</v>
      </c>
      <c r="K82" s="262"/>
      <c r="L82" s="262"/>
      <c r="M82" s="262">
        <v>3211</v>
      </c>
      <c r="N82" s="262" t="s">
        <v>22</v>
      </c>
      <c r="O82" s="262" t="s">
        <v>56</v>
      </c>
      <c r="P82" s="262" t="s">
        <v>57</v>
      </c>
      <c r="Q82" s="262" t="s">
        <v>26</v>
      </c>
      <c r="R82" s="262" t="s">
        <v>478</v>
      </c>
      <c r="S82" s="267" t="s">
        <v>478</v>
      </c>
      <c r="T82" s="268"/>
      <c r="U82" s="269"/>
      <c r="V82" s="269">
        <v>2900000</v>
      </c>
      <c r="W82" s="278">
        <v>0</v>
      </c>
      <c r="X82" s="270"/>
      <c r="Y82" s="262" t="s">
        <v>20</v>
      </c>
      <c r="Z82" s="271" t="s">
        <v>562</v>
      </c>
      <c r="AA82" s="287"/>
      <c r="AB82" s="287"/>
      <c r="AC82" s="272">
        <f t="shared" si="3"/>
        <v>0</v>
      </c>
      <c r="AD82" s="272">
        <v>0</v>
      </c>
      <c r="AE82" s="272">
        <f t="shared" si="4"/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customHeight="1">
      <c r="A83" s="260">
        <v>61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740</v>
      </c>
      <c r="K83" s="262"/>
      <c r="L83" s="262"/>
      <c r="M83" s="262">
        <v>11180</v>
      </c>
      <c r="N83" s="262" t="s">
        <v>22</v>
      </c>
      <c r="O83" s="262" t="s">
        <v>56</v>
      </c>
      <c r="P83" s="262" t="s">
        <v>57</v>
      </c>
      <c r="Q83" s="262" t="s">
        <v>18</v>
      </c>
      <c r="R83" s="262" t="s">
        <v>19</v>
      </c>
      <c r="S83" s="267" t="s">
        <v>19</v>
      </c>
      <c r="T83" s="268"/>
      <c r="U83" s="269">
        <v>955000</v>
      </c>
      <c r="V83" s="269">
        <v>0</v>
      </c>
      <c r="W83" s="278">
        <v>0</v>
      </c>
      <c r="X83" s="270"/>
      <c r="Y83" s="262" t="s">
        <v>21</v>
      </c>
      <c r="Z83" s="271" t="s">
        <v>562</v>
      </c>
      <c r="AA83" s="287"/>
      <c r="AB83" s="287"/>
      <c r="AC83" s="272">
        <f t="shared" si="3"/>
        <v>0</v>
      </c>
      <c r="AD83" s="272">
        <v>0</v>
      </c>
      <c r="AE83" s="272">
        <f t="shared" si="4"/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75"/>
      <c r="AR83" s="275"/>
      <c r="AS83" s="275"/>
      <c r="AT83" s="275"/>
      <c r="AU83" s="275"/>
      <c r="AV83" s="275"/>
      <c r="AW83" s="275"/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customHeight="1">
      <c r="A84" s="260">
        <v>62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 t="s">
        <v>44</v>
      </c>
      <c r="R84" s="262" t="s">
        <v>469</v>
      </c>
      <c r="S84" s="267" t="s">
        <v>469</v>
      </c>
      <c r="T84" s="268"/>
      <c r="U84" s="269">
        <v>18181818</v>
      </c>
      <c r="V84" s="269">
        <v>0</v>
      </c>
      <c r="W84" s="278">
        <v>4600000</v>
      </c>
      <c r="X84" s="270"/>
      <c r="Y84" s="262" t="s">
        <v>25</v>
      </c>
      <c r="Z84" s="271" t="s">
        <v>25</v>
      </c>
      <c r="AA84" s="287"/>
      <c r="AB84" s="287"/>
      <c r="AC84" s="272">
        <f t="shared" si="3"/>
        <v>40000000</v>
      </c>
      <c r="AD84" s="272">
        <v>40000000</v>
      </c>
      <c r="AE84" s="272">
        <f t="shared" si="4"/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75">
        <v>20000000</v>
      </c>
      <c r="AR84" s="275"/>
      <c r="AS84" s="275"/>
      <c r="AT84" s="275"/>
      <c r="AU84" s="275"/>
      <c r="AV84" s="275"/>
      <c r="AW84" s="275">
        <v>20000000</v>
      </c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customHeight="1">
      <c r="A85" s="260">
        <v>63</v>
      </c>
      <c r="B85" s="261"/>
      <c r="C85" s="261"/>
      <c r="D85" s="262" t="s">
        <v>15</v>
      </c>
      <c r="E85" s="262" t="s">
        <v>113</v>
      </c>
      <c r="F85" s="263" t="s">
        <v>15</v>
      </c>
      <c r="G85" s="264" t="s">
        <v>113</v>
      </c>
      <c r="H85" s="281"/>
      <c r="I85" s="265"/>
      <c r="J85" s="266" t="s">
        <v>343</v>
      </c>
      <c r="K85" s="262"/>
      <c r="L85" s="262"/>
      <c r="M85" s="262">
        <v>2095</v>
      </c>
      <c r="N85" s="262" t="s">
        <v>22</v>
      </c>
      <c r="O85" s="262" t="s">
        <v>35</v>
      </c>
      <c r="P85" s="262" t="s">
        <v>124</v>
      </c>
      <c r="Q85" s="262"/>
      <c r="R85" s="262"/>
      <c r="S85" s="267" t="s">
        <v>828</v>
      </c>
      <c r="T85" s="268"/>
      <c r="U85" s="269"/>
      <c r="V85" s="269"/>
      <c r="W85" s="278">
        <v>0</v>
      </c>
      <c r="X85" s="270"/>
      <c r="Y85" s="262"/>
      <c r="Z85" s="271" t="s">
        <v>25</v>
      </c>
      <c r="AA85" s="287"/>
      <c r="AB85" s="287"/>
      <c r="AC85" s="272">
        <f t="shared" si="3"/>
        <v>20000000</v>
      </c>
      <c r="AD85" s="272">
        <v>20000000</v>
      </c>
      <c r="AE85" s="272">
        <f t="shared" si="4"/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75">
        <v>20000000</v>
      </c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customHeight="1">
      <c r="A86" s="260">
        <v>64</v>
      </c>
      <c r="B86" s="261"/>
      <c r="C86" s="261"/>
      <c r="D86" s="262"/>
      <c r="E86" s="262"/>
      <c r="F86" s="263" t="s">
        <v>15</v>
      </c>
      <c r="G86" s="264" t="s">
        <v>113</v>
      </c>
      <c r="H86" s="281"/>
      <c r="I86" s="265"/>
      <c r="J86" s="266" t="s">
        <v>955</v>
      </c>
      <c r="K86" s="262"/>
      <c r="L86" s="262"/>
      <c r="M86" s="262"/>
      <c r="N86" s="262"/>
      <c r="O86" s="262" t="s">
        <v>56</v>
      </c>
      <c r="P86" s="262" t="s">
        <v>124</v>
      </c>
      <c r="Q86" s="262"/>
      <c r="R86" s="262"/>
      <c r="S86" s="267" t="s">
        <v>19</v>
      </c>
      <c r="T86" s="268"/>
      <c r="U86" s="269"/>
      <c r="V86" s="269"/>
      <c r="W86" s="278">
        <v>0</v>
      </c>
      <c r="X86" s="270"/>
      <c r="Y86" s="262"/>
      <c r="Z86" s="271" t="s">
        <v>27</v>
      </c>
      <c r="AA86" s="287"/>
      <c r="AB86" s="287"/>
      <c r="AC86" s="272">
        <f t="shared" si="3"/>
        <v>0</v>
      </c>
      <c r="AD86" s="272">
        <v>0</v>
      </c>
      <c r="AE86" s="272">
        <f t="shared" si="4"/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/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customHeight="1">
      <c r="A87" s="260">
        <v>65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661</v>
      </c>
      <c r="K87" s="262"/>
      <c r="L87" s="262"/>
      <c r="M87" s="262">
        <v>24161</v>
      </c>
      <c r="N87" s="262" t="s">
        <v>22</v>
      </c>
      <c r="O87" s="262" t="s">
        <v>35</v>
      </c>
      <c r="P87" s="262" t="s">
        <v>57</v>
      </c>
      <c r="Q87" s="262"/>
      <c r="R87" s="262" t="s">
        <v>19</v>
      </c>
      <c r="S87" s="267" t="s">
        <v>19</v>
      </c>
      <c r="T87" s="268"/>
      <c r="U87" s="269"/>
      <c r="V87" s="269"/>
      <c r="W87" s="278">
        <v>2050000</v>
      </c>
      <c r="X87" s="270"/>
      <c r="Y87" s="262" t="s">
        <v>27</v>
      </c>
      <c r="Z87" s="271" t="s">
        <v>24</v>
      </c>
      <c r="AA87" s="287"/>
      <c r="AB87" s="287"/>
      <c r="AC87" s="272">
        <f t="shared" ref="AC87:AC150" si="5">AG87+AJ87+AM87+AO87+AQ87+AS87+AU87+AW87+AY87+BA87+BC87+BE87</f>
        <v>3000000</v>
      </c>
      <c r="AD87" s="272">
        <v>3000000</v>
      </c>
      <c r="AE87" s="272">
        <f t="shared" ref="AE87:AE150" si="6">AC87-AD87</f>
        <v>0</v>
      </c>
      <c r="AF87" s="273"/>
      <c r="AG87" s="274"/>
      <c r="AH87" s="273"/>
      <c r="AI87" s="273"/>
      <c r="AJ87" s="274"/>
      <c r="AK87" s="273"/>
      <c r="AL87" s="275"/>
      <c r="AM87" s="290"/>
      <c r="AN87" s="275"/>
      <c r="AO87" s="276"/>
      <c r="AP87" s="275"/>
      <c r="AQ87" s="275"/>
      <c r="AR87" s="275"/>
      <c r="AS87" s="275">
        <v>3000000</v>
      </c>
      <c r="AT87" s="275"/>
      <c r="AU87" s="275"/>
      <c r="AV87" s="275"/>
      <c r="AW87" s="275"/>
      <c r="AX87" s="275"/>
      <c r="AY87" s="275"/>
      <c r="AZ87" s="275"/>
      <c r="BA87" s="275"/>
      <c r="BB87" s="275"/>
      <c r="BC87" s="275"/>
      <c r="BD87" s="275"/>
      <c r="BE87" s="275"/>
      <c r="BF87" s="275"/>
      <c r="BH87" s="277"/>
    </row>
    <row r="88" spans="1:60" ht="16.5" customHeight="1">
      <c r="A88" s="260">
        <v>66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212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 t="s">
        <v>951</v>
      </c>
      <c r="U88" s="269">
        <v>159931995</v>
      </c>
      <c r="V88" s="269">
        <v>129256748</v>
      </c>
      <c r="W88" s="278">
        <v>147993840</v>
      </c>
      <c r="X88" s="270"/>
      <c r="Y88" s="262" t="s">
        <v>27</v>
      </c>
      <c r="Z88" s="271" t="s">
        <v>27</v>
      </c>
      <c r="AA88" s="287"/>
      <c r="AB88" s="287"/>
      <c r="AC88" s="272">
        <f t="shared" si="5"/>
        <v>122962280</v>
      </c>
      <c r="AD88" s="272">
        <v>122962280</v>
      </c>
      <c r="AE88" s="272">
        <f t="shared" si="6"/>
        <v>0</v>
      </c>
      <c r="AF88" s="273">
        <v>6921840</v>
      </c>
      <c r="AG88" s="274">
        <v>6540840</v>
      </c>
      <c r="AH88" s="273"/>
      <c r="AI88" s="273">
        <v>6253300</v>
      </c>
      <c r="AJ88" s="274">
        <v>6298300</v>
      </c>
      <c r="AK88" s="273"/>
      <c r="AL88" s="275">
        <v>11771460</v>
      </c>
      <c r="AM88" s="290">
        <v>11771460</v>
      </c>
      <c r="AN88" s="275"/>
      <c r="AO88" s="276">
        <v>9594140</v>
      </c>
      <c r="AP88" s="275"/>
      <c r="AQ88" s="275">
        <v>7757540</v>
      </c>
      <c r="AR88" s="275"/>
      <c r="AS88" s="275">
        <v>8000000</v>
      </c>
      <c r="AT88" s="275"/>
      <c r="AU88" s="275">
        <v>7000000</v>
      </c>
      <c r="AV88" s="275"/>
      <c r="AW88" s="275">
        <v>8000000</v>
      </c>
      <c r="AX88" s="275"/>
      <c r="AY88" s="275">
        <v>25000000</v>
      </c>
      <c r="AZ88" s="275"/>
      <c r="BA88" s="275">
        <v>8000000</v>
      </c>
      <c r="BB88" s="275"/>
      <c r="BC88" s="275">
        <v>15000000</v>
      </c>
      <c r="BD88" s="275"/>
      <c r="BE88" s="275">
        <v>10000000</v>
      </c>
      <c r="BF88" s="275"/>
      <c r="BH88" s="277"/>
    </row>
    <row r="89" spans="1:60" ht="16.5" customHeight="1">
      <c r="A89" s="260">
        <v>67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63</v>
      </c>
      <c r="R89" s="262" t="s">
        <v>28</v>
      </c>
      <c r="S89" s="267" t="s">
        <v>28</v>
      </c>
      <c r="T89" s="268"/>
      <c r="U89" s="269"/>
      <c r="V89" s="269"/>
      <c r="W89" s="278">
        <v>0</v>
      </c>
      <c r="X89" s="270"/>
      <c r="Y89" s="262"/>
      <c r="Z89" s="271" t="s">
        <v>24</v>
      </c>
      <c r="AA89" s="287"/>
      <c r="AB89" s="287"/>
      <c r="AC89" s="272">
        <f t="shared" si="5"/>
        <v>0</v>
      </c>
      <c r="AD89" s="272">
        <v>0</v>
      </c>
      <c r="AE89" s="272">
        <f t="shared" si="6"/>
        <v>0</v>
      </c>
      <c r="AF89" s="273"/>
      <c r="AG89" s="274"/>
      <c r="AH89" s="273" t="s">
        <v>820</v>
      </c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/>
      <c r="AT89" s="275"/>
      <c r="AU89" s="275"/>
      <c r="AV89" s="275"/>
      <c r="AW89" s="275"/>
      <c r="AX89" s="275"/>
      <c r="AY89" s="275"/>
      <c r="AZ89" s="275"/>
      <c r="BA89" s="275"/>
      <c r="BB89" s="275"/>
      <c r="BC89" s="275"/>
      <c r="BD89" s="275"/>
      <c r="BE89" s="275"/>
      <c r="BF89" s="275"/>
      <c r="BH89" s="277"/>
    </row>
    <row r="90" spans="1:60" ht="16.5" customHeight="1">
      <c r="A90" s="260">
        <v>68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30</v>
      </c>
      <c r="R90" s="262" t="s">
        <v>31</v>
      </c>
      <c r="S90" s="267" t="s">
        <v>31</v>
      </c>
      <c r="T90" s="268"/>
      <c r="U90" s="269">
        <v>39307000</v>
      </c>
      <c r="V90" s="269">
        <v>42582000</v>
      </c>
      <c r="W90" s="278">
        <v>26124000</v>
      </c>
      <c r="X90" s="270"/>
      <c r="Y90" s="262" t="s">
        <v>27</v>
      </c>
      <c r="Z90" s="271" t="s">
        <v>24</v>
      </c>
      <c r="AA90" s="287"/>
      <c r="AB90" s="287"/>
      <c r="AC90" s="272">
        <f t="shared" si="5"/>
        <v>40000000</v>
      </c>
      <c r="AD90" s="272">
        <v>40000000</v>
      </c>
      <c r="AE90" s="272">
        <f t="shared" si="6"/>
        <v>0</v>
      </c>
      <c r="AF90" s="273"/>
      <c r="AG90" s="274"/>
      <c r="AH90" s="273"/>
      <c r="AI90" s="273"/>
      <c r="AJ90" s="274"/>
      <c r="AK90" s="273"/>
      <c r="AL90" s="275"/>
      <c r="AM90" s="290"/>
      <c r="AN90" s="275"/>
      <c r="AO90" s="276"/>
      <c r="AP90" s="275"/>
      <c r="AQ90" s="275"/>
      <c r="AR90" s="275"/>
      <c r="AS90" s="275">
        <v>15000000</v>
      </c>
      <c r="AT90" s="275"/>
      <c r="AU90" s="275"/>
      <c r="AV90" s="275"/>
      <c r="AW90" s="275"/>
      <c r="AX90" s="275"/>
      <c r="AY90" s="275">
        <v>15000000</v>
      </c>
      <c r="AZ90" s="275"/>
      <c r="BA90" s="275"/>
      <c r="BB90" s="275"/>
      <c r="BC90" s="275">
        <v>10000000</v>
      </c>
      <c r="BD90" s="275"/>
      <c r="BE90" s="275"/>
      <c r="BF90" s="275"/>
      <c r="BH90" s="277"/>
    </row>
    <row r="91" spans="1:60" ht="16.5" customHeight="1">
      <c r="A91" s="260">
        <v>69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46</v>
      </c>
      <c r="R91" s="262" t="s">
        <v>47</v>
      </c>
      <c r="S91" s="267" t="s">
        <v>47</v>
      </c>
      <c r="T91" s="268"/>
      <c r="U91" s="269">
        <v>60000000</v>
      </c>
      <c r="V91" s="269">
        <v>60000000</v>
      </c>
      <c r="W91" s="278">
        <v>60000000</v>
      </c>
      <c r="X91" s="270"/>
      <c r="Y91" s="262" t="s">
        <v>27</v>
      </c>
      <c r="Z91" s="271" t="s">
        <v>27</v>
      </c>
      <c r="AA91" s="287"/>
      <c r="AB91" s="287"/>
      <c r="AC91" s="272">
        <f t="shared" si="5"/>
        <v>20000000</v>
      </c>
      <c r="AD91" s="272">
        <v>20000000</v>
      </c>
      <c r="AE91" s="272">
        <f t="shared" si="6"/>
        <v>0</v>
      </c>
      <c r="AF91" s="273">
        <v>5000000</v>
      </c>
      <c r="AG91" s="274">
        <v>5000000</v>
      </c>
      <c r="AH91" s="273"/>
      <c r="AI91" s="273">
        <v>5000000</v>
      </c>
      <c r="AJ91" s="274">
        <v>5000000</v>
      </c>
      <c r="AK91" s="273"/>
      <c r="AL91" s="275">
        <v>5000000</v>
      </c>
      <c r="AM91" s="290">
        <v>5000000</v>
      </c>
      <c r="AN91" s="275"/>
      <c r="AO91" s="276">
        <v>5000000</v>
      </c>
      <c r="AP91" s="275"/>
      <c r="AQ91" s="275"/>
      <c r="AR91" s="275"/>
      <c r="AS91" s="275"/>
      <c r="AT91" s="275"/>
      <c r="AU91" s="275"/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customHeight="1">
      <c r="A92" s="260">
        <v>70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136</v>
      </c>
      <c r="K92" s="262"/>
      <c r="L92" s="262"/>
      <c r="M92" s="262">
        <v>3882</v>
      </c>
      <c r="N92" s="262" t="s">
        <v>22</v>
      </c>
      <c r="O92" s="262" t="s">
        <v>56</v>
      </c>
      <c r="P92" s="262" t="s">
        <v>57</v>
      </c>
      <c r="Q92" s="262" t="s">
        <v>23</v>
      </c>
      <c r="R92" s="262" t="s">
        <v>397</v>
      </c>
      <c r="S92" s="267" t="s">
        <v>823</v>
      </c>
      <c r="T92" s="268"/>
      <c r="U92" s="269"/>
      <c r="V92" s="269">
        <v>0</v>
      </c>
      <c r="W92" s="278">
        <v>5400000</v>
      </c>
      <c r="X92" s="270"/>
      <c r="Y92" s="262" t="s">
        <v>24</v>
      </c>
      <c r="Z92" s="271" t="s">
        <v>27</v>
      </c>
      <c r="AA92" s="287"/>
      <c r="AB92" s="287"/>
      <c r="AC92" s="272">
        <f t="shared" si="5"/>
        <v>7400000</v>
      </c>
      <c r="AD92" s="272">
        <v>7400000</v>
      </c>
      <c r="AE92" s="272">
        <f t="shared" si="6"/>
        <v>0</v>
      </c>
      <c r="AF92" s="273"/>
      <c r="AG92" s="274"/>
      <c r="AH92" s="273"/>
      <c r="AI92" s="273"/>
      <c r="AJ92" s="274"/>
      <c r="AK92" s="273"/>
      <c r="AL92" s="275">
        <v>5400000</v>
      </c>
      <c r="AM92" s="290"/>
      <c r="AN92" s="275"/>
      <c r="AO92" s="276">
        <v>5400000</v>
      </c>
      <c r="AP92" s="275"/>
      <c r="AQ92" s="275"/>
      <c r="AR92" s="275"/>
      <c r="AS92" s="275"/>
      <c r="AT92" s="275"/>
      <c r="AU92" s="275">
        <v>2000000</v>
      </c>
      <c r="AV92" s="275"/>
      <c r="AW92" s="275"/>
      <c r="AX92" s="275"/>
      <c r="AY92" s="275"/>
      <c r="AZ92" s="275"/>
      <c r="BA92" s="275"/>
      <c r="BB92" s="275"/>
      <c r="BC92" s="275"/>
      <c r="BD92" s="275"/>
      <c r="BE92" s="275"/>
      <c r="BF92" s="275"/>
      <c r="BH92" s="277"/>
    </row>
    <row r="93" spans="1:60" ht="16.5" customHeight="1">
      <c r="A93" s="260">
        <v>71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137</v>
      </c>
      <c r="K93" s="262"/>
      <c r="L93" s="262"/>
      <c r="M93" s="262">
        <v>42782</v>
      </c>
      <c r="N93" s="262" t="s">
        <v>22</v>
      </c>
      <c r="O93" s="262" t="s">
        <v>212</v>
      </c>
      <c r="P93" s="262" t="s">
        <v>57</v>
      </c>
      <c r="Q93" s="262" t="s">
        <v>54</v>
      </c>
      <c r="R93" s="262" t="s">
        <v>467</v>
      </c>
      <c r="S93" s="267" t="s">
        <v>826</v>
      </c>
      <c r="T93" s="268"/>
      <c r="U93" s="269">
        <v>13311000</v>
      </c>
      <c r="V93" s="269">
        <v>18641000</v>
      </c>
      <c r="W93" s="278">
        <v>23581000</v>
      </c>
      <c r="X93" s="270"/>
      <c r="Y93" s="262" t="s">
        <v>27</v>
      </c>
      <c r="Z93" s="271" t="s">
        <v>27</v>
      </c>
      <c r="AA93" s="287"/>
      <c r="AB93" s="287"/>
      <c r="AC93" s="272">
        <f t="shared" si="5"/>
        <v>24000000</v>
      </c>
      <c r="AD93" s="272">
        <v>24000000</v>
      </c>
      <c r="AE93" s="272">
        <f t="shared" si="6"/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/>
      <c r="AP93" s="275"/>
      <c r="AQ93" s="275"/>
      <c r="AR93" s="275"/>
      <c r="AS93" s="275">
        <v>12000000</v>
      </c>
      <c r="AT93" s="275"/>
      <c r="AU93" s="275"/>
      <c r="AV93" s="275"/>
      <c r="AW93" s="275"/>
      <c r="AX93" s="275"/>
      <c r="AY93" s="275"/>
      <c r="AZ93" s="275"/>
      <c r="BA93" s="275">
        <v>12000000</v>
      </c>
      <c r="BB93" s="275"/>
      <c r="BC93" s="275"/>
      <c r="BD93" s="275"/>
      <c r="BE93" s="275"/>
      <c r="BF93" s="275"/>
      <c r="BH93" s="277"/>
    </row>
    <row r="94" spans="1:60" ht="16.5" customHeight="1">
      <c r="A94" s="260">
        <v>72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212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 t="s">
        <v>951</v>
      </c>
      <c r="U94" s="269">
        <v>200134396</v>
      </c>
      <c r="V94" s="269">
        <v>195137580</v>
      </c>
      <c r="W94" s="278">
        <v>140881440</v>
      </c>
      <c r="X94" s="270"/>
      <c r="Y94" s="262" t="s">
        <v>27</v>
      </c>
      <c r="Z94" s="271" t="s">
        <v>27</v>
      </c>
      <c r="AA94" s="287"/>
      <c r="AB94" s="287"/>
      <c r="AC94" s="272">
        <f t="shared" si="5"/>
        <v>111146760</v>
      </c>
      <c r="AD94" s="272">
        <v>113000000</v>
      </c>
      <c r="AE94" s="272">
        <f t="shared" si="6"/>
        <v>-1853240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>
        <v>36146760</v>
      </c>
      <c r="AP94" s="275"/>
      <c r="AQ94" s="275"/>
      <c r="AR94" s="275"/>
      <c r="AS94" s="275"/>
      <c r="AT94" s="275"/>
      <c r="AU94" s="275">
        <v>25000000</v>
      </c>
      <c r="AV94" s="275"/>
      <c r="AW94" s="275"/>
      <c r="AX94" s="275"/>
      <c r="AY94" s="275"/>
      <c r="AZ94" s="275"/>
      <c r="BA94" s="275">
        <v>25000000</v>
      </c>
      <c r="BB94" s="275"/>
      <c r="BC94" s="275"/>
      <c r="BD94" s="275"/>
      <c r="BE94" s="275">
        <v>25000000</v>
      </c>
      <c r="BF94" s="275"/>
      <c r="BH94" s="277"/>
    </row>
    <row r="95" spans="1:60" ht="16.5" customHeight="1">
      <c r="A95" s="260">
        <v>73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56</v>
      </c>
      <c r="P95" s="262" t="s">
        <v>57</v>
      </c>
      <c r="Q95" s="262" t="s">
        <v>63</v>
      </c>
      <c r="R95" s="262" t="s">
        <v>28</v>
      </c>
      <c r="S95" s="267" t="s">
        <v>28</v>
      </c>
      <c r="T95" s="268"/>
      <c r="U95" s="269"/>
      <c r="V95" s="269">
        <v>0</v>
      </c>
      <c r="W95" s="278">
        <v>0</v>
      </c>
      <c r="X95" s="270"/>
      <c r="Y95" s="262" t="s">
        <v>24</v>
      </c>
      <c r="Z95" s="271" t="s">
        <v>24</v>
      </c>
      <c r="AA95" s="287"/>
      <c r="AB95" s="287"/>
      <c r="AC95" s="272">
        <f t="shared" si="5"/>
        <v>90000000</v>
      </c>
      <c r="AD95" s="272">
        <v>90000000</v>
      </c>
      <c r="AE95" s="272">
        <f t="shared" si="6"/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75"/>
      <c r="AR95" s="275"/>
      <c r="AS95" s="275"/>
      <c r="AT95" s="275"/>
      <c r="AU95" s="275">
        <v>30000000</v>
      </c>
      <c r="AV95" s="275"/>
      <c r="AW95" s="275"/>
      <c r="AX95" s="275"/>
      <c r="AY95" s="275"/>
      <c r="AZ95" s="275"/>
      <c r="BA95" s="275">
        <v>30000000</v>
      </c>
      <c r="BB95" s="275"/>
      <c r="BC95" s="275"/>
      <c r="BD95" s="275"/>
      <c r="BE95" s="275">
        <v>30000000</v>
      </c>
      <c r="BF95" s="275"/>
      <c r="BH95" s="277"/>
    </row>
    <row r="96" spans="1:60" ht="16.5" customHeight="1">
      <c r="A96" s="260">
        <v>74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35</v>
      </c>
      <c r="P96" s="262" t="s">
        <v>57</v>
      </c>
      <c r="Q96" s="262"/>
      <c r="R96" s="262"/>
      <c r="S96" s="267" t="s">
        <v>822</v>
      </c>
      <c r="T96" s="268"/>
      <c r="U96" s="269"/>
      <c r="V96" s="269"/>
      <c r="W96" s="278">
        <v>0</v>
      </c>
      <c r="X96" s="270"/>
      <c r="Y96" s="262"/>
      <c r="Z96" s="271" t="s">
        <v>25</v>
      </c>
      <c r="AA96" s="287"/>
      <c r="AB96" s="287"/>
      <c r="AC96" s="272">
        <f t="shared" si="5"/>
        <v>20000000</v>
      </c>
      <c r="AD96" s="272">
        <v>20000000</v>
      </c>
      <c r="AE96" s="272">
        <f t="shared" si="6"/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75">
        <v>20000000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customHeight="1">
      <c r="A97" s="260">
        <v>75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138</v>
      </c>
      <c r="K97" s="262"/>
      <c r="L97" s="262"/>
      <c r="M97" s="262">
        <v>46076</v>
      </c>
      <c r="N97" s="262" t="s">
        <v>22</v>
      </c>
      <c r="O97" s="262" t="s">
        <v>56</v>
      </c>
      <c r="P97" s="262" t="s">
        <v>57</v>
      </c>
      <c r="Q97" s="262" t="s">
        <v>23</v>
      </c>
      <c r="R97" s="262" t="s">
        <v>397</v>
      </c>
      <c r="S97" s="267" t="s">
        <v>823</v>
      </c>
      <c r="T97" s="268"/>
      <c r="U97" s="269"/>
      <c r="V97" s="269">
        <v>6742500</v>
      </c>
      <c r="W97" s="278">
        <v>4000000</v>
      </c>
      <c r="X97" s="270"/>
      <c r="Y97" s="262" t="s">
        <v>27</v>
      </c>
      <c r="Z97" s="271" t="s">
        <v>24</v>
      </c>
      <c r="AA97" s="287"/>
      <c r="AB97" s="287"/>
      <c r="AC97" s="272">
        <f t="shared" si="5"/>
        <v>5000000</v>
      </c>
      <c r="AD97" s="272">
        <v>5000000</v>
      </c>
      <c r="AE97" s="272">
        <f t="shared" si="6"/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>
        <v>5000000</v>
      </c>
      <c r="AR97" s="275"/>
      <c r="AS97" s="275"/>
      <c r="AT97" s="275"/>
      <c r="AU97" s="275"/>
      <c r="AV97" s="275"/>
      <c r="AW97" s="275"/>
      <c r="AX97" s="275"/>
      <c r="AY97" s="275"/>
      <c r="AZ97" s="275"/>
      <c r="BA97" s="275"/>
      <c r="BB97" s="275"/>
      <c r="BC97" s="275"/>
      <c r="BD97" s="275"/>
      <c r="BE97" s="275"/>
      <c r="BF97" s="275"/>
      <c r="BH97" s="277"/>
    </row>
    <row r="98" spans="1:60" ht="16.5" customHeight="1">
      <c r="A98" s="260">
        <v>76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 t="s">
        <v>57</v>
      </c>
      <c r="Q98" s="262" t="s">
        <v>63</v>
      </c>
      <c r="R98" s="262" t="s">
        <v>28</v>
      </c>
      <c r="S98" s="267" t="s">
        <v>28</v>
      </c>
      <c r="T98" s="268"/>
      <c r="U98" s="269">
        <v>3455820</v>
      </c>
      <c r="V98" s="269">
        <v>0</v>
      </c>
      <c r="W98" s="278">
        <v>0</v>
      </c>
      <c r="X98" s="270"/>
      <c r="Y98" s="262" t="s">
        <v>27</v>
      </c>
      <c r="Z98" s="271" t="s">
        <v>27</v>
      </c>
      <c r="AA98" s="287"/>
      <c r="AB98" s="287"/>
      <c r="AC98" s="272">
        <f t="shared" si="5"/>
        <v>3000000</v>
      </c>
      <c r="AD98" s="272">
        <v>3000000</v>
      </c>
      <c r="AE98" s="272">
        <f t="shared" si="6"/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75"/>
      <c r="AR98" s="275"/>
      <c r="AS98" s="275"/>
      <c r="AT98" s="275"/>
      <c r="AU98" s="275">
        <v>1000000</v>
      </c>
      <c r="AV98" s="275"/>
      <c r="AW98" s="275"/>
      <c r="AX98" s="275"/>
      <c r="AY98" s="275">
        <v>1000000</v>
      </c>
      <c r="AZ98" s="275"/>
      <c r="BA98" s="275"/>
      <c r="BB98" s="275"/>
      <c r="BC98" s="275">
        <v>1000000</v>
      </c>
      <c r="BD98" s="275"/>
      <c r="BE98" s="275"/>
      <c r="BF98" s="275"/>
      <c r="BH98" s="277"/>
    </row>
    <row r="99" spans="1:60" ht="16.5" customHeight="1">
      <c r="A99" s="260">
        <v>77</v>
      </c>
      <c r="B99" s="261"/>
      <c r="C99" s="261"/>
      <c r="D99" s="262" t="s">
        <v>15</v>
      </c>
      <c r="E99" s="262" t="s">
        <v>113</v>
      </c>
      <c r="F99" s="263" t="s">
        <v>15</v>
      </c>
      <c r="G99" s="264" t="s">
        <v>113</v>
      </c>
      <c r="H99" s="281"/>
      <c r="I99" s="265"/>
      <c r="J99" s="266" t="s">
        <v>139</v>
      </c>
      <c r="K99" s="262"/>
      <c r="L99" s="262"/>
      <c r="M99" s="262">
        <v>58628</v>
      </c>
      <c r="N99" s="262" t="s">
        <v>22</v>
      </c>
      <c r="O99" s="262" t="s">
        <v>212</v>
      </c>
      <c r="P99" s="262"/>
      <c r="Q99" s="262" t="s">
        <v>26</v>
      </c>
      <c r="R99" s="262" t="s">
        <v>468</v>
      </c>
      <c r="S99" s="267" t="s">
        <v>468</v>
      </c>
      <c r="T99" s="268"/>
      <c r="U99" s="269">
        <v>7200000</v>
      </c>
      <c r="V99" s="269">
        <v>0</v>
      </c>
      <c r="W99" s="278">
        <v>0</v>
      </c>
      <c r="X99" s="270"/>
      <c r="Y99" s="262" t="s">
        <v>24</v>
      </c>
      <c r="Z99" s="271" t="s">
        <v>24</v>
      </c>
      <c r="AA99" s="287"/>
      <c r="AB99" s="287"/>
      <c r="AC99" s="272">
        <f t="shared" si="5"/>
        <v>6000000</v>
      </c>
      <c r="AD99" s="272">
        <v>6000000</v>
      </c>
      <c r="AE99" s="272">
        <f t="shared" si="6"/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75">
        <v>3000000</v>
      </c>
      <c r="AR99" s="275"/>
      <c r="AS99" s="275"/>
      <c r="AT99" s="275"/>
      <c r="AU99" s="275"/>
      <c r="AV99" s="275"/>
      <c r="AW99" s="275"/>
      <c r="AX99" s="275"/>
      <c r="AY99" s="275">
        <v>3000000</v>
      </c>
      <c r="AZ99" s="275"/>
      <c r="BA99" s="275"/>
      <c r="BB99" s="275"/>
      <c r="BC99" s="275"/>
      <c r="BD99" s="275"/>
      <c r="BE99" s="275"/>
      <c r="BF99" s="275"/>
      <c r="BH99" s="277"/>
    </row>
    <row r="100" spans="1:60" ht="16.5" customHeight="1">
      <c r="A100" s="260">
        <v>78</v>
      </c>
      <c r="B100" s="261"/>
      <c r="C100" s="261"/>
      <c r="D100" s="262"/>
      <c r="E100" s="262"/>
      <c r="F100" s="263" t="s">
        <v>15</v>
      </c>
      <c r="G100" s="264" t="s">
        <v>113</v>
      </c>
      <c r="H100" s="281"/>
      <c r="I100" s="265"/>
      <c r="J100" s="266" t="s">
        <v>953</v>
      </c>
      <c r="K100" s="262"/>
      <c r="L100" s="262"/>
      <c r="M100" s="262" t="s">
        <v>954</v>
      </c>
      <c r="N100" s="262"/>
      <c r="O100" s="262"/>
      <c r="P100" s="262"/>
      <c r="Q100" s="262"/>
      <c r="R100" s="262"/>
      <c r="S100" s="267" t="s">
        <v>28</v>
      </c>
      <c r="T100" s="268"/>
      <c r="U100" s="269"/>
      <c r="V100" s="269"/>
      <c r="W100" s="278">
        <v>0</v>
      </c>
      <c r="X100" s="270"/>
      <c r="Y100" s="262"/>
      <c r="Z100" s="271" t="s">
        <v>27</v>
      </c>
      <c r="AA100" s="287"/>
      <c r="AB100" s="287"/>
      <c r="AC100" s="272">
        <f t="shared" si="5"/>
        <v>29000000</v>
      </c>
      <c r="AD100" s="272">
        <v>29000000</v>
      </c>
      <c r="AE100" s="272">
        <f t="shared" si="6"/>
        <v>0</v>
      </c>
      <c r="AF100" s="273"/>
      <c r="AG100" s="274"/>
      <c r="AH100" s="273"/>
      <c r="AI100" s="273"/>
      <c r="AJ100" s="274"/>
      <c r="AK100" s="273"/>
      <c r="AL100" s="275"/>
      <c r="AM100" s="290"/>
      <c r="AN100" s="275"/>
      <c r="AO100" s="276"/>
      <c r="AP100" s="275"/>
      <c r="AQ100" s="275">
        <v>4000000</v>
      </c>
      <c r="AR100" s="275"/>
      <c r="AS100" s="275">
        <v>4000000</v>
      </c>
      <c r="AT100" s="275"/>
      <c r="AU100" s="275">
        <v>4000000</v>
      </c>
      <c r="AV100" s="275"/>
      <c r="AW100" s="275">
        <v>3000000</v>
      </c>
      <c r="AX100" s="275"/>
      <c r="AY100" s="275">
        <v>4000000</v>
      </c>
      <c r="AZ100" s="275"/>
      <c r="BA100" s="275">
        <v>3000000</v>
      </c>
      <c r="BB100" s="275"/>
      <c r="BC100" s="275">
        <v>4000000</v>
      </c>
      <c r="BD100" s="275"/>
      <c r="BE100" s="275">
        <v>3000000</v>
      </c>
      <c r="BF100" s="275"/>
      <c r="BH100" s="277"/>
    </row>
    <row r="101" spans="1:60" ht="16.5" customHeight="1">
      <c r="A101" s="260">
        <v>79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57803</v>
      </c>
      <c r="N101" s="262" t="s">
        <v>22</v>
      </c>
      <c r="O101" s="262" t="s">
        <v>212</v>
      </c>
      <c r="P101" s="262" t="s">
        <v>57</v>
      </c>
      <c r="Q101" s="262" t="s">
        <v>18</v>
      </c>
      <c r="R101" s="262" t="s">
        <v>28</v>
      </c>
      <c r="S101" s="267" t="s">
        <v>28</v>
      </c>
      <c r="T101" s="268" t="s">
        <v>951</v>
      </c>
      <c r="U101" s="269">
        <v>34758092</v>
      </c>
      <c r="V101" s="269">
        <v>97799622</v>
      </c>
      <c r="W101" s="278">
        <v>109304300</v>
      </c>
      <c r="X101" s="270"/>
      <c r="Y101" s="262" t="s">
        <v>27</v>
      </c>
      <c r="Z101" s="271" t="s">
        <v>27</v>
      </c>
      <c r="AA101" s="287"/>
      <c r="AB101" s="287"/>
      <c r="AC101" s="272">
        <f t="shared" si="5"/>
        <v>96011620</v>
      </c>
      <c r="AD101" s="272">
        <v>96329420</v>
      </c>
      <c r="AE101" s="272">
        <f t="shared" si="6"/>
        <v>-317800</v>
      </c>
      <c r="AF101" s="273">
        <v>7416100</v>
      </c>
      <c r="AG101" s="274">
        <v>10204500</v>
      </c>
      <c r="AH101" s="273"/>
      <c r="AI101" s="273">
        <v>6000000</v>
      </c>
      <c r="AJ101" s="274">
        <v>7915300</v>
      </c>
      <c r="AK101" s="273"/>
      <c r="AL101" s="275">
        <v>7450380</v>
      </c>
      <c r="AM101" s="290">
        <v>7450380</v>
      </c>
      <c r="AN101" s="275"/>
      <c r="AO101" s="276">
        <v>7441440</v>
      </c>
      <c r="AP101" s="275"/>
      <c r="AQ101" s="275">
        <v>6000000</v>
      </c>
      <c r="AR101" s="275"/>
      <c r="AS101" s="275">
        <v>6000000</v>
      </c>
      <c r="AT101" s="275"/>
      <c r="AU101" s="275">
        <v>6000000</v>
      </c>
      <c r="AV101" s="275"/>
      <c r="AW101" s="275">
        <v>7000000</v>
      </c>
      <c r="AX101" s="275"/>
      <c r="AY101" s="275">
        <v>6000000</v>
      </c>
      <c r="AZ101" s="275"/>
      <c r="BA101" s="275">
        <v>7000000</v>
      </c>
      <c r="BB101" s="275"/>
      <c r="BC101" s="275">
        <v>15000000</v>
      </c>
      <c r="BD101" s="275"/>
      <c r="BE101" s="275">
        <v>10000000</v>
      </c>
      <c r="BF101" s="275"/>
      <c r="BH101" s="277"/>
    </row>
    <row r="102" spans="1:60" ht="16.5" customHeight="1">
      <c r="A102" s="260">
        <v>80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140</v>
      </c>
      <c r="K102" s="262"/>
      <c r="L102" s="262"/>
      <c r="M102" s="262">
        <v>4654</v>
      </c>
      <c r="N102" s="262" t="s">
        <v>22</v>
      </c>
      <c r="O102" s="262" t="s">
        <v>212</v>
      </c>
      <c r="P102" s="262"/>
      <c r="Q102" s="262" t="s">
        <v>26</v>
      </c>
      <c r="R102" s="262" t="s">
        <v>468</v>
      </c>
      <c r="S102" s="267" t="s">
        <v>468</v>
      </c>
      <c r="T102" s="268"/>
      <c r="U102" s="269"/>
      <c r="V102" s="269">
        <v>0</v>
      </c>
      <c r="W102" s="278">
        <v>0</v>
      </c>
      <c r="X102" s="270"/>
      <c r="Y102" s="262" t="s">
        <v>24</v>
      </c>
      <c r="Z102" s="271" t="s">
        <v>25</v>
      </c>
      <c r="AA102" s="287"/>
      <c r="AB102" s="287"/>
      <c r="AC102" s="272">
        <f t="shared" si="5"/>
        <v>5000000</v>
      </c>
      <c r="AD102" s="272">
        <v>5000000</v>
      </c>
      <c r="AE102" s="272">
        <f t="shared" si="6"/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75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/>
      <c r="BB102" s="275"/>
      <c r="BC102" s="275"/>
      <c r="BD102" s="275"/>
      <c r="BE102" s="275"/>
      <c r="BF102" s="275"/>
      <c r="BH102" s="277"/>
    </row>
    <row r="103" spans="1:60" ht="16.5" customHeight="1">
      <c r="A103" s="260">
        <v>81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63</v>
      </c>
      <c r="R103" s="262" t="s">
        <v>19</v>
      </c>
      <c r="S103" s="267" t="s">
        <v>19</v>
      </c>
      <c r="T103" s="268"/>
      <c r="U103" s="269">
        <v>17248000</v>
      </c>
      <c r="V103" s="269">
        <v>13000000</v>
      </c>
      <c r="W103" s="278">
        <v>9015000</v>
      </c>
      <c r="X103" s="270"/>
      <c r="Y103" s="262" t="s">
        <v>27</v>
      </c>
      <c r="Z103" s="271" t="s">
        <v>24</v>
      </c>
      <c r="AA103" s="287"/>
      <c r="AB103" s="287"/>
      <c r="AC103" s="272">
        <f t="shared" si="5"/>
        <v>10000000</v>
      </c>
      <c r="AD103" s="272">
        <v>10000000</v>
      </c>
      <c r="AE103" s="272">
        <f t="shared" si="6"/>
        <v>0</v>
      </c>
      <c r="AF103" s="273"/>
      <c r="AG103" s="274"/>
      <c r="AH103" s="273"/>
      <c r="AI103" s="273"/>
      <c r="AJ103" s="274"/>
      <c r="AK103" s="273"/>
      <c r="AL103" s="275"/>
      <c r="AM103" s="290"/>
      <c r="AN103" s="275"/>
      <c r="AO103" s="276"/>
      <c r="AP103" s="275"/>
      <c r="AQ103" s="275">
        <v>5000000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>
        <v>5000000</v>
      </c>
      <c r="BB103" s="275"/>
      <c r="BC103" s="275"/>
      <c r="BD103" s="275"/>
      <c r="BE103" s="275"/>
      <c r="BF103" s="275"/>
      <c r="BH103" s="277"/>
    </row>
    <row r="104" spans="1:60" ht="16.5" customHeight="1">
      <c r="A104" s="260">
        <v>82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>
        <v>50000000</v>
      </c>
      <c r="V104" s="269">
        <v>37000000</v>
      </c>
      <c r="W104" s="278">
        <v>50000000</v>
      </c>
      <c r="X104" s="270"/>
      <c r="Y104" s="262" t="s">
        <v>27</v>
      </c>
      <c r="Z104" s="271" t="s">
        <v>27</v>
      </c>
      <c r="AA104" s="287"/>
      <c r="AB104" s="287"/>
      <c r="AC104" s="272">
        <f t="shared" si="5"/>
        <v>20000000</v>
      </c>
      <c r="AD104" s="272">
        <v>20000000</v>
      </c>
      <c r="AE104" s="272">
        <f t="shared" si="6"/>
        <v>0</v>
      </c>
      <c r="AF104" s="273">
        <v>4000000</v>
      </c>
      <c r="AG104" s="274">
        <v>4000000</v>
      </c>
      <c r="AH104" s="273"/>
      <c r="AI104" s="273">
        <v>4000000</v>
      </c>
      <c r="AJ104" s="274">
        <v>4000000</v>
      </c>
      <c r="AK104" s="273"/>
      <c r="AL104" s="275">
        <v>4000000</v>
      </c>
      <c r="AM104" s="290">
        <v>4000000</v>
      </c>
      <c r="AN104" s="275"/>
      <c r="AO104" s="276">
        <v>4000000</v>
      </c>
      <c r="AP104" s="275"/>
      <c r="AQ104" s="275">
        <v>4000000</v>
      </c>
      <c r="AR104" s="275"/>
      <c r="AS104" s="275"/>
      <c r="AT104" s="275"/>
      <c r="AU104" s="275"/>
      <c r="AV104" s="275"/>
      <c r="AW104" s="275"/>
      <c r="AX104" s="275"/>
      <c r="AY104" s="275"/>
      <c r="AZ104" s="275"/>
      <c r="BA104" s="275"/>
      <c r="BB104" s="275"/>
      <c r="BC104" s="275"/>
      <c r="BD104" s="275"/>
      <c r="BE104" s="275"/>
      <c r="BF104" s="275"/>
      <c r="BH104" s="277"/>
    </row>
    <row r="105" spans="1:60" ht="16.5" customHeight="1">
      <c r="A105" s="260">
        <v>83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17</v>
      </c>
      <c r="O105" s="262" t="s">
        <v>212</v>
      </c>
      <c r="P105" s="262" t="s">
        <v>57</v>
      </c>
      <c r="Q105" s="262" t="s">
        <v>46</v>
      </c>
      <c r="R105" s="262" t="s">
        <v>47</v>
      </c>
      <c r="S105" s="267" t="s">
        <v>47</v>
      </c>
      <c r="T105" s="268"/>
      <c r="U105" s="269"/>
      <c r="V105" s="269"/>
      <c r="W105" s="278">
        <v>0</v>
      </c>
      <c r="X105" s="270"/>
      <c r="Y105" s="262"/>
      <c r="Z105" s="271" t="s">
        <v>24</v>
      </c>
      <c r="AA105" s="287"/>
      <c r="AB105" s="287"/>
      <c r="AC105" s="272">
        <f t="shared" si="5"/>
        <v>30000000</v>
      </c>
      <c r="AD105" s="272">
        <v>30000000</v>
      </c>
      <c r="AE105" s="272">
        <f t="shared" si="6"/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75"/>
      <c r="AR105" s="275"/>
      <c r="AS105" s="275">
        <v>5000000</v>
      </c>
      <c r="AT105" s="275"/>
      <c r="AU105" s="275">
        <v>4000000</v>
      </c>
      <c r="AV105" s="275"/>
      <c r="AW105" s="275">
        <v>4000000</v>
      </c>
      <c r="AX105" s="275"/>
      <c r="AY105" s="275">
        <v>4000000</v>
      </c>
      <c r="AZ105" s="275"/>
      <c r="BA105" s="275">
        <v>4000000</v>
      </c>
      <c r="BB105" s="275"/>
      <c r="BC105" s="275">
        <v>5000000</v>
      </c>
      <c r="BD105" s="275"/>
      <c r="BE105" s="275">
        <v>4000000</v>
      </c>
      <c r="BF105" s="275"/>
      <c r="BH105" s="277"/>
    </row>
    <row r="106" spans="1:60" ht="16.5" customHeight="1">
      <c r="A106" s="260">
        <v>84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141</v>
      </c>
      <c r="K106" s="262"/>
      <c r="L106" s="262"/>
      <c r="M106" s="262">
        <v>46253</v>
      </c>
      <c r="N106" s="262" t="s">
        <v>22</v>
      </c>
      <c r="O106" s="262" t="s">
        <v>212</v>
      </c>
      <c r="P106" s="262" t="s">
        <v>57</v>
      </c>
      <c r="Q106" s="262" t="s">
        <v>44</v>
      </c>
      <c r="R106" s="262" t="s">
        <v>469</v>
      </c>
      <c r="S106" s="267" t="s">
        <v>469</v>
      </c>
      <c r="T106" s="268"/>
      <c r="U106" s="269">
        <v>12000000</v>
      </c>
      <c r="V106" s="269">
        <v>9500000</v>
      </c>
      <c r="W106" s="278">
        <v>10197000</v>
      </c>
      <c r="X106" s="270"/>
      <c r="Y106" s="262" t="s">
        <v>27</v>
      </c>
      <c r="Z106" s="271" t="s">
        <v>25</v>
      </c>
      <c r="AA106" s="287"/>
      <c r="AB106" s="287"/>
      <c r="AC106" s="272">
        <f t="shared" si="5"/>
        <v>11000000</v>
      </c>
      <c r="AD106" s="272">
        <v>11000000</v>
      </c>
      <c r="AE106" s="272">
        <f t="shared" si="6"/>
        <v>0</v>
      </c>
      <c r="AF106" s="273"/>
      <c r="AG106" s="274"/>
      <c r="AH106" s="273"/>
      <c r="AI106" s="273"/>
      <c r="AJ106" s="274"/>
      <c r="AK106" s="273"/>
      <c r="AL106" s="275"/>
      <c r="AM106" s="290"/>
      <c r="AN106" s="275"/>
      <c r="AO106" s="276"/>
      <c r="AP106" s="275"/>
      <c r="AQ106" s="275">
        <v>5000000</v>
      </c>
      <c r="AR106" s="275"/>
      <c r="AS106" s="275"/>
      <c r="AT106" s="275"/>
      <c r="AU106" s="275"/>
      <c r="AV106" s="275"/>
      <c r="AW106" s="275">
        <v>6000000</v>
      </c>
      <c r="AX106" s="275"/>
      <c r="AY106" s="275"/>
      <c r="AZ106" s="275"/>
      <c r="BA106" s="275"/>
      <c r="BB106" s="275"/>
      <c r="BC106" s="275"/>
      <c r="BD106" s="275"/>
      <c r="BE106" s="275"/>
      <c r="BF106" s="275"/>
      <c r="BH106" s="277"/>
    </row>
    <row r="107" spans="1:60" ht="16.5" customHeight="1">
      <c r="A107" s="260">
        <v>85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142</v>
      </c>
      <c r="K107" s="262"/>
      <c r="L107" s="262"/>
      <c r="M107" s="262">
        <v>18365</v>
      </c>
      <c r="N107" s="262" t="s">
        <v>17</v>
      </c>
      <c r="O107" s="262" t="s">
        <v>212</v>
      </c>
      <c r="P107" s="262" t="s">
        <v>57</v>
      </c>
      <c r="Q107" s="262" t="s">
        <v>18</v>
      </c>
      <c r="R107" s="262" t="s">
        <v>19</v>
      </c>
      <c r="S107" s="267" t="s">
        <v>19</v>
      </c>
      <c r="T107" s="268" t="s">
        <v>951</v>
      </c>
      <c r="U107" s="269">
        <v>5144000</v>
      </c>
      <c r="V107" s="269">
        <v>9164000</v>
      </c>
      <c r="W107" s="278">
        <v>2511000</v>
      </c>
      <c r="X107" s="270"/>
      <c r="Y107" s="262" t="s">
        <v>27</v>
      </c>
      <c r="Z107" s="271" t="s">
        <v>27</v>
      </c>
      <c r="AA107" s="287"/>
      <c r="AB107" s="287"/>
      <c r="AC107" s="272">
        <f t="shared" si="5"/>
        <v>8340000</v>
      </c>
      <c r="AD107" s="272">
        <v>9000000</v>
      </c>
      <c r="AE107" s="272">
        <f t="shared" si="6"/>
        <v>-660000</v>
      </c>
      <c r="AF107" s="273"/>
      <c r="AG107" s="274"/>
      <c r="AH107" s="273"/>
      <c r="AI107" s="273">
        <v>1000000</v>
      </c>
      <c r="AJ107" s="274"/>
      <c r="AK107" s="273"/>
      <c r="AL107" s="275"/>
      <c r="AM107" s="290"/>
      <c r="AN107" s="275"/>
      <c r="AO107" s="276">
        <v>340000</v>
      </c>
      <c r="AP107" s="275"/>
      <c r="AQ107" s="275">
        <v>1000000</v>
      </c>
      <c r="AR107" s="275"/>
      <c r="AS107" s="275">
        <v>1000000</v>
      </c>
      <c r="AT107" s="275"/>
      <c r="AU107" s="275">
        <v>1000000</v>
      </c>
      <c r="AV107" s="275"/>
      <c r="AW107" s="275">
        <v>1000000</v>
      </c>
      <c r="AX107" s="275"/>
      <c r="AY107" s="275">
        <v>1000000</v>
      </c>
      <c r="AZ107" s="275"/>
      <c r="BA107" s="275">
        <v>1000000</v>
      </c>
      <c r="BB107" s="275"/>
      <c r="BC107" s="275">
        <v>1000000</v>
      </c>
      <c r="BD107" s="275"/>
      <c r="BE107" s="275">
        <v>1000000</v>
      </c>
      <c r="BF107" s="275"/>
      <c r="BH107" s="277"/>
    </row>
    <row r="108" spans="1:60" ht="16.5" customHeight="1">
      <c r="A108" s="260">
        <v>86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169</v>
      </c>
      <c r="K108" s="262"/>
      <c r="L108" s="262"/>
      <c r="M108" s="262">
        <v>58702</v>
      </c>
      <c r="N108" s="262" t="s">
        <v>22</v>
      </c>
      <c r="O108" s="262" t="s">
        <v>56</v>
      </c>
      <c r="P108" s="262" t="s">
        <v>124</v>
      </c>
      <c r="Q108" s="262" t="s">
        <v>23</v>
      </c>
      <c r="R108" s="262" t="s">
        <v>397</v>
      </c>
      <c r="S108" s="267" t="s">
        <v>823</v>
      </c>
      <c r="T108" s="268"/>
      <c r="U108" s="269">
        <v>19000000</v>
      </c>
      <c r="V108" s="269">
        <v>9000000</v>
      </c>
      <c r="W108" s="278">
        <v>0</v>
      </c>
      <c r="X108" s="270"/>
      <c r="Y108" s="262" t="s">
        <v>20</v>
      </c>
      <c r="Z108" s="271" t="s">
        <v>20</v>
      </c>
      <c r="AA108" s="287"/>
      <c r="AB108" s="287"/>
      <c r="AC108" s="272">
        <f t="shared" si="5"/>
        <v>0</v>
      </c>
      <c r="AD108" s="272">
        <v>0</v>
      </c>
      <c r="AE108" s="272">
        <f t="shared" si="6"/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customHeight="1">
      <c r="A109" s="260">
        <v>87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/>
      <c r="O109" s="262"/>
      <c r="P109" s="262"/>
      <c r="Q109" s="262"/>
      <c r="R109" s="262"/>
      <c r="S109" s="267" t="s">
        <v>28</v>
      </c>
      <c r="T109" s="268"/>
      <c r="U109" s="269"/>
      <c r="V109" s="269"/>
      <c r="W109" s="278">
        <v>14996300</v>
      </c>
      <c r="X109" s="270"/>
      <c r="Y109" s="262"/>
      <c r="Z109" s="271" t="s">
        <v>718</v>
      </c>
      <c r="AA109" s="287"/>
      <c r="AB109" s="287"/>
      <c r="AC109" s="272">
        <f t="shared" si="5"/>
        <v>0</v>
      </c>
      <c r="AD109" s="272">
        <v>0</v>
      </c>
      <c r="AE109" s="272">
        <f t="shared" si="6"/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customHeight="1">
      <c r="A110" s="260">
        <v>88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 t="s">
        <v>56</v>
      </c>
      <c r="P110" s="262" t="s">
        <v>124</v>
      </c>
      <c r="Q110" s="262" t="s">
        <v>18</v>
      </c>
      <c r="R110" s="262" t="s">
        <v>19</v>
      </c>
      <c r="S110" s="267" t="s">
        <v>19</v>
      </c>
      <c r="T110" s="268"/>
      <c r="U110" s="269">
        <v>43214200</v>
      </c>
      <c r="V110" s="269">
        <v>13867120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 t="shared" si="5"/>
        <v>0</v>
      </c>
      <c r="AD110" s="272">
        <v>0</v>
      </c>
      <c r="AE110" s="272">
        <f t="shared" si="6"/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customHeight="1">
      <c r="A111" s="260">
        <v>89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170</v>
      </c>
      <c r="K111" s="262"/>
      <c r="L111" s="262"/>
      <c r="M111" s="262">
        <v>2156</v>
      </c>
      <c r="N111" s="262" t="s">
        <v>22</v>
      </c>
      <c r="O111" s="262"/>
      <c r="P111" s="262" t="s">
        <v>124</v>
      </c>
      <c r="Q111" s="262" t="s">
        <v>23</v>
      </c>
      <c r="R111" s="262" t="s">
        <v>397</v>
      </c>
      <c r="S111" s="267" t="s">
        <v>823</v>
      </c>
      <c r="T111" s="268"/>
      <c r="U111" s="269"/>
      <c r="V111" s="269">
        <v>3100000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 t="shared" si="5"/>
        <v>0</v>
      </c>
      <c r="AD111" s="272">
        <v>0</v>
      </c>
      <c r="AE111" s="272">
        <f t="shared" si="6"/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customHeight="1">
      <c r="A112" s="260">
        <v>90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171</v>
      </c>
      <c r="K112" s="262"/>
      <c r="L112" s="262"/>
      <c r="M112" s="262">
        <v>2156</v>
      </c>
      <c r="N112" s="262" t="s">
        <v>22</v>
      </c>
      <c r="O112" s="262" t="s">
        <v>56</v>
      </c>
      <c r="P112" s="262"/>
      <c r="Q112" s="262" t="s">
        <v>26</v>
      </c>
      <c r="R112" s="262" t="s">
        <v>468</v>
      </c>
      <c r="S112" s="267" t="s">
        <v>468</v>
      </c>
      <c r="T112" s="268"/>
      <c r="U112" s="269">
        <v>2200000</v>
      </c>
      <c r="V112" s="269">
        <v>2400000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 t="shared" si="5"/>
        <v>0</v>
      </c>
      <c r="AD112" s="272">
        <v>0</v>
      </c>
      <c r="AE112" s="272">
        <f t="shared" si="6"/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customHeight="1">
      <c r="A113" s="260">
        <v>91</v>
      </c>
      <c r="B113" s="261"/>
      <c r="C113" s="261"/>
      <c r="D113" s="262" t="s">
        <v>15</v>
      </c>
      <c r="E113" s="262" t="s">
        <v>113</v>
      </c>
      <c r="F113" s="263" t="s">
        <v>15</v>
      </c>
      <c r="G113" s="264" t="s">
        <v>113</v>
      </c>
      <c r="H113" s="281"/>
      <c r="I113" s="265"/>
      <c r="J113" s="266" t="s">
        <v>172</v>
      </c>
      <c r="K113" s="262"/>
      <c r="L113" s="262"/>
      <c r="M113" s="262">
        <v>2156</v>
      </c>
      <c r="N113" s="262" t="s">
        <v>22</v>
      </c>
      <c r="O113" s="262"/>
      <c r="P113" s="262"/>
      <c r="Q113" s="262" t="s">
        <v>46</v>
      </c>
      <c r="R113" s="262" t="s">
        <v>47</v>
      </c>
      <c r="S113" s="267" t="s">
        <v>47</v>
      </c>
      <c r="T113" s="268"/>
      <c r="U113" s="269">
        <v>0</v>
      </c>
      <c r="V113" s="269">
        <v>0</v>
      </c>
      <c r="W113" s="278">
        <v>0</v>
      </c>
      <c r="X113" s="270"/>
      <c r="Y113" s="262" t="s">
        <v>20</v>
      </c>
      <c r="Z113" s="271" t="s">
        <v>20</v>
      </c>
      <c r="AA113" s="287"/>
      <c r="AB113" s="287"/>
      <c r="AC113" s="272">
        <f t="shared" si="5"/>
        <v>0</v>
      </c>
      <c r="AD113" s="272">
        <v>0</v>
      </c>
      <c r="AE113" s="272">
        <f t="shared" si="6"/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H113" s="277"/>
    </row>
    <row r="114" spans="1:60" ht="16.5" customHeight="1">
      <c r="A114" s="260">
        <v>92</v>
      </c>
      <c r="B114" s="261"/>
      <c r="C114" s="261"/>
      <c r="D114" s="262" t="s">
        <v>331</v>
      </c>
      <c r="E114" s="262" t="s">
        <v>1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 t="s">
        <v>22</v>
      </c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 t="shared" si="5"/>
        <v>10000000</v>
      </c>
      <c r="AD114" s="272">
        <v>10000000</v>
      </c>
      <c r="AE114" s="272">
        <f t="shared" si="6"/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>
        <v>10000000</v>
      </c>
      <c r="BF114" s="275"/>
      <c r="BH114" s="277"/>
    </row>
    <row r="115" spans="1:60" ht="16.5" customHeight="1">
      <c r="A115" s="260">
        <v>93</v>
      </c>
      <c r="B115" s="261"/>
      <c r="C115" s="261"/>
      <c r="D115" s="262" t="s">
        <v>331</v>
      </c>
      <c r="E115" s="262" t="s">
        <v>710</v>
      </c>
      <c r="F115" s="263" t="s">
        <v>15</v>
      </c>
      <c r="G115" s="264" t="s">
        <v>113</v>
      </c>
      <c r="H115" s="281"/>
      <c r="I115" s="265"/>
      <c r="J115" s="266" t="s">
        <v>795</v>
      </c>
      <c r="K115" s="262"/>
      <c r="L115" s="262"/>
      <c r="M115" s="262">
        <v>20272</v>
      </c>
      <c r="N115" s="262"/>
      <c r="O115" s="262"/>
      <c r="P115" s="262"/>
      <c r="Q115" s="262" t="s">
        <v>30</v>
      </c>
      <c r="R115" s="262" t="s">
        <v>31</v>
      </c>
      <c r="S115" s="267" t="s">
        <v>31</v>
      </c>
      <c r="T115" s="268"/>
      <c r="U115" s="269"/>
      <c r="V115" s="269">
        <v>0</v>
      </c>
      <c r="W115" s="278">
        <v>0</v>
      </c>
      <c r="X115" s="270"/>
      <c r="Y115" s="262" t="s">
        <v>25</v>
      </c>
      <c r="Z115" s="271" t="s">
        <v>25</v>
      </c>
      <c r="AA115" s="287"/>
      <c r="AB115" s="287"/>
      <c r="AC115" s="272">
        <f t="shared" si="5"/>
        <v>0</v>
      </c>
      <c r="AD115" s="272">
        <v>0</v>
      </c>
      <c r="AE115" s="272">
        <f t="shared" si="6"/>
        <v>0</v>
      </c>
      <c r="AF115" s="273"/>
      <c r="AG115" s="274"/>
      <c r="AH115" s="273"/>
      <c r="AI115" s="273"/>
      <c r="AJ115" s="274"/>
      <c r="AK115" s="273"/>
      <c r="AL115" s="275"/>
      <c r="AM115" s="290"/>
      <c r="AN115" s="275"/>
      <c r="AO115" s="276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H115" s="277"/>
    </row>
    <row r="116" spans="1:60" ht="16.5" customHeight="1">
      <c r="A116" s="260">
        <v>94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63</v>
      </c>
      <c r="R116" s="262" t="s">
        <v>28</v>
      </c>
      <c r="S116" s="267" t="s">
        <v>28</v>
      </c>
      <c r="T116" s="268" t="s">
        <v>951</v>
      </c>
      <c r="U116" s="269"/>
      <c r="V116" s="269">
        <v>0</v>
      </c>
      <c r="W116" s="278">
        <v>0</v>
      </c>
      <c r="X116" s="270"/>
      <c r="Y116" s="262" t="s">
        <v>27</v>
      </c>
      <c r="Z116" s="271" t="s">
        <v>27</v>
      </c>
      <c r="AA116" s="287"/>
      <c r="AB116" s="287"/>
      <c r="AC116" s="272">
        <f t="shared" si="5"/>
        <v>22473630</v>
      </c>
      <c r="AD116" s="272">
        <v>22473630</v>
      </c>
      <c r="AE116" s="272">
        <f t="shared" si="6"/>
        <v>0</v>
      </c>
      <c r="AF116" s="273">
        <v>1280060</v>
      </c>
      <c r="AG116" s="274"/>
      <c r="AH116" s="273"/>
      <c r="AI116" s="273">
        <v>984900</v>
      </c>
      <c r="AJ116" s="274">
        <v>984900</v>
      </c>
      <c r="AK116" s="273"/>
      <c r="AL116" s="275">
        <v>1625740</v>
      </c>
      <c r="AM116" s="290">
        <v>1625740</v>
      </c>
      <c r="AN116" s="275"/>
      <c r="AO116" s="276">
        <v>424950</v>
      </c>
      <c r="AP116" s="275"/>
      <c r="AQ116" s="275">
        <v>1438040</v>
      </c>
      <c r="AR116" s="275"/>
      <c r="AS116" s="275">
        <v>3000000</v>
      </c>
      <c r="AT116" s="275"/>
      <c r="AU116" s="275">
        <v>3000000</v>
      </c>
      <c r="AV116" s="275"/>
      <c r="AW116" s="275">
        <v>3000000</v>
      </c>
      <c r="AX116" s="275"/>
      <c r="AY116" s="275">
        <v>3000000</v>
      </c>
      <c r="AZ116" s="275"/>
      <c r="BA116" s="275">
        <v>2000000</v>
      </c>
      <c r="BB116" s="275"/>
      <c r="BC116" s="275">
        <v>2000000</v>
      </c>
      <c r="BD116" s="275"/>
      <c r="BE116" s="275">
        <v>2000000</v>
      </c>
      <c r="BF116" s="275"/>
      <c r="BH116" s="277"/>
    </row>
    <row r="117" spans="1:60" ht="16.5" customHeight="1">
      <c r="A117" s="260">
        <v>95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143</v>
      </c>
      <c r="K117" s="262"/>
      <c r="L117" s="262"/>
      <c r="M117" s="262">
        <v>3642</v>
      </c>
      <c r="N117" s="262" t="s">
        <v>22</v>
      </c>
      <c r="O117" s="262" t="s">
        <v>56</v>
      </c>
      <c r="P117" s="262" t="s">
        <v>57</v>
      </c>
      <c r="Q117" s="262" t="s">
        <v>18</v>
      </c>
      <c r="R117" s="262" t="s">
        <v>19</v>
      </c>
      <c r="S117" s="267" t="s">
        <v>19</v>
      </c>
      <c r="T117" s="268"/>
      <c r="U117" s="269">
        <v>700000</v>
      </c>
      <c r="V117" s="269">
        <v>0</v>
      </c>
      <c r="W117" s="278">
        <v>0</v>
      </c>
      <c r="X117" s="270"/>
      <c r="Y117" s="262" t="s">
        <v>20</v>
      </c>
      <c r="Z117" s="271" t="s">
        <v>562</v>
      </c>
      <c r="AA117" s="287"/>
      <c r="AB117" s="287"/>
      <c r="AC117" s="272">
        <f t="shared" si="5"/>
        <v>0</v>
      </c>
      <c r="AD117" s="272">
        <v>0</v>
      </c>
      <c r="AE117" s="272">
        <f t="shared" si="6"/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H117" s="277"/>
    </row>
    <row r="118" spans="1:60" ht="16.5" customHeight="1">
      <c r="A118" s="260">
        <v>96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144</v>
      </c>
      <c r="K118" s="262"/>
      <c r="L118" s="262"/>
      <c r="M118" s="262">
        <v>2595</v>
      </c>
      <c r="N118" s="262" t="s">
        <v>22</v>
      </c>
      <c r="O118" s="262" t="s">
        <v>56</v>
      </c>
      <c r="P118" s="262"/>
      <c r="Q118" s="262" t="s">
        <v>73</v>
      </c>
      <c r="R118" s="262" t="s">
        <v>468</v>
      </c>
      <c r="S118" s="267" t="s">
        <v>468</v>
      </c>
      <c r="T118" s="268"/>
      <c r="U118" s="269"/>
      <c r="V118" s="269">
        <v>15330000</v>
      </c>
      <c r="W118" s="278">
        <v>8220000</v>
      </c>
      <c r="X118" s="270"/>
      <c r="Y118" s="262" t="s">
        <v>27</v>
      </c>
      <c r="Z118" s="271" t="s">
        <v>24</v>
      </c>
      <c r="AA118" s="287"/>
      <c r="AB118" s="287"/>
      <c r="AC118" s="272">
        <f t="shared" si="5"/>
        <v>10000000</v>
      </c>
      <c r="AD118" s="272">
        <v>10000000</v>
      </c>
      <c r="AE118" s="272">
        <f t="shared" si="6"/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>
        <v>5000000</v>
      </c>
      <c r="AV118" s="275"/>
      <c r="AW118" s="275"/>
      <c r="AX118" s="275"/>
      <c r="AY118" s="275"/>
      <c r="AZ118" s="275"/>
      <c r="BA118" s="275">
        <v>5000000</v>
      </c>
      <c r="BB118" s="275"/>
      <c r="BC118" s="275"/>
      <c r="BD118" s="275"/>
      <c r="BE118" s="275"/>
      <c r="BF118" s="275"/>
      <c r="BH118" s="277"/>
    </row>
    <row r="119" spans="1:60" ht="16.5" customHeight="1">
      <c r="A119" s="260">
        <v>97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35</v>
      </c>
      <c r="P119" s="262"/>
      <c r="Q119" s="262" t="s">
        <v>63</v>
      </c>
      <c r="R119" s="262" t="s">
        <v>28</v>
      </c>
      <c r="S119" s="267" t="s">
        <v>28</v>
      </c>
      <c r="T119" s="268"/>
      <c r="U119" s="269"/>
      <c r="V119" s="269">
        <v>0</v>
      </c>
      <c r="W119" s="278">
        <v>0</v>
      </c>
      <c r="X119" s="270"/>
      <c r="Y119" s="262" t="s">
        <v>25</v>
      </c>
      <c r="Z119" s="271" t="s">
        <v>25</v>
      </c>
      <c r="AA119" s="287"/>
      <c r="AB119" s="287"/>
      <c r="AC119" s="272">
        <f t="shared" si="5"/>
        <v>75000000</v>
      </c>
      <c r="AD119" s="272">
        <v>75000000</v>
      </c>
      <c r="AE119" s="272">
        <f t="shared" si="6"/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/>
      <c r="AR119" s="275"/>
      <c r="AS119" s="275"/>
      <c r="AT119" s="275"/>
      <c r="AU119" s="275"/>
      <c r="AV119" s="275"/>
      <c r="AW119" s="275">
        <v>15000000</v>
      </c>
      <c r="AX119" s="275"/>
      <c r="AY119" s="275">
        <v>15000000</v>
      </c>
      <c r="AZ119" s="275"/>
      <c r="BA119" s="275">
        <v>15000000</v>
      </c>
      <c r="BB119" s="275"/>
      <c r="BC119" s="275">
        <v>15000000</v>
      </c>
      <c r="BD119" s="275"/>
      <c r="BE119" s="275">
        <v>15000000</v>
      </c>
      <c r="BF119" s="275"/>
      <c r="BH119" s="277"/>
    </row>
    <row r="120" spans="1:60" ht="16.5" customHeight="1">
      <c r="A120" s="260">
        <v>98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145</v>
      </c>
      <c r="K120" s="262"/>
      <c r="L120" s="262"/>
      <c r="M120" s="262">
        <v>1409</v>
      </c>
      <c r="N120" s="262" t="s">
        <v>22</v>
      </c>
      <c r="O120" s="262" t="s">
        <v>56</v>
      </c>
      <c r="P120" s="262"/>
      <c r="Q120" s="262" t="s">
        <v>26</v>
      </c>
      <c r="R120" s="262" t="s">
        <v>468</v>
      </c>
      <c r="S120" s="267" t="s">
        <v>468</v>
      </c>
      <c r="T120" s="268"/>
      <c r="U120" s="269"/>
      <c r="V120" s="269">
        <v>1100000</v>
      </c>
      <c r="W120" s="278">
        <v>0</v>
      </c>
      <c r="X120" s="270"/>
      <c r="Y120" s="262" t="s">
        <v>24</v>
      </c>
      <c r="Z120" s="271" t="s">
        <v>25</v>
      </c>
      <c r="AA120" s="287"/>
      <c r="AB120" s="287"/>
      <c r="AC120" s="272">
        <f t="shared" si="5"/>
        <v>3000000</v>
      </c>
      <c r="AD120" s="272">
        <v>3000000</v>
      </c>
      <c r="AE120" s="272">
        <f t="shared" si="6"/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3000000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customHeight="1">
      <c r="A121" s="260">
        <v>99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741</v>
      </c>
      <c r="K121" s="262"/>
      <c r="L121" s="262"/>
      <c r="M121" s="262">
        <v>2594</v>
      </c>
      <c r="N121" s="262" t="s">
        <v>22</v>
      </c>
      <c r="O121" s="262" t="s">
        <v>35</v>
      </c>
      <c r="P121" s="262"/>
      <c r="Q121" s="262"/>
      <c r="R121" s="262"/>
      <c r="S121" s="267" t="s">
        <v>822</v>
      </c>
      <c r="T121" s="268"/>
      <c r="U121" s="269"/>
      <c r="V121" s="269"/>
      <c r="W121" s="278">
        <v>0</v>
      </c>
      <c r="X121" s="270"/>
      <c r="Y121" s="262"/>
      <c r="Z121" s="271" t="s">
        <v>25</v>
      </c>
      <c r="AA121" s="287"/>
      <c r="AB121" s="287"/>
      <c r="AC121" s="272">
        <f t="shared" si="5"/>
        <v>10000000</v>
      </c>
      <c r="AD121" s="272">
        <v>10000000</v>
      </c>
      <c r="AE121" s="272">
        <f t="shared" si="6"/>
        <v>0</v>
      </c>
      <c r="AF121" s="273"/>
      <c r="AG121" s="274"/>
      <c r="AH121" s="273"/>
      <c r="AI121" s="273"/>
      <c r="AJ121" s="274"/>
      <c r="AK121" s="273"/>
      <c r="AL121" s="275"/>
      <c r="AM121" s="290"/>
      <c r="AN121" s="275"/>
      <c r="AO121" s="276"/>
      <c r="AP121" s="275"/>
      <c r="AQ121" s="275">
        <v>10000000</v>
      </c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/>
      <c r="BF121" s="275"/>
      <c r="BH121" s="277"/>
    </row>
    <row r="122" spans="1:60" ht="16.5" customHeight="1">
      <c r="A122" s="260">
        <v>100</v>
      </c>
      <c r="B122" s="261"/>
      <c r="C122" s="261"/>
      <c r="D122" s="262" t="s">
        <v>15</v>
      </c>
      <c r="E122" s="262" t="s">
        <v>113</v>
      </c>
      <c r="F122" s="263" t="s">
        <v>15</v>
      </c>
      <c r="G122" s="264" t="s">
        <v>113</v>
      </c>
      <c r="H122" s="281"/>
      <c r="I122" s="265"/>
      <c r="J122" s="266" t="s">
        <v>146</v>
      </c>
      <c r="K122" s="262"/>
      <c r="L122" s="262"/>
      <c r="M122" s="262">
        <v>29087</v>
      </c>
      <c r="N122" s="262" t="s">
        <v>32</v>
      </c>
      <c r="O122" s="262"/>
      <c r="P122" s="262" t="s">
        <v>57</v>
      </c>
      <c r="Q122" s="262" t="s">
        <v>18</v>
      </c>
      <c r="R122" s="262" t="s">
        <v>28</v>
      </c>
      <c r="S122" s="267" t="s">
        <v>28</v>
      </c>
      <c r="T122" s="268"/>
      <c r="U122" s="269">
        <v>267000000</v>
      </c>
      <c r="V122" s="269">
        <v>267300000</v>
      </c>
      <c r="W122" s="278">
        <v>259000000</v>
      </c>
      <c r="X122" s="270"/>
      <c r="Y122" s="262" t="s">
        <v>27</v>
      </c>
      <c r="Z122" s="271" t="s">
        <v>74</v>
      </c>
      <c r="AA122" s="287"/>
      <c r="AB122" s="287"/>
      <c r="AC122" s="272">
        <f t="shared" si="5"/>
        <v>78000000</v>
      </c>
      <c r="AD122" s="272">
        <v>78000000</v>
      </c>
      <c r="AE122" s="272">
        <f t="shared" si="6"/>
        <v>0</v>
      </c>
      <c r="AF122" s="273"/>
      <c r="AG122" s="274"/>
      <c r="AH122" s="273"/>
      <c r="AI122" s="273">
        <v>182000000</v>
      </c>
      <c r="AJ122" s="274"/>
      <c r="AK122" s="273"/>
      <c r="AL122" s="275"/>
      <c r="AM122" s="290"/>
      <c r="AN122" s="275"/>
      <c r="AO122" s="276"/>
      <c r="AP122" s="275"/>
      <c r="AQ122" s="275"/>
      <c r="AR122" s="275"/>
      <c r="AS122" s="275"/>
      <c r="AT122" s="275"/>
      <c r="AU122" s="275"/>
      <c r="AV122" s="275"/>
      <c r="AW122" s="275"/>
      <c r="AX122" s="275"/>
      <c r="AY122" s="275"/>
      <c r="AZ122" s="275"/>
      <c r="BA122" s="275"/>
      <c r="BB122" s="275"/>
      <c r="BC122" s="275"/>
      <c r="BD122" s="275"/>
      <c r="BE122" s="275">
        <v>78000000</v>
      </c>
      <c r="BF122" s="275"/>
      <c r="BH122" s="277"/>
    </row>
    <row r="123" spans="1:60" ht="16.5" customHeight="1">
      <c r="A123" s="260">
        <v>101</v>
      </c>
      <c r="B123" s="261" t="s">
        <v>331</v>
      </c>
      <c r="C123" s="261" t="s">
        <v>707</v>
      </c>
      <c r="D123" s="262"/>
      <c r="E123" s="262"/>
      <c r="F123" s="263" t="s">
        <v>15</v>
      </c>
      <c r="G123" s="264" t="s">
        <v>113</v>
      </c>
      <c r="H123" s="281"/>
      <c r="I123" s="265"/>
      <c r="J123" s="266" t="s">
        <v>819</v>
      </c>
      <c r="K123" s="262"/>
      <c r="L123" s="262"/>
      <c r="M123" s="262">
        <v>65859</v>
      </c>
      <c r="N123" s="262"/>
      <c r="O123" s="262" t="s">
        <v>35</v>
      </c>
      <c r="P123" s="262" t="s">
        <v>57</v>
      </c>
      <c r="Q123" s="262"/>
      <c r="R123" s="262"/>
      <c r="S123" s="267" t="s">
        <v>19</v>
      </c>
      <c r="T123" s="268" t="s">
        <v>951</v>
      </c>
      <c r="U123" s="269"/>
      <c r="V123" s="269"/>
      <c r="W123" s="278">
        <v>0</v>
      </c>
      <c r="X123" s="270"/>
      <c r="Y123" s="262"/>
      <c r="Z123" s="271" t="s">
        <v>27</v>
      </c>
      <c r="AA123" s="287"/>
      <c r="AB123" s="287"/>
      <c r="AC123" s="272">
        <f t="shared" si="5"/>
        <v>8980400</v>
      </c>
      <c r="AD123" s="272">
        <v>8980400</v>
      </c>
      <c r="AE123" s="272">
        <f t="shared" si="6"/>
        <v>0</v>
      </c>
      <c r="AF123" s="273"/>
      <c r="AG123" s="274"/>
      <c r="AH123" s="273"/>
      <c r="AI123" s="273"/>
      <c r="AJ123" s="274"/>
      <c r="AK123" s="273"/>
      <c r="AL123" s="275">
        <v>189000</v>
      </c>
      <c r="AM123" s="290"/>
      <c r="AN123" s="275"/>
      <c r="AO123" s="276">
        <v>5024800</v>
      </c>
      <c r="AP123" s="275"/>
      <c r="AQ123" s="275">
        <v>455600</v>
      </c>
      <c r="AR123" s="275"/>
      <c r="AS123" s="275">
        <v>500000</v>
      </c>
      <c r="AT123" s="275"/>
      <c r="AU123" s="275">
        <v>500000</v>
      </c>
      <c r="AV123" s="275"/>
      <c r="AW123" s="275">
        <v>500000</v>
      </c>
      <c r="AX123" s="275"/>
      <c r="AY123" s="275">
        <v>500000</v>
      </c>
      <c r="AZ123" s="275"/>
      <c r="BA123" s="275">
        <v>500000</v>
      </c>
      <c r="BB123" s="275"/>
      <c r="BC123" s="275">
        <v>500000</v>
      </c>
      <c r="BD123" s="275"/>
      <c r="BE123" s="275">
        <v>500000</v>
      </c>
      <c r="BF123" s="275"/>
      <c r="BH123" s="277"/>
    </row>
    <row r="124" spans="1:60" ht="16.5" customHeight="1">
      <c r="A124" s="260">
        <v>102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63</v>
      </c>
      <c r="R124" s="262" t="s">
        <v>28</v>
      </c>
      <c r="S124" s="267" t="s">
        <v>28</v>
      </c>
      <c r="T124" s="268"/>
      <c r="U124" s="269">
        <v>47033280</v>
      </c>
      <c r="V124" s="269">
        <v>2368000</v>
      </c>
      <c r="W124" s="278">
        <v>7893000</v>
      </c>
      <c r="X124" s="270"/>
      <c r="Y124" s="262" t="s">
        <v>27</v>
      </c>
      <c r="Z124" s="271" t="s">
        <v>25</v>
      </c>
      <c r="AA124" s="287"/>
      <c r="AB124" s="287"/>
      <c r="AC124" s="272">
        <f t="shared" si="5"/>
        <v>10000000</v>
      </c>
      <c r="AD124" s="272">
        <v>10000000</v>
      </c>
      <c r="AE124" s="272">
        <f t="shared" si="6"/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75">
        <v>3000000</v>
      </c>
      <c r="AR124" s="275"/>
      <c r="AS124" s="275">
        <v>3000000</v>
      </c>
      <c r="AT124" s="275"/>
      <c r="AU124" s="275"/>
      <c r="AV124" s="275"/>
      <c r="AW124" s="275"/>
      <c r="AX124" s="275"/>
      <c r="AY124" s="275"/>
      <c r="AZ124" s="275"/>
      <c r="BA124" s="275">
        <v>4000000</v>
      </c>
      <c r="BB124" s="275"/>
      <c r="BC124" s="275"/>
      <c r="BD124" s="275"/>
      <c r="BE124" s="275"/>
      <c r="BF124" s="275"/>
      <c r="BH124" s="277"/>
    </row>
    <row r="125" spans="1:60" ht="16.5" customHeight="1">
      <c r="A125" s="260">
        <v>103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262">
        <v>59418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/>
      <c r="S125" s="267" t="s">
        <v>31</v>
      </c>
      <c r="T125" s="268"/>
      <c r="U125" s="269"/>
      <c r="V125" s="269"/>
      <c r="W125" s="278">
        <v>0</v>
      </c>
      <c r="X125" s="270"/>
      <c r="Y125" s="262"/>
      <c r="Z125" s="271" t="s">
        <v>27</v>
      </c>
      <c r="AA125" s="287"/>
      <c r="AB125" s="287"/>
      <c r="AC125" s="272">
        <f t="shared" si="5"/>
        <v>12800000</v>
      </c>
      <c r="AD125" s="272">
        <v>12800000</v>
      </c>
      <c r="AE125" s="272">
        <f t="shared" si="6"/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/>
      <c r="AR125" s="275"/>
      <c r="AS125" s="275"/>
      <c r="AT125" s="275"/>
      <c r="AU125" s="275">
        <v>10000000</v>
      </c>
      <c r="AV125" s="275"/>
      <c r="AW125" s="275"/>
      <c r="AX125" s="275"/>
      <c r="AY125" s="275"/>
      <c r="AZ125" s="275"/>
      <c r="BA125" s="275">
        <v>2800000</v>
      </c>
      <c r="BB125" s="275"/>
      <c r="BC125" s="275"/>
      <c r="BD125" s="275"/>
      <c r="BE125" s="275"/>
      <c r="BF125" s="275"/>
      <c r="BH125" s="277"/>
    </row>
    <row r="126" spans="1:60" ht="16.5" customHeight="1">
      <c r="A126" s="260">
        <v>104</v>
      </c>
      <c r="B126" s="261"/>
      <c r="C126" s="261"/>
      <c r="D126" s="262" t="s">
        <v>15</v>
      </c>
      <c r="E126" s="262" t="s">
        <v>113</v>
      </c>
      <c r="F126" s="263" t="s">
        <v>15</v>
      </c>
      <c r="G126" s="264" t="s">
        <v>113</v>
      </c>
      <c r="H126" s="281"/>
      <c r="I126" s="265"/>
      <c r="J126" s="266" t="s">
        <v>147</v>
      </c>
      <c r="K126" s="262"/>
      <c r="L126" s="262"/>
      <c r="M126" s="262">
        <v>988</v>
      </c>
      <c r="N126" s="262" t="s">
        <v>22</v>
      </c>
      <c r="O126" s="262" t="s">
        <v>212</v>
      </c>
      <c r="P126" s="262" t="s">
        <v>57</v>
      </c>
      <c r="Q126" s="262" t="s">
        <v>26</v>
      </c>
      <c r="R126" s="262" t="s">
        <v>468</v>
      </c>
      <c r="S126" s="267" t="s">
        <v>468</v>
      </c>
      <c r="T126" s="268"/>
      <c r="U126" s="269"/>
      <c r="V126" s="269">
        <v>21183273</v>
      </c>
      <c r="W126" s="278">
        <v>7200000</v>
      </c>
      <c r="X126" s="270"/>
      <c r="Y126" s="262" t="s">
        <v>27</v>
      </c>
      <c r="Z126" s="271" t="s">
        <v>25</v>
      </c>
      <c r="AA126" s="287"/>
      <c r="AB126" s="287"/>
      <c r="AC126" s="272">
        <f t="shared" si="5"/>
        <v>6000000</v>
      </c>
      <c r="AD126" s="272">
        <v>6000000</v>
      </c>
      <c r="AE126" s="272">
        <f t="shared" si="6"/>
        <v>0</v>
      </c>
      <c r="AF126" s="273"/>
      <c r="AG126" s="274"/>
      <c r="AH126" s="273"/>
      <c r="AI126" s="273"/>
      <c r="AJ126" s="274"/>
      <c r="AK126" s="273"/>
      <c r="AL126" s="275"/>
      <c r="AM126" s="290"/>
      <c r="AN126" s="275"/>
      <c r="AO126" s="276"/>
      <c r="AP126" s="275"/>
      <c r="AQ126" s="275">
        <v>3000000</v>
      </c>
      <c r="AR126" s="275"/>
      <c r="AS126" s="275"/>
      <c r="AT126" s="275"/>
      <c r="AU126" s="275"/>
      <c r="AV126" s="275"/>
      <c r="AW126" s="275"/>
      <c r="AX126" s="275"/>
      <c r="AY126" s="275"/>
      <c r="AZ126" s="275"/>
      <c r="BA126" s="275">
        <v>3000000</v>
      </c>
      <c r="BB126" s="275"/>
      <c r="BC126" s="275"/>
      <c r="BD126" s="275"/>
      <c r="BE126" s="275"/>
      <c r="BF126" s="275"/>
      <c r="BH126" s="277"/>
    </row>
    <row r="127" spans="1:60" ht="16.5" customHeight="1">
      <c r="A127" s="260">
        <v>105</v>
      </c>
      <c r="B127" s="261"/>
      <c r="C127" s="261"/>
      <c r="D127" s="262"/>
      <c r="E127" s="262"/>
      <c r="F127" s="263" t="s">
        <v>15</v>
      </c>
      <c r="G127" s="264" t="s">
        <v>113</v>
      </c>
      <c r="H127" s="281"/>
      <c r="I127" s="265"/>
      <c r="J127" s="266" t="s">
        <v>147</v>
      </c>
      <c r="K127" s="262"/>
      <c r="L127" s="262"/>
      <c r="M127" s="262">
        <v>59418</v>
      </c>
      <c r="N127" s="262"/>
      <c r="O127" s="262"/>
      <c r="P127" s="262"/>
      <c r="Q127" s="262"/>
      <c r="R127" s="262"/>
      <c r="S127" s="267" t="s">
        <v>822</v>
      </c>
      <c r="T127" s="268"/>
      <c r="U127" s="269"/>
      <c r="V127" s="269"/>
      <c r="W127" s="278"/>
      <c r="X127" s="270"/>
      <c r="Y127" s="262"/>
      <c r="Z127" s="271" t="s">
        <v>27</v>
      </c>
      <c r="AA127" s="287"/>
      <c r="AB127" s="287"/>
      <c r="AC127" s="272">
        <f t="shared" si="5"/>
        <v>2800000</v>
      </c>
      <c r="AD127" s="272"/>
      <c r="AE127" s="272">
        <f t="shared" si="6"/>
        <v>2800000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>
        <v>2800000</v>
      </c>
      <c r="AP127" s="275"/>
      <c r="AQ127" s="275"/>
      <c r="AR127" s="275"/>
      <c r="AS127" s="275"/>
      <c r="AT127" s="275"/>
      <c r="AU127" s="275"/>
      <c r="AV127" s="275"/>
      <c r="AW127" s="275"/>
      <c r="AX127" s="275"/>
      <c r="AY127" s="275"/>
      <c r="AZ127" s="275"/>
      <c r="BA127" s="275"/>
      <c r="BB127" s="275"/>
      <c r="BC127" s="275"/>
      <c r="BD127" s="275"/>
      <c r="BE127" s="275"/>
      <c r="BF127" s="275"/>
      <c r="BH127" s="277"/>
    </row>
    <row r="128" spans="1:60" ht="16.5" customHeight="1">
      <c r="A128" s="260">
        <v>106</v>
      </c>
      <c r="B128" s="261" t="s">
        <v>331</v>
      </c>
      <c r="C128" s="261" t="s">
        <v>707</v>
      </c>
      <c r="D128" s="262"/>
      <c r="E128" s="262"/>
      <c r="F128" s="263" t="s">
        <v>15</v>
      </c>
      <c r="G128" s="264" t="s">
        <v>113</v>
      </c>
      <c r="H128" s="281"/>
      <c r="I128" s="265"/>
      <c r="J128" s="266" t="s">
        <v>811</v>
      </c>
      <c r="K128" s="262"/>
      <c r="L128" s="262"/>
      <c r="M128" s="262">
        <v>65698</v>
      </c>
      <c r="N128" s="262"/>
      <c r="O128" s="262" t="s">
        <v>35</v>
      </c>
      <c r="P128" s="262" t="s">
        <v>57</v>
      </c>
      <c r="Q128" s="262"/>
      <c r="R128" s="262"/>
      <c r="S128" s="267" t="s">
        <v>19</v>
      </c>
      <c r="T128" s="268" t="s">
        <v>951</v>
      </c>
      <c r="U128" s="269"/>
      <c r="V128" s="269"/>
      <c r="W128" s="278">
        <v>0</v>
      </c>
      <c r="X128" s="270"/>
      <c r="Y128" s="262"/>
      <c r="Z128" s="271" t="s">
        <v>27</v>
      </c>
      <c r="AA128" s="287"/>
      <c r="AB128" s="287"/>
      <c r="AC128" s="272">
        <f t="shared" si="5"/>
        <v>8761450</v>
      </c>
      <c r="AD128" s="272">
        <v>8761450</v>
      </c>
      <c r="AE128" s="272">
        <f t="shared" si="6"/>
        <v>0</v>
      </c>
      <c r="AF128" s="273">
        <v>854450</v>
      </c>
      <c r="AG128" s="274">
        <v>854450</v>
      </c>
      <c r="AH128" s="273"/>
      <c r="AI128" s="273">
        <v>800000</v>
      </c>
      <c r="AJ128" s="274">
        <v>274600</v>
      </c>
      <c r="AK128" s="273"/>
      <c r="AL128" s="275">
        <v>453000</v>
      </c>
      <c r="AM128" s="290">
        <v>453000</v>
      </c>
      <c r="AN128" s="275"/>
      <c r="AO128" s="276">
        <v>779400</v>
      </c>
      <c r="AP128" s="275"/>
      <c r="AQ128" s="275">
        <v>800000</v>
      </c>
      <c r="AR128" s="275"/>
      <c r="AS128" s="275">
        <v>800000</v>
      </c>
      <c r="AT128" s="275"/>
      <c r="AU128" s="275">
        <v>800000</v>
      </c>
      <c r="AV128" s="275"/>
      <c r="AW128" s="275">
        <v>800000</v>
      </c>
      <c r="AX128" s="275"/>
      <c r="AY128" s="275">
        <v>800000</v>
      </c>
      <c r="AZ128" s="275"/>
      <c r="BA128" s="275">
        <v>800000</v>
      </c>
      <c r="BB128" s="275"/>
      <c r="BC128" s="275">
        <v>800000</v>
      </c>
      <c r="BD128" s="275"/>
      <c r="BE128" s="275">
        <v>800000</v>
      </c>
      <c r="BF128" s="275"/>
      <c r="BH128" s="277"/>
    </row>
    <row r="129" spans="1:60" ht="16.5" customHeight="1">
      <c r="A129" s="260">
        <v>107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583</v>
      </c>
      <c r="K129" s="262"/>
      <c r="L129" s="262"/>
      <c r="M129" s="262">
        <v>28071</v>
      </c>
      <c r="N129" s="262" t="s">
        <v>42</v>
      </c>
      <c r="O129" s="262" t="s">
        <v>212</v>
      </c>
      <c r="P129" s="262" t="s">
        <v>57</v>
      </c>
      <c r="Q129" s="262" t="s">
        <v>30</v>
      </c>
      <c r="R129" s="262" t="s">
        <v>31</v>
      </c>
      <c r="S129" s="267" t="s">
        <v>31</v>
      </c>
      <c r="T129" s="268"/>
      <c r="U129" s="269">
        <v>25000000</v>
      </c>
      <c r="V129" s="269">
        <v>25000000</v>
      </c>
      <c r="W129" s="278">
        <v>25000000</v>
      </c>
      <c r="X129" s="270"/>
      <c r="Y129" s="262" t="s">
        <v>27</v>
      </c>
      <c r="Z129" s="271" t="s">
        <v>27</v>
      </c>
      <c r="AA129" s="287"/>
      <c r="AB129" s="287"/>
      <c r="AC129" s="272">
        <f t="shared" si="5"/>
        <v>25000000</v>
      </c>
      <c r="AD129" s="272">
        <v>25000000</v>
      </c>
      <c r="AE129" s="272">
        <f t="shared" si="6"/>
        <v>0</v>
      </c>
      <c r="AF129" s="273"/>
      <c r="AG129" s="274"/>
      <c r="AH129" s="273"/>
      <c r="AI129" s="273"/>
      <c r="AJ129" s="274"/>
      <c r="AK129" s="273"/>
      <c r="AL129" s="275"/>
      <c r="AM129" s="290"/>
      <c r="AN129" s="275"/>
      <c r="AO129" s="276"/>
      <c r="AP129" s="275"/>
      <c r="AQ129" s="275"/>
      <c r="AR129" s="275"/>
      <c r="AS129" s="275"/>
      <c r="AT129" s="275"/>
      <c r="AU129" s="275">
        <v>15000000</v>
      </c>
      <c r="AV129" s="275"/>
      <c r="AW129" s="275"/>
      <c r="AX129" s="275"/>
      <c r="AY129" s="275"/>
      <c r="AZ129" s="275"/>
      <c r="BA129" s="275"/>
      <c r="BB129" s="275"/>
      <c r="BC129" s="275">
        <v>10000000</v>
      </c>
      <c r="BD129" s="275"/>
      <c r="BE129" s="275"/>
      <c r="BF129" s="275"/>
      <c r="BH129" s="277"/>
    </row>
    <row r="130" spans="1:60" ht="16.5" customHeight="1">
      <c r="A130" s="260">
        <v>108</v>
      </c>
      <c r="B130" s="261"/>
      <c r="C130" s="261"/>
      <c r="D130" s="262" t="s">
        <v>15</v>
      </c>
      <c r="E130" s="262" t="s">
        <v>113</v>
      </c>
      <c r="F130" s="263" t="s">
        <v>15</v>
      </c>
      <c r="G130" s="264" t="s">
        <v>113</v>
      </c>
      <c r="H130" s="281"/>
      <c r="I130" s="265"/>
      <c r="J130" s="266" t="s">
        <v>148</v>
      </c>
      <c r="K130" s="262"/>
      <c r="L130" s="262"/>
      <c r="M130" s="262">
        <v>26318</v>
      </c>
      <c r="N130" s="262" t="s">
        <v>22</v>
      </c>
      <c r="O130" s="262" t="s">
        <v>212</v>
      </c>
      <c r="P130" s="262"/>
      <c r="Q130" s="262" t="s">
        <v>23</v>
      </c>
      <c r="R130" s="262" t="s">
        <v>397</v>
      </c>
      <c r="S130" s="267" t="s">
        <v>823</v>
      </c>
      <c r="T130" s="268"/>
      <c r="U130" s="269">
        <v>36000000</v>
      </c>
      <c r="V130" s="269">
        <v>44545455</v>
      </c>
      <c r="W130" s="278">
        <v>169288182</v>
      </c>
      <c r="X130" s="270"/>
      <c r="Y130" s="262" t="s">
        <v>25</v>
      </c>
      <c r="Z130" s="271" t="s">
        <v>718</v>
      </c>
      <c r="AA130" s="287"/>
      <c r="AB130" s="287"/>
      <c r="AC130" s="272">
        <f t="shared" si="5"/>
        <v>0</v>
      </c>
      <c r="AD130" s="272">
        <v>0</v>
      </c>
      <c r="AE130" s="272">
        <f t="shared" si="6"/>
        <v>0</v>
      </c>
      <c r="AF130" s="273"/>
      <c r="AG130" s="274"/>
      <c r="AH130" s="273"/>
      <c r="AI130" s="273"/>
      <c r="AJ130" s="274"/>
      <c r="AK130" s="273"/>
      <c r="AL130" s="275"/>
      <c r="AM130" s="290"/>
      <c r="AN130" s="275"/>
      <c r="AO130" s="276"/>
      <c r="AP130" s="275"/>
      <c r="AQ130" s="275"/>
      <c r="AR130" s="275"/>
      <c r="AS130" s="275"/>
      <c r="AT130" s="275"/>
      <c r="AU130" s="275"/>
      <c r="AV130" s="275"/>
      <c r="AW130" s="275"/>
      <c r="AX130" s="275"/>
      <c r="AY130" s="275"/>
      <c r="AZ130" s="275"/>
      <c r="BA130" s="275"/>
      <c r="BB130" s="275"/>
      <c r="BC130" s="275"/>
      <c r="BD130" s="275"/>
      <c r="BE130" s="275"/>
      <c r="BF130" s="275"/>
      <c r="BH130" s="277"/>
    </row>
    <row r="131" spans="1:60" ht="16.5" customHeight="1">
      <c r="A131" s="260">
        <v>109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1017</v>
      </c>
      <c r="K131" s="262"/>
      <c r="L131" s="262"/>
      <c r="M131" s="262">
        <v>26318</v>
      </c>
      <c r="N131" s="262" t="s">
        <v>32</v>
      </c>
      <c r="O131" s="262" t="s">
        <v>212</v>
      </c>
      <c r="P131" s="262" t="s">
        <v>57</v>
      </c>
      <c r="Q131" s="262" t="s">
        <v>54</v>
      </c>
      <c r="R131" s="262" t="s">
        <v>467</v>
      </c>
      <c r="S131" s="267" t="s">
        <v>826</v>
      </c>
      <c r="T131" s="268"/>
      <c r="U131" s="269">
        <v>711692000</v>
      </c>
      <c r="V131" s="269">
        <v>687100909</v>
      </c>
      <c r="W131" s="278">
        <v>643658000</v>
      </c>
      <c r="X131" s="270"/>
      <c r="Y131" s="262" t="s">
        <v>27</v>
      </c>
      <c r="Z131" s="271" t="s">
        <v>27</v>
      </c>
      <c r="AA131" s="287"/>
      <c r="AB131" s="287"/>
      <c r="AC131" s="272">
        <f t="shared" si="5"/>
        <v>690390000</v>
      </c>
      <c r="AD131" s="272">
        <v>674110000</v>
      </c>
      <c r="AE131" s="272">
        <f t="shared" si="6"/>
        <v>16280000</v>
      </c>
      <c r="AF131" s="273">
        <v>60000000</v>
      </c>
      <c r="AG131" s="274">
        <v>79810000</v>
      </c>
      <c r="AH131" s="273"/>
      <c r="AI131" s="273">
        <v>50000000</v>
      </c>
      <c r="AJ131" s="274">
        <v>64850000</v>
      </c>
      <c r="AK131" s="273"/>
      <c r="AL131" s="275">
        <v>53700000</v>
      </c>
      <c r="AM131" s="290">
        <v>69420000</v>
      </c>
      <c r="AN131" s="275"/>
      <c r="AO131" s="276">
        <v>56310000</v>
      </c>
      <c r="AP131" s="275"/>
      <c r="AQ131" s="275">
        <v>60000000</v>
      </c>
      <c r="AR131" s="275"/>
      <c r="AS131" s="275">
        <v>50000000</v>
      </c>
      <c r="AT131" s="275"/>
      <c r="AU131" s="275">
        <v>60000000</v>
      </c>
      <c r="AV131" s="275"/>
      <c r="AW131" s="275">
        <v>50000000</v>
      </c>
      <c r="AX131" s="275"/>
      <c r="AY131" s="275">
        <v>60000000</v>
      </c>
      <c r="AZ131" s="275"/>
      <c r="BA131" s="275">
        <v>50000000</v>
      </c>
      <c r="BB131" s="275"/>
      <c r="BC131" s="275">
        <v>50000000</v>
      </c>
      <c r="BD131" s="275"/>
      <c r="BE131" s="275">
        <v>40000000</v>
      </c>
      <c r="BF131" s="275"/>
      <c r="BH131" s="277"/>
    </row>
    <row r="132" spans="1:60" ht="16.5" customHeight="1">
      <c r="A132" s="260">
        <v>110</v>
      </c>
      <c r="B132" s="261" t="s">
        <v>331</v>
      </c>
      <c r="C132" s="261" t="s">
        <v>707</v>
      </c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742</v>
      </c>
      <c r="K132" s="262"/>
      <c r="L132" s="262"/>
      <c r="M132" s="262">
        <v>65860</v>
      </c>
      <c r="N132" s="262"/>
      <c r="O132" s="262" t="s">
        <v>35</v>
      </c>
      <c r="P132" s="262" t="s">
        <v>57</v>
      </c>
      <c r="Q132" s="262"/>
      <c r="R132" s="262"/>
      <c r="S132" s="267" t="s">
        <v>19</v>
      </c>
      <c r="T132" s="268" t="s">
        <v>951</v>
      </c>
      <c r="U132" s="269"/>
      <c r="V132" s="269"/>
      <c r="W132" s="278">
        <v>0</v>
      </c>
      <c r="X132" s="270"/>
      <c r="Y132" s="262"/>
      <c r="Z132" s="271" t="s">
        <v>27</v>
      </c>
      <c r="AA132" s="287"/>
      <c r="AB132" s="287"/>
      <c r="AC132" s="272">
        <f t="shared" si="5"/>
        <v>3125500</v>
      </c>
      <c r="AD132" s="272">
        <v>3221500</v>
      </c>
      <c r="AE132" s="272">
        <f t="shared" si="6"/>
        <v>-96000</v>
      </c>
      <c r="AF132" s="273"/>
      <c r="AG132" s="274">
        <v>118000</v>
      </c>
      <c r="AH132" s="273"/>
      <c r="AI132" s="273"/>
      <c r="AJ132" s="274"/>
      <c r="AK132" s="273"/>
      <c r="AL132" s="275">
        <v>159000</v>
      </c>
      <c r="AM132" s="290">
        <v>159000</v>
      </c>
      <c r="AN132" s="275"/>
      <c r="AO132" s="276">
        <v>448500</v>
      </c>
      <c r="AP132" s="275"/>
      <c r="AQ132" s="275">
        <v>300000</v>
      </c>
      <c r="AR132" s="275"/>
      <c r="AS132" s="275">
        <v>300000</v>
      </c>
      <c r="AT132" s="275"/>
      <c r="AU132" s="275">
        <v>300000</v>
      </c>
      <c r="AV132" s="275"/>
      <c r="AW132" s="275">
        <v>300000</v>
      </c>
      <c r="AX132" s="275"/>
      <c r="AY132" s="275">
        <v>300000</v>
      </c>
      <c r="AZ132" s="275"/>
      <c r="BA132" s="275">
        <v>300000</v>
      </c>
      <c r="BB132" s="275"/>
      <c r="BC132" s="275">
        <v>300000</v>
      </c>
      <c r="BD132" s="275"/>
      <c r="BE132" s="275">
        <v>300000</v>
      </c>
      <c r="BF132" s="275"/>
      <c r="BH132" s="277"/>
    </row>
    <row r="133" spans="1:60" ht="16.5" customHeight="1">
      <c r="A133" s="260">
        <v>111</v>
      </c>
      <c r="B133" s="261"/>
      <c r="C133" s="261"/>
      <c r="D133" s="262" t="s">
        <v>15</v>
      </c>
      <c r="E133" s="262" t="s">
        <v>113</v>
      </c>
      <c r="F133" s="263" t="s">
        <v>15</v>
      </c>
      <c r="G133" s="264" t="s">
        <v>113</v>
      </c>
      <c r="H133" s="281"/>
      <c r="I133" s="265"/>
      <c r="J133" s="266" t="s">
        <v>742</v>
      </c>
      <c r="K133" s="262"/>
      <c r="L133" s="262"/>
      <c r="M133" s="262">
        <v>61984</v>
      </c>
      <c r="N133" s="262"/>
      <c r="O133" s="262"/>
      <c r="P133" s="262"/>
      <c r="Q133" s="262"/>
      <c r="R133" s="262" t="s">
        <v>19</v>
      </c>
      <c r="S133" s="267" t="s">
        <v>19</v>
      </c>
      <c r="T133" s="268"/>
      <c r="U133" s="269"/>
      <c r="V133" s="269"/>
      <c r="W133" s="278">
        <v>2014000</v>
      </c>
      <c r="X133" s="270"/>
      <c r="Y133" s="262" t="s">
        <v>27</v>
      </c>
      <c r="Z133" s="271" t="s">
        <v>718</v>
      </c>
      <c r="AA133" s="287"/>
      <c r="AB133" s="287"/>
      <c r="AC133" s="272">
        <f t="shared" si="5"/>
        <v>0</v>
      </c>
      <c r="AD133" s="272">
        <v>0</v>
      </c>
      <c r="AE133" s="272">
        <f t="shared" si="6"/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customHeight="1">
      <c r="A134" s="260">
        <v>112</v>
      </c>
      <c r="B134" s="261"/>
      <c r="C134" s="261"/>
      <c r="D134" s="262"/>
      <c r="E134" s="262"/>
      <c r="F134" s="263" t="s">
        <v>15</v>
      </c>
      <c r="G134" s="264" t="s">
        <v>113</v>
      </c>
      <c r="H134" s="281"/>
      <c r="I134" s="265"/>
      <c r="J134" s="266" t="s">
        <v>799</v>
      </c>
      <c r="K134" s="262"/>
      <c r="L134" s="262"/>
      <c r="M134" s="262">
        <v>9602</v>
      </c>
      <c r="N134" s="262"/>
      <c r="O134" s="262"/>
      <c r="P134" s="262"/>
      <c r="Q134" s="262"/>
      <c r="R134" s="262"/>
      <c r="S134" s="267" t="s">
        <v>823</v>
      </c>
      <c r="T134" s="268"/>
      <c r="U134" s="269"/>
      <c r="V134" s="269"/>
      <c r="W134" s="278">
        <v>87500000</v>
      </c>
      <c r="X134" s="270"/>
      <c r="Y134" s="262"/>
      <c r="Z134" s="271" t="s">
        <v>27</v>
      </c>
      <c r="AA134" s="287"/>
      <c r="AB134" s="287"/>
      <c r="AC134" s="272">
        <f t="shared" si="5"/>
        <v>35750000</v>
      </c>
      <c r="AD134" s="272">
        <v>30000000</v>
      </c>
      <c r="AE134" s="272">
        <f t="shared" si="6"/>
        <v>5750000</v>
      </c>
      <c r="AF134" s="273"/>
      <c r="AG134" s="274"/>
      <c r="AH134" s="273"/>
      <c r="AI134" s="273"/>
      <c r="AJ134" s="274"/>
      <c r="AK134" s="273"/>
      <c r="AL134" s="275"/>
      <c r="AM134" s="290"/>
      <c r="AN134" s="275"/>
      <c r="AO134" s="276">
        <v>35750000</v>
      </c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/>
      <c r="BB134" s="275"/>
      <c r="BC134" s="275"/>
      <c r="BD134" s="275"/>
      <c r="BE134" s="275"/>
      <c r="BF134" s="275"/>
      <c r="BH134" s="277"/>
    </row>
    <row r="135" spans="1:60" ht="16.5" customHeight="1">
      <c r="A135" s="260">
        <v>113</v>
      </c>
      <c r="B135" s="261"/>
      <c r="C135" s="261"/>
      <c r="D135" s="262"/>
      <c r="E135" s="262"/>
      <c r="F135" s="263" t="s">
        <v>15</v>
      </c>
      <c r="G135" s="264" t="s">
        <v>113</v>
      </c>
      <c r="H135" s="281"/>
      <c r="I135" s="265"/>
      <c r="J135" s="266" t="s">
        <v>983</v>
      </c>
      <c r="K135" s="262"/>
      <c r="L135" s="262"/>
      <c r="M135" s="262">
        <v>63298</v>
      </c>
      <c r="N135" s="262"/>
      <c r="O135" s="262"/>
      <c r="P135" s="262"/>
      <c r="Q135" s="262"/>
      <c r="R135" s="262"/>
      <c r="S135" s="267" t="s">
        <v>833</v>
      </c>
      <c r="T135" s="268"/>
      <c r="U135" s="269"/>
      <c r="V135" s="269"/>
      <c r="W135" s="278">
        <v>560000</v>
      </c>
      <c r="X135" s="270"/>
      <c r="Y135" s="262"/>
      <c r="Z135" s="271" t="s">
        <v>718</v>
      </c>
      <c r="AA135" s="287"/>
      <c r="AB135" s="287"/>
      <c r="AC135" s="272">
        <f t="shared" si="5"/>
        <v>0</v>
      </c>
      <c r="AD135" s="272">
        <v>0</v>
      </c>
      <c r="AE135" s="272">
        <f t="shared" si="6"/>
        <v>0</v>
      </c>
      <c r="AF135" s="273"/>
      <c r="AG135" s="274"/>
      <c r="AH135" s="273"/>
      <c r="AI135" s="273"/>
      <c r="AJ135" s="274"/>
      <c r="AK135" s="273"/>
      <c r="AL135" s="275"/>
      <c r="AM135" s="290"/>
      <c r="AN135" s="275"/>
      <c r="AO135" s="276"/>
      <c r="AP135" s="275"/>
      <c r="AQ135" s="275"/>
      <c r="AR135" s="275"/>
      <c r="AS135" s="275"/>
      <c r="AT135" s="275"/>
      <c r="AU135" s="275"/>
      <c r="AV135" s="275"/>
      <c r="AW135" s="275"/>
      <c r="AX135" s="275"/>
      <c r="AY135" s="275"/>
      <c r="AZ135" s="275"/>
      <c r="BA135" s="275"/>
      <c r="BB135" s="275"/>
      <c r="BC135" s="275"/>
      <c r="BD135" s="275"/>
      <c r="BE135" s="275"/>
      <c r="BF135" s="275"/>
      <c r="BH135" s="277"/>
    </row>
    <row r="136" spans="1:60" ht="16.5" customHeight="1">
      <c r="A136" s="260">
        <v>114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150</v>
      </c>
      <c r="K136" s="262"/>
      <c r="L136" s="262"/>
      <c r="M136" s="262">
        <v>12267</v>
      </c>
      <c r="N136" s="262" t="s">
        <v>17</v>
      </c>
      <c r="O136" s="262" t="s">
        <v>212</v>
      </c>
      <c r="P136" s="262" t="s">
        <v>57</v>
      </c>
      <c r="Q136" s="262" t="s">
        <v>18</v>
      </c>
      <c r="R136" s="262" t="s">
        <v>19</v>
      </c>
      <c r="S136" s="267" t="s">
        <v>19</v>
      </c>
      <c r="T136" s="268"/>
      <c r="U136" s="269">
        <v>4018000</v>
      </c>
      <c r="V136" s="269">
        <v>616000</v>
      </c>
      <c r="W136" s="278">
        <v>8272000</v>
      </c>
      <c r="X136" s="270"/>
      <c r="Y136" s="262" t="s">
        <v>27</v>
      </c>
      <c r="Z136" s="271" t="s">
        <v>27</v>
      </c>
      <c r="AA136" s="287"/>
      <c r="AB136" s="287"/>
      <c r="AC136" s="272">
        <f t="shared" si="5"/>
        <v>9724000</v>
      </c>
      <c r="AD136" s="272">
        <v>9724000</v>
      </c>
      <c r="AE136" s="272">
        <f t="shared" si="6"/>
        <v>0</v>
      </c>
      <c r="AF136" s="273"/>
      <c r="AG136" s="274"/>
      <c r="AH136" s="273"/>
      <c r="AI136" s="273"/>
      <c r="AJ136" s="274"/>
      <c r="AK136" s="273"/>
      <c r="AL136" s="275">
        <v>7724000</v>
      </c>
      <c r="AM136" s="290">
        <v>7724000</v>
      </c>
      <c r="AN136" s="275"/>
      <c r="AO136" s="276"/>
      <c r="AP136" s="275"/>
      <c r="AQ136" s="275"/>
      <c r="AR136" s="275"/>
      <c r="AS136" s="275"/>
      <c r="AT136" s="275"/>
      <c r="AU136" s="275"/>
      <c r="AV136" s="275"/>
      <c r="AW136" s="275"/>
      <c r="AX136" s="275"/>
      <c r="AY136" s="275"/>
      <c r="AZ136" s="275"/>
      <c r="BA136" s="275">
        <v>2000000</v>
      </c>
      <c r="BB136" s="275"/>
      <c r="BC136" s="275"/>
      <c r="BD136" s="275"/>
      <c r="BE136" s="275"/>
      <c r="BF136" s="275"/>
      <c r="BH136" s="277"/>
    </row>
    <row r="137" spans="1:60" ht="16.5" customHeight="1">
      <c r="A137" s="260">
        <v>115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150</v>
      </c>
      <c r="K137" s="262"/>
      <c r="L137" s="262"/>
      <c r="M137" s="262">
        <v>12267</v>
      </c>
      <c r="N137" s="262" t="s">
        <v>17</v>
      </c>
      <c r="O137" s="262" t="s">
        <v>212</v>
      </c>
      <c r="P137" s="262" t="s">
        <v>57</v>
      </c>
      <c r="Q137" s="262" t="s">
        <v>46</v>
      </c>
      <c r="R137" s="262" t="s">
        <v>47</v>
      </c>
      <c r="S137" s="267" t="s">
        <v>47</v>
      </c>
      <c r="T137" s="268"/>
      <c r="U137" s="269">
        <v>78000000</v>
      </c>
      <c r="V137" s="269">
        <v>78000000</v>
      </c>
      <c r="W137" s="278">
        <v>78000000</v>
      </c>
      <c r="X137" s="270"/>
      <c r="Y137" s="262" t="s">
        <v>27</v>
      </c>
      <c r="Z137" s="271" t="s">
        <v>27</v>
      </c>
      <c r="AA137" s="287"/>
      <c r="AB137" s="287"/>
      <c r="AC137" s="272">
        <f t="shared" si="5"/>
        <v>78000000</v>
      </c>
      <c r="AD137" s="272">
        <v>78000000</v>
      </c>
      <c r="AE137" s="272">
        <f t="shared" si="6"/>
        <v>0</v>
      </c>
      <c r="AF137" s="273">
        <v>6500000</v>
      </c>
      <c r="AG137" s="274">
        <v>6500000</v>
      </c>
      <c r="AH137" s="273"/>
      <c r="AI137" s="273">
        <v>6500000</v>
      </c>
      <c r="AJ137" s="274">
        <v>6500000</v>
      </c>
      <c r="AK137" s="273"/>
      <c r="AL137" s="275">
        <v>6500000</v>
      </c>
      <c r="AM137" s="290">
        <v>6500000</v>
      </c>
      <c r="AN137" s="275"/>
      <c r="AO137" s="276">
        <v>6500000</v>
      </c>
      <c r="AP137" s="275"/>
      <c r="AQ137" s="275">
        <v>6500000</v>
      </c>
      <c r="AR137" s="275"/>
      <c r="AS137" s="275">
        <v>6500000</v>
      </c>
      <c r="AT137" s="275"/>
      <c r="AU137" s="275">
        <v>6500000</v>
      </c>
      <c r="AV137" s="275"/>
      <c r="AW137" s="275">
        <v>6500000</v>
      </c>
      <c r="AX137" s="275"/>
      <c r="AY137" s="275">
        <v>6500000</v>
      </c>
      <c r="AZ137" s="275"/>
      <c r="BA137" s="275">
        <v>6500000</v>
      </c>
      <c r="BB137" s="275"/>
      <c r="BC137" s="275">
        <v>6500000</v>
      </c>
      <c r="BD137" s="275"/>
      <c r="BE137" s="275">
        <v>6500000</v>
      </c>
      <c r="BF137" s="275"/>
      <c r="BH137" s="277"/>
    </row>
    <row r="138" spans="1:60" ht="16.5" customHeight="1">
      <c r="A138" s="260">
        <v>116</v>
      </c>
      <c r="B138" s="261"/>
      <c r="C138" s="261"/>
      <c r="D138" s="262" t="s">
        <v>15</v>
      </c>
      <c r="E138" s="262" t="s">
        <v>113</v>
      </c>
      <c r="F138" s="263" t="s">
        <v>15</v>
      </c>
      <c r="G138" s="264" t="s">
        <v>113</v>
      </c>
      <c r="H138" s="281"/>
      <c r="I138" s="265"/>
      <c r="J138" s="266" t="s">
        <v>151</v>
      </c>
      <c r="K138" s="262"/>
      <c r="L138" s="262"/>
      <c r="M138" s="262">
        <v>15109</v>
      </c>
      <c r="N138" s="262" t="s">
        <v>53</v>
      </c>
      <c r="O138" s="262" t="s">
        <v>212</v>
      </c>
      <c r="P138" s="262" t="s">
        <v>57</v>
      </c>
      <c r="Q138" s="262" t="s">
        <v>30</v>
      </c>
      <c r="R138" s="262" t="s">
        <v>31</v>
      </c>
      <c r="S138" s="267" t="s">
        <v>31</v>
      </c>
      <c r="T138" s="268"/>
      <c r="U138" s="269">
        <v>8500000</v>
      </c>
      <c r="V138" s="269">
        <v>8863000</v>
      </c>
      <c r="W138" s="278">
        <v>9099000</v>
      </c>
      <c r="X138" s="270"/>
      <c r="Y138" s="262" t="s">
        <v>27</v>
      </c>
      <c r="Z138" s="271" t="s">
        <v>27</v>
      </c>
      <c r="AA138" s="287"/>
      <c r="AB138" s="287"/>
      <c r="AC138" s="272">
        <f t="shared" si="5"/>
        <v>10380000</v>
      </c>
      <c r="AD138" s="272">
        <v>10380000</v>
      </c>
      <c r="AE138" s="272">
        <f t="shared" si="6"/>
        <v>0</v>
      </c>
      <c r="AF138" s="273"/>
      <c r="AG138" s="274"/>
      <c r="AH138" s="273"/>
      <c r="AI138" s="273"/>
      <c r="AJ138" s="274"/>
      <c r="AK138" s="273"/>
      <c r="AL138" s="275">
        <v>2880000</v>
      </c>
      <c r="AM138" s="290">
        <v>2880000</v>
      </c>
      <c r="AN138" s="275"/>
      <c r="AO138" s="276"/>
      <c r="AP138" s="275"/>
      <c r="AQ138" s="275"/>
      <c r="AR138" s="275"/>
      <c r="AS138" s="275"/>
      <c r="AT138" s="275"/>
      <c r="AU138" s="275">
        <v>2000000</v>
      </c>
      <c r="AV138" s="275"/>
      <c r="AW138" s="275"/>
      <c r="AX138" s="275"/>
      <c r="AY138" s="275"/>
      <c r="AZ138" s="275"/>
      <c r="BA138" s="275">
        <v>3000000</v>
      </c>
      <c r="BB138" s="275"/>
      <c r="BC138" s="275"/>
      <c r="BD138" s="275"/>
      <c r="BE138" s="275">
        <v>2500000</v>
      </c>
      <c r="BF138" s="275"/>
      <c r="BH138" s="277"/>
    </row>
    <row r="139" spans="1:60" ht="16.5" customHeight="1">
      <c r="A139" s="260">
        <v>117</v>
      </c>
      <c r="B139" s="261"/>
      <c r="C139" s="261"/>
      <c r="D139" s="262" t="s">
        <v>15</v>
      </c>
      <c r="E139" s="262" t="s">
        <v>113</v>
      </c>
      <c r="F139" s="263" t="s">
        <v>15</v>
      </c>
      <c r="G139" s="264" t="s">
        <v>113</v>
      </c>
      <c r="H139" s="281"/>
      <c r="I139" s="265"/>
      <c r="J139" s="266" t="s">
        <v>152</v>
      </c>
      <c r="K139" s="262"/>
      <c r="L139" s="262"/>
      <c r="M139" s="262">
        <v>16408</v>
      </c>
      <c r="N139" s="262" t="s">
        <v>22</v>
      </c>
      <c r="O139" s="262"/>
      <c r="P139" s="262"/>
      <c r="Q139" s="262" t="s">
        <v>18</v>
      </c>
      <c r="R139" s="262" t="s">
        <v>28</v>
      </c>
      <c r="S139" s="267" t="s">
        <v>28</v>
      </c>
      <c r="T139" s="268"/>
      <c r="U139" s="269">
        <v>126890333</v>
      </c>
      <c r="V139" s="269">
        <v>0</v>
      </c>
      <c r="W139" s="278">
        <v>0</v>
      </c>
      <c r="X139" s="270"/>
      <c r="Y139" s="262" t="s">
        <v>21</v>
      </c>
      <c r="Z139" s="271" t="s">
        <v>562</v>
      </c>
      <c r="AA139" s="287"/>
      <c r="AB139" s="287"/>
      <c r="AC139" s="272">
        <f t="shared" si="5"/>
        <v>0</v>
      </c>
      <c r="AD139" s="272">
        <v>0</v>
      </c>
      <c r="AE139" s="272">
        <f t="shared" si="6"/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/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/>
      <c r="BF139" s="275"/>
      <c r="BH139" s="277"/>
    </row>
    <row r="140" spans="1:60" ht="16.5" customHeight="1">
      <c r="A140" s="260">
        <v>118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204</v>
      </c>
      <c r="K140" s="262"/>
      <c r="L140" s="262"/>
      <c r="M140" s="262">
        <v>12080</v>
      </c>
      <c r="N140" s="262" t="s">
        <v>22</v>
      </c>
      <c r="O140" s="262" t="s">
        <v>35</v>
      </c>
      <c r="P140" s="262" t="s">
        <v>57</v>
      </c>
      <c r="Q140" s="262" t="s">
        <v>18</v>
      </c>
      <c r="R140" s="262" t="s">
        <v>28</v>
      </c>
      <c r="S140" s="267" t="s">
        <v>28</v>
      </c>
      <c r="T140" s="268" t="s">
        <v>951</v>
      </c>
      <c r="U140" s="269" t="s">
        <v>154</v>
      </c>
      <c r="V140" s="269">
        <v>0</v>
      </c>
      <c r="W140" s="278">
        <v>127496280</v>
      </c>
      <c r="X140" s="270"/>
      <c r="Y140" s="262" t="s">
        <v>27</v>
      </c>
      <c r="Z140" s="271" t="s">
        <v>27</v>
      </c>
      <c r="AA140" s="287"/>
      <c r="AB140" s="287"/>
      <c r="AC140" s="272">
        <f t="shared" si="5"/>
        <v>115815046</v>
      </c>
      <c r="AD140" s="272">
        <v>115815046</v>
      </c>
      <c r="AE140" s="272">
        <f t="shared" si="6"/>
        <v>0</v>
      </c>
      <c r="AF140" s="273"/>
      <c r="AG140" s="274"/>
      <c r="AH140" s="273" t="s">
        <v>852</v>
      </c>
      <c r="AI140" s="273">
        <v>8000000</v>
      </c>
      <c r="AJ140" s="274">
        <v>819926</v>
      </c>
      <c r="AK140" s="273"/>
      <c r="AL140" s="275">
        <v>4990000</v>
      </c>
      <c r="AM140" s="290">
        <v>4995120</v>
      </c>
      <c r="AN140" s="275"/>
      <c r="AO140" s="276">
        <v>9000000</v>
      </c>
      <c r="AP140" s="275"/>
      <c r="AQ140" s="275">
        <v>12000000</v>
      </c>
      <c r="AR140" s="275"/>
      <c r="AS140" s="275">
        <v>12000000</v>
      </c>
      <c r="AT140" s="275"/>
      <c r="AU140" s="275">
        <v>12000000</v>
      </c>
      <c r="AV140" s="275"/>
      <c r="AW140" s="275">
        <v>12000000</v>
      </c>
      <c r="AX140" s="275"/>
      <c r="AY140" s="275">
        <v>12000000</v>
      </c>
      <c r="AZ140" s="275"/>
      <c r="BA140" s="275">
        <v>12000000</v>
      </c>
      <c r="BB140" s="275"/>
      <c r="BC140" s="275">
        <v>15000000</v>
      </c>
      <c r="BD140" s="275"/>
      <c r="BE140" s="275">
        <v>14000000</v>
      </c>
      <c r="BF140" s="275"/>
      <c r="BH140" s="277"/>
    </row>
    <row r="141" spans="1:60" ht="16.5" customHeight="1">
      <c r="A141" s="260">
        <v>119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/>
      <c r="Q141" s="262" t="s">
        <v>18</v>
      </c>
      <c r="R141" s="262" t="s">
        <v>19</v>
      </c>
      <c r="S141" s="267" t="s">
        <v>19</v>
      </c>
      <c r="T141" s="268"/>
      <c r="U141" s="269">
        <v>84791494</v>
      </c>
      <c r="V141" s="269">
        <v>0</v>
      </c>
      <c r="W141" s="278">
        <v>0</v>
      </c>
      <c r="X141" s="270"/>
      <c r="Y141" s="262" t="s">
        <v>24</v>
      </c>
      <c r="Z141" s="271" t="s">
        <v>27</v>
      </c>
      <c r="AA141" s="287"/>
      <c r="AB141" s="287"/>
      <c r="AC141" s="272">
        <f t="shared" si="5"/>
        <v>200000000</v>
      </c>
      <c r="AD141" s="272">
        <v>200000000</v>
      </c>
      <c r="AE141" s="272">
        <f t="shared" si="6"/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>
        <v>100000000</v>
      </c>
      <c r="AV141" s="275"/>
      <c r="AW141" s="275"/>
      <c r="AX141" s="275"/>
      <c r="AY141" s="275"/>
      <c r="AZ141" s="275"/>
      <c r="BA141" s="275"/>
      <c r="BB141" s="275"/>
      <c r="BC141" s="275"/>
      <c r="BD141" s="275"/>
      <c r="BE141" s="275">
        <v>100000000</v>
      </c>
      <c r="BF141" s="275"/>
      <c r="BH141" s="277"/>
    </row>
    <row r="142" spans="1:60" ht="16.5" customHeight="1">
      <c r="A142" s="260">
        <v>120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155</v>
      </c>
      <c r="K142" s="262"/>
      <c r="L142" s="262"/>
      <c r="M142" s="262">
        <v>3708</v>
      </c>
      <c r="N142" s="262" t="s">
        <v>32</v>
      </c>
      <c r="O142" s="262" t="s">
        <v>56</v>
      </c>
      <c r="P142" s="262" t="s">
        <v>156</v>
      </c>
      <c r="Q142" s="262" t="s">
        <v>44</v>
      </c>
      <c r="R142" s="262" t="s">
        <v>469</v>
      </c>
      <c r="S142" s="267" t="s">
        <v>469</v>
      </c>
      <c r="T142" s="268"/>
      <c r="U142" s="269"/>
      <c r="V142" s="269">
        <v>148595000</v>
      </c>
      <c r="W142" s="278">
        <v>21995300</v>
      </c>
      <c r="X142" s="270"/>
      <c r="Y142" s="262" t="s">
        <v>27</v>
      </c>
      <c r="Z142" s="271" t="s">
        <v>27</v>
      </c>
      <c r="AA142" s="287"/>
      <c r="AB142" s="287"/>
      <c r="AC142" s="272">
        <f t="shared" si="5"/>
        <v>21595000</v>
      </c>
      <c r="AD142" s="272">
        <v>21595000</v>
      </c>
      <c r="AE142" s="272">
        <f t="shared" si="6"/>
        <v>0</v>
      </c>
      <c r="AF142" s="273"/>
      <c r="AG142" s="274">
        <v>7945000</v>
      </c>
      <c r="AH142" s="273"/>
      <c r="AI142" s="273"/>
      <c r="AJ142" s="274">
        <v>6195000</v>
      </c>
      <c r="AK142" s="273"/>
      <c r="AL142" s="275"/>
      <c r="AM142" s="290">
        <v>7455000</v>
      </c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/>
      <c r="BB142" s="275"/>
      <c r="BC142" s="275"/>
      <c r="BD142" s="275"/>
      <c r="BE142" s="275"/>
      <c r="BF142" s="275"/>
      <c r="BH142" s="277"/>
    </row>
    <row r="143" spans="1:60" ht="16.5" customHeight="1">
      <c r="A143" s="260">
        <v>121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155</v>
      </c>
      <c r="K143" s="262"/>
      <c r="L143" s="262"/>
      <c r="M143" s="262">
        <v>3708</v>
      </c>
      <c r="N143" s="262" t="s">
        <v>32</v>
      </c>
      <c r="O143" s="262" t="s">
        <v>56</v>
      </c>
      <c r="P143" s="262" t="s">
        <v>156</v>
      </c>
      <c r="Q143" s="262" t="s">
        <v>26</v>
      </c>
      <c r="R143" s="262" t="s">
        <v>468</v>
      </c>
      <c r="S143" s="267" t="s">
        <v>468</v>
      </c>
      <c r="T143" s="268"/>
      <c r="U143" s="269">
        <v>16344999.999999998</v>
      </c>
      <c r="V143" s="269">
        <v>24210000</v>
      </c>
      <c r="W143" s="278">
        <v>7030000</v>
      </c>
      <c r="X143" s="270"/>
      <c r="Y143" s="262" t="s">
        <v>24</v>
      </c>
      <c r="Z143" s="271" t="s">
        <v>24</v>
      </c>
      <c r="AA143" s="287"/>
      <c r="AB143" s="287"/>
      <c r="AC143" s="272">
        <f t="shared" si="5"/>
        <v>26000000</v>
      </c>
      <c r="AD143" s="272">
        <v>26000000</v>
      </c>
      <c r="AE143" s="272">
        <f t="shared" si="6"/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>
        <v>13000000</v>
      </c>
      <c r="AZ143" s="275"/>
      <c r="BA143" s="275">
        <v>13000000</v>
      </c>
      <c r="BB143" s="275"/>
      <c r="BC143" s="275"/>
      <c r="BD143" s="275"/>
      <c r="BE143" s="275"/>
      <c r="BF143" s="275"/>
      <c r="BH143" s="277"/>
    </row>
    <row r="144" spans="1:60" ht="16.5" customHeight="1">
      <c r="A144" s="260">
        <v>122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157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/>
      <c r="Q144" s="262" t="s">
        <v>23</v>
      </c>
      <c r="R144" s="262" t="s">
        <v>397</v>
      </c>
      <c r="S144" s="267" t="s">
        <v>823</v>
      </c>
      <c r="T144" s="268"/>
      <c r="U144" s="269"/>
      <c r="V144" s="269">
        <v>5000000</v>
      </c>
      <c r="W144" s="278">
        <v>0</v>
      </c>
      <c r="X144" s="270"/>
      <c r="Y144" s="262" t="s">
        <v>25</v>
      </c>
      <c r="Z144" s="271" t="s">
        <v>25</v>
      </c>
      <c r="AA144" s="287"/>
      <c r="AB144" s="287"/>
      <c r="AC144" s="272">
        <f t="shared" si="5"/>
        <v>10000000</v>
      </c>
      <c r="AD144" s="272">
        <v>10000000</v>
      </c>
      <c r="AE144" s="272">
        <f t="shared" si="6"/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>
        <v>10000000</v>
      </c>
      <c r="BB144" s="275"/>
      <c r="BC144" s="275"/>
      <c r="BD144" s="275"/>
      <c r="BE144" s="275"/>
      <c r="BF144" s="275"/>
      <c r="BH144" s="277"/>
    </row>
    <row r="145" spans="1:60" ht="16.5" customHeight="1">
      <c r="A145" s="260">
        <v>123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158</v>
      </c>
      <c r="K145" s="262"/>
      <c r="L145" s="262"/>
      <c r="M145" s="262">
        <v>40006</v>
      </c>
      <c r="N145" s="262" t="s">
        <v>32</v>
      </c>
      <c r="O145" s="262"/>
      <c r="P145" s="262" t="s">
        <v>124</v>
      </c>
      <c r="Q145" s="262" t="s">
        <v>26</v>
      </c>
      <c r="R145" s="262" t="s">
        <v>468</v>
      </c>
      <c r="S145" s="267" t="s">
        <v>468</v>
      </c>
      <c r="T145" s="268"/>
      <c r="U145" s="269">
        <v>4000000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 t="shared" si="5"/>
        <v>0</v>
      </c>
      <c r="AD145" s="272">
        <v>0</v>
      </c>
      <c r="AE145" s="272">
        <f t="shared" si="6"/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customHeight="1">
      <c r="A146" s="260">
        <v>124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160</v>
      </c>
      <c r="R146" s="262" t="s">
        <v>19</v>
      </c>
      <c r="S146" s="267" t="s">
        <v>19</v>
      </c>
      <c r="T146" s="268"/>
      <c r="U146" s="269"/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 t="shared" si="5"/>
        <v>0</v>
      </c>
      <c r="AD146" s="272">
        <v>0</v>
      </c>
      <c r="AE146" s="272">
        <f t="shared" si="6"/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customHeight="1">
      <c r="A147" s="260">
        <v>125</v>
      </c>
      <c r="B147" s="261"/>
      <c r="C147" s="261"/>
      <c r="D147" s="262" t="s">
        <v>15</v>
      </c>
      <c r="E147" s="262" t="s">
        <v>0</v>
      </c>
      <c r="F147" s="263" t="s">
        <v>15</v>
      </c>
      <c r="G147" s="264" t="s">
        <v>0</v>
      </c>
      <c r="H147" s="281"/>
      <c r="I147" s="265"/>
      <c r="J147" s="266" t="s">
        <v>159</v>
      </c>
      <c r="K147" s="262"/>
      <c r="L147" s="262"/>
      <c r="M147" s="262">
        <v>29192</v>
      </c>
      <c r="N147" s="262" t="s">
        <v>32</v>
      </c>
      <c r="O147" s="262" t="s">
        <v>56</v>
      </c>
      <c r="P147" s="262"/>
      <c r="Q147" s="262" t="s">
        <v>54</v>
      </c>
      <c r="R147" s="262" t="s">
        <v>467</v>
      </c>
      <c r="S147" s="267" t="s">
        <v>826</v>
      </c>
      <c r="T147" s="268"/>
      <c r="U147" s="269">
        <v>195109906</v>
      </c>
      <c r="V147" s="269">
        <v>0</v>
      </c>
      <c r="W147" s="278">
        <v>0</v>
      </c>
      <c r="X147" s="270"/>
      <c r="Y147" s="262" t="s">
        <v>21</v>
      </c>
      <c r="Z147" s="271" t="s">
        <v>21</v>
      </c>
      <c r="AA147" s="287"/>
      <c r="AB147" s="287"/>
      <c r="AC147" s="272">
        <f t="shared" si="5"/>
        <v>0</v>
      </c>
      <c r="AD147" s="272">
        <v>0</v>
      </c>
      <c r="AE147" s="272">
        <f t="shared" si="6"/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customHeight="1">
      <c r="A148" s="260">
        <v>126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159</v>
      </c>
      <c r="K148" s="262"/>
      <c r="L148" s="262"/>
      <c r="M148" s="262">
        <v>29192</v>
      </c>
      <c r="N148" s="262" t="s">
        <v>32</v>
      </c>
      <c r="O148" s="262" t="s">
        <v>56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>
        <v>200661090</v>
      </c>
      <c r="V148" s="269">
        <v>0</v>
      </c>
      <c r="W148" s="278">
        <v>0</v>
      </c>
      <c r="X148" s="270"/>
      <c r="Y148" s="262" t="s">
        <v>20</v>
      </c>
      <c r="Z148" s="271" t="s">
        <v>20</v>
      </c>
      <c r="AA148" s="287"/>
      <c r="AB148" s="287"/>
      <c r="AC148" s="272">
        <f t="shared" si="5"/>
        <v>0</v>
      </c>
      <c r="AD148" s="272">
        <v>0</v>
      </c>
      <c r="AE148" s="272">
        <f t="shared" si="6"/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customHeight="1">
      <c r="A149" s="260">
        <v>127</v>
      </c>
      <c r="B149" s="261"/>
      <c r="C149" s="261"/>
      <c r="D149" s="262" t="s">
        <v>15</v>
      </c>
      <c r="E149" s="262" t="s">
        <v>606</v>
      </c>
      <c r="F149" s="263" t="s">
        <v>15</v>
      </c>
      <c r="G149" s="264" t="s">
        <v>0</v>
      </c>
      <c r="H149" s="281"/>
      <c r="I149" s="265"/>
      <c r="J149" s="266" t="s">
        <v>161</v>
      </c>
      <c r="K149" s="262"/>
      <c r="L149" s="262"/>
      <c r="M149" s="262">
        <v>29192</v>
      </c>
      <c r="N149" s="262" t="s">
        <v>32</v>
      </c>
      <c r="O149" s="262" t="s">
        <v>212</v>
      </c>
      <c r="P149" s="262" t="s">
        <v>57</v>
      </c>
      <c r="Q149" s="262" t="s">
        <v>160</v>
      </c>
      <c r="R149" s="262" t="s">
        <v>19</v>
      </c>
      <c r="S149" s="267" t="s">
        <v>19</v>
      </c>
      <c r="T149" s="268"/>
      <c r="U149" s="269"/>
      <c r="V149" s="269">
        <v>0</v>
      </c>
      <c r="W149" s="278">
        <v>78875175</v>
      </c>
      <c r="X149" s="270"/>
      <c r="Y149" s="262" t="s">
        <v>27</v>
      </c>
      <c r="Z149" s="271" t="s">
        <v>718</v>
      </c>
      <c r="AA149" s="287"/>
      <c r="AB149" s="287"/>
      <c r="AC149" s="272">
        <f t="shared" si="5"/>
        <v>0</v>
      </c>
      <c r="AD149" s="272">
        <v>0</v>
      </c>
      <c r="AE149" s="272">
        <f t="shared" si="6"/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customHeight="1">
      <c r="A150" s="260">
        <v>128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161</v>
      </c>
      <c r="K150" s="262"/>
      <c r="L150" s="262"/>
      <c r="M150" s="262">
        <v>29192</v>
      </c>
      <c r="N150" s="262" t="s">
        <v>32</v>
      </c>
      <c r="O150" s="262" t="s">
        <v>212</v>
      </c>
      <c r="P150" s="262" t="s">
        <v>57</v>
      </c>
      <c r="Q150" s="262" t="s">
        <v>59</v>
      </c>
      <c r="R150" s="262" t="s">
        <v>476</v>
      </c>
      <c r="S150" s="267" t="s">
        <v>825</v>
      </c>
      <c r="T150" s="268"/>
      <c r="U150" s="269"/>
      <c r="V150" s="269">
        <v>0</v>
      </c>
      <c r="W150" s="278">
        <v>130890000</v>
      </c>
      <c r="X150" s="270"/>
      <c r="Y150" s="262" t="s">
        <v>27</v>
      </c>
      <c r="Z150" s="271" t="s">
        <v>20</v>
      </c>
      <c r="AA150" s="287"/>
      <c r="AB150" s="287"/>
      <c r="AC150" s="272">
        <f t="shared" si="5"/>
        <v>0</v>
      </c>
      <c r="AD150" s="272">
        <v>0</v>
      </c>
      <c r="AE150" s="272">
        <f t="shared" si="6"/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/>
      <c r="BB150" s="275"/>
      <c r="BC150" s="275"/>
      <c r="BD150" s="275"/>
      <c r="BE150" s="275"/>
      <c r="BF150" s="275"/>
      <c r="BH150" s="277"/>
    </row>
    <row r="151" spans="1:60" ht="16.5" customHeight="1">
      <c r="A151" s="260">
        <v>129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162</v>
      </c>
      <c r="K151" s="262"/>
      <c r="L151" s="262"/>
      <c r="M151" s="262">
        <v>29192</v>
      </c>
      <c r="N151" s="262" t="s">
        <v>32</v>
      </c>
      <c r="O151" s="262" t="s">
        <v>56</v>
      </c>
      <c r="P151" s="262" t="s">
        <v>57</v>
      </c>
      <c r="Q151" s="262" t="s">
        <v>59</v>
      </c>
      <c r="R151" s="262" t="s">
        <v>476</v>
      </c>
      <c r="S151" s="267" t="s">
        <v>825</v>
      </c>
      <c r="T151" s="268"/>
      <c r="U151" s="269"/>
      <c r="V151" s="269">
        <v>247470000</v>
      </c>
      <c r="W151" s="278">
        <v>129670000</v>
      </c>
      <c r="X151" s="270"/>
      <c r="Y151" s="262" t="s">
        <v>27</v>
      </c>
      <c r="Z151" s="271" t="s">
        <v>27</v>
      </c>
      <c r="AA151" s="287"/>
      <c r="AB151" s="287"/>
      <c r="AC151" s="272">
        <f t="shared" ref="AC151:AC214" si="7">AG151+AJ151+AM151+AO151+AQ151+AS151+AU151+AW151+AY151+BA151+BC151+BE151</f>
        <v>130000000</v>
      </c>
      <c r="AD151" s="272">
        <v>130000000</v>
      </c>
      <c r="AE151" s="272">
        <f t="shared" ref="AE151:AE214" si="8">AC151-AD151</f>
        <v>0</v>
      </c>
      <c r="AF151" s="273"/>
      <c r="AG151" s="274"/>
      <c r="AH151" s="273"/>
      <c r="AI151" s="273"/>
      <c r="AJ151" s="274"/>
      <c r="AK151" s="273"/>
      <c r="AL151" s="275"/>
      <c r="AM151" s="290"/>
      <c r="AN151" s="275"/>
      <c r="AO151" s="276">
        <v>65000000</v>
      </c>
      <c r="AP151" s="275"/>
      <c r="AQ151" s="275"/>
      <c r="AR151" s="275"/>
      <c r="AS151" s="275"/>
      <c r="AT151" s="275"/>
      <c r="AU151" s="275">
        <v>65000000</v>
      </c>
      <c r="AV151" s="275"/>
      <c r="AW151" s="275"/>
      <c r="AX151" s="275"/>
      <c r="AY151" s="275"/>
      <c r="AZ151" s="275"/>
      <c r="BA151" s="275"/>
      <c r="BB151" s="275"/>
      <c r="BC151" s="275"/>
      <c r="BD151" s="275"/>
      <c r="BE151" s="275"/>
      <c r="BF151" s="275"/>
      <c r="BH151" s="277"/>
    </row>
    <row r="152" spans="1:60" ht="16.5" customHeight="1">
      <c r="A152" s="260">
        <v>130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725</v>
      </c>
      <c r="K152" s="262"/>
      <c r="L152" s="262"/>
      <c r="M152" s="262">
        <v>29192</v>
      </c>
      <c r="N152" s="262" t="s">
        <v>32</v>
      </c>
      <c r="O152" s="262" t="s">
        <v>56</v>
      </c>
      <c r="P152" s="262" t="s">
        <v>57</v>
      </c>
      <c r="Q152" s="262"/>
      <c r="R152" s="262" t="s">
        <v>476</v>
      </c>
      <c r="S152" s="267" t="s">
        <v>825</v>
      </c>
      <c r="T152" s="268"/>
      <c r="U152" s="269"/>
      <c r="V152" s="269"/>
      <c r="W152" s="278">
        <v>0</v>
      </c>
      <c r="X152" s="270"/>
      <c r="Y152" s="262"/>
      <c r="Z152" s="271" t="s">
        <v>24</v>
      </c>
      <c r="AA152" s="287"/>
      <c r="AB152" s="287"/>
      <c r="AC152" s="272">
        <f t="shared" si="7"/>
        <v>130000000</v>
      </c>
      <c r="AD152" s="272">
        <v>130000000</v>
      </c>
      <c r="AE152" s="272">
        <f t="shared" si="8"/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/>
      <c r="AT152" s="275"/>
      <c r="AU152" s="275"/>
      <c r="AV152" s="275"/>
      <c r="AW152" s="275"/>
      <c r="AX152" s="275"/>
      <c r="AY152" s="275"/>
      <c r="AZ152" s="275"/>
      <c r="BA152" s="275">
        <v>65000000</v>
      </c>
      <c r="BB152" s="275"/>
      <c r="BC152" s="275"/>
      <c r="BD152" s="275"/>
      <c r="BE152" s="275">
        <v>65000000</v>
      </c>
      <c r="BF152" s="275"/>
      <c r="BH152" s="277"/>
    </row>
    <row r="153" spans="1:60" ht="16.5" customHeight="1">
      <c r="A153" s="260">
        <v>131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 t="s">
        <v>57</v>
      </c>
      <c r="Q153" s="262" t="s">
        <v>63</v>
      </c>
      <c r="R153" s="262" t="s">
        <v>28</v>
      </c>
      <c r="S153" s="267" t="s">
        <v>28</v>
      </c>
      <c r="T153" s="268"/>
      <c r="U153" s="269">
        <v>86916000</v>
      </c>
      <c r="V153" s="269">
        <v>67284000</v>
      </c>
      <c r="W153" s="278">
        <v>0</v>
      </c>
      <c r="X153" s="270"/>
      <c r="Y153" s="262" t="s">
        <v>74</v>
      </c>
      <c r="Z153" s="271" t="s">
        <v>27</v>
      </c>
      <c r="AA153" s="287"/>
      <c r="AB153" s="287"/>
      <c r="AC153" s="272">
        <f t="shared" si="7"/>
        <v>59053500</v>
      </c>
      <c r="AD153" s="272">
        <v>59053500</v>
      </c>
      <c r="AE153" s="272">
        <f t="shared" si="8"/>
        <v>0</v>
      </c>
      <c r="AF153" s="273"/>
      <c r="AG153" s="274"/>
      <c r="AH153" s="273"/>
      <c r="AI153" s="273">
        <v>5400000</v>
      </c>
      <c r="AJ153" s="274">
        <v>5233500</v>
      </c>
      <c r="AK153" s="273"/>
      <c r="AL153" s="275">
        <v>10800000</v>
      </c>
      <c r="AM153" s="290">
        <v>5220000</v>
      </c>
      <c r="AN153" s="275"/>
      <c r="AO153" s="276">
        <v>5400000</v>
      </c>
      <c r="AP153" s="275"/>
      <c r="AQ153" s="275">
        <v>5400000</v>
      </c>
      <c r="AR153" s="275"/>
      <c r="AS153" s="275">
        <v>5400000</v>
      </c>
      <c r="AT153" s="275"/>
      <c r="AU153" s="275">
        <v>5400000</v>
      </c>
      <c r="AV153" s="275"/>
      <c r="AW153" s="275">
        <v>5400000</v>
      </c>
      <c r="AX153" s="275"/>
      <c r="AY153" s="275">
        <v>5400000</v>
      </c>
      <c r="AZ153" s="275"/>
      <c r="BA153" s="275">
        <v>5400000</v>
      </c>
      <c r="BB153" s="275"/>
      <c r="BC153" s="275">
        <v>5400000</v>
      </c>
      <c r="BD153" s="275"/>
      <c r="BE153" s="275">
        <v>5400000</v>
      </c>
      <c r="BF153" s="275"/>
      <c r="BH153" s="277"/>
    </row>
    <row r="154" spans="1:60" ht="16.5" customHeight="1">
      <c r="A154" s="260">
        <v>132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 t="s">
        <v>57</v>
      </c>
      <c r="Q154" s="262" t="s">
        <v>30</v>
      </c>
      <c r="R154" s="262" t="s">
        <v>31</v>
      </c>
      <c r="S154" s="267" t="s">
        <v>31</v>
      </c>
      <c r="T154" s="268"/>
      <c r="U154" s="269">
        <v>19645000</v>
      </c>
      <c r="V154" s="269">
        <v>19491000</v>
      </c>
      <c r="W154" s="278">
        <v>1107000</v>
      </c>
      <c r="X154" s="270"/>
      <c r="Y154" s="262" t="s">
        <v>74</v>
      </c>
      <c r="Z154" s="271" t="s">
        <v>27</v>
      </c>
      <c r="AA154" s="287"/>
      <c r="AB154" s="287"/>
      <c r="AC154" s="272">
        <f t="shared" si="7"/>
        <v>26740000</v>
      </c>
      <c r="AD154" s="272">
        <v>26740000</v>
      </c>
      <c r="AE154" s="272">
        <f t="shared" si="8"/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>
        <v>13370000</v>
      </c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>
        <v>13370000</v>
      </c>
      <c r="BF154" s="275"/>
      <c r="BH154" s="277"/>
    </row>
    <row r="155" spans="1:60" ht="16.5" customHeight="1">
      <c r="A155" s="260">
        <v>133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205</v>
      </c>
      <c r="K155" s="262"/>
      <c r="L155" s="262"/>
      <c r="M155" s="262">
        <v>16346</v>
      </c>
      <c r="N155" s="262" t="s">
        <v>32</v>
      </c>
      <c r="O155" s="262" t="s">
        <v>56</v>
      </c>
      <c r="P155" s="262"/>
      <c r="Q155" s="262" t="s">
        <v>26</v>
      </c>
      <c r="R155" s="262" t="s">
        <v>478</v>
      </c>
      <c r="S155" s="267" t="s">
        <v>478</v>
      </c>
      <c r="T155" s="268"/>
      <c r="U155" s="269"/>
      <c r="V155" s="269">
        <v>3200000</v>
      </c>
      <c r="W155" s="278">
        <v>0</v>
      </c>
      <c r="X155" s="270"/>
      <c r="Y155" s="262" t="s">
        <v>20</v>
      </c>
      <c r="Z155" s="271" t="s">
        <v>20</v>
      </c>
      <c r="AA155" s="287"/>
      <c r="AB155" s="287"/>
      <c r="AC155" s="272">
        <f t="shared" si="7"/>
        <v>0</v>
      </c>
      <c r="AD155" s="272">
        <v>0</v>
      </c>
      <c r="AE155" s="272">
        <f t="shared" si="8"/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customHeight="1">
      <c r="A156" s="260">
        <v>134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205</v>
      </c>
      <c r="K156" s="262"/>
      <c r="L156" s="262"/>
      <c r="M156" s="262">
        <v>16346</v>
      </c>
      <c r="N156" s="262" t="s">
        <v>32</v>
      </c>
      <c r="O156" s="262" t="s">
        <v>56</v>
      </c>
      <c r="P156" s="262"/>
      <c r="Q156" s="262" t="s">
        <v>55</v>
      </c>
      <c r="R156" s="262" t="s">
        <v>466</v>
      </c>
      <c r="S156" s="267" t="s">
        <v>829</v>
      </c>
      <c r="T156" s="268"/>
      <c r="U156" s="269"/>
      <c r="V156" s="269">
        <v>3000000</v>
      </c>
      <c r="W156" s="278">
        <v>0</v>
      </c>
      <c r="X156" s="270"/>
      <c r="Y156" s="262" t="s">
        <v>20</v>
      </c>
      <c r="Z156" s="271" t="s">
        <v>20</v>
      </c>
      <c r="AA156" s="287"/>
      <c r="AB156" s="287"/>
      <c r="AC156" s="272">
        <f t="shared" si="7"/>
        <v>0</v>
      </c>
      <c r="AD156" s="272">
        <v>0</v>
      </c>
      <c r="AE156" s="272">
        <f t="shared" si="8"/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75"/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customHeight="1">
      <c r="A157" s="260">
        <v>135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29</v>
      </c>
      <c r="K157" s="262"/>
      <c r="L157" s="262"/>
      <c r="M157" s="262">
        <v>59912</v>
      </c>
      <c r="N157" s="262" t="s">
        <v>22</v>
      </c>
      <c r="O157" s="262" t="s">
        <v>212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/>
      <c r="V157" s="269">
        <v>280000</v>
      </c>
      <c r="W157" s="278">
        <v>0</v>
      </c>
      <c r="X157" s="270"/>
      <c r="Y157" s="262" t="s">
        <v>27</v>
      </c>
      <c r="Z157" s="271" t="s">
        <v>562</v>
      </c>
      <c r="AA157" s="287"/>
      <c r="AB157" s="287"/>
      <c r="AC157" s="272">
        <f t="shared" si="7"/>
        <v>0</v>
      </c>
      <c r="AD157" s="272">
        <v>0</v>
      </c>
      <c r="AE157" s="272">
        <f t="shared" si="8"/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75"/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customHeight="1">
      <c r="A158" s="260">
        <v>136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206</v>
      </c>
      <c r="K158" s="262"/>
      <c r="L158" s="262"/>
      <c r="M158" s="262">
        <v>17964</v>
      </c>
      <c r="N158" s="262" t="s">
        <v>17</v>
      </c>
      <c r="O158" s="262" t="s">
        <v>56</v>
      </c>
      <c r="P158" s="262" t="s">
        <v>57</v>
      </c>
      <c r="Q158" s="262" t="s">
        <v>30</v>
      </c>
      <c r="R158" s="262" t="s">
        <v>31</v>
      </c>
      <c r="S158" s="267" t="s">
        <v>31</v>
      </c>
      <c r="T158" s="268"/>
      <c r="U158" s="269">
        <v>8300000</v>
      </c>
      <c r="V158" s="269">
        <v>8300000</v>
      </c>
      <c r="W158" s="278">
        <v>9252000</v>
      </c>
      <c r="X158" s="270"/>
      <c r="Y158" s="262" t="s">
        <v>27</v>
      </c>
      <c r="Z158" s="271" t="s">
        <v>25</v>
      </c>
      <c r="AA158" s="287"/>
      <c r="AB158" s="287"/>
      <c r="AC158" s="272">
        <f t="shared" si="7"/>
        <v>10000000</v>
      </c>
      <c r="AD158" s="272">
        <v>10000000</v>
      </c>
      <c r="AE158" s="272">
        <f t="shared" si="8"/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75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customHeight="1">
      <c r="A159" s="260">
        <v>137</v>
      </c>
      <c r="B159" s="261"/>
      <c r="C159" s="261"/>
      <c r="D159" s="262" t="s">
        <v>15</v>
      </c>
      <c r="E159" s="262" t="s">
        <v>0</v>
      </c>
      <c r="F159" s="263" t="s">
        <v>15</v>
      </c>
      <c r="G159" s="264" t="s">
        <v>0</v>
      </c>
      <c r="H159" s="281"/>
      <c r="I159" s="265"/>
      <c r="J159" s="266" t="s">
        <v>207</v>
      </c>
      <c r="K159" s="262"/>
      <c r="L159" s="262"/>
      <c r="M159" s="262">
        <v>58453</v>
      </c>
      <c r="N159" s="262" t="s">
        <v>22</v>
      </c>
      <c r="O159" s="262" t="s">
        <v>56</v>
      </c>
      <c r="P159" s="262" t="s">
        <v>57</v>
      </c>
      <c r="Q159" s="262" t="s">
        <v>30</v>
      </c>
      <c r="R159" s="262" t="s">
        <v>31</v>
      </c>
      <c r="S159" s="267" t="s">
        <v>31</v>
      </c>
      <c r="T159" s="268"/>
      <c r="U159" s="269">
        <v>515000</v>
      </c>
      <c r="V159" s="269">
        <v>335000</v>
      </c>
      <c r="W159" s="278">
        <v>0</v>
      </c>
      <c r="X159" s="270"/>
      <c r="Y159" s="262" t="s">
        <v>25</v>
      </c>
      <c r="Z159" s="271" t="s">
        <v>25</v>
      </c>
      <c r="AA159" s="287"/>
      <c r="AB159" s="287"/>
      <c r="AC159" s="272">
        <f t="shared" si="7"/>
        <v>10000000</v>
      </c>
      <c r="AD159" s="272">
        <v>10000000</v>
      </c>
      <c r="AE159" s="272">
        <f t="shared" si="8"/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75">
        <v>10000000</v>
      </c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customHeight="1">
      <c r="A160" s="260">
        <v>138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655</v>
      </c>
      <c r="K160" s="262"/>
      <c r="L160" s="262"/>
      <c r="M160" s="262">
        <v>63339</v>
      </c>
      <c r="N160" s="262" t="s">
        <v>17</v>
      </c>
      <c r="O160" s="262" t="s">
        <v>35</v>
      </c>
      <c r="P160" s="262" t="s">
        <v>57</v>
      </c>
      <c r="Q160" s="262"/>
      <c r="R160" s="262" t="s">
        <v>31</v>
      </c>
      <c r="S160" s="267" t="s">
        <v>31</v>
      </c>
      <c r="T160" s="268"/>
      <c r="U160" s="269"/>
      <c r="V160" s="269">
        <v>0</v>
      </c>
      <c r="W160" s="278">
        <v>5600000</v>
      </c>
      <c r="X160" s="270"/>
      <c r="Y160" s="262" t="s">
        <v>27</v>
      </c>
      <c r="Z160" s="271" t="s">
        <v>25</v>
      </c>
      <c r="AA160" s="287"/>
      <c r="AB160" s="287"/>
      <c r="AC160" s="272">
        <f t="shared" si="7"/>
        <v>10000000</v>
      </c>
      <c r="AD160" s="272">
        <v>10000000</v>
      </c>
      <c r="AE160" s="272">
        <f t="shared" si="8"/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75">
        <v>10000000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customHeight="1">
      <c r="A161" s="260">
        <v>139</v>
      </c>
      <c r="B161" s="261"/>
      <c r="C161" s="261"/>
      <c r="D161" s="262"/>
      <c r="E161" s="262"/>
      <c r="F161" s="263" t="s">
        <v>15</v>
      </c>
      <c r="G161" s="264" t="s">
        <v>0</v>
      </c>
      <c r="H161" s="281"/>
      <c r="I161" s="265"/>
      <c r="J161" s="266" t="s">
        <v>208</v>
      </c>
      <c r="K161" s="262"/>
      <c r="L161" s="262"/>
      <c r="M161" s="262">
        <v>8714</v>
      </c>
      <c r="N161" s="262"/>
      <c r="O161" s="262"/>
      <c r="P161" s="262"/>
      <c r="Q161" s="262"/>
      <c r="R161" s="262"/>
      <c r="S161" s="267" t="s">
        <v>31</v>
      </c>
      <c r="T161" s="268"/>
      <c r="U161" s="269"/>
      <c r="V161" s="269"/>
      <c r="W161" s="278">
        <v>19400000</v>
      </c>
      <c r="X161" s="270"/>
      <c r="Y161" s="262"/>
      <c r="Z161" s="271" t="s">
        <v>718</v>
      </c>
      <c r="AA161" s="287"/>
      <c r="AB161" s="287"/>
      <c r="AC161" s="272">
        <f t="shared" si="7"/>
        <v>0</v>
      </c>
      <c r="AD161" s="272">
        <v>0</v>
      </c>
      <c r="AE161" s="272">
        <f t="shared" si="8"/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75"/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customHeight="1">
      <c r="A162" s="260">
        <v>140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208</v>
      </c>
      <c r="K162" s="262"/>
      <c r="L162" s="262"/>
      <c r="M162" s="262">
        <v>8714</v>
      </c>
      <c r="N162" s="262" t="s">
        <v>17</v>
      </c>
      <c r="O162" s="262" t="s">
        <v>56</v>
      </c>
      <c r="P162" s="262" t="s">
        <v>57</v>
      </c>
      <c r="Q162" s="262" t="s">
        <v>23</v>
      </c>
      <c r="R162" s="262" t="s">
        <v>397</v>
      </c>
      <c r="S162" s="267" t="s">
        <v>823</v>
      </c>
      <c r="T162" s="268"/>
      <c r="U162" s="269">
        <v>21000000</v>
      </c>
      <c r="V162" s="269">
        <v>12000000</v>
      </c>
      <c r="W162" s="278">
        <v>17000000</v>
      </c>
      <c r="X162" s="270"/>
      <c r="Y162" s="262" t="s">
        <v>27</v>
      </c>
      <c r="Z162" s="271" t="s">
        <v>24</v>
      </c>
      <c r="AA162" s="287"/>
      <c r="AB162" s="287"/>
      <c r="AC162" s="272">
        <f t="shared" si="7"/>
        <v>15000000</v>
      </c>
      <c r="AD162" s="272">
        <v>15000000</v>
      </c>
      <c r="AE162" s="272">
        <f t="shared" si="8"/>
        <v>0</v>
      </c>
      <c r="AF162" s="273"/>
      <c r="AG162" s="274"/>
      <c r="AH162" s="273"/>
      <c r="AI162" s="273"/>
      <c r="AJ162" s="274"/>
      <c r="AK162" s="273"/>
      <c r="AL162" s="275"/>
      <c r="AM162" s="290"/>
      <c r="AN162" s="275"/>
      <c r="AO162" s="276"/>
      <c r="AP162" s="275"/>
      <c r="AQ162" s="275">
        <v>15000000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customHeight="1">
      <c r="A163" s="260">
        <v>141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209</v>
      </c>
      <c r="K163" s="262"/>
      <c r="L163" s="262"/>
      <c r="M163" s="262">
        <v>16390</v>
      </c>
      <c r="N163" s="262" t="s">
        <v>17</v>
      </c>
      <c r="O163" s="262" t="s">
        <v>56</v>
      </c>
      <c r="P163" s="262" t="s">
        <v>57</v>
      </c>
      <c r="Q163" s="262" t="s">
        <v>30</v>
      </c>
      <c r="R163" s="262" t="s">
        <v>31</v>
      </c>
      <c r="S163" s="267" t="s">
        <v>31</v>
      </c>
      <c r="T163" s="268"/>
      <c r="U163" s="269">
        <v>11600000</v>
      </c>
      <c r="V163" s="269">
        <v>11600000</v>
      </c>
      <c r="W163" s="278">
        <v>13000000</v>
      </c>
      <c r="X163" s="270"/>
      <c r="Y163" s="262" t="s">
        <v>27</v>
      </c>
      <c r="Z163" s="271" t="s">
        <v>25</v>
      </c>
      <c r="AA163" s="287"/>
      <c r="AB163" s="287"/>
      <c r="AC163" s="272">
        <f t="shared" si="7"/>
        <v>10000000</v>
      </c>
      <c r="AD163" s="272">
        <v>10000000</v>
      </c>
      <c r="AE163" s="272">
        <f t="shared" si="8"/>
        <v>0</v>
      </c>
      <c r="AF163" s="273"/>
      <c r="AG163" s="274"/>
      <c r="AH163" s="273"/>
      <c r="AI163" s="273"/>
      <c r="AJ163" s="274"/>
      <c r="AK163" s="273"/>
      <c r="AL163" s="275"/>
      <c r="AM163" s="290"/>
      <c r="AN163" s="275"/>
      <c r="AO163" s="276"/>
      <c r="AP163" s="275"/>
      <c r="AQ163" s="275">
        <v>10000000</v>
      </c>
      <c r="AR163" s="275"/>
      <c r="AS163" s="275"/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/>
      <c r="BF163" s="275"/>
      <c r="BH163" s="277"/>
    </row>
    <row r="164" spans="1:60" ht="16.5" customHeight="1">
      <c r="A164" s="260">
        <v>142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212</v>
      </c>
      <c r="P164" s="262" t="s">
        <v>57</v>
      </c>
      <c r="Q164" s="262" t="s">
        <v>63</v>
      </c>
      <c r="R164" s="262" t="s">
        <v>28</v>
      </c>
      <c r="S164" s="267" t="s">
        <v>28</v>
      </c>
      <c r="T164" s="268"/>
      <c r="U164" s="269">
        <v>81144000</v>
      </c>
      <c r="V164" s="269">
        <v>88818182</v>
      </c>
      <c r="W164" s="278">
        <v>84800000</v>
      </c>
      <c r="X164" s="270"/>
      <c r="Y164" s="262" t="s">
        <v>27</v>
      </c>
      <c r="Z164" s="271" t="s">
        <v>27</v>
      </c>
      <c r="AA164" s="287"/>
      <c r="AB164" s="287"/>
      <c r="AC164" s="272">
        <f t="shared" si="7"/>
        <v>84500000</v>
      </c>
      <c r="AD164" s="272">
        <v>84500000</v>
      </c>
      <c r="AE164" s="272">
        <f t="shared" si="8"/>
        <v>0</v>
      </c>
      <c r="AF164" s="273"/>
      <c r="AG164" s="274"/>
      <c r="AH164" s="273"/>
      <c r="AI164" s="273">
        <v>42000000</v>
      </c>
      <c r="AJ164" s="274">
        <v>42500000</v>
      </c>
      <c r="AK164" s="273"/>
      <c r="AL164" s="275"/>
      <c r="AM164" s="290"/>
      <c r="AN164" s="275"/>
      <c r="AO164" s="276"/>
      <c r="AP164" s="275"/>
      <c r="AQ164" s="275">
        <v>42000000</v>
      </c>
      <c r="AR164" s="275"/>
      <c r="AS164" s="275"/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/>
      <c r="BF164" s="275"/>
      <c r="BH164" s="277"/>
    </row>
    <row r="165" spans="1:60" ht="16.5" customHeight="1">
      <c r="A165" s="260">
        <v>143</v>
      </c>
      <c r="B165" s="261"/>
      <c r="C165" s="261"/>
      <c r="D165" s="262" t="s">
        <v>15</v>
      </c>
      <c r="E165" s="262" t="s">
        <v>0</v>
      </c>
      <c r="F165" s="263" t="s">
        <v>15</v>
      </c>
      <c r="G165" s="264" t="s">
        <v>0</v>
      </c>
      <c r="H165" s="281"/>
      <c r="I165" s="265"/>
      <c r="J165" s="266" t="s">
        <v>620</v>
      </c>
      <c r="K165" s="262"/>
      <c r="L165" s="262"/>
      <c r="M165" s="262">
        <v>7653</v>
      </c>
      <c r="N165" s="262" t="s">
        <v>17</v>
      </c>
      <c r="O165" s="262" t="s">
        <v>56</v>
      </c>
      <c r="P165" s="262" t="s">
        <v>57</v>
      </c>
      <c r="Q165" s="262"/>
      <c r="R165" s="262"/>
      <c r="S165" s="267" t="s">
        <v>31</v>
      </c>
      <c r="T165" s="268"/>
      <c r="U165" s="269"/>
      <c r="V165" s="269"/>
      <c r="W165" s="278">
        <v>0</v>
      </c>
      <c r="X165" s="270"/>
      <c r="Y165" s="262"/>
      <c r="Z165" s="271" t="s">
        <v>27</v>
      </c>
      <c r="AA165" s="287"/>
      <c r="AB165" s="287"/>
      <c r="AC165" s="272">
        <f t="shared" si="7"/>
        <v>51974500</v>
      </c>
      <c r="AD165" s="272">
        <v>51974500</v>
      </c>
      <c r="AE165" s="272">
        <f t="shared" si="8"/>
        <v>0</v>
      </c>
      <c r="AF165" s="273"/>
      <c r="AG165" s="274">
        <v>212500</v>
      </c>
      <c r="AH165" s="273"/>
      <c r="AI165" s="273"/>
      <c r="AJ165" s="274"/>
      <c r="AK165" s="273"/>
      <c r="AL165" s="275"/>
      <c r="AM165" s="290">
        <v>1962000</v>
      </c>
      <c r="AN165" s="275"/>
      <c r="AO165" s="276"/>
      <c r="AP165" s="275"/>
      <c r="AQ165" s="275"/>
      <c r="AR165" s="275"/>
      <c r="AS165" s="275">
        <v>25000000</v>
      </c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>
        <v>24800000</v>
      </c>
      <c r="BF165" s="275"/>
      <c r="BH165" s="277"/>
    </row>
    <row r="166" spans="1:60" ht="16.5" customHeight="1">
      <c r="A166" s="260">
        <v>144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620</v>
      </c>
      <c r="K166" s="262"/>
      <c r="L166" s="262"/>
      <c r="M166" s="262">
        <v>7653</v>
      </c>
      <c r="N166" s="262" t="s">
        <v>17</v>
      </c>
      <c r="O166" s="262" t="s">
        <v>56</v>
      </c>
      <c r="P166" s="262" t="s">
        <v>57</v>
      </c>
      <c r="Q166" s="262" t="s">
        <v>23</v>
      </c>
      <c r="R166" s="262" t="s">
        <v>397</v>
      </c>
      <c r="S166" s="267" t="s">
        <v>823</v>
      </c>
      <c r="T166" s="268"/>
      <c r="U166" s="269">
        <v>10000000</v>
      </c>
      <c r="V166" s="269">
        <v>0</v>
      </c>
      <c r="W166" s="278">
        <v>0</v>
      </c>
      <c r="X166" s="270"/>
      <c r="Y166" s="262" t="s">
        <v>25</v>
      </c>
      <c r="Z166" s="271" t="s">
        <v>25</v>
      </c>
      <c r="AA166" s="287"/>
      <c r="AB166" s="287"/>
      <c r="AC166" s="272">
        <f t="shared" si="7"/>
        <v>10000000</v>
      </c>
      <c r="AD166" s="272">
        <v>10000000</v>
      </c>
      <c r="AE166" s="272">
        <f t="shared" si="8"/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5000000</v>
      </c>
      <c r="AT166" s="275"/>
      <c r="AU166" s="275"/>
      <c r="AV166" s="275"/>
      <c r="AW166" s="275"/>
      <c r="AX166" s="275"/>
      <c r="AY166" s="275"/>
      <c r="AZ166" s="275"/>
      <c r="BA166" s="275"/>
      <c r="BB166" s="275"/>
      <c r="BC166" s="275"/>
      <c r="BD166" s="275"/>
      <c r="BE166" s="275">
        <v>5000000</v>
      </c>
      <c r="BF166" s="275"/>
      <c r="BH166" s="277"/>
    </row>
    <row r="167" spans="1:60" ht="16.5" customHeight="1">
      <c r="A167" s="260">
        <v>145</v>
      </c>
      <c r="B167" s="261"/>
      <c r="C167" s="261"/>
      <c r="D167" s="262"/>
      <c r="E167" s="262"/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/>
      <c r="O167" s="262"/>
      <c r="P167" s="262"/>
      <c r="Q167" s="262"/>
      <c r="R167" s="262"/>
      <c r="S167" s="267" t="s">
        <v>469</v>
      </c>
      <c r="T167" s="268"/>
      <c r="U167" s="269"/>
      <c r="V167" s="269"/>
      <c r="W167" s="278">
        <v>19818182</v>
      </c>
      <c r="X167" s="270"/>
      <c r="Y167" s="262"/>
      <c r="Z167" s="271" t="s">
        <v>718</v>
      </c>
      <c r="AA167" s="287"/>
      <c r="AB167" s="287"/>
      <c r="AC167" s="272">
        <f t="shared" si="7"/>
        <v>0</v>
      </c>
      <c r="AD167" s="272">
        <v>0</v>
      </c>
      <c r="AE167" s="272">
        <f t="shared" si="8"/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/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customHeight="1">
      <c r="A168" s="260">
        <v>146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35</v>
      </c>
      <c r="P168" s="262" t="s">
        <v>124</v>
      </c>
      <c r="Q168" s="262"/>
      <c r="R168" s="262"/>
      <c r="S168" s="267" t="s">
        <v>468</v>
      </c>
      <c r="T168" s="268"/>
      <c r="U168" s="269"/>
      <c r="V168" s="269"/>
      <c r="W168" s="278">
        <v>0</v>
      </c>
      <c r="X168" s="270"/>
      <c r="Y168" s="262"/>
      <c r="Z168" s="271" t="s">
        <v>25</v>
      </c>
      <c r="AA168" s="287"/>
      <c r="AB168" s="287"/>
      <c r="AC168" s="272">
        <f t="shared" si="7"/>
        <v>30000000</v>
      </c>
      <c r="AD168" s="272">
        <v>30000000</v>
      </c>
      <c r="AE168" s="272">
        <f t="shared" si="8"/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>
        <v>10000000</v>
      </c>
      <c r="AT168" s="275"/>
      <c r="AU168" s="275"/>
      <c r="AV168" s="275"/>
      <c r="AW168" s="275"/>
      <c r="AX168" s="275"/>
      <c r="AY168" s="275">
        <v>10000000</v>
      </c>
      <c r="AZ168" s="275"/>
      <c r="BA168" s="275"/>
      <c r="BB168" s="275"/>
      <c r="BC168" s="275"/>
      <c r="BD168" s="275"/>
      <c r="BE168" s="275">
        <v>10000000</v>
      </c>
      <c r="BF168" s="275"/>
      <c r="BH168" s="277"/>
    </row>
    <row r="169" spans="1:60" ht="16.5" customHeight="1">
      <c r="A169" s="260">
        <v>147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627</v>
      </c>
      <c r="K169" s="262"/>
      <c r="L169" s="262"/>
      <c r="M169" s="262">
        <v>42659</v>
      </c>
      <c r="N169" s="262" t="s">
        <v>32</v>
      </c>
      <c r="O169" s="262" t="s">
        <v>35</v>
      </c>
      <c r="P169" s="262" t="s">
        <v>124</v>
      </c>
      <c r="Q169" s="262"/>
      <c r="R169" s="262"/>
      <c r="S169" s="267" t="s">
        <v>830</v>
      </c>
      <c r="T169" s="268"/>
      <c r="U169" s="269"/>
      <c r="V169" s="269"/>
      <c r="W169" s="278">
        <v>0</v>
      </c>
      <c r="X169" s="270"/>
      <c r="Y169" s="262"/>
      <c r="Z169" s="271" t="s">
        <v>25</v>
      </c>
      <c r="AA169" s="287"/>
      <c r="AB169" s="287"/>
      <c r="AC169" s="272">
        <f t="shared" si="7"/>
        <v>15000000</v>
      </c>
      <c r="AD169" s="272">
        <v>15000000</v>
      </c>
      <c r="AE169" s="272">
        <f t="shared" si="8"/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/>
      <c r="AR169" s="275"/>
      <c r="AS169" s="275">
        <v>15000000</v>
      </c>
      <c r="AT169" s="275"/>
      <c r="AU169" s="275"/>
      <c r="AV169" s="275"/>
      <c r="AW169" s="275"/>
      <c r="AX169" s="275"/>
      <c r="AY169" s="275"/>
      <c r="AZ169" s="275"/>
      <c r="BA169" s="275"/>
      <c r="BB169" s="275"/>
      <c r="BC169" s="275"/>
      <c r="BD169" s="275"/>
      <c r="BE169" s="275"/>
      <c r="BF169" s="275"/>
      <c r="BH169" s="277"/>
    </row>
    <row r="170" spans="1:60" ht="16.5" customHeight="1">
      <c r="A170" s="260">
        <v>148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627</v>
      </c>
      <c r="K170" s="262"/>
      <c r="L170" s="262"/>
      <c r="M170" s="262">
        <v>42659</v>
      </c>
      <c r="N170" s="262" t="s">
        <v>32</v>
      </c>
      <c r="O170" s="262" t="s">
        <v>56</v>
      </c>
      <c r="P170" s="262"/>
      <c r="Q170" s="262" t="s">
        <v>55</v>
      </c>
      <c r="R170" s="262" t="s">
        <v>466</v>
      </c>
      <c r="S170" s="267" t="s">
        <v>829</v>
      </c>
      <c r="T170" s="268"/>
      <c r="U170" s="269"/>
      <c r="V170" s="269">
        <v>1200000</v>
      </c>
      <c r="W170" s="278">
        <v>0</v>
      </c>
      <c r="X170" s="270"/>
      <c r="Y170" s="262" t="s">
        <v>20</v>
      </c>
      <c r="Z170" s="271" t="s">
        <v>599</v>
      </c>
      <c r="AA170" s="287"/>
      <c r="AB170" s="287"/>
      <c r="AC170" s="272">
        <f t="shared" si="7"/>
        <v>0</v>
      </c>
      <c r="AD170" s="272">
        <v>0</v>
      </c>
      <c r="AE170" s="272">
        <f t="shared" si="8"/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customHeight="1">
      <c r="A171" s="260">
        <v>149</v>
      </c>
      <c r="B171" s="261"/>
      <c r="C171" s="261"/>
      <c r="D171" s="262" t="s">
        <v>15</v>
      </c>
      <c r="E171" s="262" t="s">
        <v>0</v>
      </c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63</v>
      </c>
      <c r="R171" s="262" t="s">
        <v>28</v>
      </c>
      <c r="S171" s="267" t="s">
        <v>28</v>
      </c>
      <c r="T171" s="268"/>
      <c r="U171" s="269">
        <v>77364942</v>
      </c>
      <c r="V171" s="269">
        <v>64629700</v>
      </c>
      <c r="W171" s="278">
        <v>78937727</v>
      </c>
      <c r="X171" s="270"/>
      <c r="Y171" s="262" t="s">
        <v>27</v>
      </c>
      <c r="Z171" s="271" t="s">
        <v>27</v>
      </c>
      <c r="AA171" s="287"/>
      <c r="AB171" s="287"/>
      <c r="AC171" s="272">
        <f t="shared" si="7"/>
        <v>72000000</v>
      </c>
      <c r="AD171" s="272">
        <v>72000000</v>
      </c>
      <c r="AE171" s="272">
        <f t="shared" si="8"/>
        <v>0</v>
      </c>
      <c r="AF171" s="273"/>
      <c r="AG171" s="274"/>
      <c r="AH171" s="273"/>
      <c r="AI171" s="273"/>
      <c r="AJ171" s="274"/>
      <c r="AK171" s="273"/>
      <c r="AL171" s="275"/>
      <c r="AM171" s="290"/>
      <c r="AN171" s="275"/>
      <c r="AO171" s="276"/>
      <c r="AP171" s="275"/>
      <c r="AQ171" s="275">
        <v>9000000</v>
      </c>
      <c r="AR171" s="275"/>
      <c r="AS171" s="275">
        <v>9000000</v>
      </c>
      <c r="AT171" s="275"/>
      <c r="AU171" s="275">
        <v>9000000</v>
      </c>
      <c r="AV171" s="275"/>
      <c r="AW171" s="275">
        <v>9000000</v>
      </c>
      <c r="AX171" s="275"/>
      <c r="AY171" s="275">
        <v>9000000</v>
      </c>
      <c r="AZ171" s="275"/>
      <c r="BA171" s="275">
        <v>9000000</v>
      </c>
      <c r="BB171" s="275"/>
      <c r="BC171" s="275">
        <v>9000000</v>
      </c>
      <c r="BD171" s="275"/>
      <c r="BE171" s="275">
        <v>9000000</v>
      </c>
      <c r="BF171" s="275"/>
      <c r="BH171" s="277"/>
    </row>
    <row r="172" spans="1:60" ht="16.5" customHeight="1">
      <c r="A172" s="260">
        <v>150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30</v>
      </c>
      <c r="R172" s="262" t="s">
        <v>31</v>
      </c>
      <c r="S172" s="267" t="s">
        <v>31</v>
      </c>
      <c r="T172" s="268"/>
      <c r="U172" s="269"/>
      <c r="V172" s="269">
        <v>18000000</v>
      </c>
      <c r="W172" s="278">
        <v>1000000</v>
      </c>
      <c r="X172" s="270"/>
      <c r="Y172" s="262" t="s">
        <v>27</v>
      </c>
      <c r="Z172" s="271" t="s">
        <v>74</v>
      </c>
      <c r="AA172" s="287"/>
      <c r="AB172" s="287"/>
      <c r="AC172" s="272">
        <f t="shared" si="7"/>
        <v>0</v>
      </c>
      <c r="AD172" s="272">
        <v>0</v>
      </c>
      <c r="AE172" s="272">
        <f t="shared" si="8"/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/>
      <c r="BF172" s="275"/>
      <c r="BH172" s="277"/>
    </row>
    <row r="173" spans="1:60" ht="16.5" customHeight="1">
      <c r="A173" s="260">
        <v>151</v>
      </c>
      <c r="B173" s="261"/>
      <c r="C173" s="261"/>
      <c r="D173" s="262"/>
      <c r="E173" s="262"/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212</v>
      </c>
      <c r="P173" s="262" t="s">
        <v>57</v>
      </c>
      <c r="Q173" s="262" t="s">
        <v>26</v>
      </c>
      <c r="R173" s="262" t="s">
        <v>478</v>
      </c>
      <c r="S173" s="267" t="s">
        <v>478</v>
      </c>
      <c r="T173" s="268"/>
      <c r="U173" s="269"/>
      <c r="V173" s="269"/>
      <c r="W173" s="278">
        <v>0</v>
      </c>
      <c r="X173" s="270"/>
      <c r="Y173" s="262"/>
      <c r="Z173" s="271" t="s">
        <v>27</v>
      </c>
      <c r="AA173" s="287"/>
      <c r="AB173" s="287"/>
      <c r="AC173" s="272">
        <f t="shared" si="7"/>
        <v>19295455</v>
      </c>
      <c r="AD173" s="272">
        <v>19295455</v>
      </c>
      <c r="AE173" s="272">
        <f t="shared" si="8"/>
        <v>0</v>
      </c>
      <c r="AF173" s="273"/>
      <c r="AG173" s="274"/>
      <c r="AH173" s="273"/>
      <c r="AI173" s="273"/>
      <c r="AJ173" s="274">
        <v>19295455</v>
      </c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/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customHeight="1">
      <c r="A174" s="260">
        <v>152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33</v>
      </c>
      <c r="K174" s="262"/>
      <c r="L174" s="262"/>
      <c r="M174" s="262">
        <v>11662</v>
      </c>
      <c r="N174" s="262" t="s">
        <v>32</v>
      </c>
      <c r="O174" s="262" t="s">
        <v>212</v>
      </c>
      <c r="P174" s="262" t="s">
        <v>57</v>
      </c>
      <c r="Q174" s="262" t="s">
        <v>26</v>
      </c>
      <c r="R174" s="262" t="s">
        <v>478</v>
      </c>
      <c r="S174" s="267" t="s">
        <v>478</v>
      </c>
      <c r="T174" s="268"/>
      <c r="U174" s="269">
        <v>79545454</v>
      </c>
      <c r="V174" s="269">
        <v>94018182</v>
      </c>
      <c r="W174" s="278">
        <v>97522727</v>
      </c>
      <c r="X174" s="270"/>
      <c r="Y174" s="262" t="s">
        <v>27</v>
      </c>
      <c r="Z174" s="271" t="s">
        <v>27</v>
      </c>
      <c r="AA174" s="287"/>
      <c r="AB174" s="287"/>
      <c r="AC174" s="272">
        <f t="shared" si="7"/>
        <v>90000000</v>
      </c>
      <c r="AD174" s="272">
        <v>90000000</v>
      </c>
      <c r="AE174" s="272">
        <f t="shared" si="8"/>
        <v>0</v>
      </c>
      <c r="AF174" s="273"/>
      <c r="AG174" s="274"/>
      <c r="AH174" s="273"/>
      <c r="AI174" s="273"/>
      <c r="AJ174" s="274"/>
      <c r="AK174" s="273"/>
      <c r="AL174" s="275"/>
      <c r="AM174" s="290"/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>
        <v>90000000</v>
      </c>
      <c r="BF174" s="275"/>
      <c r="BH174" s="277"/>
    </row>
    <row r="175" spans="1:60" ht="16.5" customHeight="1">
      <c r="A175" s="260">
        <v>153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33</v>
      </c>
      <c r="K175" s="262"/>
      <c r="L175" s="262"/>
      <c r="M175" s="262">
        <v>11662</v>
      </c>
      <c r="N175" s="262" t="s">
        <v>32</v>
      </c>
      <c r="O175" s="262" t="s">
        <v>56</v>
      </c>
      <c r="P175" s="262" t="s">
        <v>57</v>
      </c>
      <c r="Q175" s="262" t="s">
        <v>23</v>
      </c>
      <c r="R175" s="262" t="s">
        <v>397</v>
      </c>
      <c r="S175" s="267" t="s">
        <v>823</v>
      </c>
      <c r="T175" s="268"/>
      <c r="U175" s="269"/>
      <c r="V175" s="269">
        <v>9824787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 t="shared" si="7"/>
        <v>5000000</v>
      </c>
      <c r="AD175" s="272">
        <v>5000000</v>
      </c>
      <c r="AE175" s="272">
        <f t="shared" si="8"/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75"/>
      <c r="AR175" s="275"/>
      <c r="AS175" s="275"/>
      <c r="AT175" s="275"/>
      <c r="AU175" s="275"/>
      <c r="AV175" s="275"/>
      <c r="AW175" s="275">
        <v>5000000</v>
      </c>
      <c r="AX175" s="275"/>
      <c r="AY175" s="275"/>
      <c r="AZ175" s="275"/>
      <c r="BA175" s="275"/>
      <c r="BB175" s="275"/>
      <c r="BC175" s="275"/>
      <c r="BD175" s="275"/>
      <c r="BE175" s="275"/>
      <c r="BF175" s="275"/>
      <c r="BH175" s="277"/>
    </row>
    <row r="176" spans="1:60" ht="16.5" customHeight="1">
      <c r="A176" s="260">
        <v>154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164</v>
      </c>
      <c r="K176" s="262"/>
      <c r="L176" s="262"/>
      <c r="M176" s="262">
        <v>57837</v>
      </c>
      <c r="N176" s="262" t="s">
        <v>32</v>
      </c>
      <c r="O176" s="262" t="s">
        <v>56</v>
      </c>
      <c r="P176" s="262" t="s">
        <v>124</v>
      </c>
      <c r="Q176" s="262" t="s">
        <v>26</v>
      </c>
      <c r="R176" s="262" t="s">
        <v>478</v>
      </c>
      <c r="S176" s="267" t="s">
        <v>478</v>
      </c>
      <c r="T176" s="268"/>
      <c r="U176" s="269">
        <v>247500000</v>
      </c>
      <c r="V176" s="269">
        <v>237954545.09090909</v>
      </c>
      <c r="W176" s="278">
        <v>289090909</v>
      </c>
      <c r="X176" s="270"/>
      <c r="Y176" s="262" t="s">
        <v>27</v>
      </c>
      <c r="Z176" s="271" t="s">
        <v>27</v>
      </c>
      <c r="AA176" s="287"/>
      <c r="AB176" s="287"/>
      <c r="AC176" s="272">
        <f t="shared" si="7"/>
        <v>19909091</v>
      </c>
      <c r="AD176" s="272">
        <v>19909091</v>
      </c>
      <c r="AE176" s="272">
        <f t="shared" si="8"/>
        <v>0</v>
      </c>
      <c r="AF176" s="273"/>
      <c r="AG176" s="274"/>
      <c r="AH176" s="273"/>
      <c r="AI176" s="273"/>
      <c r="AJ176" s="274"/>
      <c r="AK176" s="273"/>
      <c r="AL176" s="275"/>
      <c r="AM176" s="290">
        <v>19909091</v>
      </c>
      <c r="AN176" s="275"/>
      <c r="AO176" s="276"/>
      <c r="AP176" s="275"/>
      <c r="AQ176" s="275"/>
      <c r="AR176" s="275"/>
      <c r="AS176" s="275"/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customHeight="1">
      <c r="A177" s="260">
        <v>155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164</v>
      </c>
      <c r="K177" s="262"/>
      <c r="L177" s="262"/>
      <c r="M177" s="262">
        <v>57837</v>
      </c>
      <c r="N177" s="262" t="s">
        <v>32</v>
      </c>
      <c r="O177" s="262" t="s">
        <v>56</v>
      </c>
      <c r="P177" s="262" t="s">
        <v>124</v>
      </c>
      <c r="Q177" s="262" t="s">
        <v>26</v>
      </c>
      <c r="R177" s="262" t="s">
        <v>478</v>
      </c>
      <c r="S177" s="267" t="s">
        <v>478</v>
      </c>
      <c r="T177" s="268"/>
      <c r="U177" s="269">
        <v>247500000</v>
      </c>
      <c r="V177" s="269">
        <v>237954545.09090909</v>
      </c>
      <c r="W177" s="278">
        <v>0</v>
      </c>
      <c r="X177" s="270"/>
      <c r="Y177" s="262" t="s">
        <v>27</v>
      </c>
      <c r="Z177" s="271" t="s">
        <v>24</v>
      </c>
      <c r="AA177" s="287"/>
      <c r="AB177" s="287"/>
      <c r="AC177" s="272">
        <f t="shared" si="7"/>
        <v>241000000</v>
      </c>
      <c r="AD177" s="272">
        <v>241000000</v>
      </c>
      <c r="AE177" s="272">
        <f t="shared" si="8"/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75">
        <v>181000000</v>
      </c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>
        <v>60000000</v>
      </c>
      <c r="BF177" s="275"/>
      <c r="BH177" s="277"/>
    </row>
    <row r="178" spans="1:60" ht="16.5" customHeight="1">
      <c r="A178" s="260">
        <v>156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213</v>
      </c>
      <c r="K178" s="262"/>
      <c r="L178" s="262"/>
      <c r="M178" s="262">
        <v>59283</v>
      </c>
      <c r="N178" s="262" t="s">
        <v>22</v>
      </c>
      <c r="O178" s="262" t="s">
        <v>178</v>
      </c>
      <c r="P178" s="262"/>
      <c r="Q178" s="262" t="s">
        <v>30</v>
      </c>
      <c r="R178" s="262" t="s">
        <v>31</v>
      </c>
      <c r="S178" s="267" t="s">
        <v>31</v>
      </c>
      <c r="T178" s="268"/>
      <c r="U178" s="269">
        <v>2592000</v>
      </c>
      <c r="V178" s="269">
        <v>0</v>
      </c>
      <c r="W178" s="278">
        <v>0</v>
      </c>
      <c r="X178" s="270"/>
      <c r="Y178" s="262" t="s">
        <v>21</v>
      </c>
      <c r="Z178" s="271" t="s">
        <v>25</v>
      </c>
      <c r="AA178" s="287"/>
      <c r="AB178" s="287"/>
      <c r="AC178" s="272">
        <f t="shared" si="7"/>
        <v>1000000</v>
      </c>
      <c r="AD178" s="272">
        <v>1000000</v>
      </c>
      <c r="AE178" s="272">
        <f t="shared" si="8"/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>
        <v>1000000</v>
      </c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customHeight="1">
      <c r="A179" s="260">
        <v>157</v>
      </c>
      <c r="B179" s="261"/>
      <c r="C179" s="261"/>
      <c r="D179" s="262" t="s">
        <v>15</v>
      </c>
      <c r="E179" s="262" t="s">
        <v>0</v>
      </c>
      <c r="F179" s="263" t="s">
        <v>15</v>
      </c>
      <c r="G179" s="264" t="s">
        <v>0</v>
      </c>
      <c r="H179" s="281"/>
      <c r="I179" s="265"/>
      <c r="J179" s="266" t="s">
        <v>595</v>
      </c>
      <c r="K179" s="262"/>
      <c r="L179" s="262"/>
      <c r="M179" s="262">
        <v>58204</v>
      </c>
      <c r="N179" s="262" t="s">
        <v>22</v>
      </c>
      <c r="O179" s="262" t="s">
        <v>178</v>
      </c>
      <c r="P179" s="262"/>
      <c r="Q179" s="262" t="s">
        <v>23</v>
      </c>
      <c r="R179" s="262" t="s">
        <v>397</v>
      </c>
      <c r="S179" s="267" t="s">
        <v>823</v>
      </c>
      <c r="T179" s="268"/>
      <c r="U179" s="269">
        <v>2000000</v>
      </c>
      <c r="V179" s="269">
        <v>0</v>
      </c>
      <c r="W179" s="278">
        <v>0</v>
      </c>
      <c r="X179" s="270"/>
      <c r="Y179" s="262" t="s">
        <v>21</v>
      </c>
      <c r="Z179" s="271" t="s">
        <v>599</v>
      </c>
      <c r="AA179" s="287"/>
      <c r="AB179" s="287"/>
      <c r="AC179" s="272">
        <f t="shared" si="7"/>
        <v>0</v>
      </c>
      <c r="AD179" s="272">
        <v>0</v>
      </c>
      <c r="AE179" s="272">
        <f t="shared" si="8"/>
        <v>0</v>
      </c>
      <c r="AF179" s="273"/>
      <c r="AG179" s="274"/>
      <c r="AH179" s="273"/>
      <c r="AI179" s="273"/>
      <c r="AJ179" s="274"/>
      <c r="AK179" s="273"/>
      <c r="AL179" s="275"/>
      <c r="AM179" s="290"/>
      <c r="AN179" s="275"/>
      <c r="AO179" s="276"/>
      <c r="AP179" s="275"/>
      <c r="AQ179" s="275"/>
      <c r="AR179" s="275"/>
      <c r="AS179" s="275"/>
      <c r="AT179" s="275"/>
      <c r="AU179" s="275"/>
      <c r="AV179" s="275"/>
      <c r="AW179" s="275"/>
      <c r="AX179" s="275"/>
      <c r="AY179" s="275"/>
      <c r="AZ179" s="275"/>
      <c r="BA179" s="275"/>
      <c r="BB179" s="275"/>
      <c r="BC179" s="275"/>
      <c r="BD179" s="275"/>
      <c r="BE179" s="275"/>
      <c r="BF179" s="275"/>
      <c r="BH179" s="277"/>
    </row>
    <row r="180" spans="1:60" ht="16.5" customHeight="1">
      <c r="A180" s="260">
        <v>158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797</v>
      </c>
      <c r="K180" s="262"/>
      <c r="L180" s="262"/>
      <c r="M180" s="262">
        <v>17400</v>
      </c>
      <c r="N180" s="262"/>
      <c r="O180" s="262"/>
      <c r="P180" s="262"/>
      <c r="Q180" s="262" t="s">
        <v>26</v>
      </c>
      <c r="R180" s="262" t="s">
        <v>468</v>
      </c>
      <c r="S180" s="267" t="s">
        <v>468</v>
      </c>
      <c r="T180" s="268"/>
      <c r="U180" s="269"/>
      <c r="V180" s="269">
        <v>7800000</v>
      </c>
      <c r="W180" s="278">
        <v>0</v>
      </c>
      <c r="X180" s="270"/>
      <c r="Y180" s="262" t="s">
        <v>24</v>
      </c>
      <c r="Z180" s="271" t="s">
        <v>20</v>
      </c>
      <c r="AA180" s="287"/>
      <c r="AB180" s="287"/>
      <c r="AC180" s="272">
        <f t="shared" si="7"/>
        <v>0</v>
      </c>
      <c r="AD180" s="272">
        <v>0</v>
      </c>
      <c r="AE180" s="272">
        <f t="shared" si="8"/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75"/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/>
      <c r="BB180" s="275"/>
      <c r="BC180" s="275"/>
      <c r="BD180" s="275"/>
      <c r="BE180" s="275"/>
      <c r="BF180" s="275"/>
      <c r="BH180" s="277"/>
    </row>
    <row r="181" spans="1:60" ht="16.5" customHeight="1">
      <c r="A181" s="260">
        <v>159</v>
      </c>
      <c r="B181" s="261"/>
      <c r="C181" s="261"/>
      <c r="D181" s="262" t="s">
        <v>110</v>
      </c>
      <c r="E181" s="262" t="s">
        <v>404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212</v>
      </c>
      <c r="P181" s="262" t="s">
        <v>57</v>
      </c>
      <c r="Q181" s="262" t="s">
        <v>18</v>
      </c>
      <c r="R181" s="262" t="s">
        <v>28</v>
      </c>
      <c r="S181" s="267" t="s">
        <v>28</v>
      </c>
      <c r="T181" s="268"/>
      <c r="U181" s="269"/>
      <c r="V181" s="269">
        <v>80160000</v>
      </c>
      <c r="W181" s="278">
        <v>80160000</v>
      </c>
      <c r="X181" s="270"/>
      <c r="Y181" s="262" t="s">
        <v>27</v>
      </c>
      <c r="Z181" s="271" t="s">
        <v>27</v>
      </c>
      <c r="AA181" s="287"/>
      <c r="AB181" s="287"/>
      <c r="AC181" s="272">
        <f t="shared" si="7"/>
        <v>79040000</v>
      </c>
      <c r="AD181" s="272">
        <v>79040000</v>
      </c>
      <c r="AE181" s="272">
        <f t="shared" si="8"/>
        <v>0</v>
      </c>
      <c r="AF181" s="273">
        <v>7000000</v>
      </c>
      <c r="AG181" s="274">
        <v>6680000</v>
      </c>
      <c r="AH181" s="273"/>
      <c r="AI181" s="273">
        <v>7000000</v>
      </c>
      <c r="AJ181" s="274">
        <v>6680000</v>
      </c>
      <c r="AK181" s="273"/>
      <c r="AL181" s="275">
        <v>6680000</v>
      </c>
      <c r="AM181" s="290">
        <v>6680000</v>
      </c>
      <c r="AN181" s="275"/>
      <c r="AO181" s="276">
        <v>7000000</v>
      </c>
      <c r="AP181" s="275"/>
      <c r="AQ181" s="275">
        <v>7000000</v>
      </c>
      <c r="AR181" s="275"/>
      <c r="AS181" s="275">
        <v>7000000</v>
      </c>
      <c r="AT181" s="275"/>
      <c r="AU181" s="275">
        <v>7000000</v>
      </c>
      <c r="AV181" s="275"/>
      <c r="AW181" s="275">
        <v>7000000</v>
      </c>
      <c r="AX181" s="275"/>
      <c r="AY181" s="275">
        <v>7000000</v>
      </c>
      <c r="AZ181" s="275"/>
      <c r="BA181" s="275">
        <v>7000000</v>
      </c>
      <c r="BB181" s="275"/>
      <c r="BC181" s="275">
        <v>7000000</v>
      </c>
      <c r="BD181" s="275"/>
      <c r="BE181" s="275">
        <v>3000000</v>
      </c>
      <c r="BF181" s="275"/>
      <c r="BH181" s="277"/>
    </row>
    <row r="182" spans="1:60" ht="16.5" customHeight="1">
      <c r="A182" s="260">
        <v>160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 t="s">
        <v>57</v>
      </c>
      <c r="Q182" s="262" t="s">
        <v>26</v>
      </c>
      <c r="R182" s="262" t="s">
        <v>478</v>
      </c>
      <c r="S182" s="267" t="s">
        <v>478</v>
      </c>
      <c r="T182" s="268"/>
      <c r="U182" s="269">
        <v>500000</v>
      </c>
      <c r="V182" s="269">
        <v>1500000</v>
      </c>
      <c r="W182" s="278">
        <v>800000</v>
      </c>
      <c r="X182" s="270"/>
      <c r="Y182" s="262" t="s">
        <v>27</v>
      </c>
      <c r="Z182" s="271" t="s">
        <v>24</v>
      </c>
      <c r="AA182" s="287"/>
      <c r="AB182" s="287"/>
      <c r="AC182" s="272">
        <f t="shared" si="7"/>
        <v>2000000</v>
      </c>
      <c r="AD182" s="272">
        <v>2000000</v>
      </c>
      <c r="AE182" s="272">
        <f t="shared" si="8"/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75">
        <v>1000000</v>
      </c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>
        <v>1000000</v>
      </c>
      <c r="BB182" s="275"/>
      <c r="BC182" s="275"/>
      <c r="BD182" s="275"/>
      <c r="BE182" s="275"/>
      <c r="BF182" s="275"/>
      <c r="BH182" s="277"/>
    </row>
    <row r="183" spans="1:60" ht="16.5" customHeight="1">
      <c r="A183" s="260">
        <v>161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34</v>
      </c>
      <c r="K183" s="262"/>
      <c r="L183" s="262"/>
      <c r="M183" s="262">
        <v>16117</v>
      </c>
      <c r="N183" s="262" t="s">
        <v>22</v>
      </c>
      <c r="O183" s="262" t="s">
        <v>56</v>
      </c>
      <c r="P183" s="262"/>
      <c r="Q183" s="262" t="s">
        <v>23</v>
      </c>
      <c r="R183" s="262" t="s">
        <v>397</v>
      </c>
      <c r="S183" s="267" t="s">
        <v>823</v>
      </c>
      <c r="T183" s="268"/>
      <c r="U183" s="269"/>
      <c r="V183" s="269">
        <v>0</v>
      </c>
      <c r="W183" s="278">
        <v>0</v>
      </c>
      <c r="X183" s="270"/>
      <c r="Y183" s="262" t="s">
        <v>24</v>
      </c>
      <c r="Z183" s="271" t="s">
        <v>27</v>
      </c>
      <c r="AA183" s="287"/>
      <c r="AB183" s="287"/>
      <c r="AC183" s="272">
        <f t="shared" si="7"/>
        <v>900000</v>
      </c>
      <c r="AD183" s="272">
        <v>900000</v>
      </c>
      <c r="AE183" s="272">
        <f t="shared" si="8"/>
        <v>0</v>
      </c>
      <c r="AF183" s="273"/>
      <c r="AG183" s="274"/>
      <c r="AH183" s="273"/>
      <c r="AI183" s="273"/>
      <c r="AJ183" s="274"/>
      <c r="AK183" s="273"/>
      <c r="AL183" s="275"/>
      <c r="AM183" s="290"/>
      <c r="AN183" s="275"/>
      <c r="AO183" s="276">
        <v>900000</v>
      </c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customHeight="1">
      <c r="A184" s="260">
        <v>162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34</v>
      </c>
      <c r="K184" s="262"/>
      <c r="L184" s="262"/>
      <c r="M184" s="262">
        <v>16117</v>
      </c>
      <c r="N184" s="262" t="s">
        <v>22</v>
      </c>
      <c r="O184" s="262" t="s">
        <v>56</v>
      </c>
      <c r="P184" s="262"/>
      <c r="Q184" s="262" t="s">
        <v>23</v>
      </c>
      <c r="R184" s="262" t="s">
        <v>397</v>
      </c>
      <c r="S184" s="267" t="s">
        <v>823</v>
      </c>
      <c r="T184" s="268"/>
      <c r="U184" s="269">
        <v>19000000</v>
      </c>
      <c r="V184" s="269">
        <v>5000000</v>
      </c>
      <c r="W184" s="278">
        <v>0</v>
      </c>
      <c r="X184" s="270"/>
      <c r="Y184" s="262" t="s">
        <v>24</v>
      </c>
      <c r="Z184" s="271" t="s">
        <v>562</v>
      </c>
      <c r="AA184" s="287"/>
      <c r="AB184" s="287"/>
      <c r="AC184" s="272">
        <f t="shared" si="7"/>
        <v>0</v>
      </c>
      <c r="AD184" s="272">
        <v>0</v>
      </c>
      <c r="AE184" s="272">
        <f t="shared" si="8"/>
        <v>0</v>
      </c>
      <c r="AF184" s="273"/>
      <c r="AG184" s="274"/>
      <c r="AH184" s="273"/>
      <c r="AI184" s="273"/>
      <c r="AJ184" s="274"/>
      <c r="AK184" s="273"/>
      <c r="AL184" s="275"/>
      <c r="AM184" s="290"/>
      <c r="AN184" s="275"/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/>
      <c r="BF184" s="275"/>
      <c r="BH184" s="277"/>
    </row>
    <row r="185" spans="1:60" ht="16.5" customHeight="1">
      <c r="A185" s="260">
        <v>163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36</v>
      </c>
      <c r="K185" s="262"/>
      <c r="L185" s="262"/>
      <c r="M185" s="262">
        <v>51</v>
      </c>
      <c r="N185" s="262" t="s">
        <v>22</v>
      </c>
      <c r="O185" s="262" t="s">
        <v>56</v>
      </c>
      <c r="P185" s="262"/>
      <c r="Q185" s="262" t="s">
        <v>26</v>
      </c>
      <c r="R185" s="262" t="s">
        <v>478</v>
      </c>
      <c r="S185" s="267" t="s">
        <v>478</v>
      </c>
      <c r="T185" s="268"/>
      <c r="U185" s="269"/>
      <c r="V185" s="269">
        <v>4000000</v>
      </c>
      <c r="W185" s="278">
        <v>1200000</v>
      </c>
      <c r="X185" s="270"/>
      <c r="Y185" s="262" t="s">
        <v>24</v>
      </c>
      <c r="Z185" s="271" t="s">
        <v>27</v>
      </c>
      <c r="AA185" s="287"/>
      <c r="AB185" s="287"/>
      <c r="AC185" s="272">
        <f t="shared" si="7"/>
        <v>1050000</v>
      </c>
      <c r="AD185" s="272">
        <v>1050000</v>
      </c>
      <c r="AE185" s="272">
        <f t="shared" si="8"/>
        <v>0</v>
      </c>
      <c r="AF185" s="273"/>
      <c r="AG185" s="274"/>
      <c r="AH185" s="273"/>
      <c r="AI185" s="273">
        <v>5000000</v>
      </c>
      <c r="AJ185" s="274">
        <v>1050000</v>
      </c>
      <c r="AK185" s="273"/>
      <c r="AL185" s="275"/>
      <c r="AM185" s="290"/>
      <c r="AN185" s="275"/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customHeight="1">
      <c r="A186" s="260">
        <v>164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656</v>
      </c>
      <c r="K186" s="262"/>
      <c r="L186" s="262"/>
      <c r="M186" s="262">
        <v>3808</v>
      </c>
      <c r="N186" s="262" t="s">
        <v>22</v>
      </c>
      <c r="O186" s="262" t="s">
        <v>178</v>
      </c>
      <c r="P186" s="262" t="s">
        <v>57</v>
      </c>
      <c r="Q186" s="262"/>
      <c r="R186" s="262" t="s">
        <v>19</v>
      </c>
      <c r="S186" s="267" t="s">
        <v>19</v>
      </c>
      <c r="T186" s="268"/>
      <c r="U186" s="269">
        <v>1342400</v>
      </c>
      <c r="V186" s="269">
        <v>1391900</v>
      </c>
      <c r="W186" s="278">
        <v>7779400</v>
      </c>
      <c r="X186" s="270"/>
      <c r="Y186" s="262" t="s">
        <v>27</v>
      </c>
      <c r="Z186" s="271" t="s">
        <v>27</v>
      </c>
      <c r="AA186" s="287"/>
      <c r="AB186" s="287"/>
      <c r="AC186" s="272">
        <f t="shared" si="7"/>
        <v>10690100</v>
      </c>
      <c r="AD186" s="272">
        <v>10690100</v>
      </c>
      <c r="AE186" s="272">
        <f t="shared" si="8"/>
        <v>0</v>
      </c>
      <c r="AF186" s="273"/>
      <c r="AG186" s="274">
        <v>1031450</v>
      </c>
      <c r="AH186" s="273"/>
      <c r="AI186" s="273"/>
      <c r="AJ186" s="274">
        <v>482650</v>
      </c>
      <c r="AK186" s="273"/>
      <c r="AL186" s="275">
        <v>176000</v>
      </c>
      <c r="AM186" s="290">
        <v>29400</v>
      </c>
      <c r="AN186" s="275" t="s">
        <v>1018</v>
      </c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>
        <v>9146600</v>
      </c>
      <c r="BF186" s="275"/>
      <c r="BH186" s="277"/>
    </row>
    <row r="187" spans="1:60" ht="16.5" customHeight="1">
      <c r="A187" s="260">
        <v>165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63</v>
      </c>
      <c r="R187" s="262" t="s">
        <v>28</v>
      </c>
      <c r="S187" s="267" t="s">
        <v>28</v>
      </c>
      <c r="T187" s="268"/>
      <c r="U187" s="269">
        <v>202382600</v>
      </c>
      <c r="V187" s="269">
        <v>157061970</v>
      </c>
      <c r="W187" s="278">
        <v>256480300</v>
      </c>
      <c r="X187" s="270"/>
      <c r="Y187" s="262" t="s">
        <v>27</v>
      </c>
      <c r="Z187" s="271" t="s">
        <v>74</v>
      </c>
      <c r="AA187" s="287"/>
      <c r="AB187" s="287"/>
      <c r="AC187" s="272">
        <f t="shared" si="7"/>
        <v>-18000000</v>
      </c>
      <c r="AD187" s="272">
        <v>-18000000</v>
      </c>
      <c r="AE187" s="272">
        <f t="shared" si="8"/>
        <v>0</v>
      </c>
      <c r="AF187" s="273"/>
      <c r="AG187" s="274"/>
      <c r="AH187" s="273"/>
      <c r="AI187" s="273"/>
      <c r="AJ187" s="274"/>
      <c r="AK187" s="273"/>
      <c r="AL187" s="275">
        <v>-18000000</v>
      </c>
      <c r="AM187" s="290">
        <v>-18000000</v>
      </c>
      <c r="AN187" s="275" t="s">
        <v>989</v>
      </c>
      <c r="AO187" s="276"/>
      <c r="AP187" s="275"/>
      <c r="AQ187" s="275"/>
      <c r="AR187" s="275"/>
      <c r="AS187" s="275"/>
      <c r="AT187" s="275"/>
      <c r="AU187" s="275"/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/>
      <c r="BF187" s="275"/>
      <c r="BH187" s="277"/>
    </row>
    <row r="188" spans="1:60" ht="16.5" customHeight="1">
      <c r="A188" s="260">
        <v>166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63</v>
      </c>
      <c r="R188" s="262" t="s">
        <v>28</v>
      </c>
      <c r="S188" s="267" t="s">
        <v>28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74</v>
      </c>
      <c r="AA188" s="287"/>
      <c r="AB188" s="287"/>
      <c r="AC188" s="272">
        <f t="shared" si="7"/>
        <v>0</v>
      </c>
      <c r="AD188" s="272">
        <v>0</v>
      </c>
      <c r="AE188" s="272">
        <f t="shared" si="8"/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customHeight="1">
      <c r="A189" s="260">
        <v>167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212</v>
      </c>
      <c r="P189" s="262" t="s">
        <v>57</v>
      </c>
      <c r="Q189" s="262" t="s">
        <v>30</v>
      </c>
      <c r="R189" s="262" t="s">
        <v>31</v>
      </c>
      <c r="S189" s="267" t="s">
        <v>31</v>
      </c>
      <c r="T189" s="268"/>
      <c r="U189" s="269">
        <v>37635000</v>
      </c>
      <c r="V189" s="269">
        <v>68146000</v>
      </c>
      <c r="W189" s="278">
        <v>34132000</v>
      </c>
      <c r="X189" s="270"/>
      <c r="Y189" s="262" t="s">
        <v>27</v>
      </c>
      <c r="Z189" s="271" t="s">
        <v>24</v>
      </c>
      <c r="AA189" s="287"/>
      <c r="AB189" s="287"/>
      <c r="AC189" s="272">
        <f t="shared" si="7"/>
        <v>34000000</v>
      </c>
      <c r="AD189" s="272">
        <v>34000000</v>
      </c>
      <c r="AE189" s="272">
        <f t="shared" si="8"/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>
        <v>17000000</v>
      </c>
      <c r="AV189" s="275"/>
      <c r="AW189" s="275"/>
      <c r="AX189" s="275"/>
      <c r="AY189" s="275"/>
      <c r="AZ189" s="275"/>
      <c r="BA189" s="275"/>
      <c r="BB189" s="275"/>
      <c r="BC189" s="275"/>
      <c r="BD189" s="275"/>
      <c r="BE189" s="275">
        <v>17000000</v>
      </c>
      <c r="BF189" s="275"/>
      <c r="BH189" s="277"/>
    </row>
    <row r="190" spans="1:60" ht="16.5" customHeight="1">
      <c r="A190" s="260">
        <v>168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56</v>
      </c>
      <c r="P190" s="262"/>
      <c r="Q190" s="262" t="s">
        <v>26</v>
      </c>
      <c r="R190" s="262" t="s">
        <v>478</v>
      </c>
      <c r="S190" s="267" t="s">
        <v>478</v>
      </c>
      <c r="T190" s="268"/>
      <c r="U190" s="269"/>
      <c r="V190" s="269">
        <v>0</v>
      </c>
      <c r="W190" s="278">
        <v>0</v>
      </c>
      <c r="X190" s="270"/>
      <c r="Y190" s="262" t="s">
        <v>24</v>
      </c>
      <c r="Z190" s="271" t="s">
        <v>599</v>
      </c>
      <c r="AA190" s="287"/>
      <c r="AB190" s="287"/>
      <c r="AC190" s="272">
        <f t="shared" si="7"/>
        <v>0</v>
      </c>
      <c r="AD190" s="272">
        <v>0</v>
      </c>
      <c r="AE190" s="272">
        <f t="shared" si="8"/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/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customHeight="1">
      <c r="A191" s="260">
        <v>169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35</v>
      </c>
      <c r="P191" s="262" t="s">
        <v>156</v>
      </c>
      <c r="Q191" s="262"/>
      <c r="R191" s="262"/>
      <c r="S191" s="267" t="s">
        <v>822</v>
      </c>
      <c r="T191" s="268"/>
      <c r="U191" s="269"/>
      <c r="V191" s="269"/>
      <c r="W191" s="278">
        <v>0</v>
      </c>
      <c r="X191" s="270"/>
      <c r="Y191" s="262"/>
      <c r="Z191" s="271" t="s">
        <v>25</v>
      </c>
      <c r="AA191" s="287"/>
      <c r="AB191" s="287"/>
      <c r="AC191" s="272">
        <f t="shared" si="7"/>
        <v>10000000</v>
      </c>
      <c r="AD191" s="272">
        <v>10000000</v>
      </c>
      <c r="AE191" s="272">
        <f t="shared" si="8"/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>
        <v>10000000</v>
      </c>
      <c r="AX191" s="275"/>
      <c r="AY191" s="275"/>
      <c r="AZ191" s="275"/>
      <c r="BA191" s="275"/>
      <c r="BB191" s="275"/>
      <c r="BC191" s="275"/>
      <c r="BD191" s="275"/>
      <c r="BE191" s="275"/>
      <c r="BF191" s="275"/>
      <c r="BH191" s="277"/>
    </row>
    <row r="192" spans="1:60" ht="16.5" customHeight="1">
      <c r="A192" s="260">
        <v>170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828</v>
      </c>
      <c r="T192" s="268"/>
      <c r="U192" s="269"/>
      <c r="V192" s="269"/>
      <c r="W192" s="278">
        <v>0</v>
      </c>
      <c r="X192" s="270"/>
      <c r="Y192" s="262"/>
      <c r="Z192" s="271" t="s">
        <v>25</v>
      </c>
      <c r="AA192" s="287"/>
      <c r="AB192" s="287"/>
      <c r="AC192" s="272">
        <f t="shared" si="7"/>
        <v>10000000</v>
      </c>
      <c r="AD192" s="272">
        <v>10000000</v>
      </c>
      <c r="AE192" s="272">
        <f t="shared" si="8"/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>
        <v>10000000</v>
      </c>
      <c r="AX192" s="275"/>
      <c r="AY192" s="275"/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customHeight="1">
      <c r="A193" s="260">
        <v>171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37</v>
      </c>
      <c r="K193" s="262"/>
      <c r="L193" s="262"/>
      <c r="M193" s="262">
        <v>2584</v>
      </c>
      <c r="N193" s="262" t="s">
        <v>17</v>
      </c>
      <c r="O193" s="262" t="s">
        <v>56</v>
      </c>
      <c r="P193" s="262"/>
      <c r="Q193" s="262" t="s">
        <v>23</v>
      </c>
      <c r="R193" s="262" t="s">
        <v>397</v>
      </c>
      <c r="S193" s="267" t="s">
        <v>823</v>
      </c>
      <c r="T193" s="268"/>
      <c r="U193" s="269">
        <v>8000000</v>
      </c>
      <c r="V193" s="269">
        <v>11500000</v>
      </c>
      <c r="W193" s="278">
        <v>0</v>
      </c>
      <c r="X193" s="270"/>
      <c r="Y193" s="262" t="s">
        <v>24</v>
      </c>
      <c r="Z193" s="271" t="s">
        <v>24</v>
      </c>
      <c r="AA193" s="287"/>
      <c r="AB193" s="287"/>
      <c r="AC193" s="272">
        <f t="shared" si="7"/>
        <v>10000000</v>
      </c>
      <c r="AD193" s="272">
        <v>10000000</v>
      </c>
      <c r="AE193" s="272">
        <f t="shared" si="8"/>
        <v>0</v>
      </c>
      <c r="AF193" s="273"/>
      <c r="AG193" s="274"/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>
        <v>10000000</v>
      </c>
      <c r="BB193" s="275"/>
      <c r="BC193" s="275"/>
      <c r="BD193" s="275"/>
      <c r="BE193" s="275"/>
      <c r="BF193" s="275"/>
      <c r="BH193" s="277"/>
    </row>
    <row r="194" spans="1:60" ht="16.5" customHeight="1">
      <c r="A194" s="260">
        <v>172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37</v>
      </c>
      <c r="K194" s="262"/>
      <c r="L194" s="262"/>
      <c r="M194" s="262">
        <v>2584</v>
      </c>
      <c r="N194" s="262" t="s">
        <v>17</v>
      </c>
      <c r="O194" s="262" t="s">
        <v>35</v>
      </c>
      <c r="P194" s="262" t="s">
        <v>156</v>
      </c>
      <c r="Q194" s="262"/>
      <c r="R194" s="262"/>
      <c r="S194" s="267" t="s">
        <v>830</v>
      </c>
      <c r="T194" s="268"/>
      <c r="U194" s="269"/>
      <c r="V194" s="269"/>
      <c r="W194" s="278">
        <v>0</v>
      </c>
      <c r="X194" s="270"/>
      <c r="Y194" s="262"/>
      <c r="Z194" s="271" t="s">
        <v>24</v>
      </c>
      <c r="AA194" s="287"/>
      <c r="AB194" s="287"/>
      <c r="AC194" s="272">
        <f t="shared" si="7"/>
        <v>10000000</v>
      </c>
      <c r="AD194" s="272">
        <v>10000000</v>
      </c>
      <c r="AE194" s="272">
        <f t="shared" si="8"/>
        <v>0</v>
      </c>
      <c r="AF194" s="273"/>
      <c r="AG194" s="274"/>
      <c r="AH194" s="273"/>
      <c r="AI194" s="273"/>
      <c r="AJ194" s="274"/>
      <c r="AK194" s="273"/>
      <c r="AL194" s="275"/>
      <c r="AM194" s="290"/>
      <c r="AN194" s="275"/>
      <c r="AO194" s="276"/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>
        <v>10000000</v>
      </c>
      <c r="AZ194" s="275"/>
      <c r="BA194" s="275"/>
      <c r="BB194" s="275"/>
      <c r="BC194" s="275"/>
      <c r="BD194" s="275"/>
      <c r="BE194" s="275"/>
      <c r="BF194" s="275"/>
      <c r="BH194" s="277"/>
    </row>
    <row r="195" spans="1:60" ht="16.5" customHeight="1">
      <c r="A195" s="260">
        <v>173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958</v>
      </c>
      <c r="K195" s="262"/>
      <c r="L195" s="262"/>
      <c r="M195" s="262">
        <v>52015</v>
      </c>
      <c r="N195" s="262" t="s">
        <v>17</v>
      </c>
      <c r="O195" s="262" t="s">
        <v>212</v>
      </c>
      <c r="P195" s="262" t="s">
        <v>57</v>
      </c>
      <c r="Q195" s="262"/>
      <c r="R195" s="262"/>
      <c r="S195" s="267" t="s">
        <v>826</v>
      </c>
      <c r="T195" s="268"/>
      <c r="U195" s="269"/>
      <c r="V195" s="269"/>
      <c r="W195" s="278">
        <v>0</v>
      </c>
      <c r="X195" s="270"/>
      <c r="Y195" s="262" t="s">
        <v>27</v>
      </c>
      <c r="Z195" s="271" t="s">
        <v>27</v>
      </c>
      <c r="AA195" s="287"/>
      <c r="AB195" s="287"/>
      <c r="AC195" s="272">
        <f t="shared" si="7"/>
        <v>3605500</v>
      </c>
      <c r="AD195" s="272">
        <v>3605500</v>
      </c>
      <c r="AE195" s="272">
        <f t="shared" si="8"/>
        <v>0</v>
      </c>
      <c r="AF195" s="273"/>
      <c r="AG195" s="274">
        <v>3605500</v>
      </c>
      <c r="AH195" s="273"/>
      <c r="AI195" s="273"/>
      <c r="AJ195" s="274"/>
      <c r="AK195" s="273"/>
      <c r="AL195" s="275"/>
      <c r="AM195" s="290"/>
      <c r="AN195" s="275"/>
      <c r="AO195" s="276"/>
      <c r="AP195" s="275"/>
      <c r="AQ195" s="275"/>
      <c r="AR195" s="275"/>
      <c r="AS195" s="275"/>
      <c r="AT195" s="275"/>
      <c r="AU195" s="275"/>
      <c r="AV195" s="275"/>
      <c r="AW195" s="275"/>
      <c r="AX195" s="275"/>
      <c r="AY195" s="275"/>
      <c r="AZ195" s="275"/>
      <c r="BA195" s="275"/>
      <c r="BB195" s="275"/>
      <c r="BC195" s="275"/>
      <c r="BD195" s="275"/>
      <c r="BE195" s="275"/>
      <c r="BF195" s="275"/>
      <c r="BH195" s="277"/>
    </row>
    <row r="196" spans="1:60" ht="16.5" customHeight="1">
      <c r="A196" s="260">
        <v>174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38</v>
      </c>
      <c r="K196" s="262"/>
      <c r="L196" s="262"/>
      <c r="M196" s="262">
        <v>21047</v>
      </c>
      <c r="N196" s="262" t="s">
        <v>17</v>
      </c>
      <c r="O196" s="262" t="s">
        <v>212</v>
      </c>
      <c r="P196" s="262" t="s">
        <v>57</v>
      </c>
      <c r="Q196" s="262" t="s">
        <v>39</v>
      </c>
      <c r="R196" s="262" t="s">
        <v>471</v>
      </c>
      <c r="S196" s="267" t="s">
        <v>831</v>
      </c>
      <c r="T196" s="268"/>
      <c r="U196" s="269">
        <v>19711500</v>
      </c>
      <c r="V196" s="269">
        <v>23262500</v>
      </c>
      <c r="W196" s="278">
        <v>20328000</v>
      </c>
      <c r="X196" s="270"/>
      <c r="Y196" s="262" t="s">
        <v>27</v>
      </c>
      <c r="Z196" s="271" t="s">
        <v>27</v>
      </c>
      <c r="AA196" s="287"/>
      <c r="AB196" s="287"/>
      <c r="AC196" s="272">
        <f t="shared" si="7"/>
        <v>8415500</v>
      </c>
      <c r="AD196" s="272">
        <v>8415500</v>
      </c>
      <c r="AE196" s="272">
        <f t="shared" si="8"/>
        <v>0</v>
      </c>
      <c r="AF196" s="273"/>
      <c r="AG196" s="274"/>
      <c r="AH196" s="273"/>
      <c r="AI196" s="273"/>
      <c r="AJ196" s="274"/>
      <c r="AK196" s="273"/>
      <c r="AL196" s="275">
        <v>5000000</v>
      </c>
      <c r="AM196" s="290"/>
      <c r="AN196" s="275" t="s">
        <v>1019</v>
      </c>
      <c r="AO196" s="276">
        <v>3415500</v>
      </c>
      <c r="AP196" s="275"/>
      <c r="AQ196" s="275"/>
      <c r="AR196" s="275"/>
      <c r="AS196" s="275"/>
      <c r="AT196" s="275"/>
      <c r="AU196" s="275"/>
      <c r="AV196" s="275"/>
      <c r="AW196" s="275"/>
      <c r="AX196" s="275"/>
      <c r="AY196" s="275"/>
      <c r="AZ196" s="275"/>
      <c r="BA196" s="275"/>
      <c r="BB196" s="275"/>
      <c r="BC196" s="275"/>
      <c r="BD196" s="275"/>
      <c r="BE196" s="275">
        <v>5000000</v>
      </c>
      <c r="BF196" s="275"/>
      <c r="BH196" s="277"/>
    </row>
    <row r="197" spans="1:60" ht="16.5" customHeight="1">
      <c r="A197" s="260">
        <v>175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212</v>
      </c>
      <c r="P197" s="262" t="s">
        <v>124</v>
      </c>
      <c r="Q197" s="262" t="s">
        <v>63</v>
      </c>
      <c r="R197" s="262" t="s">
        <v>28</v>
      </c>
      <c r="S197" s="267" t="s">
        <v>28</v>
      </c>
      <c r="T197" s="268" t="s">
        <v>951</v>
      </c>
      <c r="U197" s="269"/>
      <c r="V197" s="269">
        <v>112399340</v>
      </c>
      <c r="W197" s="278">
        <v>95743600</v>
      </c>
      <c r="X197" s="270"/>
      <c r="Y197" s="262" t="s">
        <v>27</v>
      </c>
      <c r="Z197" s="271" t="s">
        <v>27</v>
      </c>
      <c r="AA197" s="287"/>
      <c r="AB197" s="287"/>
      <c r="AC197" s="272">
        <f t="shared" si="7"/>
        <v>111017300</v>
      </c>
      <c r="AD197" s="272">
        <v>111017300</v>
      </c>
      <c r="AE197" s="272">
        <f t="shared" si="8"/>
        <v>0</v>
      </c>
      <c r="AF197" s="273">
        <v>7000000</v>
      </c>
      <c r="AG197" s="274">
        <v>2610000</v>
      </c>
      <c r="AH197" s="273"/>
      <c r="AI197" s="273">
        <v>7000000</v>
      </c>
      <c r="AJ197" s="274">
        <v>4044000</v>
      </c>
      <c r="AK197" s="273"/>
      <c r="AL197" s="275">
        <v>12000000</v>
      </c>
      <c r="AM197" s="290">
        <v>5363300</v>
      </c>
      <c r="AN197" s="275"/>
      <c r="AO197" s="276">
        <v>7000000</v>
      </c>
      <c r="AP197" s="275"/>
      <c r="AQ197" s="275">
        <v>12000000</v>
      </c>
      <c r="AR197" s="275"/>
      <c r="AS197" s="275">
        <v>15000000</v>
      </c>
      <c r="AT197" s="275"/>
      <c r="AU197" s="275">
        <v>9000000</v>
      </c>
      <c r="AV197" s="275"/>
      <c r="AW197" s="275">
        <v>9000000</v>
      </c>
      <c r="AX197" s="275"/>
      <c r="AY197" s="275">
        <v>12000000</v>
      </c>
      <c r="AZ197" s="275"/>
      <c r="BA197" s="275">
        <v>12000000</v>
      </c>
      <c r="BB197" s="275"/>
      <c r="BC197" s="275">
        <v>15000000</v>
      </c>
      <c r="BD197" s="275"/>
      <c r="BE197" s="275">
        <v>8000000</v>
      </c>
      <c r="BF197" s="275"/>
      <c r="BH197" s="277"/>
    </row>
    <row r="198" spans="1:60" ht="16.5" customHeight="1">
      <c r="A198" s="260">
        <v>176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56</v>
      </c>
      <c r="P198" s="262"/>
      <c r="Q198" s="262" t="s">
        <v>30</v>
      </c>
      <c r="R198" s="262" t="s">
        <v>31</v>
      </c>
      <c r="S198" s="267" t="s">
        <v>31</v>
      </c>
      <c r="T198" s="268"/>
      <c r="U198" s="269"/>
      <c r="V198" s="269">
        <v>11801000</v>
      </c>
      <c r="W198" s="278">
        <v>16428000</v>
      </c>
      <c r="X198" s="270"/>
      <c r="Y198" s="262" t="s">
        <v>27</v>
      </c>
      <c r="Z198" s="271" t="s">
        <v>24</v>
      </c>
      <c r="AA198" s="287"/>
      <c r="AB198" s="287"/>
      <c r="AC198" s="272">
        <f t="shared" si="7"/>
        <v>35000000</v>
      </c>
      <c r="AD198" s="272">
        <v>35000000</v>
      </c>
      <c r="AE198" s="272">
        <f t="shared" si="8"/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>
        <v>7000000</v>
      </c>
      <c r="AR198" s="275"/>
      <c r="AS198" s="275"/>
      <c r="AT198" s="275"/>
      <c r="AU198" s="275"/>
      <c r="AV198" s="275"/>
      <c r="AW198" s="275">
        <v>7000000</v>
      </c>
      <c r="AX198" s="275"/>
      <c r="AY198" s="275"/>
      <c r="AZ198" s="275"/>
      <c r="BA198" s="275">
        <v>7000000</v>
      </c>
      <c r="BB198" s="275"/>
      <c r="BC198" s="275">
        <v>7000000</v>
      </c>
      <c r="BD198" s="275"/>
      <c r="BE198" s="275">
        <v>7000000</v>
      </c>
      <c r="BF198" s="275"/>
      <c r="BH198" s="277"/>
    </row>
    <row r="199" spans="1:60" ht="16.5" customHeight="1">
      <c r="A199" s="260">
        <v>177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35</v>
      </c>
      <c r="P199" s="262" t="s">
        <v>124</v>
      </c>
      <c r="Q199" s="262"/>
      <c r="R199" s="262"/>
      <c r="S199" s="267" t="s">
        <v>822</v>
      </c>
      <c r="T199" s="268"/>
      <c r="U199" s="269"/>
      <c r="V199" s="269"/>
      <c r="W199" s="278">
        <v>0</v>
      </c>
      <c r="X199" s="270"/>
      <c r="Y199" s="262"/>
      <c r="Z199" s="271" t="s">
        <v>25</v>
      </c>
      <c r="AA199" s="287"/>
      <c r="AB199" s="287"/>
      <c r="AC199" s="272">
        <f t="shared" si="7"/>
        <v>10000000</v>
      </c>
      <c r="AD199" s="272">
        <v>10000000</v>
      </c>
      <c r="AE199" s="272">
        <f t="shared" si="8"/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/>
      <c r="AZ199" s="275"/>
      <c r="BA199" s="275"/>
      <c r="BB199" s="275"/>
      <c r="BC199" s="275">
        <v>10000000</v>
      </c>
      <c r="BD199" s="275"/>
      <c r="BE199" s="275"/>
      <c r="BF199" s="275"/>
      <c r="BH199" s="277"/>
    </row>
    <row r="200" spans="1:60" ht="16.5" customHeight="1">
      <c r="A200" s="260">
        <v>178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828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 t="shared" si="7"/>
        <v>10000000</v>
      </c>
      <c r="AD200" s="272">
        <v>10000000</v>
      </c>
      <c r="AE200" s="272">
        <f t="shared" si="8"/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/>
      <c r="AZ200" s="275"/>
      <c r="BA200" s="275"/>
      <c r="BB200" s="275"/>
      <c r="BC200" s="275">
        <v>10000000</v>
      </c>
      <c r="BD200" s="275"/>
      <c r="BE200" s="275"/>
      <c r="BF200" s="275"/>
      <c r="BH200" s="277"/>
    </row>
    <row r="201" spans="1:60" ht="16.5" customHeight="1">
      <c r="A201" s="260">
        <v>179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40</v>
      </c>
      <c r="K201" s="262"/>
      <c r="L201" s="262"/>
      <c r="M201" s="262">
        <v>16207</v>
      </c>
      <c r="N201" s="262" t="s">
        <v>22</v>
      </c>
      <c r="O201" s="262" t="s">
        <v>56</v>
      </c>
      <c r="P201" s="262"/>
      <c r="Q201" s="262" t="s">
        <v>23</v>
      </c>
      <c r="R201" s="262" t="s">
        <v>397</v>
      </c>
      <c r="S201" s="267" t="s">
        <v>823</v>
      </c>
      <c r="T201" s="268"/>
      <c r="U201" s="269"/>
      <c r="V201" s="269">
        <v>0</v>
      </c>
      <c r="W201" s="278">
        <v>0</v>
      </c>
      <c r="X201" s="270"/>
      <c r="Y201" s="262" t="s">
        <v>25</v>
      </c>
      <c r="Z201" s="271" t="s">
        <v>24</v>
      </c>
      <c r="AA201" s="287"/>
      <c r="AB201" s="287"/>
      <c r="AC201" s="272">
        <f t="shared" si="7"/>
        <v>20000000</v>
      </c>
      <c r="AD201" s="272">
        <v>20000000</v>
      </c>
      <c r="AE201" s="272">
        <f t="shared" si="8"/>
        <v>0</v>
      </c>
      <c r="AF201" s="273"/>
      <c r="AG201" s="274"/>
      <c r="AH201" s="273"/>
      <c r="AI201" s="273"/>
      <c r="AJ201" s="274"/>
      <c r="AK201" s="273"/>
      <c r="AL201" s="275"/>
      <c r="AM201" s="290"/>
      <c r="AN201" s="275"/>
      <c r="AO201" s="276"/>
      <c r="AP201" s="275"/>
      <c r="AQ201" s="275"/>
      <c r="AR201" s="275"/>
      <c r="AS201" s="275"/>
      <c r="AT201" s="275"/>
      <c r="AU201" s="275"/>
      <c r="AV201" s="275"/>
      <c r="AW201" s="275"/>
      <c r="AX201" s="275"/>
      <c r="AY201" s="275">
        <v>20000000</v>
      </c>
      <c r="AZ201" s="275"/>
      <c r="BA201" s="275"/>
      <c r="BB201" s="275"/>
      <c r="BC201" s="275"/>
      <c r="BD201" s="275"/>
      <c r="BE201" s="275"/>
      <c r="BF201" s="275"/>
      <c r="BH201" s="277"/>
    </row>
    <row r="202" spans="1:60" ht="16.5" customHeight="1">
      <c r="A202" s="260">
        <v>180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40</v>
      </c>
      <c r="K202" s="262"/>
      <c r="L202" s="262"/>
      <c r="M202" s="262">
        <v>16207</v>
      </c>
      <c r="N202" s="262" t="s">
        <v>22</v>
      </c>
      <c r="O202" s="262" t="s">
        <v>35</v>
      </c>
      <c r="P202" s="262" t="s">
        <v>124</v>
      </c>
      <c r="Q202" s="262"/>
      <c r="R202" s="262"/>
      <c r="S202" s="267" t="s">
        <v>830</v>
      </c>
      <c r="T202" s="268"/>
      <c r="U202" s="269"/>
      <c r="V202" s="269"/>
      <c r="W202" s="278">
        <v>0</v>
      </c>
      <c r="X202" s="270"/>
      <c r="Y202" s="262"/>
      <c r="Z202" s="271" t="s">
        <v>25</v>
      </c>
      <c r="AA202" s="287"/>
      <c r="AB202" s="287"/>
      <c r="AC202" s="272">
        <f t="shared" si="7"/>
        <v>10000000</v>
      </c>
      <c r="AD202" s="272">
        <v>10000000</v>
      </c>
      <c r="AE202" s="272">
        <f t="shared" si="8"/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/>
      <c r="AP202" s="275"/>
      <c r="AQ202" s="275"/>
      <c r="AR202" s="275"/>
      <c r="AS202" s="275"/>
      <c r="AT202" s="275"/>
      <c r="AU202" s="275"/>
      <c r="AV202" s="275"/>
      <c r="AW202" s="275"/>
      <c r="AX202" s="275"/>
      <c r="AY202" s="275">
        <v>10000000</v>
      </c>
      <c r="AZ202" s="275"/>
      <c r="BA202" s="275"/>
      <c r="BB202" s="275"/>
      <c r="BC202" s="275"/>
      <c r="BD202" s="275"/>
      <c r="BE202" s="275"/>
      <c r="BF202" s="275"/>
      <c r="BH202" s="277"/>
    </row>
    <row r="203" spans="1:60" ht="16.5" customHeight="1">
      <c r="A203" s="260">
        <v>181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212</v>
      </c>
      <c r="P203" s="262" t="s">
        <v>124</v>
      </c>
      <c r="Q203" s="262" t="s">
        <v>63</v>
      </c>
      <c r="R203" s="262" t="s">
        <v>28</v>
      </c>
      <c r="S203" s="267" t="s">
        <v>28</v>
      </c>
      <c r="T203" s="268" t="s">
        <v>951</v>
      </c>
      <c r="U203" s="269">
        <v>63722690</v>
      </c>
      <c r="V203" s="269">
        <v>117411914</v>
      </c>
      <c r="W203" s="278">
        <v>78526300</v>
      </c>
      <c r="X203" s="270"/>
      <c r="Y203" s="262" t="s">
        <v>27</v>
      </c>
      <c r="Z203" s="271" t="s">
        <v>27</v>
      </c>
      <c r="AA203" s="287"/>
      <c r="AB203" s="287"/>
      <c r="AC203" s="272">
        <f t="shared" si="7"/>
        <v>104222300</v>
      </c>
      <c r="AD203" s="272">
        <v>104222300</v>
      </c>
      <c r="AE203" s="272">
        <f t="shared" si="8"/>
        <v>0</v>
      </c>
      <c r="AF203" s="273"/>
      <c r="AG203" s="274">
        <v>10944300</v>
      </c>
      <c r="AH203" s="273"/>
      <c r="AI203" s="273">
        <v>5000000</v>
      </c>
      <c r="AJ203" s="274">
        <v>4322300</v>
      </c>
      <c r="AK203" s="273"/>
      <c r="AL203" s="275">
        <v>5000000</v>
      </c>
      <c r="AM203" s="290">
        <v>3955700</v>
      </c>
      <c r="AN203" s="275"/>
      <c r="AO203" s="276">
        <v>5000000</v>
      </c>
      <c r="AP203" s="275"/>
      <c r="AQ203" s="275">
        <v>5000000</v>
      </c>
      <c r="AR203" s="275"/>
      <c r="AS203" s="275">
        <v>15000000</v>
      </c>
      <c r="AT203" s="275" t="s">
        <v>853</v>
      </c>
      <c r="AU203" s="275">
        <v>7000000</v>
      </c>
      <c r="AV203" s="275"/>
      <c r="AW203" s="275">
        <v>9000000</v>
      </c>
      <c r="AX203" s="275"/>
      <c r="AY203" s="275">
        <v>10000000</v>
      </c>
      <c r="AZ203" s="275"/>
      <c r="BA203" s="275">
        <v>10000000</v>
      </c>
      <c r="BB203" s="275"/>
      <c r="BC203" s="275">
        <v>10000000</v>
      </c>
      <c r="BD203" s="275"/>
      <c r="BE203" s="275">
        <v>14000000</v>
      </c>
      <c r="BF203" s="275"/>
      <c r="BH203" s="277"/>
    </row>
    <row r="204" spans="1:60" ht="16.5" customHeight="1">
      <c r="A204" s="260">
        <v>182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41</v>
      </c>
      <c r="K204" s="262"/>
      <c r="L204" s="262"/>
      <c r="M204" s="262">
        <v>44105</v>
      </c>
      <c r="N204" s="262" t="s">
        <v>42</v>
      </c>
      <c r="O204" s="262" t="s">
        <v>56</v>
      </c>
      <c r="P204" s="262"/>
      <c r="Q204" s="262"/>
      <c r="R204" s="262" t="s">
        <v>468</v>
      </c>
      <c r="S204" s="267" t="s">
        <v>468</v>
      </c>
      <c r="T204" s="268"/>
      <c r="U204" s="269"/>
      <c r="V204" s="269">
        <v>0</v>
      </c>
      <c r="W204" s="278">
        <v>31677760</v>
      </c>
      <c r="X204" s="270"/>
      <c r="Y204" s="262" t="s">
        <v>24</v>
      </c>
      <c r="Z204" s="271" t="s">
        <v>24</v>
      </c>
      <c r="AA204" s="287"/>
      <c r="AB204" s="287"/>
      <c r="AC204" s="272">
        <f t="shared" si="7"/>
        <v>32000000</v>
      </c>
      <c r="AD204" s="272">
        <v>32000000</v>
      </c>
      <c r="AE204" s="272">
        <f t="shared" si="8"/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>
        <v>12000000</v>
      </c>
      <c r="AP204" s="275"/>
      <c r="AQ204" s="275">
        <v>5000000</v>
      </c>
      <c r="AR204" s="275"/>
      <c r="AS204" s="275"/>
      <c r="AT204" s="275"/>
      <c r="AU204" s="275"/>
      <c r="AV204" s="275"/>
      <c r="AW204" s="275">
        <v>5000000</v>
      </c>
      <c r="AX204" s="275"/>
      <c r="AY204" s="275"/>
      <c r="AZ204" s="275"/>
      <c r="BA204" s="275"/>
      <c r="BB204" s="275"/>
      <c r="BC204" s="275">
        <v>10000000</v>
      </c>
      <c r="BD204" s="275"/>
      <c r="BE204" s="275"/>
      <c r="BF204" s="275"/>
      <c r="BH204" s="277"/>
    </row>
    <row r="205" spans="1:60" ht="16.5" customHeight="1">
      <c r="A205" s="260">
        <v>183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41</v>
      </c>
      <c r="K205" s="262"/>
      <c r="L205" s="262"/>
      <c r="M205" s="262">
        <v>44105</v>
      </c>
      <c r="N205" s="262" t="s">
        <v>42</v>
      </c>
      <c r="O205" s="262" t="s">
        <v>56</v>
      </c>
      <c r="P205" s="262" t="s">
        <v>124</v>
      </c>
      <c r="Q205" s="262" t="s">
        <v>26</v>
      </c>
      <c r="R205" s="262" t="s">
        <v>468</v>
      </c>
      <c r="S205" s="267" t="s">
        <v>468</v>
      </c>
      <c r="T205" s="268"/>
      <c r="U205" s="269">
        <v>25820000</v>
      </c>
      <c r="V205" s="269">
        <v>64195455</v>
      </c>
      <c r="W205" s="278">
        <v>0</v>
      </c>
      <c r="X205" s="270"/>
      <c r="Y205" s="262" t="s">
        <v>27</v>
      </c>
      <c r="Z205" s="271" t="s">
        <v>562</v>
      </c>
      <c r="AA205" s="287"/>
      <c r="AB205" s="287"/>
      <c r="AC205" s="272">
        <f t="shared" si="7"/>
        <v>0</v>
      </c>
      <c r="AD205" s="272">
        <v>0</v>
      </c>
      <c r="AE205" s="272">
        <f t="shared" si="8"/>
        <v>0</v>
      </c>
      <c r="AF205" s="273"/>
      <c r="AG205" s="274"/>
      <c r="AH205" s="273"/>
      <c r="AI205" s="273"/>
      <c r="AJ205" s="274"/>
      <c r="AK205" s="273"/>
      <c r="AL205" s="275"/>
      <c r="AM205" s="290"/>
      <c r="AN205" s="275"/>
      <c r="AO205" s="276"/>
      <c r="AP205" s="275"/>
      <c r="AQ205" s="275"/>
      <c r="AR205" s="275"/>
      <c r="AS205" s="275"/>
      <c r="AT205" s="275"/>
      <c r="AU205" s="275"/>
      <c r="AV205" s="275"/>
      <c r="AW205" s="275"/>
      <c r="AX205" s="275"/>
      <c r="AY205" s="275"/>
      <c r="AZ205" s="275"/>
      <c r="BA205" s="275"/>
      <c r="BB205" s="275"/>
      <c r="BC205" s="275"/>
      <c r="BD205" s="275"/>
      <c r="BE205" s="275"/>
      <c r="BF205" s="275"/>
      <c r="BH205" s="277"/>
    </row>
    <row r="206" spans="1:60" ht="16.5" customHeight="1">
      <c r="A206" s="260">
        <v>184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217</v>
      </c>
      <c r="K206" s="262"/>
      <c r="L206" s="262"/>
      <c r="M206" s="262">
        <v>15633</v>
      </c>
      <c r="N206" s="262" t="s">
        <v>32</v>
      </c>
      <c r="O206" s="262" t="s">
        <v>56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>
        <v>408000</v>
      </c>
      <c r="V206" s="269">
        <v>2072000</v>
      </c>
      <c r="W206" s="278">
        <v>2092000</v>
      </c>
      <c r="X206" s="270"/>
      <c r="Y206" s="262" t="s">
        <v>24</v>
      </c>
      <c r="Z206" s="271" t="s">
        <v>24</v>
      </c>
      <c r="AA206" s="287"/>
      <c r="AB206" s="287"/>
      <c r="AC206" s="272">
        <f t="shared" si="7"/>
        <v>1000000</v>
      </c>
      <c r="AD206" s="272">
        <v>1000000</v>
      </c>
      <c r="AE206" s="272">
        <f t="shared" si="8"/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>
        <v>1000000</v>
      </c>
      <c r="AT206" s="275"/>
      <c r="AU206" s="275"/>
      <c r="AV206" s="275"/>
      <c r="AW206" s="275"/>
      <c r="AX206" s="275"/>
      <c r="AY206" s="275"/>
      <c r="AZ206" s="275"/>
      <c r="BA206" s="275"/>
      <c r="BB206" s="275"/>
      <c r="BC206" s="275"/>
      <c r="BD206" s="275"/>
      <c r="BE206" s="275"/>
      <c r="BF206" s="275"/>
      <c r="BH206" s="277"/>
    </row>
    <row r="207" spans="1:60" ht="16.5" customHeight="1">
      <c r="A207" s="260">
        <v>185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618</v>
      </c>
      <c r="K207" s="262"/>
      <c r="L207" s="262"/>
      <c r="M207" s="262">
        <v>61724</v>
      </c>
      <c r="N207" s="262" t="s">
        <v>22</v>
      </c>
      <c r="O207" s="262" t="s">
        <v>35</v>
      </c>
      <c r="P207" s="262" t="s">
        <v>57</v>
      </c>
      <c r="Q207" s="262"/>
      <c r="R207" s="262" t="s">
        <v>19</v>
      </c>
      <c r="S207" s="267" t="s">
        <v>19</v>
      </c>
      <c r="T207" s="268"/>
      <c r="U207" s="269"/>
      <c r="V207" s="269">
        <v>0</v>
      </c>
      <c r="W207" s="278">
        <v>6267850</v>
      </c>
      <c r="X207" s="270"/>
      <c r="Y207" s="262" t="s">
        <v>27</v>
      </c>
      <c r="Z207" s="271" t="s">
        <v>27</v>
      </c>
      <c r="AA207" s="287"/>
      <c r="AB207" s="287"/>
      <c r="AC207" s="272">
        <f t="shared" si="7"/>
        <v>9578000</v>
      </c>
      <c r="AD207" s="272">
        <v>9578000</v>
      </c>
      <c r="AE207" s="272">
        <f t="shared" si="8"/>
        <v>0</v>
      </c>
      <c r="AF207" s="273"/>
      <c r="AG207" s="274">
        <v>325000</v>
      </c>
      <c r="AH207" s="273"/>
      <c r="AI207" s="273"/>
      <c r="AJ207" s="274">
        <v>471000</v>
      </c>
      <c r="AK207" s="273"/>
      <c r="AL207" s="275">
        <v>675000</v>
      </c>
      <c r="AM207" s="290">
        <v>253000</v>
      </c>
      <c r="AN207" s="275"/>
      <c r="AO207" s="276">
        <v>529000</v>
      </c>
      <c r="AP207" s="275"/>
      <c r="AQ207" s="275">
        <v>1000000</v>
      </c>
      <c r="AR207" s="275"/>
      <c r="AS207" s="275">
        <v>1000000</v>
      </c>
      <c r="AT207" s="275"/>
      <c r="AU207" s="275">
        <v>1000000</v>
      </c>
      <c r="AV207" s="275"/>
      <c r="AW207" s="275">
        <v>1000000</v>
      </c>
      <c r="AX207" s="275"/>
      <c r="AY207" s="275">
        <v>1000000</v>
      </c>
      <c r="AZ207" s="275"/>
      <c r="BA207" s="275">
        <v>1000000</v>
      </c>
      <c r="BB207" s="275"/>
      <c r="BC207" s="275">
        <v>1000000</v>
      </c>
      <c r="BD207" s="275"/>
      <c r="BE207" s="275">
        <v>1000000</v>
      </c>
      <c r="BF207" s="275"/>
      <c r="BH207" s="277"/>
    </row>
    <row r="208" spans="1:60" ht="16.5" customHeight="1">
      <c r="A208" s="260">
        <v>186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618</v>
      </c>
      <c r="K208" s="262"/>
      <c r="L208" s="262"/>
      <c r="M208" s="262">
        <v>61724</v>
      </c>
      <c r="N208" s="262" t="s">
        <v>22</v>
      </c>
      <c r="O208" s="262" t="s">
        <v>178</v>
      </c>
      <c r="P208" s="262"/>
      <c r="Q208" s="262" t="s">
        <v>30</v>
      </c>
      <c r="R208" s="262" t="s">
        <v>31</v>
      </c>
      <c r="S208" s="267" t="s">
        <v>31</v>
      </c>
      <c r="T208" s="268"/>
      <c r="U208" s="269"/>
      <c r="V208" s="269">
        <v>2809400</v>
      </c>
      <c r="W208" s="278">
        <v>0</v>
      </c>
      <c r="X208" s="270"/>
      <c r="Y208" s="262" t="s">
        <v>20</v>
      </c>
      <c r="Z208" s="271" t="s">
        <v>24</v>
      </c>
      <c r="AA208" s="287"/>
      <c r="AB208" s="287"/>
      <c r="AC208" s="272">
        <f t="shared" si="7"/>
        <v>1000000</v>
      </c>
      <c r="AD208" s="272">
        <v>1000000</v>
      </c>
      <c r="AE208" s="272">
        <f t="shared" si="8"/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/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>
        <v>1000000</v>
      </c>
      <c r="BB208" s="275"/>
      <c r="BC208" s="275"/>
      <c r="BD208" s="275"/>
      <c r="BE208" s="275"/>
      <c r="BF208" s="275"/>
      <c r="BH208" s="277"/>
    </row>
    <row r="209" spans="1:60" ht="16.5" customHeight="1">
      <c r="A209" s="260">
        <v>187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43</v>
      </c>
      <c r="K209" s="262"/>
      <c r="L209" s="262"/>
      <c r="M209" s="262">
        <v>28926</v>
      </c>
      <c r="N209" s="262" t="s">
        <v>22</v>
      </c>
      <c r="O209" s="262" t="s">
        <v>56</v>
      </c>
      <c r="P209" s="262"/>
      <c r="Q209" s="262" t="s">
        <v>30</v>
      </c>
      <c r="R209" s="262" t="s">
        <v>31</v>
      </c>
      <c r="S209" s="267" t="s">
        <v>31</v>
      </c>
      <c r="T209" s="268"/>
      <c r="U209" s="269">
        <v>189000</v>
      </c>
      <c r="V209" s="269">
        <v>0</v>
      </c>
      <c r="W209" s="278">
        <v>0</v>
      </c>
      <c r="X209" s="270"/>
      <c r="Y209" s="262" t="s">
        <v>24</v>
      </c>
      <c r="Z209" s="271" t="s">
        <v>21</v>
      </c>
      <c r="AA209" s="287"/>
      <c r="AB209" s="287"/>
      <c r="AC209" s="272">
        <f t="shared" si="7"/>
        <v>0</v>
      </c>
      <c r="AD209" s="272">
        <v>0</v>
      </c>
      <c r="AE209" s="272">
        <f t="shared" si="8"/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customHeight="1">
      <c r="A210" s="260">
        <v>188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173</v>
      </c>
      <c r="K210" s="262"/>
      <c r="L210" s="262"/>
      <c r="M210" s="262">
        <v>3987</v>
      </c>
      <c r="N210" s="262" t="s">
        <v>32</v>
      </c>
      <c r="O210" s="262" t="s">
        <v>35</v>
      </c>
      <c r="P210" s="262" t="s">
        <v>57</v>
      </c>
      <c r="Q210" s="262"/>
      <c r="R210" s="262" t="s">
        <v>28</v>
      </c>
      <c r="S210" s="267" t="s">
        <v>28</v>
      </c>
      <c r="T210" s="268"/>
      <c r="U210" s="269"/>
      <c r="V210" s="269"/>
      <c r="W210" s="278">
        <v>93636363</v>
      </c>
      <c r="X210" s="270"/>
      <c r="Y210" s="262" t="s">
        <v>27</v>
      </c>
      <c r="Z210" s="271" t="s">
        <v>27</v>
      </c>
      <c r="AA210" s="287"/>
      <c r="AB210" s="287"/>
      <c r="AC210" s="272">
        <f t="shared" si="7"/>
        <v>60000000</v>
      </c>
      <c r="AD210" s="272">
        <v>60000000</v>
      </c>
      <c r="AE210" s="272">
        <f t="shared" si="8"/>
        <v>0</v>
      </c>
      <c r="AF210" s="273"/>
      <c r="AG210" s="274"/>
      <c r="AH210" s="273"/>
      <c r="AI210" s="273"/>
      <c r="AJ210" s="274"/>
      <c r="AK210" s="273"/>
      <c r="AL210" s="275"/>
      <c r="AM210" s="290"/>
      <c r="AN210" s="275"/>
      <c r="AO210" s="276">
        <v>60000000</v>
      </c>
      <c r="AP210" s="275"/>
      <c r="AQ210" s="275"/>
      <c r="AR210" s="275"/>
      <c r="AS210" s="275"/>
      <c r="AT210" s="275"/>
      <c r="AU210" s="275"/>
      <c r="AV210" s="275"/>
      <c r="AW210" s="275"/>
      <c r="AX210" s="275"/>
      <c r="AY210" s="275"/>
      <c r="AZ210" s="275"/>
      <c r="BA210" s="275"/>
      <c r="BB210" s="275"/>
      <c r="BC210" s="275"/>
      <c r="BD210" s="275"/>
      <c r="BE210" s="275"/>
      <c r="BF210" s="275"/>
      <c r="BH210" s="277"/>
    </row>
    <row r="211" spans="1:60" ht="16.5" customHeight="1">
      <c r="A211" s="260">
        <v>189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173</v>
      </c>
      <c r="K211" s="262"/>
      <c r="L211" s="262"/>
      <c r="M211" s="262">
        <v>3987</v>
      </c>
      <c r="N211" s="262" t="s">
        <v>32</v>
      </c>
      <c r="O211" s="262" t="s">
        <v>56</v>
      </c>
      <c r="P211" s="262" t="s">
        <v>124</v>
      </c>
      <c r="Q211" s="262" t="s">
        <v>46</v>
      </c>
      <c r="R211" s="262" t="s">
        <v>47</v>
      </c>
      <c r="S211" s="267" t="s">
        <v>47</v>
      </c>
      <c r="T211" s="268"/>
      <c r="U211" s="269" t="s">
        <v>154</v>
      </c>
      <c r="V211" s="269">
        <v>0</v>
      </c>
      <c r="W211" s="278">
        <v>0</v>
      </c>
      <c r="X211" s="270"/>
      <c r="Y211" s="262" t="s">
        <v>25</v>
      </c>
      <c r="Z211" s="271" t="s">
        <v>599</v>
      </c>
      <c r="AA211" s="287"/>
      <c r="AB211" s="287"/>
      <c r="AC211" s="272">
        <f t="shared" si="7"/>
        <v>0</v>
      </c>
      <c r="AD211" s="272">
        <v>0</v>
      </c>
      <c r="AE211" s="272">
        <f t="shared" si="8"/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customHeight="1">
      <c r="A212" s="260">
        <v>190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63</v>
      </c>
      <c r="R212" s="262" t="s">
        <v>28</v>
      </c>
      <c r="S212" s="267" t="s">
        <v>28</v>
      </c>
      <c r="T212" s="268" t="s">
        <v>951</v>
      </c>
      <c r="U212" s="269">
        <v>480096819</v>
      </c>
      <c r="V212" s="269">
        <v>614675776</v>
      </c>
      <c r="W212" s="278">
        <v>665292870</v>
      </c>
      <c r="X212" s="270"/>
      <c r="Y212" s="262" t="s">
        <v>27</v>
      </c>
      <c r="Z212" s="271" t="s">
        <v>27</v>
      </c>
      <c r="AA212" s="287"/>
      <c r="AB212" s="287"/>
      <c r="AC212" s="272">
        <f t="shared" si="7"/>
        <v>711956480</v>
      </c>
      <c r="AD212" s="272">
        <v>711956480</v>
      </c>
      <c r="AE212" s="272">
        <f t="shared" si="8"/>
        <v>0</v>
      </c>
      <c r="AF212" s="273">
        <v>60000000</v>
      </c>
      <c r="AG212" s="274">
        <v>46098430</v>
      </c>
      <c r="AH212" s="273"/>
      <c r="AI212" s="273">
        <v>60000000</v>
      </c>
      <c r="AJ212" s="274">
        <v>47784160</v>
      </c>
      <c r="AK212" s="273"/>
      <c r="AL212" s="275">
        <v>60000000</v>
      </c>
      <c r="AM212" s="290">
        <v>54073890</v>
      </c>
      <c r="AN212" s="275"/>
      <c r="AO212" s="276">
        <v>60000000</v>
      </c>
      <c r="AP212" s="275"/>
      <c r="AQ212" s="275">
        <v>60000000</v>
      </c>
      <c r="AR212" s="275"/>
      <c r="AS212" s="275">
        <v>65000000</v>
      </c>
      <c r="AT212" s="275"/>
      <c r="AU212" s="275">
        <v>65000000</v>
      </c>
      <c r="AV212" s="275"/>
      <c r="AW212" s="275">
        <v>65000000</v>
      </c>
      <c r="AX212" s="275"/>
      <c r="AY212" s="275">
        <v>65000000</v>
      </c>
      <c r="AZ212" s="275"/>
      <c r="BA212" s="275">
        <v>64000000</v>
      </c>
      <c r="BB212" s="275"/>
      <c r="BC212" s="275">
        <v>60000000</v>
      </c>
      <c r="BD212" s="275"/>
      <c r="BE212" s="275">
        <v>60000000</v>
      </c>
      <c r="BF212" s="275"/>
      <c r="BH212" s="277"/>
    </row>
    <row r="213" spans="1:60" ht="16.5" customHeight="1">
      <c r="A213" s="260">
        <v>191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/>
      <c r="Q213" s="262" t="s">
        <v>63</v>
      </c>
      <c r="R213" s="262" t="s">
        <v>28</v>
      </c>
      <c r="S213" s="267" t="s">
        <v>28</v>
      </c>
      <c r="T213" s="268"/>
      <c r="U213" s="269"/>
      <c r="V213" s="269">
        <v>0</v>
      </c>
      <c r="W213" s="278">
        <v>0</v>
      </c>
      <c r="X213" s="270"/>
      <c r="Y213" s="262" t="s">
        <v>24</v>
      </c>
      <c r="Z213" s="271" t="s">
        <v>562</v>
      </c>
      <c r="AA213" s="287"/>
      <c r="AB213" s="287"/>
      <c r="AC213" s="272">
        <f t="shared" si="7"/>
        <v>0</v>
      </c>
      <c r="AD213" s="272">
        <v>0</v>
      </c>
      <c r="AE213" s="272">
        <f t="shared" si="8"/>
        <v>0</v>
      </c>
      <c r="AF213" s="273"/>
      <c r="AG213" s="274"/>
      <c r="AH213" s="273"/>
      <c r="AI213" s="273"/>
      <c r="AJ213" s="274"/>
      <c r="AK213" s="273"/>
      <c r="AL213" s="275"/>
      <c r="AM213" s="290"/>
      <c r="AN213" s="275"/>
      <c r="AO213" s="276"/>
      <c r="AP213" s="275"/>
      <c r="AQ213" s="275"/>
      <c r="AR213" s="275"/>
      <c r="AS213" s="275"/>
      <c r="AT213" s="275"/>
      <c r="AU213" s="275"/>
      <c r="AV213" s="275"/>
      <c r="AW213" s="275"/>
      <c r="AX213" s="275"/>
      <c r="AY213" s="275"/>
      <c r="AZ213" s="275"/>
      <c r="BA213" s="275"/>
      <c r="BB213" s="275"/>
      <c r="BC213" s="275"/>
      <c r="BD213" s="275"/>
      <c r="BE213" s="275"/>
      <c r="BF213" s="275"/>
      <c r="BH213" s="277"/>
    </row>
    <row r="214" spans="1:60" ht="16.5" customHeight="1">
      <c r="A214" s="260">
        <v>192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212</v>
      </c>
      <c r="P214" s="262" t="s">
        <v>57</v>
      </c>
      <c r="Q214" s="262" t="s">
        <v>46</v>
      </c>
      <c r="R214" s="262" t="s">
        <v>47</v>
      </c>
      <c r="S214" s="267" t="s">
        <v>47</v>
      </c>
      <c r="T214" s="268"/>
      <c r="U214" s="269">
        <v>15000000</v>
      </c>
      <c r="V214" s="269">
        <v>20000000</v>
      </c>
      <c r="W214" s="278">
        <v>21250000</v>
      </c>
      <c r="X214" s="270"/>
      <c r="Y214" s="262" t="s">
        <v>27</v>
      </c>
      <c r="Z214" s="271" t="s">
        <v>27</v>
      </c>
      <c r="AA214" s="287"/>
      <c r="AB214" s="287"/>
      <c r="AC214" s="272">
        <f t="shared" si="7"/>
        <v>20000000</v>
      </c>
      <c r="AD214" s="272">
        <v>20000000</v>
      </c>
      <c r="AE214" s="272">
        <f t="shared" si="8"/>
        <v>0</v>
      </c>
      <c r="AF214" s="273"/>
      <c r="AG214" s="274"/>
      <c r="AH214" s="273"/>
      <c r="AI214" s="273"/>
      <c r="AJ214" s="274"/>
      <c r="AK214" s="273"/>
      <c r="AL214" s="275">
        <v>5000000</v>
      </c>
      <c r="AM214" s="290">
        <v>5000000</v>
      </c>
      <c r="AN214" s="275"/>
      <c r="AO214" s="276"/>
      <c r="AP214" s="275"/>
      <c r="AQ214" s="275"/>
      <c r="AR214" s="275"/>
      <c r="AS214" s="275">
        <v>5000000</v>
      </c>
      <c r="AT214" s="275"/>
      <c r="AU214" s="275"/>
      <c r="AV214" s="275"/>
      <c r="AW214" s="275"/>
      <c r="AX214" s="275"/>
      <c r="AY214" s="275">
        <v>5000000</v>
      </c>
      <c r="AZ214" s="275"/>
      <c r="BA214" s="275"/>
      <c r="BB214" s="275"/>
      <c r="BC214" s="275"/>
      <c r="BD214" s="275"/>
      <c r="BE214" s="275">
        <v>5000000</v>
      </c>
      <c r="BF214" s="275"/>
      <c r="BH214" s="277"/>
    </row>
    <row r="215" spans="1:60" ht="16.5" customHeight="1">
      <c r="A215" s="260">
        <v>193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56</v>
      </c>
      <c r="P215" s="262" t="s">
        <v>57</v>
      </c>
      <c r="Q215" s="262" t="s">
        <v>26</v>
      </c>
      <c r="R215" s="262" t="s">
        <v>478</v>
      </c>
      <c r="S215" s="267" t="s">
        <v>478</v>
      </c>
      <c r="T215" s="268"/>
      <c r="U215" s="269">
        <v>7200000</v>
      </c>
      <c r="V215" s="269">
        <v>0</v>
      </c>
      <c r="W215" s="278">
        <v>17000000</v>
      </c>
      <c r="X215" s="270"/>
      <c r="Y215" s="262" t="s">
        <v>27</v>
      </c>
      <c r="Z215" s="271" t="s">
        <v>27</v>
      </c>
      <c r="AA215" s="287"/>
      <c r="AB215" s="287"/>
      <c r="AC215" s="272">
        <f t="shared" ref="AC215:AC278" si="9">AG215+AJ215+AM215+AO215+AQ215+AS215+AU215+AW215+AY215+BA215+BC215+BE215</f>
        <v>29150000</v>
      </c>
      <c r="AD215" s="272">
        <v>29150000</v>
      </c>
      <c r="AE215" s="272">
        <f t="shared" ref="AE215:AE278" si="10">AC215-AD215</f>
        <v>0</v>
      </c>
      <c r="AF215" s="273"/>
      <c r="AG215" s="274"/>
      <c r="AH215" s="273"/>
      <c r="AI215" s="273">
        <v>2600000</v>
      </c>
      <c r="AJ215" s="274">
        <v>3000000</v>
      </c>
      <c r="AK215" s="273"/>
      <c r="AL215" s="275">
        <v>5600000</v>
      </c>
      <c r="AM215" s="290">
        <v>5350000</v>
      </c>
      <c r="AN215" s="275"/>
      <c r="AO215" s="276">
        <v>2600000</v>
      </c>
      <c r="AP215" s="275"/>
      <c r="AQ215" s="275">
        <v>2600000</v>
      </c>
      <c r="AR215" s="275"/>
      <c r="AS215" s="275">
        <v>2600000</v>
      </c>
      <c r="AT215" s="275"/>
      <c r="AU215" s="275">
        <v>2600000</v>
      </c>
      <c r="AV215" s="275"/>
      <c r="AW215" s="275">
        <v>2600000</v>
      </c>
      <c r="AX215" s="275"/>
      <c r="AY215" s="275">
        <v>2600000</v>
      </c>
      <c r="AZ215" s="275"/>
      <c r="BA215" s="275">
        <v>2600000</v>
      </c>
      <c r="BB215" s="275"/>
      <c r="BC215" s="275">
        <v>2600000</v>
      </c>
      <c r="BD215" s="275"/>
      <c r="BE215" s="275"/>
      <c r="BF215" s="275"/>
      <c r="BH215" s="277"/>
    </row>
    <row r="216" spans="1:60" ht="16.5" customHeight="1">
      <c r="A216" s="260">
        <v>194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56</v>
      </c>
      <c r="P216" s="262" t="s">
        <v>57</v>
      </c>
      <c r="Q216" s="262" t="s">
        <v>26</v>
      </c>
      <c r="R216" s="262" t="s">
        <v>478</v>
      </c>
      <c r="S216" s="267" t="s">
        <v>478</v>
      </c>
      <c r="T216" s="268"/>
      <c r="U216" s="269"/>
      <c r="V216" s="269">
        <v>0</v>
      </c>
      <c r="W216" s="278">
        <v>0</v>
      </c>
      <c r="X216" s="270"/>
      <c r="Y216" s="262" t="s">
        <v>27</v>
      </c>
      <c r="Z216" s="271" t="s">
        <v>24</v>
      </c>
      <c r="AA216" s="287"/>
      <c r="AB216" s="287"/>
      <c r="AC216" s="272">
        <f t="shared" si="9"/>
        <v>9000000</v>
      </c>
      <c r="AD216" s="272">
        <v>9000000</v>
      </c>
      <c r="AE216" s="272">
        <f t="shared" si="10"/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>
        <v>3000000</v>
      </c>
      <c r="AV216" s="275"/>
      <c r="AW216" s="275"/>
      <c r="AX216" s="275"/>
      <c r="AY216" s="275">
        <v>3000000</v>
      </c>
      <c r="AZ216" s="275"/>
      <c r="BA216" s="275">
        <v>3000000</v>
      </c>
      <c r="BB216" s="275"/>
      <c r="BC216" s="275"/>
      <c r="BD216" s="275"/>
      <c r="BE216" s="275"/>
      <c r="BF216" s="275"/>
      <c r="BH216" s="277"/>
    </row>
    <row r="217" spans="1:60" ht="16.5" customHeight="1">
      <c r="A217" s="260">
        <v>195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822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 t="shared" si="9"/>
        <v>20000000</v>
      </c>
      <c r="AD217" s="272">
        <v>20000000</v>
      </c>
      <c r="AE217" s="272">
        <f t="shared" si="10"/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>
        <v>20000000</v>
      </c>
      <c r="AX217" s="275"/>
      <c r="AY217" s="275"/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customHeight="1">
      <c r="A218" s="260">
        <v>196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45</v>
      </c>
      <c r="K218" s="262"/>
      <c r="L218" s="262"/>
      <c r="M218" s="262">
        <v>49835</v>
      </c>
      <c r="N218" s="262" t="s">
        <v>22</v>
      </c>
      <c r="O218" s="262" t="s">
        <v>35</v>
      </c>
      <c r="P218" s="262" t="s">
        <v>57</v>
      </c>
      <c r="Q218" s="262"/>
      <c r="R218" s="262"/>
      <c r="S218" s="267" t="s">
        <v>828</v>
      </c>
      <c r="T218" s="268"/>
      <c r="U218" s="269"/>
      <c r="V218" s="269"/>
      <c r="W218" s="278">
        <v>0</v>
      </c>
      <c r="X218" s="270"/>
      <c r="Y218" s="262"/>
      <c r="Z218" s="271" t="s">
        <v>25</v>
      </c>
      <c r="AA218" s="287"/>
      <c r="AB218" s="287"/>
      <c r="AC218" s="272">
        <f t="shared" si="9"/>
        <v>20000000</v>
      </c>
      <c r="AD218" s="272">
        <v>20000000</v>
      </c>
      <c r="AE218" s="272">
        <f t="shared" si="10"/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>
        <v>20000000</v>
      </c>
      <c r="AX218" s="275"/>
      <c r="AY218" s="275"/>
      <c r="AZ218" s="275"/>
      <c r="BA218" s="275"/>
      <c r="BB218" s="275"/>
      <c r="BC218" s="275"/>
      <c r="BD218" s="275"/>
      <c r="BE218" s="275"/>
      <c r="BF218" s="275"/>
      <c r="BH218" s="277"/>
    </row>
    <row r="219" spans="1:60" ht="16.5" customHeight="1">
      <c r="A219" s="260">
        <v>197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45</v>
      </c>
      <c r="K219" s="262"/>
      <c r="L219" s="262"/>
      <c r="M219" s="262">
        <v>49835</v>
      </c>
      <c r="N219" s="262" t="s">
        <v>22</v>
      </c>
      <c r="O219" s="262" t="s">
        <v>35</v>
      </c>
      <c r="P219" s="262" t="s">
        <v>57</v>
      </c>
      <c r="Q219" s="262"/>
      <c r="R219" s="262"/>
      <c r="S219" s="267" t="s">
        <v>830</v>
      </c>
      <c r="T219" s="268"/>
      <c r="U219" s="269"/>
      <c r="V219" s="269"/>
      <c r="W219" s="278">
        <v>0</v>
      </c>
      <c r="X219" s="270"/>
      <c r="Y219" s="262"/>
      <c r="Z219" s="271" t="s">
        <v>25</v>
      </c>
      <c r="AA219" s="287"/>
      <c r="AB219" s="287"/>
      <c r="AC219" s="272">
        <f t="shared" si="9"/>
        <v>10000000</v>
      </c>
      <c r="AD219" s="272">
        <v>10000000</v>
      </c>
      <c r="AE219" s="272">
        <f t="shared" si="10"/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>
        <v>10000000</v>
      </c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customHeight="1">
      <c r="A220" s="260">
        <v>198</v>
      </c>
      <c r="B220" s="261"/>
      <c r="C220" s="261"/>
      <c r="D220" s="262" t="s">
        <v>15</v>
      </c>
      <c r="E220" s="262" t="s">
        <v>0</v>
      </c>
      <c r="F220" s="263" t="s">
        <v>15</v>
      </c>
      <c r="G220" s="264" t="s">
        <v>0</v>
      </c>
      <c r="H220" s="281"/>
      <c r="I220" s="265"/>
      <c r="J220" s="266" t="s">
        <v>48</v>
      </c>
      <c r="K220" s="262"/>
      <c r="L220" s="262"/>
      <c r="M220" s="262">
        <v>49835</v>
      </c>
      <c r="N220" s="262" t="s">
        <v>22</v>
      </c>
      <c r="O220" s="262" t="s">
        <v>56</v>
      </c>
      <c r="P220" s="262"/>
      <c r="Q220" s="262" t="s">
        <v>30</v>
      </c>
      <c r="R220" s="262" t="s">
        <v>31</v>
      </c>
      <c r="S220" s="267" t="s">
        <v>31</v>
      </c>
      <c r="T220" s="268"/>
      <c r="U220" s="269"/>
      <c r="V220" s="269">
        <v>0</v>
      </c>
      <c r="W220" s="278">
        <v>0</v>
      </c>
      <c r="X220" s="270"/>
      <c r="Y220" s="262" t="s">
        <v>25</v>
      </c>
      <c r="Z220" s="271" t="s">
        <v>25</v>
      </c>
      <c r="AA220" s="287"/>
      <c r="AB220" s="287"/>
      <c r="AC220" s="272">
        <f t="shared" si="9"/>
        <v>20000000</v>
      </c>
      <c r="AD220" s="272">
        <v>20000000</v>
      </c>
      <c r="AE220" s="272">
        <f t="shared" si="10"/>
        <v>0</v>
      </c>
      <c r="AF220" s="273"/>
      <c r="AG220" s="274"/>
      <c r="AH220" s="273"/>
      <c r="AI220" s="273"/>
      <c r="AJ220" s="274"/>
      <c r="AK220" s="273"/>
      <c r="AL220" s="275"/>
      <c r="AM220" s="290"/>
      <c r="AN220" s="275"/>
      <c r="AO220" s="276"/>
      <c r="AP220" s="275"/>
      <c r="AQ220" s="275"/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>
        <v>20000000</v>
      </c>
      <c r="BF220" s="275"/>
      <c r="BH220" s="277"/>
    </row>
    <row r="221" spans="1:60" ht="16.5" customHeight="1">
      <c r="A221" s="260">
        <v>199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743</v>
      </c>
      <c r="K221" s="262"/>
      <c r="L221" s="262"/>
      <c r="M221" s="262">
        <v>45971</v>
      </c>
      <c r="N221" s="262"/>
      <c r="O221" s="262"/>
      <c r="P221" s="262"/>
      <c r="Q221" s="262"/>
      <c r="R221" s="262" t="s">
        <v>31</v>
      </c>
      <c r="S221" s="267" t="s">
        <v>31</v>
      </c>
      <c r="T221" s="268"/>
      <c r="U221" s="269"/>
      <c r="V221" s="269"/>
      <c r="W221" s="278">
        <v>3500000</v>
      </c>
      <c r="X221" s="270"/>
      <c r="Y221" s="262" t="s">
        <v>27</v>
      </c>
      <c r="Z221" s="271" t="s">
        <v>718</v>
      </c>
      <c r="AA221" s="287"/>
      <c r="AB221" s="287"/>
      <c r="AC221" s="272">
        <f t="shared" si="9"/>
        <v>0</v>
      </c>
      <c r="AD221" s="272">
        <v>0</v>
      </c>
      <c r="AE221" s="272">
        <f t="shared" si="10"/>
        <v>0</v>
      </c>
      <c r="AF221" s="273"/>
      <c r="AG221" s="274"/>
      <c r="AH221" s="273"/>
      <c r="AI221" s="273"/>
      <c r="AJ221" s="274"/>
      <c r="AK221" s="273"/>
      <c r="AL221" s="275"/>
      <c r="AM221" s="290"/>
      <c r="AN221" s="275"/>
      <c r="AO221" s="276"/>
      <c r="AP221" s="275"/>
      <c r="AQ221" s="275"/>
      <c r="AR221" s="275"/>
      <c r="AS221" s="275"/>
      <c r="AT221" s="275"/>
      <c r="AU221" s="275"/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customHeight="1">
      <c r="A222" s="260">
        <v>200</v>
      </c>
      <c r="B222" s="261"/>
      <c r="C222" s="261"/>
      <c r="D222" s="262"/>
      <c r="E222" s="262"/>
      <c r="F222" s="263" t="s">
        <v>15</v>
      </c>
      <c r="G222" s="264" t="s">
        <v>0</v>
      </c>
      <c r="H222" s="281"/>
      <c r="I222" s="265"/>
      <c r="J222" s="266" t="s">
        <v>996</v>
      </c>
      <c r="K222" s="262"/>
      <c r="L222" s="262"/>
      <c r="M222" s="262">
        <v>4209</v>
      </c>
      <c r="N222" s="262"/>
      <c r="O222" s="262"/>
      <c r="P222" s="262"/>
      <c r="Q222" s="262"/>
      <c r="R222" s="262"/>
      <c r="S222" s="267" t="s">
        <v>478</v>
      </c>
      <c r="T222" s="268"/>
      <c r="U222" s="269"/>
      <c r="V222" s="269"/>
      <c r="W222" s="278">
        <v>25550000</v>
      </c>
      <c r="X222" s="270"/>
      <c r="Y222" s="262"/>
      <c r="Z222" s="271" t="s">
        <v>27</v>
      </c>
      <c r="AA222" s="287"/>
      <c r="AB222" s="287"/>
      <c r="AC222" s="272">
        <f t="shared" si="9"/>
        <v>68011000</v>
      </c>
      <c r="AD222" s="272">
        <v>68011000</v>
      </c>
      <c r="AE222" s="272">
        <f t="shared" si="10"/>
        <v>0</v>
      </c>
      <c r="AF222" s="273"/>
      <c r="AG222" s="274">
        <v>1050000</v>
      </c>
      <c r="AH222" s="273"/>
      <c r="AI222" s="273">
        <v>12000000</v>
      </c>
      <c r="AJ222" s="274"/>
      <c r="AK222" s="273"/>
      <c r="AL222" s="275">
        <v>11961000</v>
      </c>
      <c r="AM222" s="290">
        <v>11961000</v>
      </c>
      <c r="AN222" s="275"/>
      <c r="AO222" s="276"/>
      <c r="AP222" s="275" t="s">
        <v>990</v>
      </c>
      <c r="AQ222" s="275">
        <v>55000000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customHeight="1">
      <c r="A223" s="260">
        <v>201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 t="s">
        <v>478</v>
      </c>
      <c r="S223" s="267" t="s">
        <v>478</v>
      </c>
      <c r="T223" s="268"/>
      <c r="U223" s="269"/>
      <c r="V223" s="269"/>
      <c r="W223" s="278">
        <v>0</v>
      </c>
      <c r="X223" s="270"/>
      <c r="Y223" s="262" t="s">
        <v>27</v>
      </c>
      <c r="Z223" s="271" t="s">
        <v>24</v>
      </c>
      <c r="AA223" s="287"/>
      <c r="AB223" s="287"/>
      <c r="AC223" s="272">
        <f t="shared" si="9"/>
        <v>20000000</v>
      </c>
      <c r="AD223" s="272">
        <v>20000000</v>
      </c>
      <c r="AE223" s="272">
        <f t="shared" si="10"/>
        <v>0</v>
      </c>
      <c r="AF223" s="273"/>
      <c r="AG223" s="274"/>
      <c r="AH223" s="273"/>
      <c r="AI223" s="273">
        <v>10000000</v>
      </c>
      <c r="AJ223" s="274"/>
      <c r="AK223" s="273"/>
      <c r="AL223" s="275"/>
      <c r="AM223" s="290"/>
      <c r="AN223" s="275"/>
      <c r="AO223" s="276"/>
      <c r="AP223" s="275"/>
      <c r="AQ223" s="275">
        <v>10000000</v>
      </c>
      <c r="AR223" s="275"/>
      <c r="AS223" s="275"/>
      <c r="AT223" s="275"/>
      <c r="AU223" s="275">
        <v>10000000</v>
      </c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customHeight="1">
      <c r="A224" s="260">
        <v>202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636</v>
      </c>
      <c r="K224" s="262"/>
      <c r="L224" s="262"/>
      <c r="M224" s="262">
        <v>4209</v>
      </c>
      <c r="N224" s="262" t="s">
        <v>22</v>
      </c>
      <c r="O224" s="262" t="s">
        <v>35</v>
      </c>
      <c r="P224" s="262" t="s">
        <v>156</v>
      </c>
      <c r="Q224" s="262"/>
      <c r="R224" s="262"/>
      <c r="S224" s="267" t="s">
        <v>822</v>
      </c>
      <c r="T224" s="268"/>
      <c r="U224" s="269"/>
      <c r="V224" s="269"/>
      <c r="W224" s="278">
        <v>0</v>
      </c>
      <c r="X224" s="270"/>
      <c r="Y224" s="262"/>
      <c r="Z224" s="271" t="s">
        <v>25</v>
      </c>
      <c r="AA224" s="287"/>
      <c r="AB224" s="287"/>
      <c r="AC224" s="272">
        <f t="shared" si="9"/>
        <v>15000000</v>
      </c>
      <c r="AD224" s="272">
        <v>15000000</v>
      </c>
      <c r="AE224" s="272">
        <f t="shared" si="10"/>
        <v>0</v>
      </c>
      <c r="AF224" s="273"/>
      <c r="AG224" s="274"/>
      <c r="AH224" s="273"/>
      <c r="AI224" s="273"/>
      <c r="AJ224" s="274"/>
      <c r="AK224" s="273"/>
      <c r="AL224" s="275"/>
      <c r="AM224" s="290"/>
      <c r="AN224" s="275"/>
      <c r="AO224" s="276"/>
      <c r="AP224" s="275"/>
      <c r="AQ224" s="275">
        <v>15000000</v>
      </c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/>
      <c r="BD224" s="275"/>
      <c r="BE224" s="275"/>
      <c r="BF224" s="275"/>
      <c r="BH224" s="277"/>
    </row>
    <row r="225" spans="1:60" ht="16.5" customHeight="1">
      <c r="A225" s="260">
        <v>203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636</v>
      </c>
      <c r="K225" s="262"/>
      <c r="L225" s="262"/>
      <c r="M225" s="262">
        <v>4209</v>
      </c>
      <c r="N225" s="262" t="s">
        <v>22</v>
      </c>
      <c r="O225" s="262" t="s">
        <v>35</v>
      </c>
      <c r="P225" s="262" t="s">
        <v>156</v>
      </c>
      <c r="Q225" s="262"/>
      <c r="R225" s="262"/>
      <c r="S225" s="267" t="s">
        <v>828</v>
      </c>
      <c r="T225" s="268"/>
      <c r="U225" s="269"/>
      <c r="V225" s="269"/>
      <c r="W225" s="278">
        <v>0</v>
      </c>
      <c r="X225" s="270"/>
      <c r="Y225" s="262"/>
      <c r="Z225" s="271" t="s">
        <v>25</v>
      </c>
      <c r="AA225" s="287"/>
      <c r="AB225" s="287"/>
      <c r="AC225" s="272">
        <f t="shared" si="9"/>
        <v>15000000</v>
      </c>
      <c r="AD225" s="272">
        <v>15000000</v>
      </c>
      <c r="AE225" s="272">
        <f t="shared" si="10"/>
        <v>0</v>
      </c>
      <c r="AF225" s="273"/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>
        <v>15000000</v>
      </c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customHeight="1">
      <c r="A226" s="260">
        <v>204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619</v>
      </c>
      <c r="K226" s="262"/>
      <c r="L226" s="262"/>
      <c r="M226" s="262">
        <v>43878</v>
      </c>
      <c r="N226" s="262" t="s">
        <v>22</v>
      </c>
      <c r="O226" s="262" t="s">
        <v>35</v>
      </c>
      <c r="P226" s="262" t="s">
        <v>57</v>
      </c>
      <c r="Q226" s="262"/>
      <c r="R226" s="262" t="s">
        <v>31</v>
      </c>
      <c r="S226" s="267" t="s">
        <v>31</v>
      </c>
      <c r="T226" s="268"/>
      <c r="U226" s="269"/>
      <c r="V226" s="269">
        <v>0</v>
      </c>
      <c r="W226" s="278">
        <v>25000</v>
      </c>
      <c r="X226" s="270"/>
      <c r="Y226" s="262" t="s">
        <v>27</v>
      </c>
      <c r="Z226" s="271" t="s">
        <v>27</v>
      </c>
      <c r="AA226" s="287"/>
      <c r="AB226" s="287"/>
      <c r="AC226" s="272">
        <f t="shared" si="9"/>
        <v>1020000</v>
      </c>
      <c r="AD226" s="272">
        <v>1020000</v>
      </c>
      <c r="AE226" s="272">
        <f t="shared" si="10"/>
        <v>0</v>
      </c>
      <c r="AF226" s="273"/>
      <c r="AG226" s="274">
        <v>30000</v>
      </c>
      <c r="AH226" s="273"/>
      <c r="AI226" s="273"/>
      <c r="AJ226" s="274">
        <v>15000</v>
      </c>
      <c r="AK226" s="273"/>
      <c r="AL226" s="275"/>
      <c r="AM226" s="290">
        <v>5000</v>
      </c>
      <c r="AN226" s="275"/>
      <c r="AO226" s="276"/>
      <c r="AP226" s="275"/>
      <c r="AQ226" s="275"/>
      <c r="AR226" s="275"/>
      <c r="AS226" s="275"/>
      <c r="AT226" s="275"/>
      <c r="AU226" s="275"/>
      <c r="AV226" s="275"/>
      <c r="AW226" s="275"/>
      <c r="AX226" s="275"/>
      <c r="AY226" s="275"/>
      <c r="AZ226" s="275"/>
      <c r="BA226" s="275"/>
      <c r="BB226" s="275"/>
      <c r="BC226" s="275">
        <v>970000</v>
      </c>
      <c r="BD226" s="275"/>
      <c r="BE226" s="275"/>
      <c r="BF226" s="275"/>
      <c r="BH226" s="277"/>
    </row>
    <row r="227" spans="1:60" ht="16.5" customHeight="1">
      <c r="A227" s="260">
        <v>205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50</v>
      </c>
      <c r="K227" s="262"/>
      <c r="L227" s="262"/>
      <c r="M227" s="262">
        <v>32150</v>
      </c>
      <c r="N227" s="262" t="s">
        <v>17</v>
      </c>
      <c r="O227" s="262" t="s">
        <v>178</v>
      </c>
      <c r="P227" s="262"/>
      <c r="Q227" s="262" t="s">
        <v>46</v>
      </c>
      <c r="R227" s="262" t="s">
        <v>47</v>
      </c>
      <c r="S227" s="267" t="s">
        <v>47</v>
      </c>
      <c r="T227" s="268"/>
      <c r="U227" s="269">
        <v>16600000</v>
      </c>
      <c r="V227" s="269">
        <v>0</v>
      </c>
      <c r="W227" s="278">
        <v>8300000</v>
      </c>
      <c r="X227" s="270"/>
      <c r="Y227" s="262" t="s">
        <v>24</v>
      </c>
      <c r="Z227" s="271" t="s">
        <v>27</v>
      </c>
      <c r="AA227" s="287"/>
      <c r="AB227" s="287"/>
      <c r="AC227" s="272">
        <f t="shared" si="9"/>
        <v>0</v>
      </c>
      <c r="AD227" s="272">
        <v>0</v>
      </c>
      <c r="AE227" s="272">
        <f t="shared" si="10"/>
        <v>0</v>
      </c>
      <c r="AF227" s="273">
        <v>8000000</v>
      </c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/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customHeight="1">
      <c r="A228" s="260">
        <v>206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212</v>
      </c>
      <c r="P228" s="262" t="s">
        <v>124</v>
      </c>
      <c r="Q228" s="262" t="s">
        <v>44</v>
      </c>
      <c r="R228" s="262" t="s">
        <v>469</v>
      </c>
      <c r="S228" s="267" t="s">
        <v>469</v>
      </c>
      <c r="T228" s="268"/>
      <c r="U228" s="269">
        <v>126590000</v>
      </c>
      <c r="V228" s="269">
        <v>134140000</v>
      </c>
      <c r="W228" s="278">
        <v>87200000</v>
      </c>
      <c r="X228" s="270"/>
      <c r="Y228" s="262" t="s">
        <v>27</v>
      </c>
      <c r="Z228" s="271" t="s">
        <v>27</v>
      </c>
      <c r="AA228" s="287"/>
      <c r="AB228" s="287"/>
      <c r="AC228" s="272">
        <f t="shared" si="9"/>
        <v>115000000</v>
      </c>
      <c r="AD228" s="272">
        <v>115000000</v>
      </c>
      <c r="AE228" s="272">
        <f t="shared" si="10"/>
        <v>0</v>
      </c>
      <c r="AF228" s="273"/>
      <c r="AG228" s="274"/>
      <c r="AH228" s="273"/>
      <c r="AI228" s="273"/>
      <c r="AJ228" s="274"/>
      <c r="AK228" s="273"/>
      <c r="AL228" s="275">
        <v>15000000</v>
      </c>
      <c r="AM228" s="290"/>
      <c r="AN228" s="275" t="s">
        <v>1020</v>
      </c>
      <c r="AO228" s="276"/>
      <c r="AP228" s="275"/>
      <c r="AQ228" s="275"/>
      <c r="AR228" s="275"/>
      <c r="AS228" s="275"/>
      <c r="AT228" s="275"/>
      <c r="AU228" s="275">
        <v>30000000</v>
      </c>
      <c r="AV228" s="275"/>
      <c r="AW228" s="275"/>
      <c r="AX228" s="275"/>
      <c r="AY228" s="275"/>
      <c r="AZ228" s="275"/>
      <c r="BA228" s="275"/>
      <c r="BB228" s="275"/>
      <c r="BC228" s="275">
        <v>25000000</v>
      </c>
      <c r="BD228" s="275"/>
      <c r="BE228" s="275">
        <v>60000000</v>
      </c>
      <c r="BF228" s="275"/>
      <c r="BH228" s="277"/>
    </row>
    <row r="229" spans="1:60" ht="16.5" customHeight="1">
      <c r="A229" s="260">
        <v>207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35</v>
      </c>
      <c r="P229" s="262" t="s">
        <v>124</v>
      </c>
      <c r="Q229" s="262"/>
      <c r="R229" s="262"/>
      <c r="S229" s="267" t="s">
        <v>822</v>
      </c>
      <c r="T229" s="268"/>
      <c r="U229" s="269"/>
      <c r="V229" s="269"/>
      <c r="W229" s="278">
        <v>0</v>
      </c>
      <c r="X229" s="270"/>
      <c r="Y229" s="262"/>
      <c r="Z229" s="271" t="s">
        <v>25</v>
      </c>
      <c r="AA229" s="287"/>
      <c r="AB229" s="287"/>
      <c r="AC229" s="272">
        <f t="shared" si="9"/>
        <v>20000000</v>
      </c>
      <c r="AD229" s="272">
        <v>20000000</v>
      </c>
      <c r="AE229" s="272">
        <f t="shared" si="10"/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>
        <v>20000000</v>
      </c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customHeight="1">
      <c r="A230" s="260">
        <v>208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51</v>
      </c>
      <c r="K230" s="262"/>
      <c r="L230" s="262"/>
      <c r="M230" s="262">
        <v>15725</v>
      </c>
      <c r="N230" s="262" t="s">
        <v>22</v>
      </c>
      <c r="O230" s="262" t="s">
        <v>35</v>
      </c>
      <c r="P230" s="262" t="s">
        <v>124</v>
      </c>
      <c r="Q230" s="262"/>
      <c r="R230" s="262"/>
      <c r="S230" s="267" t="s">
        <v>828</v>
      </c>
      <c r="T230" s="268"/>
      <c r="U230" s="269"/>
      <c r="V230" s="269"/>
      <c r="W230" s="278">
        <v>0</v>
      </c>
      <c r="X230" s="270"/>
      <c r="Y230" s="262"/>
      <c r="Z230" s="271" t="s">
        <v>25</v>
      </c>
      <c r="AA230" s="287"/>
      <c r="AB230" s="287"/>
      <c r="AC230" s="272">
        <f t="shared" si="9"/>
        <v>20000000</v>
      </c>
      <c r="AD230" s="272">
        <v>20000000</v>
      </c>
      <c r="AE230" s="272">
        <f t="shared" si="10"/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75"/>
      <c r="AR230" s="275"/>
      <c r="AS230" s="275"/>
      <c r="AT230" s="275"/>
      <c r="AU230" s="275"/>
      <c r="AV230" s="275"/>
      <c r="AW230" s="275"/>
      <c r="AX230" s="275"/>
      <c r="AY230" s="275">
        <v>20000000</v>
      </c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customHeight="1">
      <c r="A231" s="260">
        <v>209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51</v>
      </c>
      <c r="K231" s="262"/>
      <c r="L231" s="262"/>
      <c r="M231" s="262">
        <v>15725</v>
      </c>
      <c r="N231" s="262" t="s">
        <v>22</v>
      </c>
      <c r="O231" s="262" t="s">
        <v>56</v>
      </c>
      <c r="P231" s="262"/>
      <c r="Q231" s="262" t="s">
        <v>23</v>
      </c>
      <c r="R231" s="262" t="s">
        <v>397</v>
      </c>
      <c r="S231" s="267" t="s">
        <v>823</v>
      </c>
      <c r="T231" s="268"/>
      <c r="U231" s="269">
        <v>6000000</v>
      </c>
      <c r="V231" s="269">
        <v>0</v>
      </c>
      <c r="W231" s="278">
        <v>0</v>
      </c>
      <c r="X231" s="270"/>
      <c r="Y231" s="262" t="s">
        <v>24</v>
      </c>
      <c r="Z231" s="271" t="s">
        <v>562</v>
      </c>
      <c r="AA231" s="287"/>
      <c r="AB231" s="287"/>
      <c r="AC231" s="272">
        <f t="shared" si="9"/>
        <v>0</v>
      </c>
      <c r="AD231" s="272">
        <v>0</v>
      </c>
      <c r="AE231" s="272">
        <f t="shared" si="10"/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75"/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customHeight="1">
      <c r="A232" s="260">
        <v>210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221</v>
      </c>
      <c r="K232" s="262"/>
      <c r="L232" s="262"/>
      <c r="M232" s="262">
        <v>996</v>
      </c>
      <c r="N232" s="262" t="s">
        <v>17</v>
      </c>
      <c r="O232" s="262" t="s">
        <v>56</v>
      </c>
      <c r="P232" s="262" t="s">
        <v>57</v>
      </c>
      <c r="Q232" s="262" t="s">
        <v>30</v>
      </c>
      <c r="R232" s="262" t="s">
        <v>31</v>
      </c>
      <c r="S232" s="267" t="s">
        <v>31</v>
      </c>
      <c r="T232" s="268"/>
      <c r="U232" s="269">
        <v>4610000</v>
      </c>
      <c r="V232" s="269">
        <v>14942500</v>
      </c>
      <c r="W232" s="278">
        <v>10527500</v>
      </c>
      <c r="X232" s="270"/>
      <c r="Y232" s="262" t="s">
        <v>27</v>
      </c>
      <c r="Z232" s="271" t="s">
        <v>25</v>
      </c>
      <c r="AA232" s="287"/>
      <c r="AB232" s="287"/>
      <c r="AC232" s="272">
        <f t="shared" si="9"/>
        <v>10000000</v>
      </c>
      <c r="AD232" s="272">
        <v>10000000</v>
      </c>
      <c r="AE232" s="272">
        <f t="shared" si="10"/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75">
        <v>10000000</v>
      </c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/>
      <c r="BD232" s="275"/>
      <c r="BE232" s="275"/>
      <c r="BF232" s="275"/>
      <c r="BH232" s="277"/>
    </row>
    <row r="233" spans="1:60" ht="16.5" customHeight="1">
      <c r="A233" s="260">
        <v>211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/>
      <c r="Q233" s="262" t="s">
        <v>63</v>
      </c>
      <c r="R233" s="262" t="s">
        <v>19</v>
      </c>
      <c r="S233" s="267" t="s">
        <v>19</v>
      </c>
      <c r="T233" s="268"/>
      <c r="U233" s="269"/>
      <c r="V233" s="269">
        <v>0</v>
      </c>
      <c r="W233" s="278">
        <v>0</v>
      </c>
      <c r="X233" s="270"/>
      <c r="Y233" s="262" t="s">
        <v>25</v>
      </c>
      <c r="Z233" s="271" t="s">
        <v>24</v>
      </c>
      <c r="AA233" s="287"/>
      <c r="AB233" s="287"/>
      <c r="AC233" s="272">
        <f t="shared" si="9"/>
        <v>20000000</v>
      </c>
      <c r="AD233" s="272">
        <v>20000000</v>
      </c>
      <c r="AE233" s="272">
        <f t="shared" si="10"/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75">
        <v>20000000</v>
      </c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customHeight="1">
      <c r="A234" s="260">
        <v>212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222</v>
      </c>
      <c r="K234" s="262"/>
      <c r="L234" s="262"/>
      <c r="M234" s="262">
        <v>30541</v>
      </c>
      <c r="N234" s="262" t="s">
        <v>22</v>
      </c>
      <c r="O234" s="262" t="s">
        <v>35</v>
      </c>
      <c r="P234" s="262" t="s">
        <v>57</v>
      </c>
      <c r="Q234" s="262"/>
      <c r="R234" s="262" t="s">
        <v>47</v>
      </c>
      <c r="S234" s="267" t="s">
        <v>47</v>
      </c>
      <c r="T234" s="268"/>
      <c r="U234" s="269"/>
      <c r="V234" s="269">
        <v>0</v>
      </c>
      <c r="W234" s="278">
        <v>62500000</v>
      </c>
      <c r="X234" s="270"/>
      <c r="Y234" s="262" t="s">
        <v>27</v>
      </c>
      <c r="Z234" s="271" t="s">
        <v>27</v>
      </c>
      <c r="AA234" s="287"/>
      <c r="AB234" s="287"/>
      <c r="AC234" s="272">
        <f t="shared" si="9"/>
        <v>60000000</v>
      </c>
      <c r="AD234" s="272">
        <v>60000000</v>
      </c>
      <c r="AE234" s="272">
        <f t="shared" si="10"/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/>
      <c r="AX234" s="275"/>
      <c r="AY234" s="275"/>
      <c r="AZ234" s="275"/>
      <c r="BA234" s="275"/>
      <c r="BB234" s="275"/>
      <c r="BC234" s="275">
        <v>60000000</v>
      </c>
      <c r="BD234" s="275"/>
      <c r="BE234" s="275"/>
      <c r="BF234" s="275"/>
      <c r="BH234" s="277"/>
    </row>
    <row r="235" spans="1:60" ht="16.5" customHeight="1">
      <c r="A235" s="260">
        <v>213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222</v>
      </c>
      <c r="K235" s="262"/>
      <c r="L235" s="262"/>
      <c r="M235" s="262">
        <v>30541</v>
      </c>
      <c r="N235" s="262" t="s">
        <v>22</v>
      </c>
      <c r="O235" s="262" t="s">
        <v>35</v>
      </c>
      <c r="P235" s="262" t="s">
        <v>156</v>
      </c>
      <c r="Q235" s="262" t="s">
        <v>26</v>
      </c>
      <c r="R235" s="262" t="s">
        <v>468</v>
      </c>
      <c r="S235" s="267" t="s">
        <v>468</v>
      </c>
      <c r="T235" s="268"/>
      <c r="U235" s="269" t="s">
        <v>154</v>
      </c>
      <c r="V235" s="269">
        <v>0</v>
      </c>
      <c r="W235" s="278">
        <v>0</v>
      </c>
      <c r="X235" s="270"/>
      <c r="Y235" s="262" t="s">
        <v>25</v>
      </c>
      <c r="Z235" s="271" t="s">
        <v>599</v>
      </c>
      <c r="AA235" s="287"/>
      <c r="AB235" s="287"/>
      <c r="AC235" s="272">
        <f t="shared" si="9"/>
        <v>0</v>
      </c>
      <c r="AD235" s="272">
        <v>0</v>
      </c>
      <c r="AE235" s="272">
        <f t="shared" si="10"/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customHeight="1">
      <c r="A236" s="260">
        <v>214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52</v>
      </c>
      <c r="K236" s="262"/>
      <c r="L236" s="262"/>
      <c r="M236" s="262">
        <v>55514</v>
      </c>
      <c r="N236" s="262" t="s">
        <v>17</v>
      </c>
      <c r="O236" s="262" t="s">
        <v>212</v>
      </c>
      <c r="P236" s="262" t="s">
        <v>57</v>
      </c>
      <c r="Q236" s="262" t="s">
        <v>30</v>
      </c>
      <c r="R236" s="262" t="s">
        <v>31</v>
      </c>
      <c r="S236" s="267" t="s">
        <v>31</v>
      </c>
      <c r="T236" s="268"/>
      <c r="U236" s="269">
        <v>1055000</v>
      </c>
      <c r="V236" s="269">
        <v>585000</v>
      </c>
      <c r="W236" s="278">
        <v>920000</v>
      </c>
      <c r="X236" s="270"/>
      <c r="Y236" s="262" t="s">
        <v>27</v>
      </c>
      <c r="Z236" s="271" t="s">
        <v>24</v>
      </c>
      <c r="AA236" s="287"/>
      <c r="AB236" s="287"/>
      <c r="AC236" s="272">
        <f t="shared" si="9"/>
        <v>1000000</v>
      </c>
      <c r="AD236" s="272">
        <v>1000000</v>
      </c>
      <c r="AE236" s="272">
        <f t="shared" si="10"/>
        <v>0</v>
      </c>
      <c r="AF236" s="273"/>
      <c r="AG236" s="274"/>
      <c r="AH236" s="273"/>
      <c r="AI236" s="273"/>
      <c r="AJ236" s="274"/>
      <c r="AK236" s="273"/>
      <c r="AL236" s="275"/>
      <c r="AM236" s="290"/>
      <c r="AN236" s="275"/>
      <c r="AO236" s="276"/>
      <c r="AP236" s="275"/>
      <c r="AQ236" s="275"/>
      <c r="AR236" s="275"/>
      <c r="AS236" s="275"/>
      <c r="AT236" s="275"/>
      <c r="AU236" s="275"/>
      <c r="AV236" s="275"/>
      <c r="AW236" s="275">
        <v>1000000</v>
      </c>
      <c r="AX236" s="275"/>
      <c r="AY236" s="275"/>
      <c r="AZ236" s="275"/>
      <c r="BA236" s="275"/>
      <c r="BB236" s="275"/>
      <c r="BC236" s="275"/>
      <c r="BD236" s="275"/>
      <c r="BE236" s="275"/>
      <c r="BF236" s="275"/>
      <c r="BH236" s="277"/>
    </row>
    <row r="237" spans="1:60" ht="16.5" customHeight="1">
      <c r="A237" s="260">
        <v>215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744</v>
      </c>
      <c r="K237" s="262"/>
      <c r="L237" s="262"/>
      <c r="M237" s="262">
        <v>17898</v>
      </c>
      <c r="N237" s="262" t="s">
        <v>22</v>
      </c>
      <c r="O237" s="262" t="s">
        <v>178</v>
      </c>
      <c r="P237" s="262"/>
      <c r="Q237" s="262" t="s">
        <v>18</v>
      </c>
      <c r="R237" s="262" t="s">
        <v>19</v>
      </c>
      <c r="S237" s="267" t="s">
        <v>19</v>
      </c>
      <c r="T237" s="268"/>
      <c r="U237" s="269"/>
      <c r="V237" s="269">
        <v>276000</v>
      </c>
      <c r="W237" s="278">
        <v>0</v>
      </c>
      <c r="X237" s="270"/>
      <c r="Y237" s="262" t="s">
        <v>20</v>
      </c>
      <c r="Z237" s="271" t="s">
        <v>599</v>
      </c>
      <c r="AA237" s="287"/>
      <c r="AB237" s="287"/>
      <c r="AC237" s="272">
        <f t="shared" si="9"/>
        <v>0</v>
      </c>
      <c r="AD237" s="272">
        <v>0</v>
      </c>
      <c r="AE237" s="272">
        <f t="shared" si="10"/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customHeight="1">
      <c r="A238" s="260">
        <v>216</v>
      </c>
      <c r="B238" s="261"/>
      <c r="C238" s="261"/>
      <c r="D238" s="262" t="s">
        <v>15</v>
      </c>
      <c r="E238" s="262" t="s">
        <v>0</v>
      </c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66326</v>
      </c>
      <c r="N238" s="262" t="s">
        <v>32</v>
      </c>
      <c r="O238" s="262" t="s">
        <v>178</v>
      </c>
      <c r="P238" s="262" t="s">
        <v>57</v>
      </c>
      <c r="Q238" s="262" t="s">
        <v>63</v>
      </c>
      <c r="R238" s="262" t="s">
        <v>28</v>
      </c>
      <c r="S238" s="267" t="s">
        <v>28</v>
      </c>
      <c r="T238" s="268" t="s">
        <v>951</v>
      </c>
      <c r="U238" s="269">
        <v>551451211</v>
      </c>
      <c r="V238" s="269">
        <v>0</v>
      </c>
      <c r="W238" s="278">
        <v>0</v>
      </c>
      <c r="X238" s="270"/>
      <c r="Y238" s="262" t="s">
        <v>74</v>
      </c>
      <c r="Z238" s="271" t="s">
        <v>27</v>
      </c>
      <c r="AA238" s="287"/>
      <c r="AB238" s="287"/>
      <c r="AC238" s="272">
        <f t="shared" si="9"/>
        <v>500000000</v>
      </c>
      <c r="AD238" s="272">
        <v>500000000</v>
      </c>
      <c r="AE238" s="272">
        <f t="shared" si="10"/>
        <v>0</v>
      </c>
      <c r="AF238" s="273"/>
      <c r="AG238" s="274"/>
      <c r="AH238" s="273"/>
      <c r="AI238" s="273"/>
      <c r="AJ238" s="274"/>
      <c r="AK238" s="273"/>
      <c r="AL238" s="275">
        <v>15000000</v>
      </c>
      <c r="AM238" s="290"/>
      <c r="AN238" s="275" t="s">
        <v>1021</v>
      </c>
      <c r="AO238" s="276">
        <v>15000000</v>
      </c>
      <c r="AP238" s="275"/>
      <c r="AQ238" s="275">
        <v>15000000</v>
      </c>
      <c r="AR238" s="275"/>
      <c r="AS238" s="275">
        <v>15000000</v>
      </c>
      <c r="AT238" s="275"/>
      <c r="AU238" s="275">
        <v>30000000</v>
      </c>
      <c r="AV238" s="275"/>
      <c r="AW238" s="275">
        <v>30000000</v>
      </c>
      <c r="AX238" s="275"/>
      <c r="AY238" s="275">
        <v>30000000</v>
      </c>
      <c r="AZ238" s="275"/>
      <c r="BA238" s="275">
        <v>45000000</v>
      </c>
      <c r="BB238" s="275"/>
      <c r="BC238" s="275">
        <v>320000000</v>
      </c>
      <c r="BD238" s="275"/>
      <c r="BE238" s="275"/>
      <c r="BF238" s="275"/>
      <c r="BH238" s="277"/>
    </row>
    <row r="239" spans="1:60" ht="16.5" customHeight="1">
      <c r="A239" s="260">
        <v>217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178</v>
      </c>
      <c r="P239" s="262" t="s">
        <v>57</v>
      </c>
      <c r="Q239" s="262" t="s">
        <v>46</v>
      </c>
      <c r="R239" s="262" t="s">
        <v>47</v>
      </c>
      <c r="S239" s="267" t="s">
        <v>47</v>
      </c>
      <c r="T239" s="268"/>
      <c r="U239" s="269">
        <v>137563636.00000006</v>
      </c>
      <c r="V239" s="269">
        <v>0</v>
      </c>
      <c r="W239" s="278">
        <v>0</v>
      </c>
      <c r="X239" s="270"/>
      <c r="Y239" s="262" t="s">
        <v>21</v>
      </c>
      <c r="Z239" s="271" t="s">
        <v>21</v>
      </c>
      <c r="AA239" s="287"/>
      <c r="AB239" s="287"/>
      <c r="AC239" s="272">
        <f t="shared" si="9"/>
        <v>0</v>
      </c>
      <c r="AD239" s="272">
        <v>0</v>
      </c>
      <c r="AE239" s="272">
        <f t="shared" si="10"/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/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customHeight="1">
      <c r="A240" s="260">
        <v>218</v>
      </c>
      <c r="B240" s="261"/>
      <c r="C240" s="261"/>
      <c r="D240" s="262"/>
      <c r="E240" s="262"/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/>
      <c r="O240" s="262"/>
      <c r="P240" s="262"/>
      <c r="Q240" s="262"/>
      <c r="R240" s="262"/>
      <c r="S240" s="267" t="s">
        <v>469</v>
      </c>
      <c r="T240" s="268"/>
      <c r="U240" s="269"/>
      <c r="V240" s="269"/>
      <c r="W240" s="278">
        <v>19500000</v>
      </c>
      <c r="X240" s="270"/>
      <c r="Y240" s="262"/>
      <c r="Z240" s="271" t="s">
        <v>718</v>
      </c>
      <c r="AA240" s="287"/>
      <c r="AB240" s="287"/>
      <c r="AC240" s="272">
        <f t="shared" si="9"/>
        <v>0</v>
      </c>
      <c r="AD240" s="272">
        <v>0</v>
      </c>
      <c r="AE240" s="272">
        <f t="shared" si="10"/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/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customHeight="1">
      <c r="A241" s="260">
        <v>219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575</v>
      </c>
      <c r="K241" s="262"/>
      <c r="L241" s="262"/>
      <c r="M241" s="262">
        <v>29759</v>
      </c>
      <c r="N241" s="262" t="s">
        <v>32</v>
      </c>
      <c r="O241" s="262" t="s">
        <v>56</v>
      </c>
      <c r="P241" s="262" t="s">
        <v>124</v>
      </c>
      <c r="Q241" s="262" t="s">
        <v>23</v>
      </c>
      <c r="R241" s="262" t="s">
        <v>397</v>
      </c>
      <c r="S241" s="267" t="s">
        <v>823</v>
      </c>
      <c r="T241" s="268"/>
      <c r="U241" s="269">
        <v>8300000</v>
      </c>
      <c r="V241" s="269">
        <v>8300000</v>
      </c>
      <c r="W241" s="278">
        <v>8954545</v>
      </c>
      <c r="X241" s="270"/>
      <c r="Y241" s="262" t="s">
        <v>25</v>
      </c>
      <c r="Z241" s="271" t="s">
        <v>24</v>
      </c>
      <c r="AA241" s="287"/>
      <c r="AB241" s="287"/>
      <c r="AC241" s="272">
        <f t="shared" si="9"/>
        <v>10000000</v>
      </c>
      <c r="AD241" s="272">
        <v>10000000</v>
      </c>
      <c r="AE241" s="272">
        <f t="shared" si="10"/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>
        <v>10000000</v>
      </c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customHeight="1">
      <c r="A242" s="260">
        <v>220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575</v>
      </c>
      <c r="K242" s="262"/>
      <c r="L242" s="262"/>
      <c r="M242" s="262">
        <v>29759</v>
      </c>
      <c r="N242" s="262" t="s">
        <v>32</v>
      </c>
      <c r="O242" s="262" t="s">
        <v>178</v>
      </c>
      <c r="P242" s="262" t="s">
        <v>57</v>
      </c>
      <c r="Q242" s="262" t="s">
        <v>39</v>
      </c>
      <c r="R242" s="262" t="s">
        <v>471</v>
      </c>
      <c r="S242" s="267" t="s">
        <v>831</v>
      </c>
      <c r="T242" s="268"/>
      <c r="U242" s="269">
        <v>15681817.909090908</v>
      </c>
      <c r="V242" s="269">
        <v>0</v>
      </c>
      <c r="W242" s="278">
        <v>0</v>
      </c>
      <c r="X242" s="270"/>
      <c r="Y242" s="262" t="s">
        <v>21</v>
      </c>
      <c r="Z242" s="271" t="s">
        <v>24</v>
      </c>
      <c r="AA242" s="287"/>
      <c r="AB242" s="287"/>
      <c r="AC242" s="272">
        <f t="shared" si="9"/>
        <v>20000000</v>
      </c>
      <c r="AD242" s="272">
        <v>20000000</v>
      </c>
      <c r="AE242" s="272">
        <f t="shared" si="10"/>
        <v>0</v>
      </c>
      <c r="AF242" s="273"/>
      <c r="AG242" s="274"/>
      <c r="AH242" s="273"/>
      <c r="AI242" s="273"/>
      <c r="AJ242" s="274"/>
      <c r="AK242" s="273"/>
      <c r="AL242" s="275"/>
      <c r="AM242" s="290"/>
      <c r="AN242" s="275"/>
      <c r="AO242" s="276"/>
      <c r="AP242" s="275"/>
      <c r="AQ242" s="275"/>
      <c r="AR242" s="275"/>
      <c r="AS242" s="275"/>
      <c r="AT242" s="275"/>
      <c r="AU242" s="275"/>
      <c r="AV242" s="275"/>
      <c r="AW242" s="275">
        <v>20000000</v>
      </c>
      <c r="AX242" s="275"/>
      <c r="AY242" s="275"/>
      <c r="AZ242" s="275"/>
      <c r="BA242" s="275"/>
      <c r="BB242" s="275"/>
      <c r="BC242" s="275"/>
      <c r="BD242" s="275"/>
      <c r="BE242" s="275"/>
      <c r="BF242" s="275"/>
      <c r="BH242" s="277"/>
    </row>
    <row r="243" spans="1:60" ht="16.5" customHeight="1">
      <c r="A243" s="260">
        <v>221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567</v>
      </c>
      <c r="K243" s="262"/>
      <c r="L243" s="262"/>
      <c r="M243" s="262">
        <v>29759</v>
      </c>
      <c r="N243" s="262" t="s">
        <v>32</v>
      </c>
      <c r="O243" s="262" t="s">
        <v>178</v>
      </c>
      <c r="P243" s="262" t="s">
        <v>124</v>
      </c>
      <c r="Q243" s="262" t="s">
        <v>26</v>
      </c>
      <c r="R243" s="262" t="s">
        <v>478</v>
      </c>
      <c r="S243" s="267" t="s">
        <v>478</v>
      </c>
      <c r="T243" s="268"/>
      <c r="U243" s="269">
        <v>1305100</v>
      </c>
      <c r="V243" s="269">
        <v>0</v>
      </c>
      <c r="W243" s="278">
        <v>19600000</v>
      </c>
      <c r="X243" s="270"/>
      <c r="Y243" s="262" t="s">
        <v>25</v>
      </c>
      <c r="Z243" s="271" t="s">
        <v>599</v>
      </c>
      <c r="AA243" s="287"/>
      <c r="AB243" s="287"/>
      <c r="AC243" s="272">
        <f t="shared" si="9"/>
        <v>0</v>
      </c>
      <c r="AD243" s="272">
        <v>0</v>
      </c>
      <c r="AE243" s="272">
        <f t="shared" si="10"/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/>
      <c r="AX243" s="275"/>
      <c r="AY243" s="275"/>
      <c r="AZ243" s="275"/>
      <c r="BA243" s="275"/>
      <c r="BB243" s="275"/>
      <c r="BC243" s="275"/>
      <c r="BD243" s="275"/>
      <c r="BE243" s="275"/>
      <c r="BF243" s="275"/>
      <c r="BH243" s="277"/>
    </row>
    <row r="244" spans="1:60" ht="16.5" customHeight="1">
      <c r="A244" s="260">
        <v>222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959</v>
      </c>
      <c r="K244" s="262"/>
      <c r="L244" s="262"/>
      <c r="M244" s="262">
        <v>66326</v>
      </c>
      <c r="N244" s="262" t="s">
        <v>17</v>
      </c>
      <c r="O244" s="262" t="s">
        <v>178</v>
      </c>
      <c r="P244" s="262" t="s">
        <v>57</v>
      </c>
      <c r="Q244" s="262" t="s">
        <v>59</v>
      </c>
      <c r="R244" s="262" t="s">
        <v>476</v>
      </c>
      <c r="S244" s="267" t="s">
        <v>825</v>
      </c>
      <c r="T244" s="268"/>
      <c r="U244" s="269"/>
      <c r="V244" s="269"/>
      <c r="W244" s="278">
        <v>0</v>
      </c>
      <c r="X244" s="270"/>
      <c r="Y244" s="262"/>
      <c r="Z244" s="271" t="s">
        <v>27</v>
      </c>
      <c r="AA244" s="287"/>
      <c r="AB244" s="287"/>
      <c r="AC244" s="272">
        <f t="shared" si="9"/>
        <v>200000000</v>
      </c>
      <c r="AD244" s="272">
        <v>200000000</v>
      </c>
      <c r="AE244" s="272">
        <f t="shared" si="10"/>
        <v>0</v>
      </c>
      <c r="AF244" s="273"/>
      <c r="AG244" s="274"/>
      <c r="AH244" s="273"/>
      <c r="AI244" s="273"/>
      <c r="AJ244" s="274"/>
      <c r="AK244" s="273"/>
      <c r="AL244" s="275">
        <v>20000000</v>
      </c>
      <c r="AM244" s="290"/>
      <c r="AN244" s="275" t="s">
        <v>1021</v>
      </c>
      <c r="AO244" s="276">
        <v>20000000</v>
      </c>
      <c r="AP244" s="275"/>
      <c r="AQ244" s="275">
        <v>20000000</v>
      </c>
      <c r="AR244" s="275"/>
      <c r="AS244" s="275">
        <v>20000000</v>
      </c>
      <c r="AT244" s="275"/>
      <c r="AU244" s="275">
        <v>20000000</v>
      </c>
      <c r="AV244" s="275"/>
      <c r="AW244" s="275">
        <v>20000000</v>
      </c>
      <c r="AX244" s="275"/>
      <c r="AY244" s="275">
        <v>20000000</v>
      </c>
      <c r="AZ244" s="275"/>
      <c r="BA244" s="275">
        <v>50000000</v>
      </c>
      <c r="BB244" s="275"/>
      <c r="BC244" s="275">
        <v>30000000</v>
      </c>
      <c r="BD244" s="275"/>
      <c r="BE244" s="275"/>
      <c r="BF244" s="275"/>
      <c r="BH244" s="277"/>
    </row>
    <row r="245" spans="1:60" ht="16.5" customHeight="1">
      <c r="A245" s="260">
        <v>223</v>
      </c>
      <c r="B245" s="261"/>
      <c r="C245" s="261"/>
      <c r="D245" s="262" t="s">
        <v>15</v>
      </c>
      <c r="E245" s="262" t="s">
        <v>0</v>
      </c>
      <c r="F245" s="263" t="s">
        <v>15</v>
      </c>
      <c r="G245" s="264" t="s">
        <v>0</v>
      </c>
      <c r="H245" s="281"/>
      <c r="I245" s="265"/>
      <c r="J245" s="266" t="s">
        <v>227</v>
      </c>
      <c r="K245" s="262"/>
      <c r="L245" s="262"/>
      <c r="M245" s="262">
        <v>44405</v>
      </c>
      <c r="N245" s="262" t="s">
        <v>32</v>
      </c>
      <c r="O245" s="262" t="s">
        <v>178</v>
      </c>
      <c r="P245" s="262"/>
      <c r="Q245" s="262" t="s">
        <v>18</v>
      </c>
      <c r="R245" s="262" t="s">
        <v>19</v>
      </c>
      <c r="S245" s="267" t="s">
        <v>19</v>
      </c>
      <c r="T245" s="268"/>
      <c r="U245" s="269">
        <v>20831000</v>
      </c>
      <c r="V245" s="269">
        <v>0</v>
      </c>
      <c r="W245" s="278">
        <v>0</v>
      </c>
      <c r="X245" s="270"/>
      <c r="Y245" s="262" t="s">
        <v>25</v>
      </c>
      <c r="Z245" s="271" t="s">
        <v>24</v>
      </c>
      <c r="AA245" s="287"/>
      <c r="AB245" s="287"/>
      <c r="AC245" s="272">
        <f t="shared" si="9"/>
        <v>10000000</v>
      </c>
      <c r="AD245" s="272">
        <v>10000000</v>
      </c>
      <c r="AE245" s="272">
        <f t="shared" si="10"/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>
        <v>5000000</v>
      </c>
      <c r="AX245" s="275"/>
      <c r="AY245" s="275"/>
      <c r="AZ245" s="275"/>
      <c r="BA245" s="275"/>
      <c r="BB245" s="275"/>
      <c r="BC245" s="275">
        <v>5000000</v>
      </c>
      <c r="BD245" s="275"/>
      <c r="BE245" s="275"/>
      <c r="BF245" s="275"/>
      <c r="BH245" s="277"/>
    </row>
    <row r="246" spans="1:60" ht="16.5" customHeight="1">
      <c r="A246" s="260">
        <v>224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228</v>
      </c>
      <c r="K246" s="262"/>
      <c r="L246" s="262"/>
      <c r="M246" s="262">
        <v>40020</v>
      </c>
      <c r="N246" s="262" t="s">
        <v>32</v>
      </c>
      <c r="O246" s="262" t="s">
        <v>56</v>
      </c>
      <c r="P246" s="262" t="s">
        <v>156</v>
      </c>
      <c r="Q246" s="262" t="s">
        <v>30</v>
      </c>
      <c r="R246" s="262" t="s">
        <v>31</v>
      </c>
      <c r="S246" s="267" t="s">
        <v>31</v>
      </c>
      <c r="T246" s="268"/>
      <c r="U246" s="269" t="s">
        <v>154</v>
      </c>
      <c r="V246" s="269">
        <v>3407000</v>
      </c>
      <c r="W246" s="278">
        <v>2242000</v>
      </c>
      <c r="X246" s="270"/>
      <c r="Y246" s="262" t="s">
        <v>27</v>
      </c>
      <c r="Z246" s="271" t="s">
        <v>27</v>
      </c>
      <c r="AA246" s="287"/>
      <c r="AB246" s="287"/>
      <c r="AC246" s="272">
        <f t="shared" si="9"/>
        <v>5150000</v>
      </c>
      <c r="AD246" s="272">
        <v>5150000</v>
      </c>
      <c r="AE246" s="272">
        <f t="shared" si="10"/>
        <v>0</v>
      </c>
      <c r="AF246" s="273"/>
      <c r="AG246" s="274">
        <v>540000</v>
      </c>
      <c r="AH246" s="273"/>
      <c r="AI246" s="273"/>
      <c r="AJ246" s="274">
        <v>60000</v>
      </c>
      <c r="AK246" s="273"/>
      <c r="AL246" s="275"/>
      <c r="AM246" s="290">
        <v>90000</v>
      </c>
      <c r="AN246" s="275"/>
      <c r="AO246" s="276"/>
      <c r="AP246" s="275"/>
      <c r="AQ246" s="275"/>
      <c r="AR246" s="275"/>
      <c r="AS246" s="275"/>
      <c r="AT246" s="275"/>
      <c r="AU246" s="275"/>
      <c r="AV246" s="275"/>
      <c r="AW246" s="275"/>
      <c r="AX246" s="275"/>
      <c r="AY246" s="275"/>
      <c r="AZ246" s="275"/>
      <c r="BA246" s="275">
        <v>4460000</v>
      </c>
      <c r="BB246" s="275"/>
      <c r="BC246" s="275"/>
      <c r="BD246" s="275"/>
      <c r="BE246" s="275"/>
      <c r="BF246" s="275"/>
      <c r="BH246" s="277"/>
    </row>
    <row r="247" spans="1:60" ht="16.5" customHeight="1">
      <c r="A247" s="260">
        <v>225</v>
      </c>
      <c r="B247" s="261"/>
      <c r="C247" s="261"/>
      <c r="D247" s="262"/>
      <c r="E247" s="262"/>
      <c r="F247" s="263" t="s">
        <v>15</v>
      </c>
      <c r="G247" s="264" t="s">
        <v>0</v>
      </c>
      <c r="H247" s="281"/>
      <c r="I247" s="265"/>
      <c r="J247" s="266" t="s">
        <v>228</v>
      </c>
      <c r="K247" s="262"/>
      <c r="L247" s="262"/>
      <c r="M247" s="262">
        <v>40020</v>
      </c>
      <c r="N247" s="262"/>
      <c r="O247" s="262"/>
      <c r="P247" s="262"/>
      <c r="Q247" s="262"/>
      <c r="R247" s="262"/>
      <c r="S247" s="267" t="s">
        <v>478</v>
      </c>
      <c r="T247" s="268"/>
      <c r="U247" s="269"/>
      <c r="V247" s="269"/>
      <c r="W247" s="278">
        <v>4549500</v>
      </c>
      <c r="X247" s="270"/>
      <c r="Y247" s="262"/>
      <c r="Z247" s="271" t="s">
        <v>718</v>
      </c>
      <c r="AA247" s="287"/>
      <c r="AB247" s="287"/>
      <c r="AC247" s="272">
        <f t="shared" si="9"/>
        <v>0</v>
      </c>
      <c r="AD247" s="272">
        <v>0</v>
      </c>
      <c r="AE247" s="272">
        <f t="shared" si="10"/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/>
      <c r="AV247" s="275"/>
      <c r="AW247" s="275"/>
      <c r="AX247" s="275"/>
      <c r="AY247" s="275"/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customHeight="1">
      <c r="A248" s="260">
        <v>226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56</v>
      </c>
      <c r="P248" s="262"/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185071853</v>
      </c>
      <c r="X248" s="270"/>
      <c r="Y248" s="262" t="s">
        <v>24</v>
      </c>
      <c r="Z248" s="271" t="s">
        <v>27</v>
      </c>
      <c r="AA248" s="287"/>
      <c r="AB248" s="287"/>
      <c r="AC248" s="272">
        <f t="shared" si="9"/>
        <v>40660000</v>
      </c>
      <c r="AD248" s="272">
        <v>40660000</v>
      </c>
      <c r="AE248" s="272">
        <f t="shared" si="10"/>
        <v>0</v>
      </c>
      <c r="AF248" s="273">
        <v>6000000</v>
      </c>
      <c r="AG248" s="274">
        <v>6400000</v>
      </c>
      <c r="AH248" s="273"/>
      <c r="AI248" s="273">
        <v>2000000</v>
      </c>
      <c r="AJ248" s="274">
        <v>2000000</v>
      </c>
      <c r="AK248" s="273"/>
      <c r="AL248" s="275">
        <v>4000000</v>
      </c>
      <c r="AM248" s="290">
        <v>7260000</v>
      </c>
      <c r="AN248" s="275"/>
      <c r="AO248" s="276">
        <v>5000000</v>
      </c>
      <c r="AP248" s="275"/>
      <c r="AQ248" s="275">
        <v>5000000</v>
      </c>
      <c r="AR248" s="275"/>
      <c r="AS248" s="275">
        <v>5000000</v>
      </c>
      <c r="AT248" s="275"/>
      <c r="AU248" s="275"/>
      <c r="AV248" s="275"/>
      <c r="AW248" s="275"/>
      <c r="AX248" s="275"/>
      <c r="AY248" s="275">
        <v>5000000</v>
      </c>
      <c r="AZ248" s="275"/>
      <c r="BA248" s="275">
        <v>5000000</v>
      </c>
      <c r="BB248" s="275"/>
      <c r="BC248" s="275"/>
      <c r="BD248" s="275"/>
      <c r="BE248" s="275"/>
      <c r="BF248" s="275"/>
      <c r="BH248" s="277"/>
    </row>
    <row r="249" spans="1:60" ht="16.5" customHeight="1">
      <c r="A249" s="260">
        <v>227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56027</v>
      </c>
      <c r="N249" s="262" t="s">
        <v>32</v>
      </c>
      <c r="O249" s="262" t="s">
        <v>212</v>
      </c>
      <c r="P249" s="262" t="s">
        <v>57</v>
      </c>
      <c r="Q249" s="262" t="s">
        <v>18</v>
      </c>
      <c r="R249" s="262" t="s">
        <v>478</v>
      </c>
      <c r="S249" s="267" t="s">
        <v>478</v>
      </c>
      <c r="T249" s="268"/>
      <c r="U249" s="269"/>
      <c r="V249" s="269">
        <v>7260000</v>
      </c>
      <c r="W249" s="278">
        <v>0</v>
      </c>
      <c r="X249" s="270"/>
      <c r="Y249" s="262" t="s">
        <v>27</v>
      </c>
      <c r="Z249" s="271" t="s">
        <v>24</v>
      </c>
      <c r="AA249" s="287"/>
      <c r="AB249" s="287"/>
      <c r="AC249" s="272">
        <f t="shared" si="9"/>
        <v>30000000</v>
      </c>
      <c r="AD249" s="272">
        <v>30000000</v>
      </c>
      <c r="AE249" s="272">
        <f t="shared" si="10"/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>
        <v>10000000</v>
      </c>
      <c r="AV249" s="275"/>
      <c r="AW249" s="275">
        <v>10000000</v>
      </c>
      <c r="AX249" s="275"/>
      <c r="AY249" s="275">
        <v>10000000</v>
      </c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customHeight="1">
      <c r="A250" s="260">
        <v>228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 t="s">
        <v>32</v>
      </c>
      <c r="O250" s="262" t="s">
        <v>35</v>
      </c>
      <c r="P250" s="262" t="s">
        <v>57</v>
      </c>
      <c r="Q250" s="262" t="s">
        <v>26</v>
      </c>
      <c r="R250" s="262" t="s">
        <v>478</v>
      </c>
      <c r="S250" s="267" t="s">
        <v>478</v>
      </c>
      <c r="T250" s="268"/>
      <c r="U250" s="269" t="s">
        <v>154</v>
      </c>
      <c r="V250" s="269">
        <v>0</v>
      </c>
      <c r="W250" s="278">
        <v>0</v>
      </c>
      <c r="X250" s="270"/>
      <c r="Y250" s="262" t="s">
        <v>25</v>
      </c>
      <c r="Z250" s="271" t="s">
        <v>562</v>
      </c>
      <c r="AA250" s="287"/>
      <c r="AB250" s="287"/>
      <c r="AC250" s="272">
        <f t="shared" si="9"/>
        <v>0</v>
      </c>
      <c r="AD250" s="272">
        <v>0</v>
      </c>
      <c r="AE250" s="272">
        <f t="shared" si="10"/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customHeight="1">
      <c r="A251" s="260">
        <v>229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229</v>
      </c>
      <c r="K251" s="262"/>
      <c r="L251" s="262"/>
      <c r="M251" s="262">
        <v>847</v>
      </c>
      <c r="N251" s="262" t="s">
        <v>32</v>
      </c>
      <c r="O251" s="262" t="s">
        <v>56</v>
      </c>
      <c r="P251" s="262" t="s">
        <v>57</v>
      </c>
      <c r="Q251" s="262" t="s">
        <v>26</v>
      </c>
      <c r="R251" s="262" t="s">
        <v>478</v>
      </c>
      <c r="S251" s="267" t="s">
        <v>478</v>
      </c>
      <c r="T251" s="268"/>
      <c r="U251" s="269">
        <v>18245000</v>
      </c>
      <c r="V251" s="269">
        <v>99618000</v>
      </c>
      <c r="W251" s="278">
        <v>0</v>
      </c>
      <c r="X251" s="270"/>
      <c r="Y251" s="262" t="s">
        <v>24</v>
      </c>
      <c r="Z251" s="271" t="s">
        <v>20</v>
      </c>
      <c r="AA251" s="287"/>
      <c r="AB251" s="287"/>
      <c r="AC251" s="272">
        <f t="shared" si="9"/>
        <v>0</v>
      </c>
      <c r="AD251" s="272">
        <v>0</v>
      </c>
      <c r="AE251" s="272">
        <f t="shared" si="10"/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customHeight="1">
      <c r="A252" s="260">
        <v>230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229</v>
      </c>
      <c r="K252" s="262"/>
      <c r="L252" s="262"/>
      <c r="M252" s="262">
        <v>56027</v>
      </c>
      <c r="N252" s="262"/>
      <c r="O252" s="262"/>
      <c r="P252" s="262"/>
      <c r="Q252" s="262"/>
      <c r="R252" s="262"/>
      <c r="S252" s="267" t="s">
        <v>823</v>
      </c>
      <c r="T252" s="268"/>
      <c r="U252" s="269"/>
      <c r="V252" s="269"/>
      <c r="W252" s="278">
        <v>28600000</v>
      </c>
      <c r="X252" s="270"/>
      <c r="Y252" s="262"/>
      <c r="Z252" s="271" t="s">
        <v>718</v>
      </c>
      <c r="AA252" s="287"/>
      <c r="AB252" s="287"/>
      <c r="AC252" s="272">
        <f t="shared" si="9"/>
        <v>0</v>
      </c>
      <c r="AD252" s="272">
        <v>0</v>
      </c>
      <c r="AE252" s="272">
        <f t="shared" si="10"/>
        <v>0</v>
      </c>
      <c r="AF252" s="273"/>
      <c r="AG252" s="274"/>
      <c r="AH252" s="273"/>
      <c r="AI252" s="273"/>
      <c r="AJ252" s="274"/>
      <c r="AK252" s="273"/>
      <c r="AL252" s="275"/>
      <c r="AM252" s="290"/>
      <c r="AN252" s="275"/>
      <c r="AO252" s="276"/>
      <c r="AP252" s="275"/>
      <c r="AQ252" s="275"/>
      <c r="AR252" s="275"/>
      <c r="AS252" s="275"/>
      <c r="AT252" s="275"/>
      <c r="AU252" s="275"/>
      <c r="AV252" s="275"/>
      <c r="AW252" s="275"/>
      <c r="AX252" s="275"/>
      <c r="AY252" s="275"/>
      <c r="AZ252" s="275"/>
      <c r="BA252" s="275"/>
      <c r="BB252" s="275"/>
      <c r="BC252" s="275"/>
      <c r="BD252" s="275"/>
      <c r="BE252" s="275"/>
      <c r="BF252" s="275"/>
      <c r="BH252" s="277"/>
    </row>
    <row r="253" spans="1:60" ht="16.5" customHeight="1">
      <c r="A253" s="260">
        <v>231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745</v>
      </c>
      <c r="K253" s="262"/>
      <c r="L253" s="262"/>
      <c r="M253" s="262">
        <v>56027</v>
      </c>
      <c r="N253" s="262" t="s">
        <v>32</v>
      </c>
      <c r="O253" s="262" t="s">
        <v>212</v>
      </c>
      <c r="P253" s="262" t="s">
        <v>57</v>
      </c>
      <c r="Q253" s="262" t="s">
        <v>63</v>
      </c>
      <c r="R253" s="262" t="s">
        <v>28</v>
      </c>
      <c r="S253" s="267" t="s">
        <v>28</v>
      </c>
      <c r="T253" s="268"/>
      <c r="U253" s="269">
        <v>544607850</v>
      </c>
      <c r="V253" s="269">
        <v>0</v>
      </c>
      <c r="W253" s="278">
        <v>82798459</v>
      </c>
      <c r="X253" s="270"/>
      <c r="Y253" s="262" t="s">
        <v>27</v>
      </c>
      <c r="Z253" s="271" t="s">
        <v>20</v>
      </c>
      <c r="AA253" s="287"/>
      <c r="AB253" s="287"/>
      <c r="AC253" s="272">
        <f t="shared" si="9"/>
        <v>0</v>
      </c>
      <c r="AD253" s="272">
        <v>0</v>
      </c>
      <c r="AE253" s="272">
        <f t="shared" si="10"/>
        <v>0</v>
      </c>
      <c r="AF253" s="273"/>
      <c r="AG253" s="274"/>
      <c r="AH253" s="273"/>
      <c r="AI253" s="273"/>
      <c r="AJ253" s="274"/>
      <c r="AK253" s="273"/>
      <c r="AL253" s="275"/>
      <c r="AM253" s="290"/>
      <c r="AN253" s="275"/>
      <c r="AO253" s="276"/>
      <c r="AP253" s="275"/>
      <c r="AQ253" s="275"/>
      <c r="AR253" s="275"/>
      <c r="AS253" s="275"/>
      <c r="AT253" s="275"/>
      <c r="AU253" s="275"/>
      <c r="AV253" s="275"/>
      <c r="AW253" s="275"/>
      <c r="AX253" s="275"/>
      <c r="AY253" s="275"/>
      <c r="AZ253" s="275"/>
      <c r="BA253" s="275"/>
      <c r="BB253" s="275"/>
      <c r="BC253" s="275"/>
      <c r="BD253" s="275"/>
      <c r="BE253" s="275"/>
      <c r="BF253" s="275"/>
      <c r="BH253" s="277"/>
    </row>
    <row r="254" spans="1:60" ht="16.5" customHeight="1">
      <c r="A254" s="260">
        <v>232</v>
      </c>
      <c r="B254" s="261"/>
      <c r="C254" s="261"/>
      <c r="D254" s="262" t="s">
        <v>15</v>
      </c>
      <c r="E254" s="262" t="s">
        <v>0</v>
      </c>
      <c r="F254" s="263" t="s">
        <v>15</v>
      </c>
      <c r="G254" s="264" t="s">
        <v>0</v>
      </c>
      <c r="H254" s="281"/>
      <c r="I254" s="265"/>
      <c r="J254" s="266" t="s">
        <v>604</v>
      </c>
      <c r="K254" s="262"/>
      <c r="L254" s="262"/>
      <c r="M254" s="262">
        <v>56027</v>
      </c>
      <c r="N254" s="262" t="s">
        <v>32</v>
      </c>
      <c r="O254" s="262" t="s">
        <v>56</v>
      </c>
      <c r="P254" s="262" t="s">
        <v>57</v>
      </c>
      <c r="Q254" s="262" t="s">
        <v>63</v>
      </c>
      <c r="R254" s="262" t="s">
        <v>28</v>
      </c>
      <c r="S254" s="267" t="s">
        <v>28</v>
      </c>
      <c r="T254" s="268" t="s">
        <v>951</v>
      </c>
      <c r="U254" s="269" t="s">
        <v>154</v>
      </c>
      <c r="V254" s="269">
        <v>572760380</v>
      </c>
      <c r="W254" s="278">
        <v>537545879</v>
      </c>
      <c r="X254" s="270"/>
      <c r="Y254" s="262" t="s">
        <v>27</v>
      </c>
      <c r="Z254" s="271" t="s">
        <v>27</v>
      </c>
      <c r="AA254" s="287"/>
      <c r="AB254" s="287"/>
      <c r="AC254" s="272">
        <f t="shared" si="9"/>
        <v>770896105</v>
      </c>
      <c r="AD254" s="272">
        <v>770896105</v>
      </c>
      <c r="AE254" s="272">
        <f t="shared" si="10"/>
        <v>0</v>
      </c>
      <c r="AF254" s="273"/>
      <c r="AG254" s="274"/>
      <c r="AH254" s="273" t="s">
        <v>808</v>
      </c>
      <c r="AI254" s="273">
        <v>70000000</v>
      </c>
      <c r="AJ254" s="274">
        <v>42660245</v>
      </c>
      <c r="AK254" s="273"/>
      <c r="AL254" s="275">
        <v>77000000</v>
      </c>
      <c r="AM254" s="290">
        <v>77235860</v>
      </c>
      <c r="AN254" s="275"/>
      <c r="AO254" s="276">
        <v>77000000</v>
      </c>
      <c r="AP254" s="275"/>
      <c r="AQ254" s="275">
        <v>77000000</v>
      </c>
      <c r="AR254" s="275"/>
      <c r="AS254" s="275">
        <v>77000000</v>
      </c>
      <c r="AT254" s="275"/>
      <c r="AU254" s="275">
        <v>70000000</v>
      </c>
      <c r="AV254" s="275"/>
      <c r="AW254" s="275">
        <v>70000000</v>
      </c>
      <c r="AX254" s="275"/>
      <c r="AY254" s="275">
        <v>70000000</v>
      </c>
      <c r="AZ254" s="275"/>
      <c r="BA254" s="275">
        <v>70000000</v>
      </c>
      <c r="BB254" s="275"/>
      <c r="BC254" s="275">
        <v>70000000</v>
      </c>
      <c r="BD254" s="275"/>
      <c r="BE254" s="275">
        <v>70000000</v>
      </c>
      <c r="BF254" s="275"/>
      <c r="BH254" s="277"/>
    </row>
    <row r="255" spans="1:60" ht="16.5" customHeight="1">
      <c r="A255" s="260">
        <v>233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957</v>
      </c>
      <c r="K255" s="262"/>
      <c r="L255" s="262"/>
      <c r="M255" s="262">
        <v>56027</v>
      </c>
      <c r="N255" s="262" t="s">
        <v>32</v>
      </c>
      <c r="O255" s="262" t="s">
        <v>56</v>
      </c>
      <c r="P255" s="262" t="s">
        <v>57</v>
      </c>
      <c r="Q255" s="262" t="s">
        <v>26</v>
      </c>
      <c r="R255" s="262" t="s">
        <v>478</v>
      </c>
      <c r="S255" s="267" t="s">
        <v>478</v>
      </c>
      <c r="T255" s="268"/>
      <c r="U255" s="269" t="s">
        <v>154</v>
      </c>
      <c r="V255" s="269">
        <v>0</v>
      </c>
      <c r="W255" s="278">
        <v>112671336</v>
      </c>
      <c r="X255" s="270"/>
      <c r="Y255" s="262" t="s">
        <v>27</v>
      </c>
      <c r="Z255" s="271" t="s">
        <v>27</v>
      </c>
      <c r="AA255" s="287"/>
      <c r="AB255" s="287"/>
      <c r="AC255" s="272">
        <f t="shared" si="9"/>
        <v>123368000</v>
      </c>
      <c r="AD255" s="272">
        <v>123368000</v>
      </c>
      <c r="AE255" s="272">
        <f t="shared" si="10"/>
        <v>0</v>
      </c>
      <c r="AF255" s="273"/>
      <c r="AG255" s="274"/>
      <c r="AH255" s="273"/>
      <c r="AI255" s="273"/>
      <c r="AJ255" s="274"/>
      <c r="AK255" s="273"/>
      <c r="AL255" s="275"/>
      <c r="AM255" s="290">
        <v>3368000</v>
      </c>
      <c r="AN255" s="275"/>
      <c r="AO255" s="276">
        <v>15000000</v>
      </c>
      <c r="AP255" s="275"/>
      <c r="AQ255" s="275">
        <v>15000000</v>
      </c>
      <c r="AR255" s="275"/>
      <c r="AS255" s="275">
        <v>15000000</v>
      </c>
      <c r="AT255" s="275"/>
      <c r="AU255" s="275">
        <v>15000000</v>
      </c>
      <c r="AV255" s="275"/>
      <c r="AW255" s="275">
        <v>15000000</v>
      </c>
      <c r="AX255" s="275"/>
      <c r="AY255" s="275">
        <v>15000000</v>
      </c>
      <c r="AZ255" s="275"/>
      <c r="BA255" s="275">
        <v>15000000</v>
      </c>
      <c r="BB255" s="275"/>
      <c r="BC255" s="275">
        <v>15000000</v>
      </c>
      <c r="BD255" s="275"/>
      <c r="BE255" s="275"/>
      <c r="BF255" s="275"/>
      <c r="BH255" s="277"/>
    </row>
    <row r="256" spans="1:60" ht="16.5" customHeight="1">
      <c r="A256" s="260">
        <v>234</v>
      </c>
      <c r="B256" s="261"/>
      <c r="C256" s="261"/>
      <c r="D256" s="262"/>
      <c r="E256" s="262"/>
      <c r="F256" s="263" t="s">
        <v>15</v>
      </c>
      <c r="G256" s="264" t="s">
        <v>0</v>
      </c>
      <c r="H256" s="281"/>
      <c r="I256" s="265"/>
      <c r="J256" s="266" t="s">
        <v>957</v>
      </c>
      <c r="K256" s="262"/>
      <c r="L256" s="262"/>
      <c r="M256" s="262">
        <v>56027</v>
      </c>
      <c r="N256" s="262"/>
      <c r="O256" s="262"/>
      <c r="P256" s="262"/>
      <c r="Q256" s="262"/>
      <c r="R256" s="262"/>
      <c r="S256" s="267"/>
      <c r="T256" s="268"/>
      <c r="U256" s="269"/>
      <c r="V256" s="269"/>
      <c r="W256" s="278">
        <v>0</v>
      </c>
      <c r="X256" s="270"/>
      <c r="Y256" s="262"/>
      <c r="Z256" s="271" t="s">
        <v>718</v>
      </c>
      <c r="AA256" s="287"/>
      <c r="AB256" s="287"/>
      <c r="AC256" s="272">
        <f t="shared" si="9"/>
        <v>0</v>
      </c>
      <c r="AD256" s="272">
        <v>0</v>
      </c>
      <c r="AE256" s="272">
        <f t="shared" si="10"/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customHeight="1">
      <c r="A257" s="260">
        <v>235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230</v>
      </c>
      <c r="K257" s="262"/>
      <c r="L257" s="262"/>
      <c r="M257" s="262">
        <v>56028</v>
      </c>
      <c r="N257" s="262" t="s">
        <v>32</v>
      </c>
      <c r="O257" s="262" t="s">
        <v>56</v>
      </c>
      <c r="P257" s="262" t="s">
        <v>57</v>
      </c>
      <c r="Q257" s="262" t="s">
        <v>59</v>
      </c>
      <c r="R257" s="262" t="s">
        <v>476</v>
      </c>
      <c r="S257" s="267" t="s">
        <v>825</v>
      </c>
      <c r="T257" s="268"/>
      <c r="U257" s="269"/>
      <c r="V257" s="269">
        <v>0</v>
      </c>
      <c r="W257" s="278">
        <v>34799352</v>
      </c>
      <c r="X257" s="270"/>
      <c r="Y257" s="262" t="s">
        <v>27</v>
      </c>
      <c r="Z257" s="271" t="s">
        <v>27</v>
      </c>
      <c r="AA257" s="287"/>
      <c r="AB257" s="287"/>
      <c r="AC257" s="272">
        <f t="shared" si="9"/>
        <v>54942672</v>
      </c>
      <c r="AD257" s="272">
        <v>54942672</v>
      </c>
      <c r="AE257" s="272">
        <f t="shared" si="10"/>
        <v>0</v>
      </c>
      <c r="AF257" s="273"/>
      <c r="AG257" s="274"/>
      <c r="AH257" s="273" t="s">
        <v>809</v>
      </c>
      <c r="AI257" s="273">
        <v>10000000</v>
      </c>
      <c r="AJ257" s="274">
        <v>4971336</v>
      </c>
      <c r="AK257" s="273"/>
      <c r="AL257" s="275">
        <v>5000000</v>
      </c>
      <c r="AM257" s="290">
        <v>4971336</v>
      </c>
      <c r="AN257" s="275"/>
      <c r="AO257" s="276">
        <v>5000000</v>
      </c>
      <c r="AP257" s="275"/>
      <c r="AQ257" s="275">
        <v>5000000</v>
      </c>
      <c r="AR257" s="275"/>
      <c r="AS257" s="275">
        <v>5000000</v>
      </c>
      <c r="AT257" s="275"/>
      <c r="AU257" s="275">
        <v>5000000</v>
      </c>
      <c r="AV257" s="275"/>
      <c r="AW257" s="275">
        <v>5000000</v>
      </c>
      <c r="AX257" s="275"/>
      <c r="AY257" s="275">
        <v>5000000</v>
      </c>
      <c r="AZ257" s="275"/>
      <c r="BA257" s="275">
        <v>5000000</v>
      </c>
      <c r="BB257" s="275"/>
      <c r="BC257" s="275">
        <v>5000000</v>
      </c>
      <c r="BD257" s="275"/>
      <c r="BE257" s="275">
        <v>5000000</v>
      </c>
      <c r="BF257" s="275"/>
      <c r="BH257" s="277"/>
    </row>
    <row r="258" spans="1:60" ht="16.5" customHeight="1">
      <c r="A258" s="260">
        <v>236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635</v>
      </c>
      <c r="K258" s="262"/>
      <c r="L258" s="262"/>
      <c r="M258" s="262">
        <v>56028</v>
      </c>
      <c r="N258" s="262" t="s">
        <v>32</v>
      </c>
      <c r="O258" s="262" t="s">
        <v>56</v>
      </c>
      <c r="P258" s="262" t="s">
        <v>57</v>
      </c>
      <c r="Q258" s="262"/>
      <c r="R258" s="262" t="s">
        <v>476</v>
      </c>
      <c r="S258" s="267" t="s">
        <v>825</v>
      </c>
      <c r="T258" s="268"/>
      <c r="U258" s="269"/>
      <c r="V258" s="269"/>
      <c r="W258" s="278">
        <v>0</v>
      </c>
      <c r="X258" s="270"/>
      <c r="Y258" s="262" t="s">
        <v>27</v>
      </c>
      <c r="Z258" s="271" t="s">
        <v>20</v>
      </c>
      <c r="AA258" s="287"/>
      <c r="AB258" s="287"/>
      <c r="AC258" s="272">
        <f t="shared" si="9"/>
        <v>0</v>
      </c>
      <c r="AD258" s="272">
        <v>0</v>
      </c>
      <c r="AE258" s="272">
        <f t="shared" si="10"/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customHeight="1">
      <c r="A259" s="260">
        <v>237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231</v>
      </c>
      <c r="K259" s="262"/>
      <c r="L259" s="262"/>
      <c r="M259" s="262">
        <v>2647</v>
      </c>
      <c r="N259" s="262" t="s">
        <v>32</v>
      </c>
      <c r="O259" s="262" t="s">
        <v>56</v>
      </c>
      <c r="P259" s="262" t="s">
        <v>57</v>
      </c>
      <c r="Q259" s="262" t="s">
        <v>63</v>
      </c>
      <c r="R259" s="262" t="s">
        <v>28</v>
      </c>
      <c r="S259" s="267" t="s">
        <v>28</v>
      </c>
      <c r="T259" s="268"/>
      <c r="U259" s="269"/>
      <c r="V259" s="269">
        <v>0</v>
      </c>
      <c r="W259" s="278">
        <v>0</v>
      </c>
      <c r="X259" s="270"/>
      <c r="Y259" s="262" t="s">
        <v>74</v>
      </c>
      <c r="Z259" s="271" t="s">
        <v>74</v>
      </c>
      <c r="AA259" s="287"/>
      <c r="AB259" s="287"/>
      <c r="AC259" s="272">
        <f t="shared" si="9"/>
        <v>0</v>
      </c>
      <c r="AD259" s="272">
        <v>0</v>
      </c>
      <c r="AE259" s="272">
        <f t="shared" si="10"/>
        <v>0</v>
      </c>
      <c r="AF259" s="273"/>
      <c r="AG259" s="274"/>
      <c r="AH259" s="273"/>
      <c r="AI259" s="273">
        <v>200000000</v>
      </c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/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customHeight="1">
      <c r="A260" s="260">
        <v>238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231</v>
      </c>
      <c r="K260" s="262"/>
      <c r="L260" s="262"/>
      <c r="M260" s="262">
        <v>2647</v>
      </c>
      <c r="N260" s="262" t="s">
        <v>32</v>
      </c>
      <c r="O260" s="262" t="s">
        <v>178</v>
      </c>
      <c r="P260" s="262"/>
      <c r="Q260" s="262" t="s">
        <v>63</v>
      </c>
      <c r="R260" s="262" t="s">
        <v>28</v>
      </c>
      <c r="S260" s="267" t="s">
        <v>28</v>
      </c>
      <c r="T260" s="268"/>
      <c r="U260" s="269"/>
      <c r="V260" s="269">
        <v>0</v>
      </c>
      <c r="W260" s="278">
        <v>0</v>
      </c>
      <c r="X260" s="270"/>
      <c r="Y260" s="262" t="s">
        <v>74</v>
      </c>
      <c r="Z260" s="271" t="s">
        <v>562</v>
      </c>
      <c r="AA260" s="287"/>
      <c r="AB260" s="287"/>
      <c r="AC260" s="272">
        <f t="shared" si="9"/>
        <v>0</v>
      </c>
      <c r="AD260" s="272">
        <v>0</v>
      </c>
      <c r="AE260" s="272">
        <f t="shared" si="10"/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/>
      <c r="BB260" s="275"/>
      <c r="BC260" s="275"/>
      <c r="BD260" s="275"/>
      <c r="BE260" s="275"/>
      <c r="BF260" s="275"/>
      <c r="BH260" s="277"/>
    </row>
    <row r="261" spans="1:60" ht="16.5" customHeight="1">
      <c r="A261" s="260">
        <v>239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232</v>
      </c>
      <c r="K261" s="262"/>
      <c r="L261" s="262"/>
      <c r="M261" s="262">
        <v>43878</v>
      </c>
      <c r="N261" s="262" t="s">
        <v>32</v>
      </c>
      <c r="O261" s="262" t="s">
        <v>56</v>
      </c>
      <c r="P261" s="262"/>
      <c r="Q261" s="262" t="s">
        <v>18</v>
      </c>
      <c r="R261" s="262" t="s">
        <v>19</v>
      </c>
      <c r="S261" s="267" t="s">
        <v>19</v>
      </c>
      <c r="T261" s="268"/>
      <c r="U261" s="269"/>
      <c r="V261" s="269">
        <v>0</v>
      </c>
      <c r="W261" s="278">
        <v>0</v>
      </c>
      <c r="X261" s="270"/>
      <c r="Y261" s="262" t="s">
        <v>25</v>
      </c>
      <c r="Z261" s="271" t="s">
        <v>24</v>
      </c>
      <c r="AA261" s="287"/>
      <c r="AB261" s="287"/>
      <c r="AC261" s="272">
        <f t="shared" si="9"/>
        <v>1000000</v>
      </c>
      <c r="AD261" s="272">
        <v>1000000</v>
      </c>
      <c r="AE261" s="272">
        <f t="shared" si="10"/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>
        <v>1000000</v>
      </c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customHeight="1">
      <c r="A262" s="260">
        <v>240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234</v>
      </c>
      <c r="K262" s="262"/>
      <c r="L262" s="262"/>
      <c r="M262" s="262">
        <v>4095</v>
      </c>
      <c r="N262" s="262" t="s">
        <v>32</v>
      </c>
      <c r="O262" s="262" t="s">
        <v>56</v>
      </c>
      <c r="P262" s="262" t="s">
        <v>156</v>
      </c>
      <c r="Q262" s="262" t="s">
        <v>18</v>
      </c>
      <c r="R262" s="262" t="s">
        <v>19</v>
      </c>
      <c r="S262" s="267" t="s">
        <v>19</v>
      </c>
      <c r="T262" s="268"/>
      <c r="U262" s="269" t="s">
        <v>154</v>
      </c>
      <c r="V262" s="269">
        <v>1741000</v>
      </c>
      <c r="W262" s="278">
        <v>0</v>
      </c>
      <c r="X262" s="270"/>
      <c r="Y262" s="262" t="s">
        <v>25</v>
      </c>
      <c r="Z262" s="271" t="s">
        <v>24</v>
      </c>
      <c r="AA262" s="287"/>
      <c r="AB262" s="287"/>
      <c r="AC262" s="272">
        <f t="shared" si="9"/>
        <v>3000000</v>
      </c>
      <c r="AD262" s="272">
        <v>3000000</v>
      </c>
      <c r="AE262" s="272">
        <f t="shared" si="10"/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75"/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>
        <v>3000000</v>
      </c>
      <c r="BB262" s="275"/>
      <c r="BC262" s="275"/>
      <c r="BD262" s="275"/>
      <c r="BE262" s="275"/>
      <c r="BF262" s="275"/>
      <c r="BH262" s="277"/>
    </row>
    <row r="263" spans="1:60" ht="16.5" customHeight="1">
      <c r="A263" s="260">
        <v>241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235</v>
      </c>
      <c r="K263" s="262"/>
      <c r="L263" s="262"/>
      <c r="M263" s="262" t="s">
        <v>236</v>
      </c>
      <c r="N263" s="262" t="s">
        <v>32</v>
      </c>
      <c r="O263" s="262" t="s">
        <v>56</v>
      </c>
      <c r="P263" s="262" t="s">
        <v>57</v>
      </c>
      <c r="Q263" s="262" t="s">
        <v>62</v>
      </c>
      <c r="R263" s="262" t="s">
        <v>678</v>
      </c>
      <c r="S263" s="267" t="s">
        <v>832</v>
      </c>
      <c r="T263" s="268"/>
      <c r="U263" s="269">
        <v>17220000</v>
      </c>
      <c r="V263" s="269">
        <v>0</v>
      </c>
      <c r="W263" s="278">
        <v>0</v>
      </c>
      <c r="X263" s="270"/>
      <c r="Y263" s="262" t="s">
        <v>21</v>
      </c>
      <c r="Z263" s="271" t="s">
        <v>21</v>
      </c>
      <c r="AA263" s="287"/>
      <c r="AB263" s="287"/>
      <c r="AC263" s="272">
        <f t="shared" si="9"/>
        <v>0</v>
      </c>
      <c r="AD263" s="272">
        <v>0</v>
      </c>
      <c r="AE263" s="272">
        <f t="shared" si="10"/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/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customHeight="1">
      <c r="A264" s="260">
        <v>242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669</v>
      </c>
      <c r="K264" s="262"/>
      <c r="L264" s="262"/>
      <c r="M264" s="262">
        <v>1374</v>
      </c>
      <c r="N264" s="262" t="s">
        <v>22</v>
      </c>
      <c r="O264" s="262" t="s">
        <v>56</v>
      </c>
      <c r="P264" s="262" t="s">
        <v>156</v>
      </c>
      <c r="Q264" s="262"/>
      <c r="R264" s="262" t="s">
        <v>476</v>
      </c>
      <c r="S264" s="267" t="s">
        <v>825</v>
      </c>
      <c r="T264" s="268"/>
      <c r="U264" s="269"/>
      <c r="V264" s="269">
        <v>0</v>
      </c>
      <c r="W264" s="278">
        <v>1760000</v>
      </c>
      <c r="X264" s="270"/>
      <c r="Y264" s="262" t="s">
        <v>27</v>
      </c>
      <c r="Z264" s="271" t="s">
        <v>24</v>
      </c>
      <c r="AA264" s="287"/>
      <c r="AB264" s="287"/>
      <c r="AC264" s="272">
        <f t="shared" si="9"/>
        <v>1000000</v>
      </c>
      <c r="AD264" s="272">
        <v>1000000</v>
      </c>
      <c r="AE264" s="272">
        <f t="shared" si="10"/>
        <v>0</v>
      </c>
      <c r="AF264" s="273"/>
      <c r="AG264" s="274"/>
      <c r="AH264" s="273"/>
      <c r="AI264" s="273"/>
      <c r="AJ264" s="274"/>
      <c r="AK264" s="273"/>
      <c r="AL264" s="275"/>
      <c r="AM264" s="290"/>
      <c r="AN264" s="275"/>
      <c r="AO264" s="276"/>
      <c r="AP264" s="275"/>
      <c r="AQ264" s="275">
        <v>1000000</v>
      </c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customHeight="1">
      <c r="A265" s="260">
        <v>243</v>
      </c>
      <c r="B265" s="261"/>
      <c r="C265" s="261"/>
      <c r="D265" s="262" t="s">
        <v>15</v>
      </c>
      <c r="E265" s="262" t="s">
        <v>0</v>
      </c>
      <c r="F265" s="263" t="s">
        <v>15</v>
      </c>
      <c r="G265" s="264" t="s">
        <v>0</v>
      </c>
      <c r="H265" s="281"/>
      <c r="I265" s="265"/>
      <c r="J265" s="266" t="s">
        <v>576</v>
      </c>
      <c r="K265" s="262"/>
      <c r="L265" s="262"/>
      <c r="M265" s="262">
        <v>1374</v>
      </c>
      <c r="N265" s="262" t="s">
        <v>22</v>
      </c>
      <c r="O265" s="262" t="s">
        <v>212</v>
      </c>
      <c r="P265" s="262" t="s">
        <v>124</v>
      </c>
      <c r="Q265" s="262" t="s">
        <v>26</v>
      </c>
      <c r="R265" s="262" t="s">
        <v>478</v>
      </c>
      <c r="S265" s="267" t="s">
        <v>478</v>
      </c>
      <c r="T265" s="268"/>
      <c r="U265" s="269">
        <v>44122500</v>
      </c>
      <c r="V265" s="269">
        <v>85291000</v>
      </c>
      <c r="W265" s="278">
        <v>37394000</v>
      </c>
      <c r="X265" s="270"/>
      <c r="Y265" s="262" t="s">
        <v>27</v>
      </c>
      <c r="Z265" s="271" t="s">
        <v>24</v>
      </c>
      <c r="AA265" s="287"/>
      <c r="AB265" s="287"/>
      <c r="AC265" s="272">
        <f t="shared" si="9"/>
        <v>30000000</v>
      </c>
      <c r="AD265" s="272">
        <v>30000000</v>
      </c>
      <c r="AE265" s="272">
        <f t="shared" si="10"/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>
        <v>30000000</v>
      </c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customHeight="1">
      <c r="A266" s="260">
        <v>244</v>
      </c>
      <c r="B266" s="261"/>
      <c r="C266" s="261"/>
      <c r="D266" s="262" t="s">
        <v>15</v>
      </c>
      <c r="E266" s="262" t="s">
        <v>0</v>
      </c>
      <c r="F266" s="263" t="s">
        <v>15</v>
      </c>
      <c r="G266" s="264" t="s">
        <v>0</v>
      </c>
      <c r="H266" s="281"/>
      <c r="I266" s="265"/>
      <c r="J266" s="266" t="s">
        <v>577</v>
      </c>
      <c r="K266" s="262"/>
      <c r="L266" s="262"/>
      <c r="M266" s="262">
        <v>1374</v>
      </c>
      <c r="N266" s="262" t="s">
        <v>22</v>
      </c>
      <c r="O266" s="262" t="s">
        <v>212</v>
      </c>
      <c r="P266" s="262" t="s">
        <v>124</v>
      </c>
      <c r="Q266" s="262" t="s">
        <v>26</v>
      </c>
      <c r="R266" s="262" t="s">
        <v>468</v>
      </c>
      <c r="S266" s="267" t="s">
        <v>468</v>
      </c>
      <c r="T266" s="268"/>
      <c r="U266" s="269"/>
      <c r="V266" s="269">
        <v>0</v>
      </c>
      <c r="W266" s="278">
        <v>0</v>
      </c>
      <c r="X266" s="270"/>
      <c r="Y266" s="262" t="s">
        <v>74</v>
      </c>
      <c r="Z266" s="271" t="s">
        <v>27</v>
      </c>
      <c r="AA266" s="287"/>
      <c r="AB266" s="287"/>
      <c r="AC266" s="272">
        <f t="shared" si="9"/>
        <v>21955000</v>
      </c>
      <c r="AD266" s="272">
        <v>21955000</v>
      </c>
      <c r="AE266" s="272">
        <f t="shared" si="10"/>
        <v>0</v>
      </c>
      <c r="AF266" s="273"/>
      <c r="AG266" s="274">
        <v>1700000</v>
      </c>
      <c r="AH266" s="273"/>
      <c r="AI266" s="273"/>
      <c r="AJ266" s="274"/>
      <c r="AK266" s="273"/>
      <c r="AL266" s="275">
        <v>20255000</v>
      </c>
      <c r="AM266" s="290">
        <v>20255000</v>
      </c>
      <c r="AN266" s="275"/>
      <c r="AO266" s="276"/>
      <c r="AP266" s="275"/>
      <c r="AQ266" s="275"/>
      <c r="AR266" s="275"/>
      <c r="AS266" s="275"/>
      <c r="AT266" s="275"/>
      <c r="AU266" s="275"/>
      <c r="AV266" s="275"/>
      <c r="AW266" s="275"/>
      <c r="AX266" s="275"/>
      <c r="AY266" s="275"/>
      <c r="AZ266" s="275"/>
      <c r="BA266" s="275"/>
      <c r="BB266" s="275"/>
      <c r="BC266" s="275"/>
      <c r="BD266" s="275"/>
      <c r="BE266" s="275"/>
      <c r="BF266" s="275"/>
      <c r="BH266" s="277"/>
    </row>
    <row r="267" spans="1:60" ht="16.5" customHeight="1">
      <c r="A267" s="260">
        <v>245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791</v>
      </c>
      <c r="K267" s="262"/>
      <c r="L267" s="262"/>
      <c r="M267" s="262">
        <v>58760</v>
      </c>
      <c r="N267" s="262" t="s">
        <v>32</v>
      </c>
      <c r="O267" s="262"/>
      <c r="P267" s="262" t="s">
        <v>57</v>
      </c>
      <c r="Q267" s="262" t="s">
        <v>18</v>
      </c>
      <c r="R267" s="262" t="s">
        <v>19</v>
      </c>
      <c r="S267" s="267" t="s">
        <v>19</v>
      </c>
      <c r="T267" s="268"/>
      <c r="U267" s="269">
        <v>9697560</v>
      </c>
      <c r="V267" s="269">
        <v>0</v>
      </c>
      <c r="W267" s="278">
        <v>0</v>
      </c>
      <c r="X267" s="270"/>
      <c r="Y267" s="262" t="s">
        <v>21</v>
      </c>
      <c r="Z267" s="271" t="s">
        <v>21</v>
      </c>
      <c r="AA267" s="287"/>
      <c r="AB267" s="287"/>
      <c r="AC267" s="272">
        <f t="shared" si="9"/>
        <v>0</v>
      </c>
      <c r="AD267" s="272">
        <v>0</v>
      </c>
      <c r="AE267" s="272">
        <f t="shared" si="10"/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customHeight="1">
      <c r="A268" s="260">
        <v>246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335</v>
      </c>
      <c r="K268" s="262"/>
      <c r="L268" s="262"/>
      <c r="M268" s="262">
        <v>3702</v>
      </c>
      <c r="N268" s="262" t="s">
        <v>22</v>
      </c>
      <c r="O268" s="262" t="s">
        <v>56</v>
      </c>
      <c r="P268" s="262" t="s">
        <v>57</v>
      </c>
      <c r="Q268" s="262" t="s">
        <v>63</v>
      </c>
      <c r="R268" s="262" t="s">
        <v>28</v>
      </c>
      <c r="S268" s="267" t="s">
        <v>28</v>
      </c>
      <c r="T268" s="268" t="s">
        <v>951</v>
      </c>
      <c r="U268" s="269">
        <v>127367508</v>
      </c>
      <c r="V268" s="269">
        <v>126577610</v>
      </c>
      <c r="W268" s="278">
        <v>107101690</v>
      </c>
      <c r="X268" s="270"/>
      <c r="Y268" s="262" t="s">
        <v>27</v>
      </c>
      <c r="Z268" s="271" t="s">
        <v>27</v>
      </c>
      <c r="AA268" s="287"/>
      <c r="AB268" s="287"/>
      <c r="AC268" s="272">
        <f t="shared" si="9"/>
        <v>122902870</v>
      </c>
      <c r="AD268" s="272">
        <v>122902870</v>
      </c>
      <c r="AE268" s="272">
        <f t="shared" si="10"/>
        <v>0</v>
      </c>
      <c r="AF268" s="273">
        <v>13409180</v>
      </c>
      <c r="AG268" s="274">
        <v>13409180</v>
      </c>
      <c r="AH268" s="273"/>
      <c r="AI268" s="273">
        <v>10000000</v>
      </c>
      <c r="AJ268" s="274">
        <v>9481690</v>
      </c>
      <c r="AK268" s="273"/>
      <c r="AL268" s="275">
        <v>3332000</v>
      </c>
      <c r="AM268" s="290">
        <v>3332000</v>
      </c>
      <c r="AN268" s="275"/>
      <c r="AO268" s="276">
        <v>16680000</v>
      </c>
      <c r="AP268" s="275"/>
      <c r="AQ268" s="275">
        <v>10000000</v>
      </c>
      <c r="AR268" s="275"/>
      <c r="AS268" s="275">
        <v>10000000</v>
      </c>
      <c r="AT268" s="275"/>
      <c r="AU268" s="275">
        <v>10000000</v>
      </c>
      <c r="AV268" s="275"/>
      <c r="AW268" s="275">
        <v>10000000</v>
      </c>
      <c r="AX268" s="275"/>
      <c r="AY268" s="275">
        <v>10000000</v>
      </c>
      <c r="AZ268" s="275"/>
      <c r="BA268" s="275">
        <v>10000000</v>
      </c>
      <c r="BB268" s="275"/>
      <c r="BC268" s="275">
        <v>10000000</v>
      </c>
      <c r="BD268" s="275"/>
      <c r="BE268" s="275">
        <v>10000000</v>
      </c>
      <c r="BF268" s="275"/>
      <c r="BH268" s="277"/>
    </row>
    <row r="269" spans="1:60" ht="16.5" customHeight="1">
      <c r="A269" s="260">
        <v>247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335</v>
      </c>
      <c r="K269" s="262"/>
      <c r="L269" s="262"/>
      <c r="M269" s="262">
        <v>3702</v>
      </c>
      <c r="N269" s="262" t="s">
        <v>22</v>
      </c>
      <c r="O269" s="262" t="s">
        <v>56</v>
      </c>
      <c r="P269" s="262" t="s">
        <v>57</v>
      </c>
      <c r="Q269" s="262" t="s">
        <v>63</v>
      </c>
      <c r="R269" s="262" t="s">
        <v>468</v>
      </c>
      <c r="S269" s="267" t="s">
        <v>468</v>
      </c>
      <c r="T269" s="268"/>
      <c r="U269" s="269">
        <v>0</v>
      </c>
      <c r="V269" s="269">
        <v>0</v>
      </c>
      <c r="W269" s="278">
        <v>0</v>
      </c>
      <c r="X269" s="270"/>
      <c r="Y269" s="262" t="s">
        <v>25</v>
      </c>
      <c r="Z269" s="271" t="s">
        <v>718</v>
      </c>
      <c r="AA269" s="287"/>
      <c r="AB269" s="287"/>
      <c r="AC269" s="272">
        <f t="shared" si="9"/>
        <v>0</v>
      </c>
      <c r="AD269" s="272">
        <v>0</v>
      </c>
      <c r="AE269" s="272">
        <f t="shared" si="10"/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/>
      <c r="AR269" s="275"/>
      <c r="AS269" s="275"/>
      <c r="AT269" s="275"/>
      <c r="AU269" s="275"/>
      <c r="AV269" s="275"/>
      <c r="AW269" s="275"/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customHeight="1">
      <c r="A270" s="260">
        <v>248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 t="s">
        <v>44</v>
      </c>
      <c r="R270" s="262" t="s">
        <v>469</v>
      </c>
      <c r="S270" s="267" t="s">
        <v>1029</v>
      </c>
      <c r="T270" s="268"/>
      <c r="U270" s="269">
        <v>177272727</v>
      </c>
      <c r="V270" s="269">
        <v>0</v>
      </c>
      <c r="W270" s="278">
        <v>0</v>
      </c>
      <c r="X270" s="270"/>
      <c r="Y270" s="262" t="s">
        <v>25</v>
      </c>
      <c r="Z270" s="271" t="s">
        <v>21</v>
      </c>
      <c r="AA270" s="287"/>
      <c r="AB270" s="287"/>
      <c r="AC270" s="272">
        <f t="shared" si="9"/>
        <v>0</v>
      </c>
      <c r="AD270" s="272">
        <v>0</v>
      </c>
      <c r="AE270" s="272">
        <f t="shared" si="10"/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/>
      <c r="AP270" s="275"/>
      <c r="AQ270" s="275"/>
      <c r="AR270" s="275"/>
      <c r="AS270" s="275"/>
      <c r="AT270" s="275"/>
      <c r="AU270" s="275"/>
      <c r="AV270" s="275"/>
      <c r="AW270" s="275"/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customHeight="1">
      <c r="A271" s="260">
        <v>249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336</v>
      </c>
      <c r="K271" s="262"/>
      <c r="L271" s="262"/>
      <c r="M271" s="262">
        <v>42616</v>
      </c>
      <c r="N271" s="262" t="s">
        <v>32</v>
      </c>
      <c r="O271" s="262" t="s">
        <v>178</v>
      </c>
      <c r="P271" s="262" t="s">
        <v>57</v>
      </c>
      <c r="Q271" s="262"/>
      <c r="R271" s="262" t="s">
        <v>468</v>
      </c>
      <c r="S271" s="267" t="s">
        <v>468</v>
      </c>
      <c r="T271" s="268"/>
      <c r="U271" s="269"/>
      <c r="V271" s="269"/>
      <c r="W271" s="278">
        <v>268409091</v>
      </c>
      <c r="X271" s="270"/>
      <c r="Y271" s="262" t="s">
        <v>27</v>
      </c>
      <c r="Z271" s="271" t="s">
        <v>27</v>
      </c>
      <c r="AA271" s="287"/>
      <c r="AB271" s="287"/>
      <c r="AC271" s="272">
        <f t="shared" si="9"/>
        <v>230000000</v>
      </c>
      <c r="AD271" s="272">
        <v>230000000</v>
      </c>
      <c r="AE271" s="272">
        <f t="shared" si="10"/>
        <v>0</v>
      </c>
      <c r="AF271" s="273"/>
      <c r="AG271" s="274"/>
      <c r="AH271" s="273"/>
      <c r="AI271" s="273"/>
      <c r="AJ271" s="274"/>
      <c r="AK271" s="273"/>
      <c r="AL271" s="275"/>
      <c r="AM271" s="290"/>
      <c r="AN271" s="275"/>
      <c r="AO271" s="276"/>
      <c r="AP271" s="275"/>
      <c r="AQ271" s="275">
        <v>160000000</v>
      </c>
      <c r="AR271" s="275"/>
      <c r="AS271" s="275"/>
      <c r="AT271" s="275"/>
      <c r="AU271" s="275"/>
      <c r="AV271" s="275"/>
      <c r="AW271" s="275">
        <v>70000000</v>
      </c>
      <c r="AX271" s="275"/>
      <c r="AY271" s="275"/>
      <c r="AZ271" s="275"/>
      <c r="BA271" s="275"/>
      <c r="BB271" s="275"/>
      <c r="BC271" s="275"/>
      <c r="BD271" s="275"/>
      <c r="BE271" s="275"/>
      <c r="BF271" s="275"/>
      <c r="BH271" s="277"/>
    </row>
    <row r="272" spans="1:60" ht="16.5" customHeight="1">
      <c r="A272" s="260">
        <v>250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336</v>
      </c>
      <c r="K272" s="262"/>
      <c r="L272" s="262"/>
      <c r="M272" s="262">
        <v>42616</v>
      </c>
      <c r="N272" s="262" t="s">
        <v>32</v>
      </c>
      <c r="O272" s="262" t="s">
        <v>178</v>
      </c>
      <c r="P272" s="262" t="s">
        <v>57</v>
      </c>
      <c r="Q272" s="262"/>
      <c r="R272" s="262"/>
      <c r="S272" s="267" t="s">
        <v>823</v>
      </c>
      <c r="T272" s="268"/>
      <c r="U272" s="269"/>
      <c r="V272" s="269">
        <v>0</v>
      </c>
      <c r="W272" s="278">
        <v>0</v>
      </c>
      <c r="X272" s="270"/>
      <c r="Y272" s="262"/>
      <c r="Z272" s="271" t="s">
        <v>562</v>
      </c>
      <c r="AA272" s="287"/>
      <c r="AB272" s="287"/>
      <c r="AC272" s="272">
        <f t="shared" si="9"/>
        <v>182000000</v>
      </c>
      <c r="AD272" s="272">
        <v>182000000</v>
      </c>
      <c r="AE272" s="272">
        <f t="shared" si="10"/>
        <v>0</v>
      </c>
      <c r="AF272" s="273"/>
      <c r="AG272" s="274"/>
      <c r="AH272" s="273"/>
      <c r="AI272" s="273"/>
      <c r="AJ272" s="274"/>
      <c r="AK272" s="273"/>
      <c r="AL272" s="275"/>
      <c r="AM272" s="290"/>
      <c r="AN272" s="275"/>
      <c r="AO272" s="276">
        <v>100000000</v>
      </c>
      <c r="AP272" s="275"/>
      <c r="AQ272" s="275"/>
      <c r="AR272" s="275"/>
      <c r="AS272" s="275"/>
      <c r="AT272" s="275"/>
      <c r="AU272" s="275"/>
      <c r="AV272" s="275"/>
      <c r="AW272" s="275">
        <v>82000000</v>
      </c>
      <c r="AX272" s="275"/>
      <c r="AY272" s="275"/>
      <c r="AZ272" s="275"/>
      <c r="BA272" s="275"/>
      <c r="BB272" s="275"/>
      <c r="BC272" s="275"/>
      <c r="BD272" s="275"/>
      <c r="BE272" s="275"/>
      <c r="BF272" s="275"/>
      <c r="BH272" s="277"/>
    </row>
    <row r="273" spans="1:60" ht="16.5" customHeight="1">
      <c r="A273" s="260">
        <v>251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457</v>
      </c>
      <c r="K273" s="262"/>
      <c r="L273" s="262"/>
      <c r="M273" s="262">
        <v>62518</v>
      </c>
      <c r="N273" s="262" t="s">
        <v>32</v>
      </c>
      <c r="O273" s="262" t="s">
        <v>56</v>
      </c>
      <c r="P273" s="262" t="s">
        <v>124</v>
      </c>
      <c r="Q273" s="262"/>
      <c r="R273" s="262" t="s">
        <v>472</v>
      </c>
      <c r="S273" s="267" t="s">
        <v>824</v>
      </c>
      <c r="T273" s="268"/>
      <c r="U273" s="269"/>
      <c r="V273" s="269">
        <v>0</v>
      </c>
      <c r="W273" s="278">
        <v>1643165008</v>
      </c>
      <c r="X273" s="270">
        <v>1646346825</v>
      </c>
      <c r="Y273" s="262" t="s">
        <v>27</v>
      </c>
      <c r="Z273" s="271" t="s">
        <v>27</v>
      </c>
      <c r="AA273" s="287"/>
      <c r="AB273" s="287"/>
      <c r="AC273" s="272">
        <f t="shared" si="9"/>
        <v>2346456364</v>
      </c>
      <c r="AD273" s="272">
        <v>2346456364</v>
      </c>
      <c r="AE273" s="272">
        <f t="shared" si="10"/>
        <v>0</v>
      </c>
      <c r="AF273" s="273"/>
      <c r="AG273" s="274">
        <v>276027273</v>
      </c>
      <c r="AH273" s="273"/>
      <c r="AI273" s="273">
        <v>180000000</v>
      </c>
      <c r="AJ273" s="274">
        <v>149590910</v>
      </c>
      <c r="AK273" s="273"/>
      <c r="AL273" s="275">
        <v>139609091</v>
      </c>
      <c r="AM273" s="290">
        <v>139609091</v>
      </c>
      <c r="AN273" s="275"/>
      <c r="AO273" s="276">
        <v>180000000</v>
      </c>
      <c r="AP273" s="275"/>
      <c r="AQ273" s="275">
        <v>180000000</v>
      </c>
      <c r="AR273" s="275"/>
      <c r="AS273" s="275">
        <v>220000000</v>
      </c>
      <c r="AT273" s="275"/>
      <c r="AU273" s="275">
        <v>180000000</v>
      </c>
      <c r="AV273" s="275"/>
      <c r="AW273" s="275">
        <v>180000000</v>
      </c>
      <c r="AX273" s="275"/>
      <c r="AY273" s="275">
        <v>180000000</v>
      </c>
      <c r="AZ273" s="275"/>
      <c r="BA273" s="275">
        <v>180000000</v>
      </c>
      <c r="BB273" s="275"/>
      <c r="BC273" s="275">
        <v>180000000</v>
      </c>
      <c r="BD273" s="275"/>
      <c r="BE273" s="275">
        <v>301229090</v>
      </c>
      <c r="BF273" s="275"/>
      <c r="BH273" s="277"/>
    </row>
    <row r="274" spans="1:60" ht="16.5" customHeight="1">
      <c r="A274" s="260">
        <v>252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337</v>
      </c>
      <c r="K274" s="262"/>
      <c r="L274" s="262"/>
      <c r="M274" s="262">
        <v>4578</v>
      </c>
      <c r="N274" s="262" t="s">
        <v>17</v>
      </c>
      <c r="O274" s="262" t="s">
        <v>56</v>
      </c>
      <c r="P274" s="262" t="s">
        <v>57</v>
      </c>
      <c r="Q274" s="262" t="s">
        <v>63</v>
      </c>
      <c r="R274" s="262" t="s">
        <v>28</v>
      </c>
      <c r="S274" s="267" t="s">
        <v>28</v>
      </c>
      <c r="T274" s="268"/>
      <c r="U274" s="269">
        <v>68500000</v>
      </c>
      <c r="V274" s="269">
        <v>104207000</v>
      </c>
      <c r="W274" s="278">
        <v>99000000</v>
      </c>
      <c r="X274" s="270"/>
      <c r="Y274" s="262" t="s">
        <v>27</v>
      </c>
      <c r="Z274" s="271" t="s">
        <v>27</v>
      </c>
      <c r="AA274" s="287"/>
      <c r="AB274" s="287"/>
      <c r="AC274" s="272">
        <f t="shared" si="9"/>
        <v>101861000</v>
      </c>
      <c r="AD274" s="272">
        <v>101861000</v>
      </c>
      <c r="AE274" s="272">
        <f t="shared" si="10"/>
        <v>0</v>
      </c>
      <c r="AF274" s="273"/>
      <c r="AG274" s="274"/>
      <c r="AH274" s="273"/>
      <c r="AI274" s="273">
        <v>49500000</v>
      </c>
      <c r="AJ274" s="274">
        <v>52361000</v>
      </c>
      <c r="AK274" s="273"/>
      <c r="AL274" s="275"/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>
        <v>49500000</v>
      </c>
      <c r="BB274" s="275"/>
      <c r="BC274" s="275"/>
      <c r="BD274" s="275"/>
      <c r="BE274" s="275"/>
      <c r="BF274" s="275"/>
      <c r="BH274" s="277"/>
    </row>
    <row r="275" spans="1:60" ht="16.5" customHeight="1">
      <c r="A275" s="260">
        <v>253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337</v>
      </c>
      <c r="K275" s="262"/>
      <c r="L275" s="262"/>
      <c r="M275" s="262">
        <v>4578</v>
      </c>
      <c r="N275" s="262" t="s">
        <v>17</v>
      </c>
      <c r="O275" s="262" t="s">
        <v>35</v>
      </c>
      <c r="P275" s="262" t="s">
        <v>57</v>
      </c>
      <c r="Q275" s="262" t="s">
        <v>63</v>
      </c>
      <c r="R275" s="262" t="s">
        <v>478</v>
      </c>
      <c r="S275" s="267" t="s">
        <v>478</v>
      </c>
      <c r="T275" s="268"/>
      <c r="U275" s="269"/>
      <c r="V275" s="269">
        <v>0</v>
      </c>
      <c r="W275" s="278">
        <v>0</v>
      </c>
      <c r="X275" s="270"/>
      <c r="Y275" s="262" t="s">
        <v>25</v>
      </c>
      <c r="Z275" s="271" t="s">
        <v>25</v>
      </c>
      <c r="AA275" s="287"/>
      <c r="AB275" s="287"/>
      <c r="AC275" s="272">
        <f t="shared" si="9"/>
        <v>5000000</v>
      </c>
      <c r="AD275" s="272">
        <v>5000000</v>
      </c>
      <c r="AE275" s="272">
        <f t="shared" si="10"/>
        <v>0</v>
      </c>
      <c r="AF275" s="273"/>
      <c r="AG275" s="274"/>
      <c r="AH275" s="273"/>
      <c r="AI275" s="273"/>
      <c r="AJ275" s="274"/>
      <c r="AK275" s="273"/>
      <c r="AL275" s="275"/>
      <c r="AM275" s="290"/>
      <c r="AN275" s="275"/>
      <c r="AO275" s="276"/>
      <c r="AP275" s="275"/>
      <c r="AQ275" s="275">
        <v>5000000</v>
      </c>
      <c r="AR275" s="275"/>
      <c r="AS275" s="275"/>
      <c r="AT275" s="275"/>
      <c r="AU275" s="275"/>
      <c r="AV275" s="275"/>
      <c r="AW275" s="275"/>
      <c r="AX275" s="275"/>
      <c r="AY275" s="275"/>
      <c r="AZ275" s="275"/>
      <c r="BA275" s="275"/>
      <c r="BB275" s="275"/>
      <c r="BC275" s="275"/>
      <c r="BD275" s="275"/>
      <c r="BE275" s="275"/>
      <c r="BF275" s="275"/>
      <c r="BH275" s="277"/>
    </row>
    <row r="276" spans="1:60" ht="16.5" customHeight="1">
      <c r="A276" s="260">
        <v>254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338</v>
      </c>
      <c r="K276" s="262"/>
      <c r="L276" s="262"/>
      <c r="M276" s="262">
        <v>57958</v>
      </c>
      <c r="N276" s="262" t="s">
        <v>17</v>
      </c>
      <c r="O276" s="262" t="s">
        <v>56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10209000</v>
      </c>
      <c r="V276" s="269">
        <v>2334000</v>
      </c>
      <c r="W276" s="278">
        <v>8010000</v>
      </c>
      <c r="X276" s="270"/>
      <c r="Y276" s="262" t="s">
        <v>27</v>
      </c>
      <c r="Z276" s="271" t="s">
        <v>27</v>
      </c>
      <c r="AA276" s="287"/>
      <c r="AB276" s="287"/>
      <c r="AC276" s="272">
        <f t="shared" si="9"/>
        <v>3000000</v>
      </c>
      <c r="AD276" s="272">
        <v>3000000</v>
      </c>
      <c r="AE276" s="272">
        <f t="shared" si="10"/>
        <v>0</v>
      </c>
      <c r="AF276" s="273"/>
      <c r="AG276" s="274"/>
      <c r="AH276" s="273"/>
      <c r="AI276" s="273"/>
      <c r="AJ276" s="274"/>
      <c r="AK276" s="273"/>
      <c r="AL276" s="275">
        <v>0</v>
      </c>
      <c r="AM276" s="290"/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>
        <v>3000000</v>
      </c>
      <c r="BD276" s="275"/>
      <c r="BE276" s="275"/>
      <c r="BF276" s="275"/>
      <c r="BH276" s="277"/>
    </row>
    <row r="277" spans="1:60" ht="16.5" customHeight="1">
      <c r="A277" s="260">
        <v>255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339</v>
      </c>
      <c r="K277" s="262"/>
      <c r="L277" s="262"/>
      <c r="M277" s="262">
        <v>10460</v>
      </c>
      <c r="N277" s="262" t="s">
        <v>32</v>
      </c>
      <c r="O277" s="262" t="s">
        <v>56</v>
      </c>
      <c r="P277" s="262" t="s">
        <v>156</v>
      </c>
      <c r="Q277" s="262" t="s">
        <v>63</v>
      </c>
      <c r="R277" s="262" t="s">
        <v>28</v>
      </c>
      <c r="S277" s="267" t="s">
        <v>28</v>
      </c>
      <c r="T277" s="268"/>
      <c r="U277" s="269" t="s">
        <v>154</v>
      </c>
      <c r="V277" s="269">
        <v>0</v>
      </c>
      <c r="W277" s="278">
        <v>118558380</v>
      </c>
      <c r="X277" s="270"/>
      <c r="Y277" s="262" t="s">
        <v>27</v>
      </c>
      <c r="Z277" s="271" t="s">
        <v>27</v>
      </c>
      <c r="AA277" s="287"/>
      <c r="AB277" s="287"/>
      <c r="AC277" s="272">
        <f t="shared" si="9"/>
        <v>130441620</v>
      </c>
      <c r="AD277" s="272">
        <v>130441620</v>
      </c>
      <c r="AE277" s="272">
        <f t="shared" si="10"/>
        <v>0</v>
      </c>
      <c r="AF277" s="273"/>
      <c r="AG277" s="274"/>
      <c r="AH277" s="273"/>
      <c r="AI277" s="273"/>
      <c r="AJ277" s="274"/>
      <c r="AK277" s="273"/>
      <c r="AL277" s="275">
        <v>20441620</v>
      </c>
      <c r="AM277" s="290">
        <v>20441620</v>
      </c>
      <c r="AN277" s="275"/>
      <c r="AO277" s="276"/>
      <c r="AP277" s="275"/>
      <c r="AQ277" s="275"/>
      <c r="AR277" s="275"/>
      <c r="AS277" s="275">
        <v>40000000</v>
      </c>
      <c r="AT277" s="275"/>
      <c r="AU277" s="275"/>
      <c r="AV277" s="275"/>
      <c r="AW277" s="275"/>
      <c r="AX277" s="275"/>
      <c r="AY277" s="275">
        <v>40000000</v>
      </c>
      <c r="AZ277" s="275"/>
      <c r="BA277" s="275"/>
      <c r="BB277" s="275"/>
      <c r="BC277" s="275"/>
      <c r="BD277" s="275"/>
      <c r="BE277" s="275">
        <v>30000000</v>
      </c>
      <c r="BF277" s="275"/>
      <c r="BH277" s="277"/>
    </row>
    <row r="278" spans="1:60" ht="16.5" customHeight="1">
      <c r="A278" s="260">
        <v>256</v>
      </c>
      <c r="B278" s="261"/>
      <c r="C278" s="261"/>
      <c r="D278" s="262" t="s">
        <v>15</v>
      </c>
      <c r="E278" s="262" t="s">
        <v>175</v>
      </c>
      <c r="F278" s="263" t="s">
        <v>15</v>
      </c>
      <c r="G278" s="264" t="s">
        <v>175</v>
      </c>
      <c r="H278" s="281"/>
      <c r="I278" s="265"/>
      <c r="J278" s="266" t="s">
        <v>1028</v>
      </c>
      <c r="K278" s="262"/>
      <c r="L278" s="262"/>
      <c r="M278" s="262">
        <v>2168</v>
      </c>
      <c r="N278" s="262" t="s">
        <v>53</v>
      </c>
      <c r="O278" s="262" t="s">
        <v>212</v>
      </c>
      <c r="P278" s="262" t="s">
        <v>57</v>
      </c>
      <c r="Q278" s="262" t="s">
        <v>30</v>
      </c>
      <c r="R278" s="262" t="s">
        <v>31</v>
      </c>
      <c r="S278" s="267" t="s">
        <v>31</v>
      </c>
      <c r="T278" s="268"/>
      <c r="U278" s="269">
        <v>10275000</v>
      </c>
      <c r="V278" s="269">
        <v>13875000</v>
      </c>
      <c r="W278" s="278">
        <v>14862500</v>
      </c>
      <c r="X278" s="270">
        <v>12037500</v>
      </c>
      <c r="Y278" s="262" t="s">
        <v>27</v>
      </c>
      <c r="Z278" s="271" t="s">
        <v>27</v>
      </c>
      <c r="AA278" s="287"/>
      <c r="AB278" s="287"/>
      <c r="AC278" s="272">
        <f t="shared" si="9"/>
        <v>8545000</v>
      </c>
      <c r="AD278" s="272">
        <v>8545000</v>
      </c>
      <c r="AE278" s="272">
        <f t="shared" si="10"/>
        <v>0</v>
      </c>
      <c r="AF278" s="273">
        <v>5000</v>
      </c>
      <c r="AG278" s="274">
        <v>5000</v>
      </c>
      <c r="AH278" s="273"/>
      <c r="AI278" s="273"/>
      <c r="AJ278" s="274"/>
      <c r="AK278" s="273"/>
      <c r="AL278" s="275">
        <v>4840000</v>
      </c>
      <c r="AM278" s="290">
        <v>40000</v>
      </c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>
        <v>8500000</v>
      </c>
      <c r="BF278" s="275"/>
      <c r="BH278" s="277"/>
    </row>
    <row r="279" spans="1:60" ht="16.5" customHeight="1">
      <c r="A279" s="260">
        <v>257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340</v>
      </c>
      <c r="K279" s="262"/>
      <c r="L279" s="262"/>
      <c r="M279" s="262">
        <v>2168</v>
      </c>
      <c r="N279" s="262" t="s">
        <v>53</v>
      </c>
      <c r="O279" s="262" t="s">
        <v>212</v>
      </c>
      <c r="P279" s="262" t="s">
        <v>57</v>
      </c>
      <c r="Q279" s="262" t="s">
        <v>30</v>
      </c>
      <c r="R279" s="262"/>
      <c r="S279" s="267" t="s">
        <v>468</v>
      </c>
      <c r="T279" s="268"/>
      <c r="U279" s="269"/>
      <c r="V279" s="269"/>
      <c r="W279" s="278">
        <v>0</v>
      </c>
      <c r="X279" s="270"/>
      <c r="Y279" s="262"/>
      <c r="Z279" s="271" t="s">
        <v>27</v>
      </c>
      <c r="AA279" s="287"/>
      <c r="AB279" s="287"/>
      <c r="AC279" s="272">
        <f t="shared" ref="AC279:AC342" si="11">AG279+AJ279+AM279+AO279+AQ279+AS279+AU279+AW279+AY279+BA279+BC279+BE279</f>
        <v>3150000</v>
      </c>
      <c r="AD279" s="272">
        <v>3150000</v>
      </c>
      <c r="AE279" s="272">
        <f t="shared" ref="AE279:AE342" si="12">AC279-AD279</f>
        <v>0</v>
      </c>
      <c r="AF279" s="273"/>
      <c r="AG279" s="274"/>
      <c r="AH279" s="273"/>
      <c r="AI279" s="273">
        <v>3000000</v>
      </c>
      <c r="AJ279" s="274">
        <v>3150000</v>
      </c>
      <c r="AK279" s="273"/>
      <c r="AL279" s="275">
        <v>2700000</v>
      </c>
      <c r="AM279" s="290">
        <v>0</v>
      </c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customHeight="1">
      <c r="A280" s="260">
        <v>258</v>
      </c>
      <c r="B280" s="261"/>
      <c r="C280" s="261"/>
      <c r="D280" s="262"/>
      <c r="E280" s="262"/>
      <c r="F280" s="263" t="s">
        <v>15</v>
      </c>
      <c r="G280" s="264" t="s">
        <v>175</v>
      </c>
      <c r="H280" s="281"/>
      <c r="I280" s="265"/>
      <c r="J280" s="266" t="s">
        <v>792</v>
      </c>
      <c r="K280" s="262"/>
      <c r="L280" s="262"/>
      <c r="M280" s="262">
        <v>55755</v>
      </c>
      <c r="N280" s="262"/>
      <c r="O280" s="262"/>
      <c r="P280" s="262"/>
      <c r="Q280" s="262"/>
      <c r="R280" s="262"/>
      <c r="S280" s="267" t="s">
        <v>31</v>
      </c>
      <c r="T280" s="268"/>
      <c r="U280" s="269"/>
      <c r="V280" s="269"/>
      <c r="W280" s="278">
        <v>3728000</v>
      </c>
      <c r="X280" s="270"/>
      <c r="Y280" s="262"/>
      <c r="Z280" s="271" t="s">
        <v>718</v>
      </c>
      <c r="AA280" s="287"/>
      <c r="AB280" s="287"/>
      <c r="AC280" s="272">
        <f t="shared" si="11"/>
        <v>0</v>
      </c>
      <c r="AD280" s="272">
        <v>0</v>
      </c>
      <c r="AE280" s="272">
        <f t="shared" si="12"/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/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customHeight="1">
      <c r="A281" s="260">
        <v>259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792</v>
      </c>
      <c r="K281" s="262"/>
      <c r="L281" s="262"/>
      <c r="M281" s="262">
        <v>55755</v>
      </c>
      <c r="N281" s="262" t="s">
        <v>22</v>
      </c>
      <c r="O281" s="262" t="s">
        <v>56</v>
      </c>
      <c r="P281" s="262"/>
      <c r="Q281" s="262" t="s">
        <v>62</v>
      </c>
      <c r="R281" s="262" t="s">
        <v>633</v>
      </c>
      <c r="S281" s="267" t="s">
        <v>833</v>
      </c>
      <c r="T281" s="268"/>
      <c r="U281" s="269"/>
      <c r="V281" s="269">
        <v>18060000</v>
      </c>
      <c r="W281" s="278">
        <v>0</v>
      </c>
      <c r="X281" s="270"/>
      <c r="Y281" s="262" t="s">
        <v>20</v>
      </c>
      <c r="Z281" s="271" t="s">
        <v>20</v>
      </c>
      <c r="AA281" s="287"/>
      <c r="AB281" s="287"/>
      <c r="AC281" s="272">
        <f t="shared" si="11"/>
        <v>0</v>
      </c>
      <c r="AD281" s="272">
        <v>0</v>
      </c>
      <c r="AE281" s="272">
        <f t="shared" si="12"/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/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customHeight="1">
      <c r="A282" s="260">
        <v>260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679</v>
      </c>
      <c r="K282" s="262"/>
      <c r="L282" s="262"/>
      <c r="M282" s="262">
        <v>12913</v>
      </c>
      <c r="N282" s="262" t="s">
        <v>22</v>
      </c>
      <c r="O282" s="262" t="s">
        <v>56</v>
      </c>
      <c r="P282" s="262" t="s">
        <v>156</v>
      </c>
      <c r="Q282" s="262" t="s">
        <v>18</v>
      </c>
      <c r="R282" s="262" t="s">
        <v>633</v>
      </c>
      <c r="S282" s="267" t="s">
        <v>833</v>
      </c>
      <c r="T282" s="268"/>
      <c r="U282" s="269">
        <v>7132700</v>
      </c>
      <c r="V282" s="269">
        <v>5411100</v>
      </c>
      <c r="W282" s="278">
        <v>8680000</v>
      </c>
      <c r="X282" s="270"/>
      <c r="Y282" s="262" t="s">
        <v>27</v>
      </c>
      <c r="Z282" s="271" t="s">
        <v>25</v>
      </c>
      <c r="AA282" s="287"/>
      <c r="AB282" s="287"/>
      <c r="AC282" s="272">
        <f t="shared" si="11"/>
        <v>8000000</v>
      </c>
      <c r="AD282" s="272">
        <v>8000000</v>
      </c>
      <c r="AE282" s="272">
        <f t="shared" si="12"/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>
        <v>8000000</v>
      </c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customHeight="1">
      <c r="A283" s="260">
        <v>261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342</v>
      </c>
      <c r="K283" s="262"/>
      <c r="L283" s="262"/>
      <c r="M283" s="262">
        <v>46587</v>
      </c>
      <c r="N283" s="262" t="s">
        <v>22</v>
      </c>
      <c r="O283" s="262" t="s">
        <v>56</v>
      </c>
      <c r="P283" s="262" t="s">
        <v>57</v>
      </c>
      <c r="Q283" s="262" t="s">
        <v>26</v>
      </c>
      <c r="R283" s="262" t="s">
        <v>468</v>
      </c>
      <c r="S283" s="267" t="s">
        <v>468</v>
      </c>
      <c r="T283" s="268"/>
      <c r="U283" s="269" t="s">
        <v>154</v>
      </c>
      <c r="V283" s="269">
        <v>8800000</v>
      </c>
      <c r="W283" s="278">
        <v>6600000</v>
      </c>
      <c r="X283" s="270"/>
      <c r="Y283" s="262" t="s">
        <v>27</v>
      </c>
      <c r="Z283" s="271" t="s">
        <v>24</v>
      </c>
      <c r="AA283" s="287"/>
      <c r="AB283" s="287"/>
      <c r="AC283" s="272">
        <f t="shared" si="11"/>
        <v>5000000</v>
      </c>
      <c r="AD283" s="272">
        <v>5000000</v>
      </c>
      <c r="AE283" s="272">
        <f t="shared" si="12"/>
        <v>0</v>
      </c>
      <c r="AF283" s="273"/>
      <c r="AG283" s="274"/>
      <c r="AH283" s="273"/>
      <c r="AI283" s="273"/>
      <c r="AJ283" s="274"/>
      <c r="AK283" s="273"/>
      <c r="AL283" s="275"/>
      <c r="AM283" s="290"/>
      <c r="AN283" s="275"/>
      <c r="AO283" s="276"/>
      <c r="AP283" s="275"/>
      <c r="AQ283" s="275">
        <v>5000000</v>
      </c>
      <c r="AR283" s="275"/>
      <c r="AS283" s="275"/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customHeight="1">
      <c r="A284" s="260">
        <v>262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342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23</v>
      </c>
      <c r="R284" s="262" t="s">
        <v>397</v>
      </c>
      <c r="S284" s="267" t="s">
        <v>823</v>
      </c>
      <c r="T284" s="268"/>
      <c r="U284" s="269">
        <v>640000</v>
      </c>
      <c r="V284" s="269">
        <v>0</v>
      </c>
      <c r="W284" s="278">
        <v>0</v>
      </c>
      <c r="X284" s="270"/>
      <c r="Y284" s="262" t="s">
        <v>21</v>
      </c>
      <c r="Z284" s="271" t="s">
        <v>21</v>
      </c>
      <c r="AA284" s="287"/>
      <c r="AB284" s="287"/>
      <c r="AC284" s="272">
        <f t="shared" si="11"/>
        <v>0</v>
      </c>
      <c r="AD284" s="272">
        <v>0</v>
      </c>
      <c r="AE284" s="272">
        <f t="shared" si="12"/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/>
      <c r="AV284" s="275"/>
      <c r="AW284" s="275"/>
      <c r="AX284" s="275"/>
      <c r="AY284" s="275"/>
      <c r="AZ284" s="275"/>
      <c r="BA284" s="275"/>
      <c r="BB284" s="275"/>
      <c r="BC284" s="275"/>
      <c r="BD284" s="275"/>
      <c r="BE284" s="275"/>
      <c r="BF284" s="275"/>
      <c r="BH284" s="277"/>
    </row>
    <row r="285" spans="1:60" ht="16.5" customHeight="1">
      <c r="A285" s="260">
        <v>263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561</v>
      </c>
      <c r="K285" s="262"/>
      <c r="L285" s="262"/>
      <c r="M285" s="262">
        <v>46587</v>
      </c>
      <c r="N285" s="262" t="s">
        <v>22</v>
      </c>
      <c r="O285" s="262" t="s">
        <v>212</v>
      </c>
      <c r="P285" s="262" t="s">
        <v>57</v>
      </c>
      <c r="Q285" s="262" t="s">
        <v>63</v>
      </c>
      <c r="R285" s="262" t="s">
        <v>28</v>
      </c>
      <c r="S285" s="267" t="s">
        <v>28</v>
      </c>
      <c r="T285" s="268" t="s">
        <v>951</v>
      </c>
      <c r="U285" s="269">
        <v>94955349</v>
      </c>
      <c r="V285" s="269">
        <v>107682588</v>
      </c>
      <c r="W285" s="278">
        <v>145855620</v>
      </c>
      <c r="X285" s="270"/>
      <c r="Y285" s="262" t="s">
        <v>27</v>
      </c>
      <c r="Z285" s="271" t="s">
        <v>27</v>
      </c>
      <c r="AA285" s="287"/>
      <c r="AB285" s="287"/>
      <c r="AC285" s="272">
        <f t="shared" si="11"/>
        <v>54267410</v>
      </c>
      <c r="AD285" s="272">
        <v>54267410</v>
      </c>
      <c r="AE285" s="272">
        <f t="shared" si="12"/>
        <v>0</v>
      </c>
      <c r="AF285" s="273">
        <v>7708220</v>
      </c>
      <c r="AG285" s="274">
        <v>7708220</v>
      </c>
      <c r="AH285" s="273"/>
      <c r="AI285" s="273">
        <v>10000000</v>
      </c>
      <c r="AJ285" s="274">
        <v>9785700</v>
      </c>
      <c r="AK285" s="273"/>
      <c r="AL285" s="275">
        <v>6773490</v>
      </c>
      <c r="AM285" s="290">
        <v>6773490</v>
      </c>
      <c r="AN285" s="275"/>
      <c r="AO285" s="276">
        <v>10000000</v>
      </c>
      <c r="AP285" s="275"/>
      <c r="AQ285" s="275">
        <v>10000000</v>
      </c>
      <c r="AR285" s="275"/>
      <c r="AS285" s="275">
        <v>10000000</v>
      </c>
      <c r="AT285" s="275"/>
      <c r="AU285" s="275"/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customHeight="1">
      <c r="A286" s="260">
        <v>264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746</v>
      </c>
      <c r="K286" s="262"/>
      <c r="L286" s="262"/>
      <c r="M286" s="262">
        <v>46587</v>
      </c>
      <c r="N286" s="262" t="s">
        <v>22</v>
      </c>
      <c r="O286" s="262" t="s">
        <v>56</v>
      </c>
      <c r="P286" s="262"/>
      <c r="Q286" s="262" t="s">
        <v>63</v>
      </c>
      <c r="R286" s="262" t="s">
        <v>28</v>
      </c>
      <c r="S286" s="267" t="s">
        <v>28</v>
      </c>
      <c r="T286" s="268"/>
      <c r="U286" s="269"/>
      <c r="V286" s="269">
        <v>0</v>
      </c>
      <c r="W286" s="278">
        <v>0</v>
      </c>
      <c r="X286" s="270"/>
      <c r="Y286" s="262" t="s">
        <v>562</v>
      </c>
      <c r="Z286" s="271" t="s">
        <v>24</v>
      </c>
      <c r="AA286" s="287"/>
      <c r="AB286" s="287"/>
      <c r="AC286" s="272">
        <f t="shared" si="11"/>
        <v>48000000</v>
      </c>
      <c r="AD286" s="272">
        <v>48000000</v>
      </c>
      <c r="AE286" s="272">
        <f t="shared" si="12"/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/>
      <c r="AR286" s="275"/>
      <c r="AS286" s="275"/>
      <c r="AT286" s="275"/>
      <c r="AU286" s="275">
        <v>8000000</v>
      </c>
      <c r="AV286" s="275"/>
      <c r="AW286" s="275">
        <v>8000000</v>
      </c>
      <c r="AX286" s="275"/>
      <c r="AY286" s="275">
        <v>8000000</v>
      </c>
      <c r="AZ286" s="275"/>
      <c r="BA286" s="275">
        <v>8000000</v>
      </c>
      <c r="BB286" s="275"/>
      <c r="BC286" s="275">
        <v>8000000</v>
      </c>
      <c r="BD286" s="275"/>
      <c r="BE286" s="275">
        <v>8000000</v>
      </c>
      <c r="BF286" s="275"/>
      <c r="BH286" s="277"/>
    </row>
    <row r="287" spans="1:60" ht="16.5" customHeight="1">
      <c r="A287" s="260">
        <v>265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649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18</v>
      </c>
      <c r="R287" s="262" t="s">
        <v>19</v>
      </c>
      <c r="S287" s="267" t="s">
        <v>19</v>
      </c>
      <c r="T287" s="268"/>
      <c r="U287" s="269">
        <v>73348060</v>
      </c>
      <c r="V287" s="269">
        <v>0</v>
      </c>
      <c r="W287" s="278">
        <v>0</v>
      </c>
      <c r="X287" s="270"/>
      <c r="Y287" s="262" t="s">
        <v>25</v>
      </c>
      <c r="Z287" s="271" t="s">
        <v>27</v>
      </c>
      <c r="AA287" s="287"/>
      <c r="AB287" s="287"/>
      <c r="AC287" s="272">
        <f t="shared" si="11"/>
        <v>25000000</v>
      </c>
      <c r="AD287" s="272">
        <v>25000000</v>
      </c>
      <c r="AE287" s="272">
        <f t="shared" si="12"/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>
        <v>25000000</v>
      </c>
      <c r="AV287" s="275"/>
      <c r="AW287" s="275"/>
      <c r="AX287" s="275"/>
      <c r="AY287" s="275"/>
      <c r="AZ287" s="275"/>
      <c r="BA287" s="275"/>
      <c r="BB287" s="275"/>
      <c r="BC287" s="275"/>
      <c r="BD287" s="275"/>
      <c r="BE287" s="275"/>
      <c r="BF287" s="275"/>
      <c r="BH287" s="277"/>
    </row>
    <row r="288" spans="1:60" ht="16.5" customHeight="1">
      <c r="A288" s="260">
        <v>266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649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26</v>
      </c>
      <c r="R288" s="262" t="s">
        <v>468</v>
      </c>
      <c r="S288" s="267" t="s">
        <v>468</v>
      </c>
      <c r="T288" s="268"/>
      <c r="U288" s="269" t="s">
        <v>154</v>
      </c>
      <c r="V288" s="269">
        <v>8448000</v>
      </c>
      <c r="W288" s="278">
        <v>3330000</v>
      </c>
      <c r="X288" s="270"/>
      <c r="Y288" s="262" t="s">
        <v>25</v>
      </c>
      <c r="Z288" s="271" t="s">
        <v>25</v>
      </c>
      <c r="AA288" s="287"/>
      <c r="AB288" s="287"/>
      <c r="AC288" s="272">
        <f t="shared" si="11"/>
        <v>30000000</v>
      </c>
      <c r="AD288" s="272">
        <v>30000000</v>
      </c>
      <c r="AE288" s="272">
        <f t="shared" si="12"/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>
        <v>10000000</v>
      </c>
      <c r="AR288" s="275"/>
      <c r="AS288" s="275"/>
      <c r="AT288" s="275"/>
      <c r="AU288" s="275"/>
      <c r="AV288" s="275"/>
      <c r="AW288" s="275">
        <v>10000000</v>
      </c>
      <c r="AX288" s="275"/>
      <c r="AY288" s="275"/>
      <c r="AZ288" s="275"/>
      <c r="BA288" s="275"/>
      <c r="BB288" s="275"/>
      <c r="BC288" s="275">
        <v>10000000</v>
      </c>
      <c r="BD288" s="275"/>
      <c r="BE288" s="275"/>
      <c r="BF288" s="275"/>
      <c r="BH288" s="277"/>
    </row>
    <row r="289" spans="1:60" ht="16.5" customHeight="1">
      <c r="A289" s="260">
        <v>267</v>
      </c>
      <c r="B289" s="261"/>
      <c r="C289" s="261"/>
      <c r="D289" s="262" t="s">
        <v>15</v>
      </c>
      <c r="E289" s="262" t="s">
        <v>175</v>
      </c>
      <c r="F289" s="263" t="s">
        <v>15</v>
      </c>
      <c r="G289" s="264" t="s">
        <v>175</v>
      </c>
      <c r="H289" s="281"/>
      <c r="I289" s="265"/>
      <c r="J289" s="266" t="s">
        <v>747</v>
      </c>
      <c r="K289" s="262"/>
      <c r="L289" s="262"/>
      <c r="M289" s="262">
        <v>787</v>
      </c>
      <c r="N289" s="262" t="s">
        <v>22</v>
      </c>
      <c r="O289" s="262" t="s">
        <v>35</v>
      </c>
      <c r="P289" s="262" t="s">
        <v>156</v>
      </c>
      <c r="Q289" s="262" t="s">
        <v>23</v>
      </c>
      <c r="R289" s="262" t="s">
        <v>397</v>
      </c>
      <c r="S289" s="267" t="s">
        <v>823</v>
      </c>
      <c r="T289" s="268"/>
      <c r="U289" s="269" t="s">
        <v>154</v>
      </c>
      <c r="V289" s="269">
        <v>0</v>
      </c>
      <c r="W289" s="278">
        <v>69700000</v>
      </c>
      <c r="X289" s="270"/>
      <c r="Y289" s="262" t="s">
        <v>25</v>
      </c>
      <c r="Z289" s="271" t="s">
        <v>25</v>
      </c>
      <c r="AA289" s="287"/>
      <c r="AB289" s="287"/>
      <c r="AC289" s="272">
        <f t="shared" si="11"/>
        <v>30000000</v>
      </c>
      <c r="AD289" s="272">
        <v>30000000</v>
      </c>
      <c r="AE289" s="272">
        <f t="shared" si="12"/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>
        <v>30000000</v>
      </c>
      <c r="BB289" s="275"/>
      <c r="BC289" s="275"/>
      <c r="BD289" s="275"/>
      <c r="BE289" s="275"/>
      <c r="BF289" s="275"/>
      <c r="BH289" s="277"/>
    </row>
    <row r="290" spans="1:60" ht="16.5" customHeight="1">
      <c r="A290" s="260">
        <v>268</v>
      </c>
      <c r="B290" s="261"/>
      <c r="C290" s="261"/>
      <c r="D290" s="262" t="s">
        <v>15</v>
      </c>
      <c r="E290" s="262" t="s">
        <v>175</v>
      </c>
      <c r="F290" s="263" t="s">
        <v>15</v>
      </c>
      <c r="G290" s="264" t="s">
        <v>175</v>
      </c>
      <c r="H290" s="281"/>
      <c r="I290" s="265"/>
      <c r="J290" s="266" t="s">
        <v>748</v>
      </c>
      <c r="K290" s="262"/>
      <c r="L290" s="262"/>
      <c r="M290" s="262">
        <v>787</v>
      </c>
      <c r="N290" s="262" t="s">
        <v>22</v>
      </c>
      <c r="O290" s="262" t="s">
        <v>56</v>
      </c>
      <c r="P290" s="262" t="s">
        <v>156</v>
      </c>
      <c r="Q290" s="262" t="s">
        <v>23</v>
      </c>
      <c r="R290" s="262" t="s">
        <v>397</v>
      </c>
      <c r="S290" s="267" t="s">
        <v>823</v>
      </c>
      <c r="T290" s="268"/>
      <c r="U290" s="269" t="s">
        <v>154</v>
      </c>
      <c r="V290" s="269">
        <v>84100000</v>
      </c>
      <c r="W290" s="278">
        <v>0</v>
      </c>
      <c r="X290" s="270"/>
      <c r="Y290" s="262" t="s">
        <v>27</v>
      </c>
      <c r="Z290" s="271" t="s">
        <v>74</v>
      </c>
      <c r="AA290" s="287"/>
      <c r="AB290" s="287"/>
      <c r="AC290" s="272">
        <f t="shared" si="11"/>
        <v>65000000</v>
      </c>
      <c r="AD290" s="272">
        <v>65000000</v>
      </c>
      <c r="AE290" s="272">
        <f t="shared" si="12"/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>
        <v>65000000</v>
      </c>
      <c r="AZ290" s="275"/>
      <c r="BA290" s="275"/>
      <c r="BB290" s="275"/>
      <c r="BC290" s="275"/>
      <c r="BD290" s="275"/>
      <c r="BE290" s="275"/>
      <c r="BF290" s="275"/>
      <c r="BH290" s="277"/>
    </row>
    <row r="291" spans="1:60" ht="16.5" customHeight="1">
      <c r="A291" s="260">
        <v>269</v>
      </c>
      <c r="B291" s="261"/>
      <c r="C291" s="261"/>
      <c r="D291" s="262" t="s">
        <v>112</v>
      </c>
      <c r="E291" s="262" t="s">
        <v>702</v>
      </c>
      <c r="F291" s="263" t="s">
        <v>15</v>
      </c>
      <c r="G291" s="264" t="s">
        <v>175</v>
      </c>
      <c r="H291" s="281"/>
      <c r="I291" s="265"/>
      <c r="J291" s="266" t="s">
        <v>793</v>
      </c>
      <c r="K291" s="262"/>
      <c r="L291" s="262"/>
      <c r="M291" s="262">
        <v>46973</v>
      </c>
      <c r="N291" s="262" t="s">
        <v>32</v>
      </c>
      <c r="O291" s="262" t="s">
        <v>56</v>
      </c>
      <c r="P291" s="262" t="s">
        <v>57</v>
      </c>
      <c r="Q291" s="262" t="s">
        <v>23</v>
      </c>
      <c r="R291" s="262" t="s">
        <v>397</v>
      </c>
      <c r="S291" s="267" t="s">
        <v>823</v>
      </c>
      <c r="T291" s="268"/>
      <c r="U291" s="269"/>
      <c r="V291" s="269">
        <v>114000000</v>
      </c>
      <c r="W291" s="278">
        <v>0</v>
      </c>
      <c r="X291" s="270"/>
      <c r="Y291" s="262" t="s">
        <v>24</v>
      </c>
      <c r="Z291" s="271" t="s">
        <v>562</v>
      </c>
      <c r="AA291" s="287"/>
      <c r="AB291" s="287"/>
      <c r="AC291" s="272">
        <f t="shared" si="11"/>
        <v>100000000</v>
      </c>
      <c r="AD291" s="272">
        <v>100000000</v>
      </c>
      <c r="AE291" s="272">
        <f t="shared" si="12"/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100000000</v>
      </c>
      <c r="BF291" s="275"/>
      <c r="BH291" s="277"/>
    </row>
    <row r="292" spans="1:60" ht="16.5" customHeight="1">
      <c r="A292" s="260">
        <v>270</v>
      </c>
      <c r="B292" s="261"/>
      <c r="C292" s="261"/>
      <c r="D292" s="262" t="s">
        <v>112</v>
      </c>
      <c r="E292" s="262" t="s">
        <v>702</v>
      </c>
      <c r="F292" s="263" t="s">
        <v>15</v>
      </c>
      <c r="G292" s="264" t="s">
        <v>175</v>
      </c>
      <c r="H292" s="281"/>
      <c r="I292" s="265"/>
      <c r="J292" s="266" t="s">
        <v>793</v>
      </c>
      <c r="K292" s="262"/>
      <c r="L292" s="262"/>
      <c r="M292" s="262">
        <v>46973</v>
      </c>
      <c r="N292" s="262" t="s">
        <v>32</v>
      </c>
      <c r="O292" s="262"/>
      <c r="P292" s="262"/>
      <c r="Q292" s="262"/>
      <c r="R292" s="262" t="s">
        <v>472</v>
      </c>
      <c r="S292" s="267" t="s">
        <v>824</v>
      </c>
      <c r="T292" s="268"/>
      <c r="U292" s="269"/>
      <c r="V292" s="269">
        <v>0</v>
      </c>
      <c r="W292" s="278">
        <v>0</v>
      </c>
      <c r="X292" s="270"/>
      <c r="Y292" s="262" t="s">
        <v>24</v>
      </c>
      <c r="Z292" s="271" t="s">
        <v>562</v>
      </c>
      <c r="AA292" s="287"/>
      <c r="AB292" s="287"/>
      <c r="AC292" s="272">
        <f t="shared" si="11"/>
        <v>170000000</v>
      </c>
      <c r="AD292" s="272">
        <v>170000000</v>
      </c>
      <c r="AE292" s="272">
        <f t="shared" si="12"/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>
        <v>170000000</v>
      </c>
      <c r="BF292" s="275"/>
      <c r="BH292" s="277"/>
    </row>
    <row r="293" spans="1:60" ht="16.5" customHeight="1">
      <c r="A293" s="260">
        <v>271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680</v>
      </c>
      <c r="K293" s="262"/>
      <c r="L293" s="262"/>
      <c r="M293" s="262">
        <v>27194</v>
      </c>
      <c r="N293" s="262" t="s">
        <v>22</v>
      </c>
      <c r="O293" s="262" t="s">
        <v>56</v>
      </c>
      <c r="P293" s="262" t="s">
        <v>57</v>
      </c>
      <c r="Q293" s="262" t="s">
        <v>30</v>
      </c>
      <c r="R293" s="262" t="s">
        <v>31</v>
      </c>
      <c r="S293" s="267" t="s">
        <v>31</v>
      </c>
      <c r="T293" s="268"/>
      <c r="U293" s="269"/>
      <c r="V293" s="269">
        <v>0</v>
      </c>
      <c r="W293" s="278">
        <v>7357500</v>
      </c>
      <c r="X293" s="270"/>
      <c r="Y293" s="262" t="s">
        <v>27</v>
      </c>
      <c r="Z293" s="271" t="s">
        <v>562</v>
      </c>
      <c r="AA293" s="287"/>
      <c r="AB293" s="287"/>
      <c r="AC293" s="272">
        <f t="shared" si="11"/>
        <v>7500000</v>
      </c>
      <c r="AD293" s="272">
        <v>7500000</v>
      </c>
      <c r="AE293" s="272">
        <f t="shared" si="12"/>
        <v>0</v>
      </c>
      <c r="AF293" s="273"/>
      <c r="AG293" s="274"/>
      <c r="AH293" s="273"/>
      <c r="AI293" s="273"/>
      <c r="AJ293" s="274"/>
      <c r="AK293" s="273"/>
      <c r="AL293" s="275"/>
      <c r="AM293" s="290"/>
      <c r="AN293" s="275"/>
      <c r="AO293" s="276"/>
      <c r="AP293" s="275"/>
      <c r="AQ293" s="275"/>
      <c r="AR293" s="275"/>
      <c r="AS293" s="275"/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>
        <v>7500000</v>
      </c>
      <c r="BF293" s="275"/>
      <c r="BH293" s="277"/>
    </row>
    <row r="294" spans="1:60" ht="16.5" customHeight="1">
      <c r="A294" s="260">
        <v>272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344</v>
      </c>
      <c r="K294" s="262"/>
      <c r="L294" s="262"/>
      <c r="M294" s="262">
        <v>49976</v>
      </c>
      <c r="N294" s="262" t="s">
        <v>22</v>
      </c>
      <c r="O294" s="262" t="s">
        <v>56</v>
      </c>
      <c r="P294" s="262" t="s">
        <v>57</v>
      </c>
      <c r="Q294" s="262" t="s">
        <v>18</v>
      </c>
      <c r="R294" s="262" t="s">
        <v>19</v>
      </c>
      <c r="S294" s="267" t="s">
        <v>19</v>
      </c>
      <c r="T294" s="268"/>
      <c r="U294" s="269">
        <v>8000000</v>
      </c>
      <c r="V294" s="269">
        <v>8000000</v>
      </c>
      <c r="W294" s="278">
        <v>4000000</v>
      </c>
      <c r="X294" s="270">
        <v>0</v>
      </c>
      <c r="Y294" s="262" t="s">
        <v>24</v>
      </c>
      <c r="Z294" s="271" t="s">
        <v>718</v>
      </c>
      <c r="AA294" s="287"/>
      <c r="AB294" s="287"/>
      <c r="AC294" s="272">
        <f t="shared" si="11"/>
        <v>0</v>
      </c>
      <c r="AD294" s="272">
        <v>0</v>
      </c>
      <c r="AE294" s="272">
        <f t="shared" si="12"/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/>
      <c r="AV294" s="275"/>
      <c r="AW294" s="275"/>
      <c r="AX294" s="275"/>
      <c r="AY294" s="275"/>
      <c r="AZ294" s="275"/>
      <c r="BA294" s="275"/>
      <c r="BB294" s="275"/>
      <c r="BC294" s="275"/>
      <c r="BD294" s="275"/>
      <c r="BE294" s="275"/>
      <c r="BF294" s="275"/>
      <c r="BH294" s="277"/>
    </row>
    <row r="295" spans="1:60" ht="16.5" customHeight="1">
      <c r="A295" s="260">
        <v>273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749</v>
      </c>
      <c r="K295" s="262"/>
      <c r="L295" s="262"/>
      <c r="M295" s="262">
        <v>3640</v>
      </c>
      <c r="N295" s="262" t="s">
        <v>22</v>
      </c>
      <c r="O295" s="262" t="s">
        <v>212</v>
      </c>
      <c r="P295" s="262" t="s">
        <v>57</v>
      </c>
      <c r="Q295" s="262" t="s">
        <v>63</v>
      </c>
      <c r="R295" s="262" t="s">
        <v>28</v>
      </c>
      <c r="S295" s="267" t="s">
        <v>28</v>
      </c>
      <c r="T295" s="268" t="s">
        <v>951</v>
      </c>
      <c r="U295" s="269">
        <v>189992708</v>
      </c>
      <c r="V295" s="269">
        <v>201131700</v>
      </c>
      <c r="W295" s="278">
        <v>243218555</v>
      </c>
      <c r="X295" s="270"/>
      <c r="Y295" s="262" t="s">
        <v>27</v>
      </c>
      <c r="Z295" s="271" t="s">
        <v>27</v>
      </c>
      <c r="AA295" s="287"/>
      <c r="AB295" s="287"/>
      <c r="AC295" s="272">
        <f t="shared" si="11"/>
        <v>106538580</v>
      </c>
      <c r="AD295" s="272">
        <v>106538580</v>
      </c>
      <c r="AE295" s="272">
        <f t="shared" si="12"/>
        <v>0</v>
      </c>
      <c r="AF295" s="273">
        <v>19749105</v>
      </c>
      <c r="AG295" s="274">
        <v>15749105</v>
      </c>
      <c r="AH295" s="273"/>
      <c r="AI295" s="273">
        <v>15000000</v>
      </c>
      <c r="AJ295" s="274">
        <v>22157575</v>
      </c>
      <c r="AK295" s="273"/>
      <c r="AL295" s="275">
        <v>23631900</v>
      </c>
      <c r="AM295" s="290">
        <v>23631900</v>
      </c>
      <c r="AN295" s="275"/>
      <c r="AO295" s="276">
        <v>15000000</v>
      </c>
      <c r="AP295" s="275"/>
      <c r="AQ295" s="275">
        <v>15000000</v>
      </c>
      <c r="AR295" s="275"/>
      <c r="AS295" s="275">
        <v>15000000</v>
      </c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customHeight="1">
      <c r="A296" s="260">
        <v>274</v>
      </c>
      <c r="B296" s="261"/>
      <c r="C296" s="261"/>
      <c r="D296" s="262" t="s">
        <v>15</v>
      </c>
      <c r="E296" s="262" t="s">
        <v>175</v>
      </c>
      <c r="F296" s="263" t="s">
        <v>15</v>
      </c>
      <c r="G296" s="264" t="s">
        <v>175</v>
      </c>
      <c r="H296" s="281"/>
      <c r="I296" s="265"/>
      <c r="J296" s="266" t="s">
        <v>750</v>
      </c>
      <c r="K296" s="262"/>
      <c r="L296" s="262"/>
      <c r="M296" s="262">
        <v>3640</v>
      </c>
      <c r="N296" s="262" t="s">
        <v>22</v>
      </c>
      <c r="O296" s="262" t="s">
        <v>56</v>
      </c>
      <c r="P296" s="262" t="s">
        <v>57</v>
      </c>
      <c r="Q296" s="262" t="s">
        <v>63</v>
      </c>
      <c r="R296" s="262" t="s">
        <v>468</v>
      </c>
      <c r="S296" s="267" t="s">
        <v>468</v>
      </c>
      <c r="T296" s="268"/>
      <c r="U296" s="269"/>
      <c r="V296" s="269">
        <v>0</v>
      </c>
      <c r="W296" s="278">
        <v>0</v>
      </c>
      <c r="X296" s="270"/>
      <c r="Y296" s="262" t="s">
        <v>25</v>
      </c>
      <c r="Z296" s="271" t="s">
        <v>24</v>
      </c>
      <c r="AA296" s="287"/>
      <c r="AB296" s="287"/>
      <c r="AC296" s="272">
        <f t="shared" si="11"/>
        <v>90000000</v>
      </c>
      <c r="AD296" s="272">
        <v>90000000</v>
      </c>
      <c r="AE296" s="272">
        <f t="shared" si="12"/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>
        <v>15000000</v>
      </c>
      <c r="AV296" s="275"/>
      <c r="AW296" s="275">
        <v>15000000</v>
      </c>
      <c r="AX296" s="275"/>
      <c r="AY296" s="275">
        <v>15000000</v>
      </c>
      <c r="AZ296" s="275"/>
      <c r="BA296" s="275">
        <v>15000000</v>
      </c>
      <c r="BB296" s="275"/>
      <c r="BC296" s="275">
        <v>15000000</v>
      </c>
      <c r="BD296" s="275"/>
      <c r="BE296" s="275">
        <v>15000000</v>
      </c>
      <c r="BF296" s="275"/>
      <c r="BH296" s="277"/>
    </row>
    <row r="297" spans="1:60" ht="16.5" customHeight="1">
      <c r="A297" s="260">
        <v>275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345</v>
      </c>
      <c r="K297" s="262"/>
      <c r="L297" s="262"/>
      <c r="M297" s="262">
        <v>47109</v>
      </c>
      <c r="N297" s="262" t="s">
        <v>32</v>
      </c>
      <c r="O297" s="262" t="s">
        <v>56</v>
      </c>
      <c r="P297" s="262" t="s">
        <v>57</v>
      </c>
      <c r="Q297" s="262" t="s">
        <v>26</v>
      </c>
      <c r="R297" s="262" t="s">
        <v>468</v>
      </c>
      <c r="S297" s="267" t="s">
        <v>468</v>
      </c>
      <c r="T297" s="268"/>
      <c r="U297" s="269">
        <v>8500000</v>
      </c>
      <c r="V297" s="269">
        <v>9650000</v>
      </c>
      <c r="W297" s="278">
        <v>0</v>
      </c>
      <c r="X297" s="270"/>
      <c r="Y297" s="262" t="s">
        <v>25</v>
      </c>
      <c r="Z297" s="271" t="s">
        <v>20</v>
      </c>
      <c r="AA297" s="287"/>
      <c r="AB297" s="287"/>
      <c r="AC297" s="272">
        <f t="shared" si="11"/>
        <v>0</v>
      </c>
      <c r="AD297" s="272">
        <v>0</v>
      </c>
      <c r="AE297" s="272">
        <f t="shared" si="12"/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/>
      <c r="AP297" s="275"/>
      <c r="AQ297" s="275"/>
      <c r="AR297" s="275"/>
      <c r="AS297" s="275"/>
      <c r="AT297" s="275"/>
      <c r="AU297" s="275"/>
      <c r="AV297" s="275"/>
      <c r="AW297" s="275"/>
      <c r="AX297" s="275"/>
      <c r="AY297" s="275"/>
      <c r="AZ297" s="275"/>
      <c r="BA297" s="275"/>
      <c r="BB297" s="275"/>
      <c r="BC297" s="275"/>
      <c r="BD297" s="275"/>
      <c r="BE297" s="275"/>
      <c r="BF297" s="275"/>
      <c r="BH297" s="277"/>
    </row>
    <row r="298" spans="1:60" ht="16.5" customHeight="1">
      <c r="A298" s="260">
        <v>276</v>
      </c>
      <c r="B298" s="261"/>
      <c r="C298" s="261"/>
      <c r="D298" s="262"/>
      <c r="E298" s="262"/>
      <c r="F298" s="263" t="s">
        <v>15</v>
      </c>
      <c r="G298" s="264" t="s">
        <v>175</v>
      </c>
      <c r="H298" s="281"/>
      <c r="I298" s="265"/>
      <c r="J298" s="266" t="s">
        <v>915</v>
      </c>
      <c r="K298" s="262"/>
      <c r="L298" s="262"/>
      <c r="M298" s="262">
        <v>42940</v>
      </c>
      <c r="N298" s="262"/>
      <c r="O298" s="262"/>
      <c r="P298" s="262"/>
      <c r="Q298" s="262"/>
      <c r="R298" s="262"/>
      <c r="S298" s="267" t="s">
        <v>28</v>
      </c>
      <c r="T298" s="268"/>
      <c r="U298" s="269"/>
      <c r="V298" s="269"/>
      <c r="W298" s="278">
        <v>159405700</v>
      </c>
      <c r="X298" s="270">
        <v>0</v>
      </c>
      <c r="Y298" s="262"/>
      <c r="Z298" s="271" t="s">
        <v>562</v>
      </c>
      <c r="AA298" s="287"/>
      <c r="AB298" s="287"/>
      <c r="AC298" s="272">
        <f t="shared" si="11"/>
        <v>0</v>
      </c>
      <c r="AD298" s="272">
        <v>0</v>
      </c>
      <c r="AE298" s="272">
        <f t="shared" si="12"/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/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/>
      <c r="BF298" s="275"/>
      <c r="BH298" s="277"/>
    </row>
    <row r="299" spans="1:60" ht="16.5" customHeight="1">
      <c r="A299" s="260">
        <v>277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346</v>
      </c>
      <c r="K299" s="262"/>
      <c r="L299" s="262"/>
      <c r="M299" s="262">
        <v>7740</v>
      </c>
      <c r="N299" s="262" t="s">
        <v>32</v>
      </c>
      <c r="O299" s="262" t="s">
        <v>212</v>
      </c>
      <c r="P299" s="262" t="s">
        <v>124</v>
      </c>
      <c r="Q299" s="262" t="s">
        <v>44</v>
      </c>
      <c r="R299" s="262" t="s">
        <v>469</v>
      </c>
      <c r="S299" s="267" t="s">
        <v>469</v>
      </c>
      <c r="T299" s="268"/>
      <c r="U299" s="269">
        <v>27130232</v>
      </c>
      <c r="V299" s="269">
        <v>155823387</v>
      </c>
      <c r="W299" s="278">
        <v>17050636</v>
      </c>
      <c r="X299" s="270"/>
      <c r="Y299" s="262" t="s">
        <v>27</v>
      </c>
      <c r="Z299" s="271" t="s">
        <v>27</v>
      </c>
      <c r="AA299" s="287"/>
      <c r="AB299" s="287"/>
      <c r="AC299" s="272">
        <f t="shared" si="11"/>
        <v>15000000</v>
      </c>
      <c r="AD299" s="272">
        <v>15000000</v>
      </c>
      <c r="AE299" s="272">
        <f t="shared" si="12"/>
        <v>0</v>
      </c>
      <c r="AF299" s="273"/>
      <c r="AG299" s="274"/>
      <c r="AH299" s="273"/>
      <c r="AI299" s="273"/>
      <c r="AJ299" s="274"/>
      <c r="AK299" s="273"/>
      <c r="AL299" s="275"/>
      <c r="AM299" s="290"/>
      <c r="AN299" s="275"/>
      <c r="AO299" s="276">
        <v>5000000</v>
      </c>
      <c r="AP299" s="275"/>
      <c r="AQ299" s="275"/>
      <c r="AR299" s="275"/>
      <c r="AS299" s="275"/>
      <c r="AT299" s="275"/>
      <c r="AU299" s="275"/>
      <c r="AV299" s="275"/>
      <c r="AW299" s="275">
        <v>5000000</v>
      </c>
      <c r="AX299" s="275"/>
      <c r="AY299" s="275"/>
      <c r="AZ299" s="275"/>
      <c r="BA299" s="275"/>
      <c r="BB299" s="275"/>
      <c r="BC299" s="275"/>
      <c r="BD299" s="275"/>
      <c r="BE299" s="275">
        <v>5000000</v>
      </c>
      <c r="BF299" s="275"/>
      <c r="BH299" s="277"/>
    </row>
    <row r="300" spans="1:60" ht="16.5" customHeight="1">
      <c r="A300" s="260">
        <v>278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751</v>
      </c>
      <c r="K300" s="262"/>
      <c r="L300" s="262"/>
      <c r="M300" s="262">
        <v>42940</v>
      </c>
      <c r="N300" s="262" t="s">
        <v>32</v>
      </c>
      <c r="O300" s="262" t="s">
        <v>56</v>
      </c>
      <c r="P300" s="262" t="s">
        <v>57</v>
      </c>
      <c r="Q300" s="262" t="s">
        <v>26</v>
      </c>
      <c r="R300" s="262" t="s">
        <v>468</v>
      </c>
      <c r="S300" s="267" t="s">
        <v>468</v>
      </c>
      <c r="T300" s="268"/>
      <c r="U300" s="269" t="s">
        <v>154</v>
      </c>
      <c r="V300" s="269">
        <v>106631818</v>
      </c>
      <c r="W300" s="278">
        <v>30836836</v>
      </c>
      <c r="X300" s="270"/>
      <c r="Y300" s="262" t="s">
        <v>74</v>
      </c>
      <c r="Z300" s="271" t="s">
        <v>74</v>
      </c>
      <c r="AA300" s="287"/>
      <c r="AB300" s="287"/>
      <c r="AC300" s="272">
        <f t="shared" si="11"/>
        <v>220000000</v>
      </c>
      <c r="AD300" s="272">
        <v>220000000</v>
      </c>
      <c r="AE300" s="272">
        <f t="shared" si="12"/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190000000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30000000</v>
      </c>
      <c r="BF300" s="275"/>
      <c r="BH300" s="277"/>
    </row>
    <row r="301" spans="1:60" ht="16.5" customHeight="1">
      <c r="A301" s="260">
        <v>279</v>
      </c>
      <c r="B301" s="261"/>
      <c r="C301" s="261"/>
      <c r="D301" s="262" t="s">
        <v>15</v>
      </c>
      <c r="E301" s="262" t="s">
        <v>175</v>
      </c>
      <c r="F301" s="263" t="s">
        <v>15</v>
      </c>
      <c r="G301" s="264" t="s">
        <v>175</v>
      </c>
      <c r="H301" s="281"/>
      <c r="I301" s="265"/>
      <c r="J301" s="266" t="s">
        <v>622</v>
      </c>
      <c r="K301" s="262"/>
      <c r="L301" s="262"/>
      <c r="M301" s="262">
        <v>42940</v>
      </c>
      <c r="N301" s="262" t="s">
        <v>32</v>
      </c>
      <c r="O301" s="262" t="s">
        <v>56</v>
      </c>
      <c r="P301" s="262" t="s">
        <v>57</v>
      </c>
      <c r="Q301" s="262" t="s">
        <v>63</v>
      </c>
      <c r="R301" s="262" t="s">
        <v>47</v>
      </c>
      <c r="S301" s="267" t="s">
        <v>28</v>
      </c>
      <c r="T301" s="268"/>
      <c r="U301" s="269">
        <v>204578707</v>
      </c>
      <c r="V301" s="269">
        <v>179197380</v>
      </c>
      <c r="W301" s="278">
        <v>0</v>
      </c>
      <c r="X301" s="270">
        <v>150970800</v>
      </c>
      <c r="Y301" s="262" t="s">
        <v>27</v>
      </c>
      <c r="Z301" s="271" t="s">
        <v>27</v>
      </c>
      <c r="AA301" s="287"/>
      <c r="AB301" s="287"/>
      <c r="AC301" s="272">
        <f t="shared" si="11"/>
        <v>131080000</v>
      </c>
      <c r="AD301" s="272">
        <v>131080000</v>
      </c>
      <c r="AE301" s="272">
        <f t="shared" si="12"/>
        <v>0</v>
      </c>
      <c r="AF301" s="273"/>
      <c r="AG301" s="274"/>
      <c r="AH301" s="273"/>
      <c r="AI301" s="273"/>
      <c r="AJ301" s="274"/>
      <c r="AK301" s="273"/>
      <c r="AL301" s="275">
        <v>1080000</v>
      </c>
      <c r="AM301" s="290">
        <v>1080000</v>
      </c>
      <c r="AN301" s="275"/>
      <c r="AO301" s="276"/>
      <c r="AP301" s="275"/>
      <c r="AQ301" s="275">
        <v>40000000</v>
      </c>
      <c r="AR301" s="275"/>
      <c r="AS301" s="275"/>
      <c r="AT301" s="275"/>
      <c r="AU301" s="275"/>
      <c r="AV301" s="275"/>
      <c r="AW301" s="275">
        <v>40000000</v>
      </c>
      <c r="AX301" s="275"/>
      <c r="AY301" s="275"/>
      <c r="AZ301" s="275"/>
      <c r="BA301" s="275"/>
      <c r="BB301" s="275"/>
      <c r="BC301" s="275">
        <v>50000000</v>
      </c>
      <c r="BD301" s="275"/>
      <c r="BE301" s="275"/>
      <c r="BF301" s="275"/>
      <c r="BH301" s="277"/>
    </row>
    <row r="302" spans="1:60" ht="16.5" customHeight="1">
      <c r="A302" s="260">
        <v>280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657</v>
      </c>
      <c r="K302" s="262"/>
      <c r="L302" s="262"/>
      <c r="M302" s="262">
        <v>7740</v>
      </c>
      <c r="N302" s="262" t="s">
        <v>32</v>
      </c>
      <c r="O302" s="262" t="s">
        <v>56</v>
      </c>
      <c r="P302" s="262" t="s">
        <v>57</v>
      </c>
      <c r="Q302" s="262" t="s">
        <v>44</v>
      </c>
      <c r="R302" s="262" t="s">
        <v>469</v>
      </c>
      <c r="S302" s="267" t="s">
        <v>469</v>
      </c>
      <c r="T302" s="268"/>
      <c r="U302" s="269">
        <v>96000000</v>
      </c>
      <c r="V302" s="269">
        <v>0</v>
      </c>
      <c r="W302" s="278">
        <v>130909091</v>
      </c>
      <c r="X302" s="270"/>
      <c r="Y302" s="262" t="s">
        <v>27</v>
      </c>
      <c r="Z302" s="271" t="s">
        <v>27</v>
      </c>
      <c r="AA302" s="287"/>
      <c r="AB302" s="287"/>
      <c r="AC302" s="272">
        <f t="shared" si="11"/>
        <v>130000000</v>
      </c>
      <c r="AD302" s="272">
        <v>130000000</v>
      </c>
      <c r="AE302" s="272">
        <f t="shared" si="12"/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90000000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>
        <v>40000000</v>
      </c>
      <c r="BF302" s="275"/>
      <c r="BH302" s="277"/>
    </row>
    <row r="303" spans="1:60" ht="16.5" customHeight="1">
      <c r="A303" s="260">
        <v>281</v>
      </c>
      <c r="B303" s="261"/>
      <c r="C303" s="261"/>
      <c r="D303" s="262"/>
      <c r="E303" s="262"/>
      <c r="F303" s="263" t="s">
        <v>15</v>
      </c>
      <c r="G303" s="264" t="s">
        <v>175</v>
      </c>
      <c r="H303" s="281"/>
      <c r="I303" s="265"/>
      <c r="J303" s="266" t="s">
        <v>916</v>
      </c>
      <c r="K303" s="262"/>
      <c r="L303" s="262"/>
      <c r="M303" s="262">
        <v>63615</v>
      </c>
      <c r="N303" s="262"/>
      <c r="O303" s="262"/>
      <c r="P303" s="262"/>
      <c r="Q303" s="262"/>
      <c r="R303" s="262"/>
      <c r="S303" s="267" t="s">
        <v>31</v>
      </c>
      <c r="T303" s="268"/>
      <c r="U303" s="269"/>
      <c r="V303" s="269"/>
      <c r="W303" s="278">
        <v>6789000</v>
      </c>
      <c r="X303" s="270"/>
      <c r="Y303" s="262"/>
      <c r="Z303" s="271" t="s">
        <v>27</v>
      </c>
      <c r="AA303" s="287"/>
      <c r="AB303" s="287"/>
      <c r="AC303" s="272">
        <f t="shared" si="11"/>
        <v>4100000</v>
      </c>
      <c r="AD303" s="272">
        <v>4100000</v>
      </c>
      <c r="AE303" s="272">
        <f t="shared" si="12"/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>
        <v>4100000</v>
      </c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customHeight="1">
      <c r="A304" s="260">
        <v>282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197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57</v>
      </c>
      <c r="Q304" s="262" t="s">
        <v>18</v>
      </c>
      <c r="R304" s="262" t="s">
        <v>28</v>
      </c>
      <c r="S304" s="267" t="s">
        <v>19</v>
      </c>
      <c r="T304" s="268"/>
      <c r="U304" s="269">
        <v>14620000</v>
      </c>
      <c r="V304" s="269">
        <v>0</v>
      </c>
      <c r="W304" s="278">
        <v>0</v>
      </c>
      <c r="X304" s="270"/>
      <c r="Y304" s="262" t="s">
        <v>25</v>
      </c>
      <c r="Z304" s="271" t="s">
        <v>25</v>
      </c>
      <c r="AA304" s="287"/>
      <c r="AB304" s="287"/>
      <c r="AC304" s="272">
        <f t="shared" si="11"/>
        <v>30000000</v>
      </c>
      <c r="AD304" s="272">
        <v>30000000</v>
      </c>
      <c r="AE304" s="272">
        <f t="shared" si="12"/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>
        <v>30000000</v>
      </c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customHeight="1">
      <c r="A305" s="260">
        <v>283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198</v>
      </c>
      <c r="K305" s="262"/>
      <c r="L305" s="262"/>
      <c r="M305" s="262">
        <v>1829</v>
      </c>
      <c r="N305" s="262" t="s">
        <v>22</v>
      </c>
      <c r="O305" s="262" t="s">
        <v>56</v>
      </c>
      <c r="P305" s="262"/>
      <c r="Q305" s="262" t="s">
        <v>58</v>
      </c>
      <c r="R305" s="262" t="s">
        <v>470</v>
      </c>
      <c r="S305" s="267" t="s">
        <v>822</v>
      </c>
      <c r="T305" s="268"/>
      <c r="U305" s="269"/>
      <c r="V305" s="269">
        <v>2500000</v>
      </c>
      <c r="W305" s="278">
        <v>0</v>
      </c>
      <c r="X305" s="270"/>
      <c r="Y305" s="262" t="s">
        <v>24</v>
      </c>
      <c r="Z305" s="271" t="s">
        <v>20</v>
      </c>
      <c r="AA305" s="287"/>
      <c r="AB305" s="287"/>
      <c r="AC305" s="272">
        <f t="shared" si="11"/>
        <v>0</v>
      </c>
      <c r="AD305" s="272">
        <v>0</v>
      </c>
      <c r="AE305" s="272">
        <f t="shared" si="12"/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customHeight="1">
      <c r="A306" s="260">
        <v>284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199</v>
      </c>
      <c r="K306" s="262"/>
      <c r="L306" s="262"/>
      <c r="M306" s="262">
        <v>1829</v>
      </c>
      <c r="N306" s="262" t="s">
        <v>22</v>
      </c>
      <c r="O306" s="262" t="s">
        <v>35</v>
      </c>
      <c r="P306" s="262" t="s">
        <v>156</v>
      </c>
      <c r="Q306" s="262"/>
      <c r="R306" s="262" t="s">
        <v>468</v>
      </c>
      <c r="S306" s="267" t="s">
        <v>468</v>
      </c>
      <c r="T306" s="268"/>
      <c r="U306" s="269"/>
      <c r="V306" s="269">
        <v>0</v>
      </c>
      <c r="W306" s="278">
        <v>0</v>
      </c>
      <c r="X306" s="270"/>
      <c r="Y306" s="262" t="s">
        <v>25</v>
      </c>
      <c r="Z306" s="271" t="s">
        <v>718</v>
      </c>
      <c r="AA306" s="287"/>
      <c r="AB306" s="287"/>
      <c r="AC306" s="272">
        <f t="shared" si="11"/>
        <v>0</v>
      </c>
      <c r="AD306" s="272">
        <v>0</v>
      </c>
      <c r="AE306" s="272">
        <f t="shared" si="12"/>
        <v>0</v>
      </c>
      <c r="AF306" s="273"/>
      <c r="AG306" s="274"/>
      <c r="AH306" s="273"/>
      <c r="AI306" s="273"/>
      <c r="AJ306" s="274"/>
      <c r="AK306" s="273"/>
      <c r="AL306" s="275"/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/>
      <c r="BF306" s="275"/>
      <c r="BH306" s="277"/>
    </row>
    <row r="307" spans="1:60" ht="16.5" customHeight="1">
      <c r="A307" s="260">
        <v>285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174</v>
      </c>
      <c r="K307" s="262"/>
      <c r="L307" s="262"/>
      <c r="M307" s="262">
        <v>58658</v>
      </c>
      <c r="N307" s="262" t="s">
        <v>32</v>
      </c>
      <c r="O307" s="262"/>
      <c r="P307" s="262" t="s">
        <v>124</v>
      </c>
      <c r="Q307" s="262" t="s">
        <v>18</v>
      </c>
      <c r="R307" s="262" t="s">
        <v>19</v>
      </c>
      <c r="S307" s="267" t="s">
        <v>19</v>
      </c>
      <c r="T307" s="268"/>
      <c r="U307" s="269">
        <v>280000</v>
      </c>
      <c r="V307" s="269">
        <v>0</v>
      </c>
      <c r="W307" s="278">
        <v>0</v>
      </c>
      <c r="X307" s="270"/>
      <c r="Y307" s="262" t="s">
        <v>21</v>
      </c>
      <c r="Z307" s="271" t="s">
        <v>21</v>
      </c>
      <c r="AA307" s="287"/>
      <c r="AB307" s="287"/>
      <c r="AC307" s="272">
        <f t="shared" si="11"/>
        <v>0</v>
      </c>
      <c r="AD307" s="272">
        <v>0</v>
      </c>
      <c r="AE307" s="272">
        <f t="shared" si="12"/>
        <v>0</v>
      </c>
      <c r="AF307" s="273"/>
      <c r="AG307" s="274"/>
      <c r="AH307" s="273"/>
      <c r="AI307" s="273"/>
      <c r="AJ307" s="274"/>
      <c r="AK307" s="273"/>
      <c r="AL307" s="275"/>
      <c r="AM307" s="290"/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customHeight="1">
      <c r="A308" s="260">
        <v>286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35</v>
      </c>
      <c r="P308" s="262"/>
      <c r="Q308" s="262" t="s">
        <v>63</v>
      </c>
      <c r="R308" s="262" t="s">
        <v>28</v>
      </c>
      <c r="S308" s="267" t="s">
        <v>28</v>
      </c>
      <c r="T308" s="268"/>
      <c r="U308" s="269"/>
      <c r="V308" s="269">
        <v>0</v>
      </c>
      <c r="W308" s="278">
        <v>0</v>
      </c>
      <c r="X308" s="270"/>
      <c r="Y308" s="262" t="s">
        <v>74</v>
      </c>
      <c r="Z308" s="271" t="s">
        <v>74</v>
      </c>
      <c r="AA308" s="287"/>
      <c r="AB308" s="287"/>
      <c r="AC308" s="272">
        <f t="shared" si="11"/>
        <v>200000000</v>
      </c>
      <c r="AD308" s="272">
        <v>200000000</v>
      </c>
      <c r="AE308" s="272">
        <f t="shared" si="12"/>
        <v>0</v>
      </c>
      <c r="AF308" s="273"/>
      <c r="AG308" s="274"/>
      <c r="AH308" s="273"/>
      <c r="AI308" s="273"/>
      <c r="AJ308" s="274"/>
      <c r="AK308" s="273"/>
      <c r="AL308" s="275">
        <v>300000000</v>
      </c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>
        <v>200000000</v>
      </c>
      <c r="BF308" s="275"/>
      <c r="BH308" s="277"/>
    </row>
    <row r="309" spans="1:60" ht="16.5" customHeight="1">
      <c r="A309" s="260">
        <v>287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35</v>
      </c>
      <c r="P309" s="262" t="s">
        <v>156</v>
      </c>
      <c r="Q309" s="262" t="s">
        <v>44</v>
      </c>
      <c r="R309" s="262" t="s">
        <v>469</v>
      </c>
      <c r="S309" s="267" t="s">
        <v>469</v>
      </c>
      <c r="T309" s="268"/>
      <c r="U309" s="269">
        <v>0</v>
      </c>
      <c r="V309" s="269">
        <v>0</v>
      </c>
      <c r="W309" s="278">
        <v>99003500</v>
      </c>
      <c r="X309" s="270"/>
      <c r="Y309" s="262" t="s">
        <v>27</v>
      </c>
      <c r="Z309" s="271" t="s">
        <v>27</v>
      </c>
      <c r="AA309" s="287"/>
      <c r="AB309" s="287"/>
      <c r="AC309" s="272">
        <f t="shared" si="11"/>
        <v>27811026</v>
      </c>
      <c r="AD309" s="272">
        <v>27811026</v>
      </c>
      <c r="AE309" s="272">
        <f t="shared" si="12"/>
        <v>0</v>
      </c>
      <c r="AF309" s="273">
        <v>8848276</v>
      </c>
      <c r="AG309" s="274">
        <v>8848276</v>
      </c>
      <c r="AH309" s="273"/>
      <c r="AI309" s="273">
        <v>8000000</v>
      </c>
      <c r="AJ309" s="274">
        <v>9197935</v>
      </c>
      <c r="AK309" s="273"/>
      <c r="AL309" s="275">
        <v>9764815</v>
      </c>
      <c r="AM309" s="290">
        <v>9764815</v>
      </c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customHeight="1">
      <c r="A310" s="260">
        <v>288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668</v>
      </c>
      <c r="K310" s="262"/>
      <c r="L310" s="262"/>
      <c r="M310" s="262">
        <v>1347</v>
      </c>
      <c r="N310" s="262" t="s">
        <v>32</v>
      </c>
      <c r="O310" s="262" t="s">
        <v>56</v>
      </c>
      <c r="P310" s="262" t="s">
        <v>156</v>
      </c>
      <c r="Q310" s="262" t="s">
        <v>26</v>
      </c>
      <c r="R310" s="262" t="s">
        <v>468</v>
      </c>
      <c r="S310" s="267" t="s">
        <v>468</v>
      </c>
      <c r="T310" s="268"/>
      <c r="U310" s="269">
        <v>10000000</v>
      </c>
      <c r="V310" s="269">
        <v>0</v>
      </c>
      <c r="W310" s="278">
        <v>0</v>
      </c>
      <c r="X310" s="270"/>
      <c r="Y310" s="262" t="s">
        <v>25</v>
      </c>
      <c r="Z310" s="271" t="s">
        <v>25</v>
      </c>
      <c r="AA310" s="287"/>
      <c r="AB310" s="287"/>
      <c r="AC310" s="272">
        <f t="shared" si="11"/>
        <v>0</v>
      </c>
      <c r="AD310" s="272">
        <v>0</v>
      </c>
      <c r="AE310" s="272">
        <f t="shared" si="12"/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/>
      <c r="BF310" s="275"/>
      <c r="BH310" s="277"/>
    </row>
    <row r="311" spans="1:60" ht="16.5" customHeight="1">
      <c r="A311" s="260">
        <v>289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668</v>
      </c>
      <c r="K311" s="262"/>
      <c r="L311" s="262"/>
      <c r="M311" s="262">
        <v>1347</v>
      </c>
      <c r="N311" s="262" t="s">
        <v>32</v>
      </c>
      <c r="O311" s="262" t="s">
        <v>56</v>
      </c>
      <c r="P311" s="262"/>
      <c r="Q311" s="262" t="s">
        <v>23</v>
      </c>
      <c r="R311" s="262" t="s">
        <v>397</v>
      </c>
      <c r="S311" s="267" t="s">
        <v>823</v>
      </c>
      <c r="T311" s="268"/>
      <c r="U311" s="269">
        <v>2000000</v>
      </c>
      <c r="V311" s="269">
        <v>0</v>
      </c>
      <c r="W311" s="278">
        <v>0</v>
      </c>
      <c r="X311" s="270"/>
      <c r="Y311" s="262" t="s">
        <v>21</v>
      </c>
      <c r="Z311" s="271" t="s">
        <v>21</v>
      </c>
      <c r="AA311" s="287"/>
      <c r="AB311" s="287"/>
      <c r="AC311" s="272">
        <f t="shared" si="11"/>
        <v>0</v>
      </c>
      <c r="AD311" s="272">
        <v>0</v>
      </c>
      <c r="AE311" s="272">
        <f t="shared" si="12"/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customHeight="1">
      <c r="A312" s="260">
        <v>290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35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>
        <v>2160000</v>
      </c>
      <c r="V312" s="269">
        <v>1944000</v>
      </c>
      <c r="W312" s="278">
        <v>1735000</v>
      </c>
      <c r="X312" s="270"/>
      <c r="Y312" s="262" t="s">
        <v>24</v>
      </c>
      <c r="Z312" s="271" t="s">
        <v>24</v>
      </c>
      <c r="AA312" s="287"/>
      <c r="AB312" s="287"/>
      <c r="AC312" s="272">
        <f t="shared" si="11"/>
        <v>2000000</v>
      </c>
      <c r="AD312" s="272">
        <v>2000000</v>
      </c>
      <c r="AE312" s="272">
        <f t="shared" si="12"/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>
        <v>2000000</v>
      </c>
      <c r="BF312" s="275"/>
      <c r="BH312" s="277"/>
    </row>
    <row r="313" spans="1:60" ht="16.5" customHeight="1">
      <c r="A313" s="260">
        <v>291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351</v>
      </c>
      <c r="K313" s="262"/>
      <c r="L313" s="262"/>
      <c r="M313" s="262">
        <v>2165</v>
      </c>
      <c r="N313" s="262" t="s">
        <v>42</v>
      </c>
      <c r="O313" s="262" t="s">
        <v>56</v>
      </c>
      <c r="P313" s="262" t="s">
        <v>57</v>
      </c>
      <c r="Q313" s="262" t="s">
        <v>30</v>
      </c>
      <c r="R313" s="262" t="s">
        <v>31</v>
      </c>
      <c r="S313" s="267" t="s">
        <v>31</v>
      </c>
      <c r="T313" s="268"/>
      <c r="U313" s="269"/>
      <c r="V313" s="269"/>
      <c r="W313" s="278">
        <v>0</v>
      </c>
      <c r="X313" s="270"/>
      <c r="Y313" s="262" t="s">
        <v>27</v>
      </c>
      <c r="Z313" s="271" t="s">
        <v>718</v>
      </c>
      <c r="AA313" s="287"/>
      <c r="AB313" s="287"/>
      <c r="AC313" s="272">
        <f t="shared" si="11"/>
        <v>0</v>
      </c>
      <c r="AD313" s="272">
        <v>0</v>
      </c>
      <c r="AE313" s="272">
        <f t="shared" si="12"/>
        <v>0</v>
      </c>
      <c r="AF313" s="273"/>
      <c r="AG313" s="274"/>
      <c r="AH313" s="273"/>
      <c r="AI313" s="273"/>
      <c r="AJ313" s="274"/>
      <c r="AK313" s="273"/>
      <c r="AL313" s="275"/>
      <c r="AM313" s="290"/>
      <c r="AN313" s="275"/>
      <c r="AO313" s="276"/>
      <c r="AP313" s="275"/>
      <c r="AQ313" s="275"/>
      <c r="AR313" s="275"/>
      <c r="AS313" s="275"/>
      <c r="AT313" s="275"/>
      <c r="AU313" s="275"/>
      <c r="AV313" s="275"/>
      <c r="AW313" s="275"/>
      <c r="AX313" s="275"/>
      <c r="AY313" s="275"/>
      <c r="AZ313" s="275"/>
      <c r="BA313" s="275"/>
      <c r="BB313" s="275"/>
      <c r="BC313" s="275"/>
      <c r="BD313" s="275"/>
      <c r="BE313" s="275"/>
      <c r="BF313" s="275"/>
      <c r="BH313" s="277"/>
    </row>
    <row r="314" spans="1:60" ht="16.5" customHeight="1">
      <c r="A314" s="260">
        <v>292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351</v>
      </c>
      <c r="K314" s="262"/>
      <c r="L314" s="262"/>
      <c r="M314" s="262">
        <v>2165</v>
      </c>
      <c r="N314" s="262" t="s">
        <v>42</v>
      </c>
      <c r="O314" s="262" t="s">
        <v>56</v>
      </c>
      <c r="P314" s="262" t="s">
        <v>57</v>
      </c>
      <c r="Q314" s="262" t="s">
        <v>30</v>
      </c>
      <c r="R314" s="262" t="s">
        <v>31</v>
      </c>
      <c r="S314" s="267" t="s">
        <v>31</v>
      </c>
      <c r="T314" s="268"/>
      <c r="U314" s="269"/>
      <c r="V314" s="269"/>
      <c r="W314" s="278">
        <v>0</v>
      </c>
      <c r="X314" s="270"/>
      <c r="Y314" s="262" t="s">
        <v>24</v>
      </c>
      <c r="Z314" s="271" t="s">
        <v>718</v>
      </c>
      <c r="AA314" s="287"/>
      <c r="AB314" s="287"/>
      <c r="AC314" s="272">
        <f t="shared" si="11"/>
        <v>0</v>
      </c>
      <c r="AD314" s="272">
        <v>0</v>
      </c>
      <c r="AE314" s="272">
        <f t="shared" si="12"/>
        <v>0</v>
      </c>
      <c r="AF314" s="273"/>
      <c r="AG314" s="274"/>
      <c r="AH314" s="273"/>
      <c r="AI314" s="273"/>
      <c r="AJ314" s="274"/>
      <c r="AK314" s="273"/>
      <c r="AL314" s="275"/>
      <c r="AM314" s="290"/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/>
      <c r="BB314" s="275"/>
      <c r="BC314" s="275"/>
      <c r="BD314" s="275"/>
      <c r="BE314" s="275"/>
      <c r="BF314" s="275"/>
      <c r="BH314" s="277"/>
    </row>
    <row r="315" spans="1:60" ht="16.5" customHeight="1">
      <c r="A315" s="260">
        <v>293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352</v>
      </c>
      <c r="K315" s="262"/>
      <c r="L315" s="262"/>
      <c r="M315" s="262">
        <v>6010</v>
      </c>
      <c r="N315" s="262" t="s">
        <v>53</v>
      </c>
      <c r="O315" s="262" t="s">
        <v>212</v>
      </c>
      <c r="P315" s="262" t="s">
        <v>57</v>
      </c>
      <c r="Q315" s="262" t="s">
        <v>61</v>
      </c>
      <c r="R315" s="262" t="s">
        <v>468</v>
      </c>
      <c r="S315" s="267" t="s">
        <v>468</v>
      </c>
      <c r="T315" s="268"/>
      <c r="U315" s="269">
        <v>78576000</v>
      </c>
      <c r="V315" s="269">
        <v>81322050</v>
      </c>
      <c r="W315" s="278">
        <v>104788120</v>
      </c>
      <c r="X315" s="270"/>
      <c r="Y315" s="262" t="s">
        <v>27</v>
      </c>
      <c r="Z315" s="271" t="s">
        <v>27</v>
      </c>
      <c r="AA315" s="287"/>
      <c r="AB315" s="287"/>
      <c r="AC315" s="272">
        <f t="shared" si="11"/>
        <v>71107900</v>
      </c>
      <c r="AD315" s="272">
        <v>71107900</v>
      </c>
      <c r="AE315" s="272">
        <f t="shared" si="12"/>
        <v>0</v>
      </c>
      <c r="AF315" s="273">
        <v>254300</v>
      </c>
      <c r="AG315" s="274">
        <v>254300</v>
      </c>
      <c r="AH315" s="273"/>
      <c r="AI315" s="273"/>
      <c r="AJ315" s="274">
        <v>226800</v>
      </c>
      <c r="AK315" s="273"/>
      <c r="AL315" s="275">
        <v>626800</v>
      </c>
      <c r="AM315" s="290">
        <v>626800</v>
      </c>
      <c r="AN315" s="275"/>
      <c r="AO315" s="276">
        <v>20000000</v>
      </c>
      <c r="AP315" s="275"/>
      <c r="AQ315" s="275"/>
      <c r="AR315" s="275"/>
      <c r="AS315" s="275">
        <v>5000000</v>
      </c>
      <c r="AT315" s="275"/>
      <c r="AU315" s="275">
        <v>20000000</v>
      </c>
      <c r="AV315" s="275"/>
      <c r="AW315" s="275"/>
      <c r="AX315" s="275"/>
      <c r="AY315" s="275">
        <v>5000000</v>
      </c>
      <c r="AZ315" s="275"/>
      <c r="BA315" s="275">
        <v>15000000</v>
      </c>
      <c r="BB315" s="275"/>
      <c r="BC315" s="275"/>
      <c r="BD315" s="275"/>
      <c r="BE315" s="275">
        <v>5000000</v>
      </c>
      <c r="BF315" s="275"/>
      <c r="BH315" s="277"/>
    </row>
    <row r="316" spans="1:60" ht="16.5" customHeight="1">
      <c r="A316" s="260">
        <v>294</v>
      </c>
      <c r="B316" s="261"/>
      <c r="C316" s="261"/>
      <c r="D316" s="262" t="s">
        <v>15</v>
      </c>
      <c r="E316" s="262" t="s">
        <v>175</v>
      </c>
      <c r="F316" s="263" t="s">
        <v>15</v>
      </c>
      <c r="G316" s="264" t="s">
        <v>175</v>
      </c>
      <c r="H316" s="281"/>
      <c r="I316" s="265"/>
      <c r="J316" s="266" t="s">
        <v>353</v>
      </c>
      <c r="K316" s="262"/>
      <c r="L316" s="262"/>
      <c r="M316" s="262">
        <v>4084</v>
      </c>
      <c r="N316" s="262" t="s">
        <v>22</v>
      </c>
      <c r="O316" s="262" t="s">
        <v>212</v>
      </c>
      <c r="P316" s="262" t="s">
        <v>57</v>
      </c>
      <c r="Q316" s="262" t="s">
        <v>63</v>
      </c>
      <c r="R316" s="262" t="s">
        <v>28</v>
      </c>
      <c r="S316" s="267" t="s">
        <v>28</v>
      </c>
      <c r="T316" s="268"/>
      <c r="U316" s="269">
        <v>6020000</v>
      </c>
      <c r="V316" s="269">
        <v>69290400</v>
      </c>
      <c r="W316" s="278">
        <v>59513000</v>
      </c>
      <c r="X316" s="270"/>
      <c r="Y316" s="262" t="s">
        <v>27</v>
      </c>
      <c r="Z316" s="271" t="s">
        <v>27</v>
      </c>
      <c r="AA316" s="287"/>
      <c r="AB316" s="287"/>
      <c r="AC316" s="272">
        <f t="shared" si="11"/>
        <v>53895000</v>
      </c>
      <c r="AD316" s="272">
        <v>53895000</v>
      </c>
      <c r="AE316" s="272">
        <f t="shared" si="12"/>
        <v>0</v>
      </c>
      <c r="AF316" s="273">
        <v>560000</v>
      </c>
      <c r="AG316" s="274">
        <v>560000</v>
      </c>
      <c r="AH316" s="273"/>
      <c r="AI316" s="273"/>
      <c r="AJ316" s="274">
        <v>795000</v>
      </c>
      <c r="AK316" s="273"/>
      <c r="AL316" s="275">
        <v>2540000</v>
      </c>
      <c r="AM316" s="290">
        <v>2540000</v>
      </c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30000000</v>
      </c>
      <c r="BB316" s="275"/>
      <c r="BC316" s="275">
        <v>20000000</v>
      </c>
      <c r="BD316" s="275"/>
      <c r="BE316" s="275"/>
      <c r="BF316" s="275"/>
      <c r="BH316" s="277"/>
    </row>
    <row r="317" spans="1:60" ht="16.5" customHeight="1">
      <c r="A317" s="260">
        <v>295</v>
      </c>
      <c r="B317" s="261"/>
      <c r="C317" s="261"/>
      <c r="D317" s="262" t="s">
        <v>15</v>
      </c>
      <c r="E317" s="262" t="s">
        <v>175</v>
      </c>
      <c r="F317" s="263" t="s">
        <v>15</v>
      </c>
      <c r="G317" s="264" t="s">
        <v>175</v>
      </c>
      <c r="H317" s="281"/>
      <c r="I317" s="265"/>
      <c r="J317" s="266" t="s">
        <v>355</v>
      </c>
      <c r="K317" s="262"/>
      <c r="L317" s="262"/>
      <c r="M317" s="262">
        <v>45181</v>
      </c>
      <c r="N317" s="262" t="s">
        <v>22</v>
      </c>
      <c r="O317" s="262" t="s">
        <v>56</v>
      </c>
      <c r="P317" s="262" t="s">
        <v>57</v>
      </c>
      <c r="Q317" s="262" t="s">
        <v>30</v>
      </c>
      <c r="R317" s="262" t="s">
        <v>31</v>
      </c>
      <c r="S317" s="267" t="s">
        <v>31</v>
      </c>
      <c r="T317" s="268"/>
      <c r="U317" s="269">
        <v>6976000</v>
      </c>
      <c r="V317" s="269">
        <v>12187000</v>
      </c>
      <c r="W317" s="278">
        <v>9152000</v>
      </c>
      <c r="X317" s="270"/>
      <c r="Y317" s="262" t="s">
        <v>24</v>
      </c>
      <c r="Z317" s="271" t="s">
        <v>24</v>
      </c>
      <c r="AA317" s="287"/>
      <c r="AB317" s="287"/>
      <c r="AC317" s="272">
        <f t="shared" si="11"/>
        <v>10000000</v>
      </c>
      <c r="AD317" s="272">
        <v>10000000</v>
      </c>
      <c r="AE317" s="272">
        <f t="shared" si="12"/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>
        <v>10000000</v>
      </c>
      <c r="BF317" s="275"/>
      <c r="BH317" s="277"/>
    </row>
    <row r="318" spans="1:60" ht="16.5" customHeight="1">
      <c r="A318" s="260">
        <v>296</v>
      </c>
      <c r="B318" s="261"/>
      <c r="C318" s="261"/>
      <c r="D318" s="262" t="s">
        <v>15</v>
      </c>
      <c r="E318" s="262" t="s">
        <v>456</v>
      </c>
      <c r="F318" s="263" t="s">
        <v>15</v>
      </c>
      <c r="G318" s="264" t="s">
        <v>175</v>
      </c>
      <c r="H318" s="281"/>
      <c r="I318" s="265"/>
      <c r="J318" s="266" t="s">
        <v>674</v>
      </c>
      <c r="K318" s="262"/>
      <c r="L318" s="262"/>
      <c r="M318" s="262">
        <v>63777</v>
      </c>
      <c r="N318" s="262" t="s">
        <v>22</v>
      </c>
      <c r="O318" s="262" t="s">
        <v>35</v>
      </c>
      <c r="P318" s="262"/>
      <c r="Q318" s="262"/>
      <c r="R318" s="262" t="s">
        <v>28</v>
      </c>
      <c r="S318" s="267" t="s">
        <v>28</v>
      </c>
      <c r="T318" s="268"/>
      <c r="U318" s="269"/>
      <c r="V318" s="269"/>
      <c r="W318" s="278">
        <v>11840000</v>
      </c>
      <c r="X318" s="270"/>
      <c r="Y318" s="262" t="s">
        <v>27</v>
      </c>
      <c r="Z318" s="271" t="s">
        <v>24</v>
      </c>
      <c r="AA318" s="287"/>
      <c r="AB318" s="287"/>
      <c r="AC318" s="272">
        <f t="shared" si="11"/>
        <v>10000000</v>
      </c>
      <c r="AD318" s="272">
        <v>10000000</v>
      </c>
      <c r="AE318" s="272">
        <f t="shared" si="12"/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>
        <v>10000000</v>
      </c>
      <c r="BB318" s="275"/>
      <c r="BC318" s="275"/>
      <c r="BD318" s="275"/>
      <c r="BE318" s="275"/>
      <c r="BF318" s="275"/>
      <c r="BH318" s="277"/>
    </row>
    <row r="319" spans="1:60" ht="16.5" customHeight="1">
      <c r="A319" s="260">
        <v>297</v>
      </c>
      <c r="B319" s="261"/>
      <c r="C319" s="261"/>
      <c r="D319" s="262"/>
      <c r="E319" s="262"/>
      <c r="F319" s="263" t="s">
        <v>15</v>
      </c>
      <c r="G319" s="264" t="s">
        <v>175</v>
      </c>
      <c r="H319" s="281"/>
      <c r="I319" s="265"/>
      <c r="J319" s="266" t="s">
        <v>926</v>
      </c>
      <c r="K319" s="262"/>
      <c r="L319" s="262"/>
      <c r="M319" s="262">
        <v>16913</v>
      </c>
      <c r="N319" s="262"/>
      <c r="O319" s="262"/>
      <c r="P319" s="262"/>
      <c r="Q319" s="262"/>
      <c r="R319" s="262"/>
      <c r="S319" s="267" t="s">
        <v>31</v>
      </c>
      <c r="T319" s="268"/>
      <c r="U319" s="269"/>
      <c r="V319" s="269"/>
      <c r="W319" s="278">
        <v>2590000</v>
      </c>
      <c r="X319" s="270"/>
      <c r="Y319" s="262"/>
      <c r="Z319" s="271" t="s">
        <v>718</v>
      </c>
      <c r="AA319" s="287"/>
      <c r="AB319" s="287"/>
      <c r="AC319" s="272">
        <f t="shared" si="11"/>
        <v>0</v>
      </c>
      <c r="AD319" s="272">
        <v>0</v>
      </c>
      <c r="AE319" s="272">
        <f t="shared" si="12"/>
        <v>0</v>
      </c>
      <c r="AF319" s="273"/>
      <c r="AG319" s="274"/>
      <c r="AH319" s="273"/>
      <c r="AI319" s="273"/>
      <c r="AJ319" s="274"/>
      <c r="AK319" s="273"/>
      <c r="AL319" s="275"/>
      <c r="AM319" s="290"/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/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customHeight="1">
      <c r="A320" s="260">
        <v>298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31</v>
      </c>
      <c r="S320" s="267" t="s">
        <v>31</v>
      </c>
      <c r="T320" s="268"/>
      <c r="U320" s="269">
        <v>19980000</v>
      </c>
      <c r="V320" s="269">
        <v>15130000</v>
      </c>
      <c r="W320" s="278">
        <v>12020000</v>
      </c>
      <c r="X320" s="270"/>
      <c r="Y320" s="262" t="s">
        <v>24</v>
      </c>
      <c r="Z320" s="271" t="s">
        <v>24</v>
      </c>
      <c r="AA320" s="287"/>
      <c r="AB320" s="287"/>
      <c r="AC320" s="272">
        <f t="shared" si="11"/>
        <v>17000000</v>
      </c>
      <c r="AD320" s="272">
        <v>17000000</v>
      </c>
      <c r="AE320" s="272">
        <f t="shared" si="12"/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>
        <v>17000000</v>
      </c>
      <c r="BF320" s="275"/>
      <c r="BH320" s="277"/>
    </row>
    <row r="321" spans="1:60" ht="16.5" customHeight="1">
      <c r="A321" s="260">
        <v>299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35</v>
      </c>
      <c r="P321" s="262" t="s">
        <v>57</v>
      </c>
      <c r="Q321" s="262" t="s">
        <v>26</v>
      </c>
      <c r="R321" s="262" t="s">
        <v>468</v>
      </c>
      <c r="S321" s="267" t="s">
        <v>468</v>
      </c>
      <c r="T321" s="268"/>
      <c r="U321" s="269">
        <v>36000000</v>
      </c>
      <c r="V321" s="269">
        <v>28375000</v>
      </c>
      <c r="W321" s="278">
        <v>23450000</v>
      </c>
      <c r="X321" s="270"/>
      <c r="Y321" s="262" t="s">
        <v>27</v>
      </c>
      <c r="Z321" s="271" t="s">
        <v>27</v>
      </c>
      <c r="AA321" s="287"/>
      <c r="AB321" s="287"/>
      <c r="AC321" s="272">
        <f t="shared" si="11"/>
        <v>28010000</v>
      </c>
      <c r="AD321" s="272">
        <v>28010000</v>
      </c>
      <c r="AE321" s="272">
        <f t="shared" si="12"/>
        <v>0</v>
      </c>
      <c r="AF321" s="273"/>
      <c r="AG321" s="274"/>
      <c r="AH321" s="273"/>
      <c r="AI321" s="273"/>
      <c r="AJ321" s="274"/>
      <c r="AK321" s="273"/>
      <c r="AL321" s="275">
        <v>3010000</v>
      </c>
      <c r="AM321" s="290">
        <v>3010000</v>
      </c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>
        <v>25000000</v>
      </c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customHeight="1">
      <c r="A322" s="260">
        <v>300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356</v>
      </c>
      <c r="K322" s="262"/>
      <c r="L322" s="262"/>
      <c r="M322" s="262">
        <v>16688</v>
      </c>
      <c r="N322" s="262" t="s">
        <v>22</v>
      </c>
      <c r="O322" s="262" t="s">
        <v>56</v>
      </c>
      <c r="P322" s="262" t="s">
        <v>57</v>
      </c>
      <c r="Q322" s="262" t="s">
        <v>30</v>
      </c>
      <c r="R322" s="262" t="s">
        <v>468</v>
      </c>
      <c r="S322" s="267" t="s">
        <v>468</v>
      </c>
      <c r="T322" s="268"/>
      <c r="U322" s="269"/>
      <c r="V322" s="269">
        <v>0</v>
      </c>
      <c r="W322" s="278">
        <v>0</v>
      </c>
      <c r="X322" s="270"/>
      <c r="Y322" s="262" t="s">
        <v>25</v>
      </c>
      <c r="Z322" s="271" t="s">
        <v>718</v>
      </c>
      <c r="AA322" s="287"/>
      <c r="AB322" s="287"/>
      <c r="AC322" s="272">
        <f t="shared" si="11"/>
        <v>0</v>
      </c>
      <c r="AD322" s="272">
        <v>0</v>
      </c>
      <c r="AE322" s="272">
        <f t="shared" si="12"/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customHeight="1">
      <c r="A323" s="260">
        <v>301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356</v>
      </c>
      <c r="K323" s="262"/>
      <c r="L323" s="262"/>
      <c r="M323" s="262">
        <v>16688</v>
      </c>
      <c r="N323" s="262" t="s">
        <v>22</v>
      </c>
      <c r="O323" s="262" t="s">
        <v>56</v>
      </c>
      <c r="P323" s="262" t="s">
        <v>57</v>
      </c>
      <c r="Q323" s="262" t="s">
        <v>23</v>
      </c>
      <c r="R323" s="262" t="s">
        <v>397</v>
      </c>
      <c r="S323" s="267" t="s">
        <v>823</v>
      </c>
      <c r="T323" s="268"/>
      <c r="U323" s="269">
        <v>25500000</v>
      </c>
      <c r="V323" s="269">
        <v>25500000</v>
      </c>
      <c r="W323" s="278">
        <v>0</v>
      </c>
      <c r="X323" s="270"/>
      <c r="Y323" s="262" t="s">
        <v>20</v>
      </c>
      <c r="Z323" s="271" t="s">
        <v>20</v>
      </c>
      <c r="AA323" s="287"/>
      <c r="AB323" s="287"/>
      <c r="AC323" s="272">
        <f t="shared" si="11"/>
        <v>0</v>
      </c>
      <c r="AD323" s="272">
        <v>0</v>
      </c>
      <c r="AE323" s="272">
        <f t="shared" si="12"/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/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customHeight="1">
      <c r="A324" s="260">
        <v>302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/>
      <c r="Q324" s="262" t="s">
        <v>18</v>
      </c>
      <c r="R324" s="262" t="s">
        <v>19</v>
      </c>
      <c r="S324" s="267" t="s">
        <v>19</v>
      </c>
      <c r="T324" s="268"/>
      <c r="U324" s="269">
        <v>2200000</v>
      </c>
      <c r="V324" s="269">
        <v>0</v>
      </c>
      <c r="W324" s="278">
        <v>13356000</v>
      </c>
      <c r="X324" s="270"/>
      <c r="Y324" s="262" t="s">
        <v>25</v>
      </c>
      <c r="Z324" s="271" t="s">
        <v>21</v>
      </c>
      <c r="AA324" s="287"/>
      <c r="AB324" s="287"/>
      <c r="AC324" s="272">
        <f t="shared" si="11"/>
        <v>0</v>
      </c>
      <c r="AD324" s="272">
        <v>0</v>
      </c>
      <c r="AE324" s="272">
        <f t="shared" si="12"/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/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customHeight="1">
      <c r="A325" s="260">
        <v>303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594</v>
      </c>
      <c r="K325" s="262"/>
      <c r="L325" s="262"/>
      <c r="M325" s="262">
        <v>12801</v>
      </c>
      <c r="N325" s="262" t="s">
        <v>22</v>
      </c>
      <c r="O325" s="262" t="s">
        <v>35</v>
      </c>
      <c r="P325" s="262" t="s">
        <v>57</v>
      </c>
      <c r="Q325" s="262" t="s">
        <v>44</v>
      </c>
      <c r="R325" s="262" t="s">
        <v>469</v>
      </c>
      <c r="S325" s="267" t="s">
        <v>469</v>
      </c>
      <c r="T325" s="268"/>
      <c r="U325" s="269" t="s">
        <v>154</v>
      </c>
      <c r="V325" s="269">
        <v>10400000</v>
      </c>
      <c r="W325" s="278">
        <v>0</v>
      </c>
      <c r="X325" s="270"/>
      <c r="Y325" s="262" t="s">
        <v>25</v>
      </c>
      <c r="Z325" s="271" t="s">
        <v>25</v>
      </c>
      <c r="AA325" s="287"/>
      <c r="AB325" s="287"/>
      <c r="AC325" s="272">
        <f t="shared" si="11"/>
        <v>8000000</v>
      </c>
      <c r="AD325" s="272">
        <v>8000000</v>
      </c>
      <c r="AE325" s="272">
        <f t="shared" si="12"/>
        <v>0</v>
      </c>
      <c r="AF325" s="273"/>
      <c r="AG325" s="274"/>
      <c r="AH325" s="273"/>
      <c r="AI325" s="273"/>
      <c r="AJ325" s="274"/>
      <c r="AK325" s="273"/>
      <c r="AL325" s="275"/>
      <c r="AM325" s="290"/>
      <c r="AN325" s="275"/>
      <c r="AO325" s="276"/>
      <c r="AP325" s="275"/>
      <c r="AQ325" s="275">
        <v>8000000</v>
      </c>
      <c r="AR325" s="275"/>
      <c r="AS325" s="275"/>
      <c r="AT325" s="275"/>
      <c r="AU325" s="275"/>
      <c r="AV325" s="275"/>
      <c r="AW325" s="275"/>
      <c r="AX325" s="275"/>
      <c r="AY325" s="275"/>
      <c r="AZ325" s="275"/>
      <c r="BA325" s="275"/>
      <c r="BB325" s="275"/>
      <c r="BC325" s="275"/>
      <c r="BD325" s="275"/>
      <c r="BE325" s="275"/>
      <c r="BF325" s="275"/>
      <c r="BH325" s="277"/>
    </row>
    <row r="326" spans="1:60" ht="16.5" customHeight="1">
      <c r="A326" s="260">
        <v>304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594</v>
      </c>
      <c r="K326" s="262"/>
      <c r="L326" s="262"/>
      <c r="M326" s="262">
        <v>12801</v>
      </c>
      <c r="N326" s="262" t="s">
        <v>22</v>
      </c>
      <c r="O326" s="262" t="s">
        <v>56</v>
      </c>
      <c r="P326" s="262" t="s">
        <v>57</v>
      </c>
      <c r="Q326" s="262" t="s">
        <v>26</v>
      </c>
      <c r="R326" s="262" t="s">
        <v>468</v>
      </c>
      <c r="S326" s="267" t="s">
        <v>468</v>
      </c>
      <c r="T326" s="268"/>
      <c r="U326" s="269" t="s">
        <v>154</v>
      </c>
      <c r="V326" s="269">
        <v>15979999</v>
      </c>
      <c r="W326" s="278">
        <v>8250000</v>
      </c>
      <c r="X326" s="270"/>
      <c r="Y326" s="262" t="s">
        <v>27</v>
      </c>
      <c r="Z326" s="271" t="s">
        <v>24</v>
      </c>
      <c r="AA326" s="287"/>
      <c r="AB326" s="287"/>
      <c r="AC326" s="272">
        <f t="shared" si="11"/>
        <v>3000000</v>
      </c>
      <c r="AD326" s="272">
        <v>3000000</v>
      </c>
      <c r="AE326" s="272">
        <f t="shared" si="12"/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>
        <v>3000000</v>
      </c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/>
      <c r="BF326" s="275"/>
      <c r="BH326" s="277"/>
    </row>
    <row r="327" spans="1:60" ht="16.5" customHeight="1">
      <c r="A327" s="260">
        <v>305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752</v>
      </c>
      <c r="K327" s="262"/>
      <c r="L327" s="262"/>
      <c r="M327" s="262">
        <v>40230</v>
      </c>
      <c r="N327" s="262" t="s">
        <v>53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27456960</v>
      </c>
      <c r="V327" s="269">
        <v>31589460</v>
      </c>
      <c r="W327" s="278">
        <v>17266400</v>
      </c>
      <c r="X327" s="270"/>
      <c r="Y327" s="262" t="s">
        <v>27</v>
      </c>
      <c r="Z327" s="271" t="s">
        <v>27</v>
      </c>
      <c r="AA327" s="287"/>
      <c r="AB327" s="287"/>
      <c r="AC327" s="272">
        <f t="shared" si="11"/>
        <v>16532600</v>
      </c>
      <c r="AD327" s="272">
        <v>16532600</v>
      </c>
      <c r="AE327" s="272">
        <f t="shared" si="12"/>
        <v>0</v>
      </c>
      <c r="AF327" s="273">
        <v>1266800</v>
      </c>
      <c r="AG327" s="274">
        <v>1266800</v>
      </c>
      <c r="AH327" s="273"/>
      <c r="AI327" s="273">
        <v>1500000</v>
      </c>
      <c r="AJ327" s="274">
        <v>772800</v>
      </c>
      <c r="AK327" s="273"/>
      <c r="AL327" s="275">
        <v>993000</v>
      </c>
      <c r="AM327" s="290">
        <v>993000</v>
      </c>
      <c r="AN327" s="275"/>
      <c r="AO327" s="276">
        <v>1500000</v>
      </c>
      <c r="AP327" s="275"/>
      <c r="AQ327" s="275">
        <v>1500000</v>
      </c>
      <c r="AR327" s="275"/>
      <c r="AS327" s="275">
        <v>1500000</v>
      </c>
      <c r="AT327" s="275"/>
      <c r="AU327" s="275">
        <v>1500000</v>
      </c>
      <c r="AV327" s="275"/>
      <c r="AW327" s="275">
        <v>1500000</v>
      </c>
      <c r="AX327" s="275"/>
      <c r="AY327" s="275">
        <v>1500000</v>
      </c>
      <c r="AZ327" s="275"/>
      <c r="BA327" s="275">
        <v>1500000</v>
      </c>
      <c r="BB327" s="275"/>
      <c r="BC327" s="275">
        <v>1500000</v>
      </c>
      <c r="BD327" s="275"/>
      <c r="BE327" s="275">
        <v>1500000</v>
      </c>
      <c r="BF327" s="275"/>
      <c r="BH327" s="277"/>
    </row>
    <row r="328" spans="1:60" ht="16.5" customHeight="1">
      <c r="A328" s="260">
        <v>306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357</v>
      </c>
      <c r="K328" s="262"/>
      <c r="L328" s="262"/>
      <c r="M328" s="262">
        <v>28673</v>
      </c>
      <c r="N328" s="262" t="s">
        <v>22</v>
      </c>
      <c r="O328" s="262" t="s">
        <v>56</v>
      </c>
      <c r="P328" s="262" t="s">
        <v>57</v>
      </c>
      <c r="Q328" s="262" t="s">
        <v>30</v>
      </c>
      <c r="R328" s="262" t="s">
        <v>31</v>
      </c>
      <c r="S328" s="267" t="s">
        <v>31</v>
      </c>
      <c r="T328" s="268"/>
      <c r="U328" s="269">
        <v>10738000</v>
      </c>
      <c r="V328" s="269">
        <v>11448000</v>
      </c>
      <c r="W328" s="278">
        <v>8032000</v>
      </c>
      <c r="X328" s="270"/>
      <c r="Y328" s="262" t="s">
        <v>24</v>
      </c>
      <c r="Z328" s="271" t="s">
        <v>24</v>
      </c>
      <c r="AA328" s="287"/>
      <c r="AB328" s="287"/>
      <c r="AC328" s="272">
        <f t="shared" si="11"/>
        <v>10000000</v>
      </c>
      <c r="AD328" s="272">
        <v>10000000</v>
      </c>
      <c r="AE328" s="272">
        <f t="shared" si="12"/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>
        <v>10000000</v>
      </c>
      <c r="BF328" s="275"/>
      <c r="BH328" s="277"/>
    </row>
    <row r="329" spans="1:60" ht="16.5" customHeight="1">
      <c r="A329" s="260">
        <v>307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18</v>
      </c>
      <c r="R329" s="262" t="s">
        <v>19</v>
      </c>
      <c r="S329" s="267" t="s">
        <v>19</v>
      </c>
      <c r="T329" s="268"/>
      <c r="U329" s="269">
        <v>32657600</v>
      </c>
      <c r="V329" s="269">
        <v>23923900</v>
      </c>
      <c r="W329" s="278">
        <v>23571400</v>
      </c>
      <c r="X329" s="270"/>
      <c r="Y329" s="262" t="s">
        <v>27</v>
      </c>
      <c r="Z329" s="271" t="s">
        <v>27</v>
      </c>
      <c r="AA329" s="287"/>
      <c r="AB329" s="287"/>
      <c r="AC329" s="272">
        <f t="shared" si="11"/>
        <v>22019000</v>
      </c>
      <c r="AD329" s="272">
        <v>22019000</v>
      </c>
      <c r="AE329" s="272">
        <f t="shared" si="12"/>
        <v>0</v>
      </c>
      <c r="AF329" s="273">
        <v>11649000</v>
      </c>
      <c r="AG329" s="274">
        <v>11229000</v>
      </c>
      <c r="AH329" s="273"/>
      <c r="AI329" s="273">
        <v>1000000</v>
      </c>
      <c r="AJ329" s="274">
        <v>1280000</v>
      </c>
      <c r="AK329" s="273"/>
      <c r="AL329" s="275">
        <v>510000</v>
      </c>
      <c r="AM329" s="290">
        <v>510000</v>
      </c>
      <c r="AN329" s="275"/>
      <c r="AO329" s="276">
        <v>1000000</v>
      </c>
      <c r="AP329" s="275"/>
      <c r="AQ329" s="275">
        <v>1000000</v>
      </c>
      <c r="AR329" s="275"/>
      <c r="AS329" s="275">
        <v>1000000</v>
      </c>
      <c r="AT329" s="275"/>
      <c r="AU329" s="275">
        <v>1000000</v>
      </c>
      <c r="AV329" s="275"/>
      <c r="AW329" s="275">
        <v>1000000</v>
      </c>
      <c r="AX329" s="275"/>
      <c r="AY329" s="275">
        <v>1000000</v>
      </c>
      <c r="AZ329" s="275"/>
      <c r="BA329" s="275">
        <v>1000000</v>
      </c>
      <c r="BB329" s="275"/>
      <c r="BC329" s="275">
        <v>1000000</v>
      </c>
      <c r="BD329" s="275"/>
      <c r="BE329" s="275">
        <v>1000000</v>
      </c>
      <c r="BF329" s="275"/>
      <c r="BH329" s="277"/>
    </row>
    <row r="330" spans="1:60" ht="16.5" customHeight="1">
      <c r="A330" s="260">
        <v>308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18</v>
      </c>
      <c r="R330" s="262" t="s">
        <v>19</v>
      </c>
      <c r="S330" s="267" t="s">
        <v>19</v>
      </c>
      <c r="T330" s="268"/>
      <c r="U330" s="269">
        <v>9452000</v>
      </c>
      <c r="V330" s="269">
        <v>0</v>
      </c>
      <c r="W330" s="278">
        <v>0</v>
      </c>
      <c r="X330" s="270"/>
      <c r="Y330" s="262" t="s">
        <v>25</v>
      </c>
      <c r="Z330" s="271" t="s">
        <v>718</v>
      </c>
      <c r="AA330" s="287"/>
      <c r="AB330" s="287"/>
      <c r="AC330" s="272">
        <f t="shared" si="11"/>
        <v>0</v>
      </c>
      <c r="AD330" s="272">
        <v>0</v>
      </c>
      <c r="AE330" s="272">
        <f t="shared" si="12"/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/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customHeight="1">
      <c r="A331" s="260">
        <v>309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358</v>
      </c>
      <c r="K331" s="262"/>
      <c r="L331" s="262"/>
      <c r="M331" s="262">
        <v>28796</v>
      </c>
      <c r="N331" s="262" t="s">
        <v>22</v>
      </c>
      <c r="O331" s="262" t="s">
        <v>56</v>
      </c>
      <c r="P331" s="262" t="s">
        <v>57</v>
      </c>
      <c r="Q331" s="262" t="s">
        <v>30</v>
      </c>
      <c r="R331" s="262" t="s">
        <v>31</v>
      </c>
      <c r="S331" s="267" t="s">
        <v>31</v>
      </c>
      <c r="T331" s="268"/>
      <c r="U331" s="269">
        <v>18306000</v>
      </c>
      <c r="V331" s="269">
        <v>15238000</v>
      </c>
      <c r="W331" s="278">
        <v>7119000</v>
      </c>
      <c r="X331" s="270"/>
      <c r="Y331" s="262" t="s">
        <v>24</v>
      </c>
      <c r="Z331" s="271" t="s">
        <v>24</v>
      </c>
      <c r="AA331" s="287"/>
      <c r="AB331" s="287"/>
      <c r="AC331" s="272">
        <f t="shared" si="11"/>
        <v>10000000</v>
      </c>
      <c r="AD331" s="272">
        <v>10000000</v>
      </c>
      <c r="AE331" s="272">
        <f t="shared" si="12"/>
        <v>0</v>
      </c>
      <c r="AF331" s="273"/>
      <c r="AG331" s="274"/>
      <c r="AH331" s="273"/>
      <c r="AI331" s="273"/>
      <c r="AJ331" s="274"/>
      <c r="AK331" s="273"/>
      <c r="AL331" s="275"/>
      <c r="AM331" s="290"/>
      <c r="AN331" s="275"/>
      <c r="AO331" s="276"/>
      <c r="AP331" s="275"/>
      <c r="AQ331" s="275"/>
      <c r="AR331" s="275"/>
      <c r="AS331" s="275">
        <v>5000000</v>
      </c>
      <c r="AT331" s="275"/>
      <c r="AU331" s="275"/>
      <c r="AV331" s="275"/>
      <c r="AW331" s="275"/>
      <c r="AX331" s="275"/>
      <c r="AY331" s="275"/>
      <c r="AZ331" s="275"/>
      <c r="BA331" s="275"/>
      <c r="BB331" s="275"/>
      <c r="BC331" s="275"/>
      <c r="BD331" s="275"/>
      <c r="BE331" s="275">
        <v>5000000</v>
      </c>
      <c r="BF331" s="275"/>
      <c r="BH331" s="277"/>
    </row>
    <row r="332" spans="1:60" ht="16.5" customHeight="1">
      <c r="A332" s="260">
        <v>310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1056</v>
      </c>
      <c r="K332" s="262"/>
      <c r="L332" s="262"/>
      <c r="M332" s="262">
        <v>28796</v>
      </c>
      <c r="N332" s="262" t="s">
        <v>22</v>
      </c>
      <c r="O332" s="262" t="s">
        <v>56</v>
      </c>
      <c r="P332" s="262" t="s">
        <v>57</v>
      </c>
      <c r="Q332" s="262" t="s">
        <v>46</v>
      </c>
      <c r="R332" s="262" t="s">
        <v>47</v>
      </c>
      <c r="S332" s="267" t="s">
        <v>47</v>
      </c>
      <c r="T332" s="268"/>
      <c r="U332" s="269">
        <v>18000000</v>
      </c>
      <c r="V332" s="269">
        <v>9000000</v>
      </c>
      <c r="W332" s="278">
        <v>9000000</v>
      </c>
      <c r="X332" s="270"/>
      <c r="Y332" s="262" t="s">
        <v>27</v>
      </c>
      <c r="Z332" s="271" t="s">
        <v>27</v>
      </c>
      <c r="AA332" s="287"/>
      <c r="AB332" s="287"/>
      <c r="AC332" s="272">
        <f t="shared" si="11"/>
        <v>9000000</v>
      </c>
      <c r="AD332" s="272">
        <v>9000000</v>
      </c>
      <c r="AE332" s="272">
        <f t="shared" si="12"/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>
        <v>9000000</v>
      </c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customHeight="1">
      <c r="A333" s="260">
        <v>311</v>
      </c>
      <c r="B333" s="261"/>
      <c r="C333" s="261"/>
      <c r="D333" s="262" t="s">
        <v>15</v>
      </c>
      <c r="E333" s="262" t="s">
        <v>175</v>
      </c>
      <c r="F333" s="263" t="s">
        <v>15</v>
      </c>
      <c r="G333" s="264" t="s">
        <v>175</v>
      </c>
      <c r="H333" s="281"/>
      <c r="I333" s="265"/>
      <c r="J333" s="266" t="s">
        <v>600</v>
      </c>
      <c r="K333" s="262"/>
      <c r="L333" s="262"/>
      <c r="M333" s="262">
        <v>9288</v>
      </c>
      <c r="N333" s="262" t="s">
        <v>22</v>
      </c>
      <c r="O333" s="262" t="s">
        <v>56</v>
      </c>
      <c r="P333" s="262" t="s">
        <v>57</v>
      </c>
      <c r="Q333" s="262" t="s">
        <v>18</v>
      </c>
      <c r="R333" s="262" t="s">
        <v>28</v>
      </c>
      <c r="S333" s="267" t="s">
        <v>28</v>
      </c>
      <c r="T333" s="268"/>
      <c r="U333" s="269">
        <v>170472310</v>
      </c>
      <c r="V333" s="269">
        <v>25446630</v>
      </c>
      <c r="W333" s="278">
        <v>304579800</v>
      </c>
      <c r="X333" s="270"/>
      <c r="Y333" s="262" t="s">
        <v>27</v>
      </c>
      <c r="Z333" s="271" t="s">
        <v>27</v>
      </c>
      <c r="AA333" s="287"/>
      <c r="AB333" s="287"/>
      <c r="AC333" s="272">
        <f t="shared" si="11"/>
        <v>291870100</v>
      </c>
      <c r="AD333" s="272">
        <v>291870100</v>
      </c>
      <c r="AE333" s="272">
        <f t="shared" si="12"/>
        <v>0</v>
      </c>
      <c r="AF333" s="273">
        <v>29960100</v>
      </c>
      <c r="AG333" s="274">
        <v>29960100</v>
      </c>
      <c r="AH333" s="273"/>
      <c r="AI333" s="273">
        <v>23000000</v>
      </c>
      <c r="AJ333" s="274">
        <v>29970000</v>
      </c>
      <c r="AK333" s="273"/>
      <c r="AL333" s="275">
        <v>21970000</v>
      </c>
      <c r="AM333" s="290">
        <v>21970000</v>
      </c>
      <c r="AN333" s="275"/>
      <c r="AO333" s="276">
        <v>25970000</v>
      </c>
      <c r="AP333" s="275"/>
      <c r="AQ333" s="275">
        <v>23000000</v>
      </c>
      <c r="AR333" s="275"/>
      <c r="AS333" s="275">
        <v>23000000</v>
      </c>
      <c r="AT333" s="275"/>
      <c r="AU333" s="275">
        <v>23000000</v>
      </c>
      <c r="AV333" s="275"/>
      <c r="AW333" s="275">
        <v>23000000</v>
      </c>
      <c r="AX333" s="275"/>
      <c r="AY333" s="275">
        <v>23000000</v>
      </c>
      <c r="AZ333" s="275"/>
      <c r="BA333" s="275">
        <v>23000000</v>
      </c>
      <c r="BB333" s="275"/>
      <c r="BC333" s="275">
        <v>23000000</v>
      </c>
      <c r="BD333" s="275"/>
      <c r="BE333" s="275">
        <v>23000000</v>
      </c>
      <c r="BF333" s="275"/>
      <c r="BH333" s="277"/>
    </row>
    <row r="334" spans="1:60" ht="16.5" customHeight="1">
      <c r="A334" s="260">
        <v>312</v>
      </c>
      <c r="B334" s="261"/>
      <c r="C334" s="261"/>
      <c r="D334" s="262" t="s">
        <v>15</v>
      </c>
      <c r="E334" s="262" t="s">
        <v>175</v>
      </c>
      <c r="F334" s="263" t="s">
        <v>15</v>
      </c>
      <c r="G334" s="264" t="s">
        <v>175</v>
      </c>
      <c r="H334" s="281"/>
      <c r="I334" s="265"/>
      <c r="J334" s="266" t="s">
        <v>600</v>
      </c>
      <c r="K334" s="262"/>
      <c r="L334" s="262"/>
      <c r="M334" s="262">
        <v>9288</v>
      </c>
      <c r="N334" s="262" t="s">
        <v>22</v>
      </c>
      <c r="O334" s="262" t="s">
        <v>178</v>
      </c>
      <c r="P334" s="262" t="s">
        <v>57</v>
      </c>
      <c r="Q334" s="262" t="s">
        <v>30</v>
      </c>
      <c r="R334" s="262" t="s">
        <v>31</v>
      </c>
      <c r="S334" s="267" t="s">
        <v>31</v>
      </c>
      <c r="T334" s="268"/>
      <c r="U334" s="269">
        <v>20004000</v>
      </c>
      <c r="V334" s="269">
        <v>0</v>
      </c>
      <c r="W334" s="278">
        <v>0</v>
      </c>
      <c r="X334" s="270"/>
      <c r="Y334" s="262" t="s">
        <v>21</v>
      </c>
      <c r="Z334" s="271" t="s">
        <v>21</v>
      </c>
      <c r="AA334" s="287"/>
      <c r="AB334" s="287"/>
      <c r="AC334" s="272">
        <f t="shared" si="11"/>
        <v>0</v>
      </c>
      <c r="AD334" s="272">
        <v>0</v>
      </c>
      <c r="AE334" s="272">
        <f t="shared" si="12"/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/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/>
      <c r="BF334" s="275"/>
      <c r="BH334" s="277"/>
    </row>
    <row r="335" spans="1:60" ht="16.5" customHeight="1">
      <c r="A335" s="260">
        <v>313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 t="s">
        <v>53</v>
      </c>
      <c r="O335" s="262" t="s">
        <v>56</v>
      </c>
      <c r="P335" s="262" t="s">
        <v>57</v>
      </c>
      <c r="Q335" s="262" t="s">
        <v>18</v>
      </c>
      <c r="R335" s="262" t="s">
        <v>19</v>
      </c>
      <c r="S335" s="267" t="s">
        <v>19</v>
      </c>
      <c r="T335" s="268" t="s">
        <v>951</v>
      </c>
      <c r="U335" s="269">
        <v>27011300</v>
      </c>
      <c r="V335" s="269">
        <v>26376482</v>
      </c>
      <c r="W335" s="278">
        <v>28754480</v>
      </c>
      <c r="X335" s="270"/>
      <c r="Y335" s="262" t="s">
        <v>27</v>
      </c>
      <c r="Z335" s="271" t="s">
        <v>27</v>
      </c>
      <c r="AA335" s="287"/>
      <c r="AB335" s="287"/>
      <c r="AC335" s="272">
        <f t="shared" si="11"/>
        <v>20637460</v>
      </c>
      <c r="AD335" s="272">
        <v>20637460</v>
      </c>
      <c r="AE335" s="272">
        <f t="shared" si="12"/>
        <v>0</v>
      </c>
      <c r="AF335" s="273">
        <v>789300</v>
      </c>
      <c r="AG335" s="274">
        <v>789300</v>
      </c>
      <c r="AH335" s="273"/>
      <c r="AI335" s="273">
        <v>2000000</v>
      </c>
      <c r="AJ335" s="274">
        <v>854200</v>
      </c>
      <c r="AK335" s="273"/>
      <c r="AL335" s="275">
        <v>993960</v>
      </c>
      <c r="AM335" s="290">
        <v>993960</v>
      </c>
      <c r="AN335" s="275"/>
      <c r="AO335" s="276">
        <v>2000000</v>
      </c>
      <c r="AP335" s="275"/>
      <c r="AQ335" s="275">
        <v>2000000</v>
      </c>
      <c r="AR335" s="275"/>
      <c r="AS335" s="275">
        <v>2000000</v>
      </c>
      <c r="AT335" s="275"/>
      <c r="AU335" s="275">
        <v>2000000</v>
      </c>
      <c r="AV335" s="275"/>
      <c r="AW335" s="275">
        <v>2000000</v>
      </c>
      <c r="AX335" s="275"/>
      <c r="AY335" s="275">
        <v>2000000</v>
      </c>
      <c r="AZ335" s="275"/>
      <c r="BA335" s="275">
        <v>2000000</v>
      </c>
      <c r="BB335" s="275"/>
      <c r="BC335" s="275">
        <v>2000000</v>
      </c>
      <c r="BD335" s="275"/>
      <c r="BE335" s="275">
        <v>2000000</v>
      </c>
      <c r="BF335" s="275"/>
      <c r="BH335" s="277"/>
    </row>
    <row r="336" spans="1:60" ht="16.5" customHeight="1">
      <c r="A336" s="260">
        <v>314</v>
      </c>
      <c r="B336" s="261"/>
      <c r="C336" s="261"/>
      <c r="D336" s="262"/>
      <c r="E336" s="262"/>
      <c r="F336" s="263" t="s">
        <v>15</v>
      </c>
      <c r="G336" s="264" t="s">
        <v>175</v>
      </c>
      <c r="H336" s="281"/>
      <c r="I336" s="265"/>
      <c r="J336" s="266" t="s">
        <v>836</v>
      </c>
      <c r="K336" s="262"/>
      <c r="L336" s="262"/>
      <c r="M336" s="262">
        <v>30380</v>
      </c>
      <c r="N336" s="262" t="s">
        <v>53</v>
      </c>
      <c r="O336" s="262" t="s">
        <v>56</v>
      </c>
      <c r="P336" s="262" t="s">
        <v>57</v>
      </c>
      <c r="Q336" s="262"/>
      <c r="R336" s="262"/>
      <c r="S336" s="267" t="s">
        <v>31</v>
      </c>
      <c r="T336" s="268"/>
      <c r="U336" s="269"/>
      <c r="V336" s="269"/>
      <c r="W336" s="278">
        <v>0</v>
      </c>
      <c r="X336" s="270"/>
      <c r="Y336" s="262"/>
      <c r="Z336" s="271" t="s">
        <v>27</v>
      </c>
      <c r="AA336" s="287"/>
      <c r="AB336" s="287"/>
      <c r="AC336" s="272">
        <f t="shared" si="11"/>
        <v>4520000</v>
      </c>
      <c r="AD336" s="272">
        <v>4520000</v>
      </c>
      <c r="AE336" s="272">
        <f t="shared" si="12"/>
        <v>0</v>
      </c>
      <c r="AF336" s="273"/>
      <c r="AG336" s="274"/>
      <c r="AH336" s="273"/>
      <c r="AI336" s="273"/>
      <c r="AJ336" s="274"/>
      <c r="AK336" s="273"/>
      <c r="AL336" s="275"/>
      <c r="AM336" s="290"/>
      <c r="AN336" s="275"/>
      <c r="AO336" s="276"/>
      <c r="AP336" s="275"/>
      <c r="AQ336" s="275"/>
      <c r="AR336" s="275"/>
      <c r="AS336" s="275">
        <v>2260000</v>
      </c>
      <c r="AT336" s="275"/>
      <c r="AU336" s="275"/>
      <c r="AV336" s="275"/>
      <c r="AW336" s="275"/>
      <c r="AX336" s="275"/>
      <c r="AY336" s="275"/>
      <c r="AZ336" s="275"/>
      <c r="BA336" s="275"/>
      <c r="BB336" s="275"/>
      <c r="BC336" s="275"/>
      <c r="BD336" s="275"/>
      <c r="BE336" s="275">
        <v>2260000</v>
      </c>
      <c r="BF336" s="275"/>
      <c r="BH336" s="277"/>
    </row>
    <row r="337" spans="1:60" ht="16.5" customHeight="1">
      <c r="A337" s="260">
        <v>315</v>
      </c>
      <c r="B337" s="261"/>
      <c r="C337" s="261"/>
      <c r="D337" s="262" t="s">
        <v>112</v>
      </c>
      <c r="E337" s="262" t="s">
        <v>702</v>
      </c>
      <c r="F337" s="263" t="s">
        <v>15</v>
      </c>
      <c r="G337" s="264" t="s">
        <v>175</v>
      </c>
      <c r="H337" s="281"/>
      <c r="I337" s="265"/>
      <c r="J337" s="266" t="s">
        <v>836</v>
      </c>
      <c r="K337" s="262"/>
      <c r="L337" s="262"/>
      <c r="M337" s="262">
        <v>30380</v>
      </c>
      <c r="N337" s="262"/>
      <c r="O337" s="262"/>
      <c r="P337" s="262"/>
      <c r="Q337" s="262" t="s">
        <v>23</v>
      </c>
      <c r="R337" s="262" t="s">
        <v>397</v>
      </c>
      <c r="S337" s="267" t="s">
        <v>823</v>
      </c>
      <c r="T337" s="268"/>
      <c r="U337" s="269"/>
      <c r="V337" s="269">
        <v>4000000</v>
      </c>
      <c r="W337" s="278">
        <v>0</v>
      </c>
      <c r="X337" s="270"/>
      <c r="Y337" s="262" t="s">
        <v>25</v>
      </c>
      <c r="Z337" s="271" t="s">
        <v>25</v>
      </c>
      <c r="AA337" s="287"/>
      <c r="AB337" s="287"/>
      <c r="AC337" s="272">
        <f t="shared" si="11"/>
        <v>3000000</v>
      </c>
      <c r="AD337" s="272">
        <v>3000000</v>
      </c>
      <c r="AE337" s="272">
        <f t="shared" si="12"/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>
        <v>3000000</v>
      </c>
      <c r="BF337" s="275"/>
      <c r="BH337" s="277"/>
    </row>
    <row r="338" spans="1:60" ht="16.5" customHeight="1">
      <c r="A338" s="260">
        <v>316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200</v>
      </c>
      <c r="K338" s="262"/>
      <c r="L338" s="262"/>
      <c r="M338" s="262">
        <v>391</v>
      </c>
      <c r="N338" s="262" t="s">
        <v>22</v>
      </c>
      <c r="O338" s="262" t="s">
        <v>35</v>
      </c>
      <c r="P338" s="262" t="s">
        <v>156</v>
      </c>
      <c r="Q338" s="262" t="s">
        <v>63</v>
      </c>
      <c r="R338" s="262" t="s">
        <v>28</v>
      </c>
      <c r="S338" s="267" t="s">
        <v>28</v>
      </c>
      <c r="T338" s="268"/>
      <c r="U338" s="269"/>
      <c r="V338" s="269"/>
      <c r="W338" s="278">
        <v>0</v>
      </c>
      <c r="X338" s="270"/>
      <c r="Y338" s="262" t="s">
        <v>562</v>
      </c>
      <c r="Z338" s="271" t="s">
        <v>74</v>
      </c>
      <c r="AA338" s="287"/>
      <c r="AB338" s="287"/>
      <c r="AC338" s="272">
        <f t="shared" si="11"/>
        <v>270000000</v>
      </c>
      <c r="AD338" s="272">
        <v>270000000</v>
      </c>
      <c r="AE338" s="272">
        <f t="shared" si="12"/>
        <v>0</v>
      </c>
      <c r="AF338" s="273"/>
      <c r="AG338" s="274"/>
      <c r="AH338" s="273"/>
      <c r="AI338" s="273">
        <v>30000000</v>
      </c>
      <c r="AJ338" s="274"/>
      <c r="AK338" s="273"/>
      <c r="AL338" s="275">
        <v>30000000</v>
      </c>
      <c r="AM338" s="290"/>
      <c r="AN338" s="275"/>
      <c r="AO338" s="276">
        <v>30000000</v>
      </c>
      <c r="AP338" s="275"/>
      <c r="AQ338" s="275">
        <v>30000000</v>
      </c>
      <c r="AR338" s="275"/>
      <c r="AS338" s="275">
        <v>30000000</v>
      </c>
      <c r="AT338" s="275"/>
      <c r="AU338" s="275">
        <v>30000000</v>
      </c>
      <c r="AV338" s="275"/>
      <c r="AW338" s="275">
        <v>30000000</v>
      </c>
      <c r="AX338" s="275"/>
      <c r="AY338" s="275">
        <v>30000000</v>
      </c>
      <c r="AZ338" s="275"/>
      <c r="BA338" s="275">
        <v>30000000</v>
      </c>
      <c r="BB338" s="275"/>
      <c r="BC338" s="275">
        <v>30000000</v>
      </c>
      <c r="BD338" s="275"/>
      <c r="BE338" s="275">
        <v>30000000</v>
      </c>
      <c r="BF338" s="275"/>
      <c r="BH338" s="277"/>
    </row>
    <row r="339" spans="1:60" ht="16.5" customHeight="1">
      <c r="A339" s="260">
        <v>317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200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57</v>
      </c>
      <c r="Q339" s="262" t="s">
        <v>18</v>
      </c>
      <c r="R339" s="262" t="s">
        <v>19</v>
      </c>
      <c r="S339" s="267" t="s">
        <v>19</v>
      </c>
      <c r="T339" s="268"/>
      <c r="U339" s="269">
        <v>193056428</v>
      </c>
      <c r="V339" s="269">
        <v>0</v>
      </c>
      <c r="W339" s="278">
        <v>0</v>
      </c>
      <c r="X339" s="270"/>
      <c r="Y339" s="262" t="s">
        <v>27</v>
      </c>
      <c r="Z339" s="271" t="s">
        <v>21</v>
      </c>
      <c r="AA339" s="287"/>
      <c r="AB339" s="287"/>
      <c r="AC339" s="272">
        <f t="shared" si="11"/>
        <v>0</v>
      </c>
      <c r="AD339" s="272">
        <v>0</v>
      </c>
      <c r="AE339" s="272">
        <f t="shared" si="12"/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/>
      <c r="BB339" s="275"/>
      <c r="BC339" s="275"/>
      <c r="BD339" s="275"/>
      <c r="BE339" s="275"/>
      <c r="BF339" s="275"/>
      <c r="BH339" s="277"/>
    </row>
    <row r="340" spans="1:60" ht="16.5" customHeight="1">
      <c r="A340" s="260">
        <v>318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753</v>
      </c>
      <c r="K340" s="262"/>
      <c r="L340" s="262"/>
      <c r="M340" s="262">
        <v>391</v>
      </c>
      <c r="N340" s="262" t="s">
        <v>22</v>
      </c>
      <c r="O340" s="262" t="s">
        <v>56</v>
      </c>
      <c r="P340" s="262" t="s">
        <v>156</v>
      </c>
      <c r="Q340" s="262" t="s">
        <v>26</v>
      </c>
      <c r="R340" s="262" t="s">
        <v>468</v>
      </c>
      <c r="S340" s="267" t="s">
        <v>468</v>
      </c>
      <c r="T340" s="268"/>
      <c r="U340" s="269"/>
      <c r="V340" s="269">
        <v>16735872</v>
      </c>
      <c r="W340" s="278">
        <v>171341273</v>
      </c>
      <c r="X340" s="270"/>
      <c r="Y340" s="262" t="s">
        <v>27</v>
      </c>
      <c r="Z340" s="271" t="s">
        <v>74</v>
      </c>
      <c r="AA340" s="287"/>
      <c r="AB340" s="287"/>
      <c r="AC340" s="272">
        <f t="shared" si="11"/>
        <v>80000000</v>
      </c>
      <c r="AD340" s="272">
        <v>80000000</v>
      </c>
      <c r="AE340" s="272">
        <f t="shared" si="12"/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>
        <v>20000000</v>
      </c>
      <c r="AR340" s="275"/>
      <c r="AS340" s="275">
        <v>10000000</v>
      </c>
      <c r="AT340" s="275"/>
      <c r="AU340" s="275">
        <v>30000000</v>
      </c>
      <c r="AV340" s="275"/>
      <c r="AW340" s="275">
        <v>20000000</v>
      </c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customHeight="1">
      <c r="A341" s="260">
        <v>319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754</v>
      </c>
      <c r="K341" s="262"/>
      <c r="L341" s="262"/>
      <c r="M341" s="262">
        <v>391</v>
      </c>
      <c r="N341" s="262" t="s">
        <v>22</v>
      </c>
      <c r="O341" s="262" t="s">
        <v>35</v>
      </c>
      <c r="P341" s="262" t="s">
        <v>156</v>
      </c>
      <c r="Q341" s="262" t="s">
        <v>26</v>
      </c>
      <c r="R341" s="262" t="s">
        <v>468</v>
      </c>
      <c r="S341" s="267" t="s">
        <v>468</v>
      </c>
      <c r="T341" s="268"/>
      <c r="U341" s="269">
        <v>0</v>
      </c>
      <c r="V341" s="269">
        <v>0</v>
      </c>
      <c r="W341" s="278">
        <v>0</v>
      </c>
      <c r="X341" s="270"/>
      <c r="Y341" s="262" t="s">
        <v>24</v>
      </c>
      <c r="Z341" s="271" t="s">
        <v>74</v>
      </c>
      <c r="AA341" s="287"/>
      <c r="AB341" s="287"/>
      <c r="AC341" s="272">
        <f t="shared" si="11"/>
        <v>70000000</v>
      </c>
      <c r="AD341" s="272">
        <v>70000000</v>
      </c>
      <c r="AE341" s="272">
        <f t="shared" si="12"/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75"/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>
        <v>20000000</v>
      </c>
      <c r="BB341" s="275"/>
      <c r="BC341" s="275">
        <v>20000000</v>
      </c>
      <c r="BD341" s="275"/>
      <c r="BE341" s="275">
        <v>30000000</v>
      </c>
      <c r="BF341" s="275"/>
      <c r="BH341" s="277"/>
    </row>
    <row r="342" spans="1:60" ht="16.5" customHeight="1">
      <c r="A342" s="260">
        <v>320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201</v>
      </c>
      <c r="K342" s="262"/>
      <c r="L342" s="262"/>
      <c r="M342" s="262">
        <v>23842</v>
      </c>
      <c r="N342" s="262" t="s">
        <v>22</v>
      </c>
      <c r="O342" s="262" t="s">
        <v>212</v>
      </c>
      <c r="P342" s="262" t="s">
        <v>57</v>
      </c>
      <c r="Q342" s="262" t="s">
        <v>18</v>
      </c>
      <c r="R342" s="262" t="s">
        <v>19</v>
      </c>
      <c r="S342" s="267" t="s">
        <v>19</v>
      </c>
      <c r="T342" s="268"/>
      <c r="U342" s="269">
        <v>2485930</v>
      </c>
      <c r="V342" s="269">
        <v>3449400</v>
      </c>
      <c r="W342" s="278">
        <v>0</v>
      </c>
      <c r="X342" s="270"/>
      <c r="Y342" s="262" t="s">
        <v>27</v>
      </c>
      <c r="Z342" s="271" t="s">
        <v>20</v>
      </c>
      <c r="AA342" s="287"/>
      <c r="AB342" s="287"/>
      <c r="AC342" s="272">
        <f t="shared" si="11"/>
        <v>0</v>
      </c>
      <c r="AD342" s="272">
        <v>0</v>
      </c>
      <c r="AE342" s="272">
        <f t="shared" si="12"/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customHeight="1">
      <c r="A343" s="260">
        <v>321</v>
      </c>
      <c r="B343" s="261"/>
      <c r="C343" s="261"/>
      <c r="D343" s="262" t="s">
        <v>15</v>
      </c>
      <c r="E343" s="262" t="s">
        <v>175</v>
      </c>
      <c r="F343" s="263" t="s">
        <v>15</v>
      </c>
      <c r="G343" s="264" t="s">
        <v>175</v>
      </c>
      <c r="H343" s="281"/>
      <c r="I343" s="265"/>
      <c r="J343" s="266" t="s">
        <v>359</v>
      </c>
      <c r="K343" s="262"/>
      <c r="L343" s="262"/>
      <c r="M343" s="262">
        <v>40260</v>
      </c>
      <c r="N343" s="262" t="s">
        <v>22</v>
      </c>
      <c r="O343" s="262" t="s">
        <v>56</v>
      </c>
      <c r="P343" s="262" t="s">
        <v>124</v>
      </c>
      <c r="Q343" s="262" t="s">
        <v>44</v>
      </c>
      <c r="R343" s="262" t="s">
        <v>469</v>
      </c>
      <c r="S343" s="267" t="s">
        <v>469</v>
      </c>
      <c r="T343" s="268"/>
      <c r="U343" s="269" t="s">
        <v>154</v>
      </c>
      <c r="V343" s="269">
        <v>0</v>
      </c>
      <c r="W343" s="278">
        <v>12000000</v>
      </c>
      <c r="X343" s="270"/>
      <c r="Y343" s="262" t="s">
        <v>27</v>
      </c>
      <c r="Z343" s="271" t="s">
        <v>24</v>
      </c>
      <c r="AA343" s="287"/>
      <c r="AB343" s="287"/>
      <c r="AC343" s="272">
        <f t="shared" ref="AC343:AC406" si="13">AG343+AJ343+AM343+AO343+AQ343+AS343+AU343+AW343+AY343+BA343+BC343+BE343</f>
        <v>15000000</v>
      </c>
      <c r="AD343" s="272">
        <v>15000000</v>
      </c>
      <c r="AE343" s="272">
        <f t="shared" ref="AE343:AE406" si="14">AC343-AD343</f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75">
        <v>15000000</v>
      </c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customHeight="1">
      <c r="A344" s="260">
        <v>322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359</v>
      </c>
      <c r="K344" s="262"/>
      <c r="L344" s="262"/>
      <c r="M344" s="262">
        <v>40260</v>
      </c>
      <c r="N344" s="262" t="s">
        <v>22</v>
      </c>
      <c r="O344" s="262" t="s">
        <v>56</v>
      </c>
      <c r="P344" s="262"/>
      <c r="Q344" s="262" t="s">
        <v>23</v>
      </c>
      <c r="R344" s="262" t="s">
        <v>397</v>
      </c>
      <c r="S344" s="267" t="s">
        <v>823</v>
      </c>
      <c r="T344" s="268"/>
      <c r="U344" s="269">
        <v>75500000</v>
      </c>
      <c r="V344" s="269">
        <v>25400000</v>
      </c>
      <c r="W344" s="278">
        <v>0</v>
      </c>
      <c r="X344" s="270"/>
      <c r="Y344" s="262" t="s">
        <v>20</v>
      </c>
      <c r="Z344" s="271" t="s">
        <v>20</v>
      </c>
      <c r="AA344" s="287"/>
      <c r="AB344" s="287"/>
      <c r="AC344" s="272">
        <f t="shared" si="13"/>
        <v>0</v>
      </c>
      <c r="AD344" s="272">
        <v>0</v>
      </c>
      <c r="AE344" s="272">
        <f t="shared" si="14"/>
        <v>0</v>
      </c>
      <c r="AF344" s="273"/>
      <c r="AG344" s="274"/>
      <c r="AH344" s="273"/>
      <c r="AI344" s="273"/>
      <c r="AJ344" s="274"/>
      <c r="AK344" s="273"/>
      <c r="AL344" s="275"/>
      <c r="AM344" s="290"/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/>
      <c r="BD344" s="275"/>
      <c r="BE344" s="275"/>
      <c r="BF344" s="275"/>
      <c r="BH344" s="277"/>
    </row>
    <row r="345" spans="1:60" ht="16.5" customHeight="1">
      <c r="A345" s="260">
        <v>323</v>
      </c>
      <c r="B345" s="261"/>
      <c r="C345" s="261"/>
      <c r="D345" s="262"/>
      <c r="E345" s="262"/>
      <c r="F345" s="263" t="s">
        <v>15</v>
      </c>
      <c r="G345" s="264" t="s">
        <v>175</v>
      </c>
      <c r="H345" s="281"/>
      <c r="I345" s="265"/>
      <c r="J345" s="266" t="s">
        <v>361</v>
      </c>
      <c r="K345" s="262"/>
      <c r="L345" s="262"/>
      <c r="M345" s="262">
        <v>23546</v>
      </c>
      <c r="N345" s="262"/>
      <c r="O345" s="262"/>
      <c r="P345" s="262"/>
      <c r="Q345" s="262"/>
      <c r="R345" s="262"/>
      <c r="S345" s="267" t="s">
        <v>19</v>
      </c>
      <c r="T345" s="268"/>
      <c r="U345" s="269"/>
      <c r="V345" s="269"/>
      <c r="W345" s="278">
        <v>8091000</v>
      </c>
      <c r="X345" s="270">
        <v>7713500</v>
      </c>
      <c r="Y345" s="262"/>
      <c r="Z345" s="271" t="s">
        <v>718</v>
      </c>
      <c r="AA345" s="287"/>
      <c r="AB345" s="287"/>
      <c r="AC345" s="272">
        <f t="shared" si="13"/>
        <v>0</v>
      </c>
      <c r="AD345" s="272">
        <v>0</v>
      </c>
      <c r="AE345" s="272">
        <f t="shared" si="14"/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customHeight="1">
      <c r="A346" s="260">
        <v>324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361</v>
      </c>
      <c r="K346" s="262"/>
      <c r="L346" s="262"/>
      <c r="M346" s="262">
        <v>23546</v>
      </c>
      <c r="N346" s="262" t="s">
        <v>22</v>
      </c>
      <c r="O346" s="262" t="s">
        <v>56</v>
      </c>
      <c r="P346" s="262" t="s">
        <v>57</v>
      </c>
      <c r="Q346" s="262" t="s">
        <v>18</v>
      </c>
      <c r="R346" s="262" t="s">
        <v>19</v>
      </c>
      <c r="S346" s="267" t="s">
        <v>31</v>
      </c>
      <c r="T346" s="268"/>
      <c r="U346" s="269">
        <v>7333500</v>
      </c>
      <c r="V346" s="269">
        <v>16142900</v>
      </c>
      <c r="W346" s="278">
        <v>0</v>
      </c>
      <c r="X346" s="270"/>
      <c r="Y346" s="262" t="s">
        <v>27</v>
      </c>
      <c r="Z346" s="271" t="s">
        <v>27</v>
      </c>
      <c r="AA346" s="287"/>
      <c r="AB346" s="287"/>
      <c r="AC346" s="272">
        <f t="shared" si="13"/>
        <v>3045000</v>
      </c>
      <c r="AD346" s="272">
        <v>3045000</v>
      </c>
      <c r="AE346" s="272">
        <f t="shared" si="14"/>
        <v>0</v>
      </c>
      <c r="AF346" s="273"/>
      <c r="AG346" s="274"/>
      <c r="AH346" s="273"/>
      <c r="AI346" s="273"/>
      <c r="AJ346" s="274"/>
      <c r="AK346" s="273"/>
      <c r="AL346" s="275">
        <v>722500</v>
      </c>
      <c r="AM346" s="290">
        <v>345000</v>
      </c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/>
      <c r="BB346" s="275"/>
      <c r="BC346" s="275">
        <v>2700000</v>
      </c>
      <c r="BD346" s="275"/>
      <c r="BE346" s="275"/>
      <c r="BF346" s="275"/>
      <c r="BH346" s="277"/>
    </row>
    <row r="347" spans="1:60" ht="16.5" customHeight="1">
      <c r="A347" s="260">
        <v>325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755</v>
      </c>
      <c r="K347" s="262"/>
      <c r="L347" s="262"/>
      <c r="M347" s="262">
        <v>39970</v>
      </c>
      <c r="N347" s="262"/>
      <c r="O347" s="262"/>
      <c r="P347" s="262"/>
      <c r="Q347" s="262"/>
      <c r="R347" s="262" t="s">
        <v>19</v>
      </c>
      <c r="S347" s="267" t="s">
        <v>19</v>
      </c>
      <c r="T347" s="268"/>
      <c r="U347" s="269"/>
      <c r="V347" s="269"/>
      <c r="W347" s="278">
        <v>600000</v>
      </c>
      <c r="X347" s="270"/>
      <c r="Y347" s="262" t="s">
        <v>27</v>
      </c>
      <c r="Z347" s="271" t="s">
        <v>718</v>
      </c>
      <c r="AA347" s="287"/>
      <c r="AB347" s="287"/>
      <c r="AC347" s="272">
        <f t="shared" si="13"/>
        <v>0</v>
      </c>
      <c r="AD347" s="272">
        <v>0</v>
      </c>
      <c r="AE347" s="272">
        <f t="shared" si="14"/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/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/>
      <c r="BD347" s="275"/>
      <c r="BE347" s="275"/>
      <c r="BF347" s="275"/>
      <c r="BH347" s="277"/>
    </row>
    <row r="348" spans="1:60" ht="16.5" customHeight="1">
      <c r="A348" s="260">
        <v>326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755</v>
      </c>
      <c r="K348" s="262"/>
      <c r="L348" s="262"/>
      <c r="M348" s="262">
        <v>39970</v>
      </c>
      <c r="N348" s="262" t="s">
        <v>53</v>
      </c>
      <c r="O348" s="262" t="s">
        <v>35</v>
      </c>
      <c r="P348" s="262" t="s">
        <v>156</v>
      </c>
      <c r="Q348" s="262"/>
      <c r="R348" s="262"/>
      <c r="S348" s="267" t="s">
        <v>31</v>
      </c>
      <c r="T348" s="268"/>
      <c r="U348" s="269">
        <v>0</v>
      </c>
      <c r="V348" s="269">
        <v>0</v>
      </c>
      <c r="W348" s="278">
        <v>0</v>
      </c>
      <c r="X348" s="270"/>
      <c r="Y348" s="262" t="s">
        <v>599</v>
      </c>
      <c r="Z348" s="271" t="s">
        <v>25</v>
      </c>
      <c r="AA348" s="287"/>
      <c r="AB348" s="287"/>
      <c r="AC348" s="272">
        <f t="shared" si="13"/>
        <v>5000000</v>
      </c>
      <c r="AD348" s="272">
        <v>5000000</v>
      </c>
      <c r="AE348" s="272">
        <f t="shared" si="14"/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5000000</v>
      </c>
      <c r="BB348" s="275"/>
      <c r="BC348" s="275"/>
      <c r="BD348" s="275"/>
      <c r="BE348" s="275"/>
      <c r="BF348" s="275"/>
      <c r="BH348" s="277"/>
    </row>
    <row r="349" spans="1:60" ht="16.5" customHeight="1">
      <c r="A349" s="260">
        <v>327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362</v>
      </c>
      <c r="K349" s="262"/>
      <c r="L349" s="262"/>
      <c r="M349" s="262">
        <v>448</v>
      </c>
      <c r="N349" s="262" t="s">
        <v>53</v>
      </c>
      <c r="O349" s="262" t="s">
        <v>212</v>
      </c>
      <c r="P349" s="262" t="s">
        <v>57</v>
      </c>
      <c r="Q349" s="262" t="s">
        <v>18</v>
      </c>
      <c r="R349" s="262" t="s">
        <v>28</v>
      </c>
      <c r="S349" s="267" t="s">
        <v>28</v>
      </c>
      <c r="T349" s="268"/>
      <c r="U349" s="269">
        <v>87171200</v>
      </c>
      <c r="V349" s="269">
        <v>86209000</v>
      </c>
      <c r="W349" s="278">
        <v>71244400</v>
      </c>
      <c r="X349" s="270"/>
      <c r="Y349" s="262" t="s">
        <v>27</v>
      </c>
      <c r="Z349" s="271" t="s">
        <v>27</v>
      </c>
      <c r="AA349" s="287"/>
      <c r="AB349" s="287"/>
      <c r="AC349" s="272">
        <f t="shared" si="13"/>
        <v>70000000</v>
      </c>
      <c r="AD349" s="272">
        <v>70000000</v>
      </c>
      <c r="AE349" s="272">
        <f t="shared" si="14"/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>
        <v>35000000</v>
      </c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>
        <v>35000000</v>
      </c>
      <c r="BD349" s="275"/>
      <c r="BE349" s="275"/>
      <c r="BF349" s="275"/>
      <c r="BH349" s="277"/>
    </row>
    <row r="350" spans="1:60" ht="16.5" customHeight="1">
      <c r="A350" s="260">
        <v>328</v>
      </c>
      <c r="B350" s="261"/>
      <c r="C350" s="261"/>
      <c r="D350" s="262" t="s">
        <v>15</v>
      </c>
      <c r="E350" s="262" t="s">
        <v>175</v>
      </c>
      <c r="F350" s="263" t="s">
        <v>15</v>
      </c>
      <c r="G350" s="264" t="s">
        <v>175</v>
      </c>
      <c r="H350" s="281"/>
      <c r="I350" s="265"/>
      <c r="J350" s="266" t="s">
        <v>363</v>
      </c>
      <c r="K350" s="262"/>
      <c r="L350" s="262"/>
      <c r="M350" s="262">
        <v>3716</v>
      </c>
      <c r="N350" s="262" t="s">
        <v>22</v>
      </c>
      <c r="O350" s="262" t="s">
        <v>56</v>
      </c>
      <c r="P350" s="262" t="s">
        <v>57</v>
      </c>
      <c r="Q350" s="262" t="s">
        <v>63</v>
      </c>
      <c r="R350" s="262" t="s">
        <v>28</v>
      </c>
      <c r="S350" s="267" t="s">
        <v>28</v>
      </c>
      <c r="T350" s="268"/>
      <c r="U350" s="269">
        <v>143250000</v>
      </c>
      <c r="V350" s="269">
        <v>150884000</v>
      </c>
      <c r="W350" s="278">
        <v>128423000</v>
      </c>
      <c r="X350" s="270"/>
      <c r="Y350" s="262" t="s">
        <v>24</v>
      </c>
      <c r="Z350" s="271" t="s">
        <v>24</v>
      </c>
      <c r="AA350" s="287"/>
      <c r="AB350" s="287"/>
      <c r="AC350" s="272">
        <f t="shared" si="13"/>
        <v>150000000</v>
      </c>
      <c r="AD350" s="272">
        <v>150000000</v>
      </c>
      <c r="AE350" s="272">
        <f t="shared" si="14"/>
        <v>0</v>
      </c>
      <c r="AF350" s="273"/>
      <c r="AG350" s="274"/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>
        <v>150000000</v>
      </c>
      <c r="BB350" s="275"/>
      <c r="BC350" s="275"/>
      <c r="BD350" s="275"/>
      <c r="BE350" s="275"/>
      <c r="BF350" s="275"/>
      <c r="BH350" s="277"/>
    </row>
    <row r="351" spans="1:60" ht="16.5" customHeight="1">
      <c r="A351" s="260">
        <v>329</v>
      </c>
      <c r="B351" s="261"/>
      <c r="C351" s="261"/>
      <c r="D351" s="262" t="s">
        <v>15</v>
      </c>
      <c r="E351" s="262" t="s">
        <v>175</v>
      </c>
      <c r="F351" s="263" t="s">
        <v>15</v>
      </c>
      <c r="G351" s="264" t="s">
        <v>175</v>
      </c>
      <c r="H351" s="281"/>
      <c r="I351" s="265"/>
      <c r="J351" s="266" t="s">
        <v>363</v>
      </c>
      <c r="K351" s="262"/>
      <c r="L351" s="262"/>
      <c r="M351" s="262">
        <v>3716</v>
      </c>
      <c r="N351" s="262" t="s">
        <v>22</v>
      </c>
      <c r="O351" s="262" t="s">
        <v>56</v>
      </c>
      <c r="P351" s="262" t="s">
        <v>57</v>
      </c>
      <c r="Q351" s="262" t="s">
        <v>63</v>
      </c>
      <c r="R351" s="262" t="s">
        <v>31</v>
      </c>
      <c r="S351" s="267" t="s">
        <v>31</v>
      </c>
      <c r="T351" s="268"/>
      <c r="U351" s="269"/>
      <c r="V351" s="269">
        <v>0</v>
      </c>
      <c r="W351" s="278">
        <v>6858000</v>
      </c>
      <c r="X351" s="270"/>
      <c r="Y351" s="262" t="s">
        <v>20</v>
      </c>
      <c r="Z351" s="271" t="s">
        <v>718</v>
      </c>
      <c r="AA351" s="287"/>
      <c r="AB351" s="287"/>
      <c r="AC351" s="272">
        <f t="shared" si="13"/>
        <v>0</v>
      </c>
      <c r="AD351" s="272">
        <v>0</v>
      </c>
      <c r="AE351" s="272">
        <f t="shared" si="14"/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75"/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customHeight="1">
      <c r="A352" s="260">
        <v>330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962</v>
      </c>
      <c r="K352" s="262"/>
      <c r="L352" s="262"/>
      <c r="M352" s="262">
        <v>13041</v>
      </c>
      <c r="N352" s="262"/>
      <c r="O352" s="262"/>
      <c r="P352" s="262"/>
      <c r="Q352" s="262"/>
      <c r="R352" s="262" t="s">
        <v>31</v>
      </c>
      <c r="S352" s="267" t="s">
        <v>31</v>
      </c>
      <c r="T352" s="268"/>
      <c r="U352" s="269"/>
      <c r="V352" s="269"/>
      <c r="W352" s="278">
        <v>0</v>
      </c>
      <c r="X352" s="270"/>
      <c r="Y352" s="262" t="s">
        <v>718</v>
      </c>
      <c r="Z352" s="271" t="s">
        <v>27</v>
      </c>
      <c r="AA352" s="287"/>
      <c r="AB352" s="287"/>
      <c r="AC352" s="272">
        <f t="shared" si="13"/>
        <v>-126000</v>
      </c>
      <c r="AD352" s="272">
        <v>-126000</v>
      </c>
      <c r="AE352" s="272">
        <f t="shared" si="14"/>
        <v>0</v>
      </c>
      <c r="AF352" s="273">
        <v>2615000</v>
      </c>
      <c r="AG352" s="274">
        <v>-126000</v>
      </c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customHeight="1">
      <c r="A353" s="260">
        <v>331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365</v>
      </c>
      <c r="K353" s="262"/>
      <c r="L353" s="262"/>
      <c r="M353" s="262">
        <v>40926</v>
      </c>
      <c r="N353" s="262" t="s">
        <v>32</v>
      </c>
      <c r="O353" s="262" t="s">
        <v>35</v>
      </c>
      <c r="P353" s="262" t="s">
        <v>124</v>
      </c>
      <c r="Q353" s="262" t="s">
        <v>44</v>
      </c>
      <c r="R353" s="262" t="s">
        <v>469</v>
      </c>
      <c r="S353" s="267" t="s">
        <v>469</v>
      </c>
      <c r="T353" s="268"/>
      <c r="U353" s="269">
        <v>102727273</v>
      </c>
      <c r="V353" s="269">
        <v>0</v>
      </c>
      <c r="W353" s="278">
        <v>0</v>
      </c>
      <c r="X353" s="270"/>
      <c r="Y353" s="262" t="s">
        <v>21</v>
      </c>
      <c r="Z353" s="271" t="s">
        <v>25</v>
      </c>
      <c r="AA353" s="287"/>
      <c r="AB353" s="287"/>
      <c r="AC353" s="272">
        <f t="shared" si="13"/>
        <v>40000000</v>
      </c>
      <c r="AD353" s="272">
        <v>40000000</v>
      </c>
      <c r="AE353" s="272">
        <f t="shared" si="14"/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75">
        <v>40000000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customHeight="1">
      <c r="A354" s="260">
        <v>332</v>
      </c>
      <c r="B354" s="261"/>
      <c r="C354" s="261"/>
      <c r="D354" s="262"/>
      <c r="E354" s="262"/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/>
      <c r="O354" s="262"/>
      <c r="P354" s="262"/>
      <c r="Q354" s="262"/>
      <c r="R354" s="262"/>
      <c r="S354" s="267" t="s">
        <v>469</v>
      </c>
      <c r="T354" s="268"/>
      <c r="U354" s="269"/>
      <c r="V354" s="269"/>
      <c r="W354" s="278">
        <v>12370000</v>
      </c>
      <c r="X354" s="270"/>
      <c r="Y354" s="262"/>
      <c r="Z354" s="271" t="s">
        <v>718</v>
      </c>
      <c r="AA354" s="287"/>
      <c r="AB354" s="287"/>
      <c r="AC354" s="272">
        <f t="shared" si="13"/>
        <v>0</v>
      </c>
      <c r="AD354" s="272">
        <v>0</v>
      </c>
      <c r="AE354" s="272">
        <f t="shared" si="14"/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/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customHeight="1">
      <c r="A355" s="260">
        <v>333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366</v>
      </c>
      <c r="K355" s="262"/>
      <c r="L355" s="262"/>
      <c r="M355" s="262">
        <v>13764</v>
      </c>
      <c r="N355" s="262" t="s">
        <v>32</v>
      </c>
      <c r="O355" s="262" t="s">
        <v>35</v>
      </c>
      <c r="P355" s="262" t="s">
        <v>57</v>
      </c>
      <c r="Q355" s="262" t="s">
        <v>23</v>
      </c>
      <c r="R355" s="262" t="s">
        <v>397</v>
      </c>
      <c r="S355" s="267" t="s">
        <v>823</v>
      </c>
      <c r="T355" s="268"/>
      <c r="U355" s="269">
        <v>9328400</v>
      </c>
      <c r="V355" s="269">
        <v>0</v>
      </c>
      <c r="W355" s="278">
        <v>0</v>
      </c>
      <c r="X355" s="270"/>
      <c r="Y355" s="262" t="s">
        <v>24</v>
      </c>
      <c r="Z355" s="271" t="s">
        <v>24</v>
      </c>
      <c r="AA355" s="287"/>
      <c r="AB355" s="287"/>
      <c r="AC355" s="272">
        <f t="shared" si="13"/>
        <v>20000000</v>
      </c>
      <c r="AD355" s="272">
        <v>20000000</v>
      </c>
      <c r="AE355" s="272">
        <f t="shared" si="14"/>
        <v>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/>
      <c r="AP355" s="275"/>
      <c r="AQ355" s="275">
        <v>20000000</v>
      </c>
      <c r="AR355" s="275"/>
      <c r="AS355" s="275"/>
      <c r="AT355" s="275"/>
      <c r="AU355" s="275"/>
      <c r="AV355" s="275"/>
      <c r="AW355" s="275"/>
      <c r="AX355" s="275"/>
      <c r="AY355" s="275"/>
      <c r="AZ355" s="275"/>
      <c r="BA355" s="275"/>
      <c r="BB355" s="275"/>
      <c r="BC355" s="275"/>
      <c r="BD355" s="275"/>
      <c r="BE355" s="275"/>
      <c r="BF355" s="275"/>
      <c r="BH355" s="277"/>
    </row>
    <row r="356" spans="1:60" ht="16.5" customHeight="1">
      <c r="A356" s="260">
        <v>334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366</v>
      </c>
      <c r="K356" s="262"/>
      <c r="L356" s="262"/>
      <c r="M356" s="262">
        <v>13764</v>
      </c>
      <c r="N356" s="262" t="s">
        <v>32</v>
      </c>
      <c r="O356" s="262" t="s">
        <v>35</v>
      </c>
      <c r="P356" s="262" t="s">
        <v>57</v>
      </c>
      <c r="Q356" s="262"/>
      <c r="R356" s="262"/>
      <c r="S356" s="267" t="s">
        <v>830</v>
      </c>
      <c r="T356" s="268"/>
      <c r="U356" s="269"/>
      <c r="V356" s="269"/>
      <c r="W356" s="278">
        <v>0</v>
      </c>
      <c r="X356" s="270"/>
      <c r="Y356" s="262"/>
      <c r="Z356" s="271" t="s">
        <v>25</v>
      </c>
      <c r="AA356" s="287"/>
      <c r="AB356" s="287"/>
      <c r="AC356" s="272">
        <f t="shared" si="13"/>
        <v>10000000</v>
      </c>
      <c r="AD356" s="272">
        <v>10000000</v>
      </c>
      <c r="AE356" s="272">
        <f t="shared" si="14"/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>
        <v>10000000</v>
      </c>
      <c r="AZ356" s="275"/>
      <c r="BA356" s="275"/>
      <c r="BB356" s="275"/>
      <c r="BC356" s="275"/>
      <c r="BD356" s="275"/>
      <c r="BE356" s="275"/>
      <c r="BF356" s="275"/>
      <c r="BH356" s="277"/>
    </row>
    <row r="357" spans="1:60" ht="16.5" customHeight="1">
      <c r="A357" s="260">
        <v>335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367</v>
      </c>
      <c r="K357" s="262"/>
      <c r="L357" s="262"/>
      <c r="M357" s="262">
        <v>49331</v>
      </c>
      <c r="N357" s="262" t="s">
        <v>32</v>
      </c>
      <c r="O357" s="262" t="s">
        <v>212</v>
      </c>
      <c r="P357" s="262" t="s">
        <v>57</v>
      </c>
      <c r="Q357" s="262" t="s">
        <v>59</v>
      </c>
      <c r="R357" s="262" t="s">
        <v>476</v>
      </c>
      <c r="S357" s="267" t="s">
        <v>825</v>
      </c>
      <c r="T357" s="268"/>
      <c r="U357" s="269">
        <v>40518000</v>
      </c>
      <c r="V357" s="269">
        <v>36127000</v>
      </c>
      <c r="W357" s="278">
        <v>10034500</v>
      </c>
      <c r="X357" s="270"/>
      <c r="Y357" s="262" t="s">
        <v>27</v>
      </c>
      <c r="Z357" s="271" t="s">
        <v>24</v>
      </c>
      <c r="AA357" s="287"/>
      <c r="AB357" s="287"/>
      <c r="AC357" s="272">
        <f t="shared" si="13"/>
        <v>24000000</v>
      </c>
      <c r="AD357" s="272">
        <v>27000000</v>
      </c>
      <c r="AE357" s="272">
        <f t="shared" si="14"/>
        <v>-3000000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/>
      <c r="AP357" s="275"/>
      <c r="AQ357" s="275">
        <v>3000000</v>
      </c>
      <c r="AR357" s="275"/>
      <c r="AS357" s="275">
        <v>3000000</v>
      </c>
      <c r="AT357" s="275"/>
      <c r="AU357" s="275">
        <v>3000000</v>
      </c>
      <c r="AV357" s="275"/>
      <c r="AW357" s="275">
        <v>3000000</v>
      </c>
      <c r="AX357" s="275"/>
      <c r="AY357" s="275">
        <v>3000000</v>
      </c>
      <c r="AZ357" s="275"/>
      <c r="BA357" s="275">
        <v>3000000</v>
      </c>
      <c r="BB357" s="275"/>
      <c r="BC357" s="275">
        <v>3000000</v>
      </c>
      <c r="BD357" s="275"/>
      <c r="BE357" s="275">
        <v>3000000</v>
      </c>
      <c r="BF357" s="275"/>
      <c r="BH357" s="277"/>
    </row>
    <row r="358" spans="1:60" ht="16.5" customHeight="1">
      <c r="A358" s="260">
        <v>336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368</v>
      </c>
      <c r="K358" s="262"/>
      <c r="L358" s="262"/>
      <c r="M358" s="262">
        <v>13764</v>
      </c>
      <c r="N358" s="262" t="s">
        <v>32</v>
      </c>
      <c r="O358" s="262" t="s">
        <v>212</v>
      </c>
      <c r="P358" s="262" t="s">
        <v>57</v>
      </c>
      <c r="Q358" s="262" t="s">
        <v>18</v>
      </c>
      <c r="R358" s="262" t="s">
        <v>19</v>
      </c>
      <c r="S358" s="267" t="s">
        <v>19</v>
      </c>
      <c r="T358" s="268"/>
      <c r="U358" s="269" t="s">
        <v>154</v>
      </c>
      <c r="V358" s="269">
        <v>27315400</v>
      </c>
      <c r="W358" s="278">
        <v>20989780</v>
      </c>
      <c r="X358" s="270"/>
      <c r="Y358" s="262" t="s">
        <v>27</v>
      </c>
      <c r="Z358" s="271" t="s">
        <v>27</v>
      </c>
      <c r="AA358" s="287"/>
      <c r="AB358" s="287"/>
      <c r="AC358" s="272">
        <f t="shared" si="13"/>
        <v>15000000</v>
      </c>
      <c r="AD358" s="272">
        <v>15000000</v>
      </c>
      <c r="AE358" s="272">
        <f t="shared" si="14"/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/>
      <c r="AV358" s="275"/>
      <c r="AW358" s="275"/>
      <c r="AX358" s="275"/>
      <c r="AY358" s="275"/>
      <c r="AZ358" s="275"/>
      <c r="BA358" s="275">
        <v>15000000</v>
      </c>
      <c r="BB358" s="275"/>
      <c r="BC358" s="275"/>
      <c r="BD358" s="275"/>
      <c r="BE358" s="275"/>
      <c r="BF358" s="275"/>
      <c r="BH358" s="277"/>
    </row>
    <row r="359" spans="1:60" ht="16.5" customHeight="1">
      <c r="A359" s="260">
        <v>337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368</v>
      </c>
      <c r="K359" s="262"/>
      <c r="L359" s="262"/>
      <c r="M359" s="262">
        <v>13764</v>
      </c>
      <c r="N359" s="262" t="s">
        <v>32</v>
      </c>
      <c r="O359" s="262" t="s">
        <v>35</v>
      </c>
      <c r="P359" s="262" t="s">
        <v>57</v>
      </c>
      <c r="Q359" s="262"/>
      <c r="R359" s="262"/>
      <c r="S359" s="267" t="s">
        <v>478</v>
      </c>
      <c r="T359" s="268"/>
      <c r="U359" s="269"/>
      <c r="V359" s="269"/>
      <c r="W359" s="278">
        <v>0</v>
      </c>
      <c r="X359" s="270"/>
      <c r="Y359" s="262"/>
      <c r="Z359" s="271" t="s">
        <v>25</v>
      </c>
      <c r="AA359" s="287"/>
      <c r="AB359" s="287"/>
      <c r="AC359" s="272">
        <f t="shared" si="13"/>
        <v>20000000</v>
      </c>
      <c r="AD359" s="272">
        <v>20000000</v>
      </c>
      <c r="AE359" s="272">
        <f t="shared" si="14"/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75"/>
      <c r="AR359" s="275"/>
      <c r="AS359" s="275"/>
      <c r="AT359" s="275"/>
      <c r="AU359" s="275"/>
      <c r="AV359" s="275"/>
      <c r="AW359" s="275">
        <v>20000000</v>
      </c>
      <c r="AX359" s="275"/>
      <c r="AY359" s="275"/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customHeight="1">
      <c r="A360" s="260">
        <v>338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369</v>
      </c>
      <c r="K360" s="262"/>
      <c r="L360" s="262"/>
      <c r="M360" s="262">
        <v>8994</v>
      </c>
      <c r="N360" s="262" t="s">
        <v>17</v>
      </c>
      <c r="O360" s="262" t="s">
        <v>212</v>
      </c>
      <c r="P360" s="262" t="s">
        <v>57</v>
      </c>
      <c r="Q360" s="262" t="s">
        <v>30</v>
      </c>
      <c r="R360" s="262" t="s">
        <v>31</v>
      </c>
      <c r="S360" s="267" t="s">
        <v>31</v>
      </c>
      <c r="T360" s="268"/>
      <c r="U360" s="269">
        <v>10000000</v>
      </c>
      <c r="V360" s="269">
        <v>24839000</v>
      </c>
      <c r="W360" s="278">
        <v>0</v>
      </c>
      <c r="X360" s="270"/>
      <c r="Y360" s="262" t="s">
        <v>27</v>
      </c>
      <c r="Z360" s="271" t="s">
        <v>24</v>
      </c>
      <c r="AA360" s="287"/>
      <c r="AB360" s="287"/>
      <c r="AC360" s="272">
        <f t="shared" si="13"/>
        <v>10000000</v>
      </c>
      <c r="AD360" s="272">
        <v>10000000</v>
      </c>
      <c r="AE360" s="272">
        <f t="shared" si="14"/>
        <v>0</v>
      </c>
      <c r="AF360" s="273"/>
      <c r="AG360" s="274"/>
      <c r="AH360" s="273"/>
      <c r="AI360" s="273"/>
      <c r="AJ360" s="274"/>
      <c r="AK360" s="273"/>
      <c r="AL360" s="275"/>
      <c r="AM360" s="290"/>
      <c r="AN360" s="275"/>
      <c r="AO360" s="276"/>
      <c r="AP360" s="275"/>
      <c r="AQ360" s="275"/>
      <c r="AR360" s="275"/>
      <c r="AS360" s="275"/>
      <c r="AT360" s="275"/>
      <c r="AU360" s="275">
        <v>5000000</v>
      </c>
      <c r="AV360" s="275"/>
      <c r="AW360" s="275"/>
      <c r="AX360" s="275"/>
      <c r="AY360" s="275"/>
      <c r="AZ360" s="275"/>
      <c r="BA360" s="275"/>
      <c r="BB360" s="275"/>
      <c r="BC360" s="275">
        <v>5000000</v>
      </c>
      <c r="BD360" s="275"/>
      <c r="BE360" s="275"/>
      <c r="BF360" s="275"/>
      <c r="BH360" s="277"/>
    </row>
    <row r="361" spans="1:60" ht="16.5" customHeight="1">
      <c r="A361" s="260">
        <v>339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369</v>
      </c>
      <c r="K361" s="262"/>
      <c r="L361" s="262"/>
      <c r="M361" s="262">
        <v>8994</v>
      </c>
      <c r="N361" s="262" t="s">
        <v>17</v>
      </c>
      <c r="O361" s="262" t="s">
        <v>212</v>
      </c>
      <c r="P361" s="262" t="s">
        <v>57</v>
      </c>
      <c r="Q361" s="262" t="s">
        <v>26</v>
      </c>
      <c r="R361" s="262" t="s">
        <v>468</v>
      </c>
      <c r="S361" s="267" t="s">
        <v>468</v>
      </c>
      <c r="T361" s="268"/>
      <c r="U361" s="269" t="s">
        <v>154</v>
      </c>
      <c r="V361" s="269">
        <v>3429000</v>
      </c>
      <c r="W361" s="278">
        <v>2300000</v>
      </c>
      <c r="X361" s="270"/>
      <c r="Y361" s="262" t="s">
        <v>27</v>
      </c>
      <c r="Z361" s="271" t="s">
        <v>25</v>
      </c>
      <c r="AA361" s="287"/>
      <c r="AB361" s="287"/>
      <c r="AC361" s="272">
        <f t="shared" si="13"/>
        <v>6000000</v>
      </c>
      <c r="AD361" s="272">
        <v>6000000</v>
      </c>
      <c r="AE361" s="272">
        <f t="shared" si="14"/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75">
        <v>3000000</v>
      </c>
      <c r="AR361" s="275"/>
      <c r="AS361" s="275"/>
      <c r="AT361" s="275"/>
      <c r="AU361" s="275"/>
      <c r="AV361" s="275"/>
      <c r="AW361" s="275"/>
      <c r="AX361" s="275"/>
      <c r="AY361" s="275">
        <v>3000000</v>
      </c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customHeight="1">
      <c r="A362" s="260">
        <v>340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212</v>
      </c>
      <c r="P362" s="262" t="s">
        <v>57</v>
      </c>
      <c r="Q362" s="262" t="s">
        <v>63</v>
      </c>
      <c r="R362" s="262" t="s">
        <v>28</v>
      </c>
      <c r="S362" s="267" t="s">
        <v>28</v>
      </c>
      <c r="T362" s="268" t="s">
        <v>951</v>
      </c>
      <c r="U362" s="269">
        <v>77255240</v>
      </c>
      <c r="V362" s="269">
        <v>65664920</v>
      </c>
      <c r="W362" s="278">
        <v>51651600</v>
      </c>
      <c r="X362" s="270"/>
      <c r="Y362" s="262" t="s">
        <v>27</v>
      </c>
      <c r="Z362" s="271" t="s">
        <v>27</v>
      </c>
      <c r="AA362" s="287"/>
      <c r="AB362" s="287"/>
      <c r="AC362" s="272">
        <f t="shared" si="13"/>
        <v>55620000</v>
      </c>
      <c r="AD362" s="272">
        <v>56202000</v>
      </c>
      <c r="AE362" s="272">
        <f t="shared" si="14"/>
        <v>-582000</v>
      </c>
      <c r="AF362" s="273">
        <v>4040000</v>
      </c>
      <c r="AG362" s="274">
        <v>4040000</v>
      </c>
      <c r="AH362" s="273"/>
      <c r="AI362" s="273">
        <v>3120000</v>
      </c>
      <c r="AJ362" s="274">
        <v>3120000</v>
      </c>
      <c r="AK362" s="273"/>
      <c r="AL362" s="275">
        <v>4042000</v>
      </c>
      <c r="AM362" s="290">
        <v>4042000</v>
      </c>
      <c r="AN362" s="275"/>
      <c r="AO362" s="276">
        <v>4418000</v>
      </c>
      <c r="AP362" s="275"/>
      <c r="AQ362" s="275">
        <v>5000000</v>
      </c>
      <c r="AR362" s="275"/>
      <c r="AS362" s="275">
        <v>5000000</v>
      </c>
      <c r="AT362" s="275"/>
      <c r="AU362" s="275">
        <v>5000000</v>
      </c>
      <c r="AV362" s="275"/>
      <c r="AW362" s="275">
        <v>5000000</v>
      </c>
      <c r="AX362" s="275"/>
      <c r="AY362" s="275">
        <v>5000000</v>
      </c>
      <c r="AZ362" s="275"/>
      <c r="BA362" s="275">
        <v>5000000</v>
      </c>
      <c r="BB362" s="275"/>
      <c r="BC362" s="275">
        <v>5000000</v>
      </c>
      <c r="BD362" s="275"/>
      <c r="BE362" s="275">
        <v>5000000</v>
      </c>
      <c r="BF362" s="275"/>
      <c r="BH362" s="277"/>
    </row>
    <row r="363" spans="1:60" ht="16.5" customHeight="1">
      <c r="A363" s="260">
        <v>341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370</v>
      </c>
      <c r="K363" s="262"/>
      <c r="L363" s="262"/>
      <c r="M363" s="262">
        <v>3912</v>
      </c>
      <c r="N363" s="262" t="s">
        <v>22</v>
      </c>
      <c r="O363" s="262" t="s">
        <v>212</v>
      </c>
      <c r="P363" s="262" t="s">
        <v>57</v>
      </c>
      <c r="Q363" s="262" t="s">
        <v>18</v>
      </c>
      <c r="R363" s="262" t="s">
        <v>19</v>
      </c>
      <c r="S363" s="267" t="s">
        <v>19</v>
      </c>
      <c r="T363" s="268"/>
      <c r="U363" s="269"/>
      <c r="V363" s="269">
        <v>3910000</v>
      </c>
      <c r="W363" s="278">
        <v>0</v>
      </c>
      <c r="X363" s="270"/>
      <c r="Y363" s="262" t="s">
        <v>20</v>
      </c>
      <c r="Z363" s="271" t="s">
        <v>20</v>
      </c>
      <c r="AA363" s="287"/>
      <c r="AB363" s="287"/>
      <c r="AC363" s="272">
        <f t="shared" si="13"/>
        <v>0</v>
      </c>
      <c r="AD363" s="272">
        <v>0</v>
      </c>
      <c r="AE363" s="272">
        <f t="shared" si="14"/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customHeight="1">
      <c r="A364" s="260">
        <v>342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370</v>
      </c>
      <c r="K364" s="262"/>
      <c r="L364" s="262"/>
      <c r="M364" s="262">
        <v>3912</v>
      </c>
      <c r="N364" s="262" t="s">
        <v>22</v>
      </c>
      <c r="O364" s="262" t="s">
        <v>35</v>
      </c>
      <c r="P364" s="262" t="s">
        <v>156</v>
      </c>
      <c r="Q364" s="262" t="s">
        <v>63</v>
      </c>
      <c r="R364" s="262" t="s">
        <v>470</v>
      </c>
      <c r="S364" s="267" t="s">
        <v>822</v>
      </c>
      <c r="T364" s="268"/>
      <c r="U364" s="269"/>
      <c r="V364" s="269">
        <v>0</v>
      </c>
      <c r="W364" s="278">
        <v>0</v>
      </c>
      <c r="X364" s="270"/>
      <c r="Y364" s="262" t="s">
        <v>24</v>
      </c>
      <c r="Z364" s="271" t="s">
        <v>24</v>
      </c>
      <c r="AA364" s="287"/>
      <c r="AB364" s="287"/>
      <c r="AC364" s="272">
        <f t="shared" si="13"/>
        <v>10000000</v>
      </c>
      <c r="AD364" s="272">
        <v>10000000</v>
      </c>
      <c r="AE364" s="272">
        <f t="shared" si="14"/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/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/>
      <c r="BD364" s="275"/>
      <c r="BE364" s="275">
        <v>10000000</v>
      </c>
      <c r="BF364" s="275"/>
      <c r="BH364" s="277"/>
    </row>
    <row r="365" spans="1:60" ht="16.5" customHeight="1">
      <c r="A365" s="260">
        <v>343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960</v>
      </c>
      <c r="K365" s="262"/>
      <c r="L365" s="262"/>
      <c r="M365" s="262">
        <v>4255</v>
      </c>
      <c r="N365" s="262" t="s">
        <v>32</v>
      </c>
      <c r="O365" s="262" t="s">
        <v>35</v>
      </c>
      <c r="P365" s="262" t="s">
        <v>57</v>
      </c>
      <c r="Q365" s="262" t="s">
        <v>63</v>
      </c>
      <c r="R365" s="262" t="s">
        <v>28</v>
      </c>
      <c r="S365" s="267" t="s">
        <v>28</v>
      </c>
      <c r="T365" s="268"/>
      <c r="U365" s="269">
        <v>48500000</v>
      </c>
      <c r="V365" s="269">
        <v>0</v>
      </c>
      <c r="W365" s="278">
        <v>0</v>
      </c>
      <c r="X365" s="270"/>
      <c r="Y365" s="262" t="s">
        <v>562</v>
      </c>
      <c r="Z365" s="271" t="s">
        <v>25</v>
      </c>
      <c r="AA365" s="287"/>
      <c r="AB365" s="287"/>
      <c r="AC365" s="272">
        <f t="shared" si="13"/>
        <v>0</v>
      </c>
      <c r="AD365" s="272">
        <v>0</v>
      </c>
      <c r="AE365" s="272">
        <f t="shared" si="14"/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customHeight="1">
      <c r="A366" s="260">
        <v>344</v>
      </c>
      <c r="B366" s="261"/>
      <c r="C366" s="261"/>
      <c r="D366" s="262" t="s">
        <v>15</v>
      </c>
      <c r="E366" s="262" t="s">
        <v>364</v>
      </c>
      <c r="F366" s="263" t="s">
        <v>15</v>
      </c>
      <c r="G366" s="264" t="s">
        <v>364</v>
      </c>
      <c r="H366" s="281"/>
      <c r="I366" s="265"/>
      <c r="J366" s="266" t="s">
        <v>756</v>
      </c>
      <c r="K366" s="262"/>
      <c r="L366" s="262"/>
      <c r="M366" s="262">
        <v>29224</v>
      </c>
      <c r="N366" s="262" t="s">
        <v>32</v>
      </c>
      <c r="O366" s="262" t="s">
        <v>35</v>
      </c>
      <c r="P366" s="262"/>
      <c r="Q366" s="262"/>
      <c r="R366" s="262"/>
      <c r="S366" s="267" t="s">
        <v>31</v>
      </c>
      <c r="T366" s="268"/>
      <c r="U366" s="269"/>
      <c r="V366" s="269"/>
      <c r="W366" s="278">
        <v>0</v>
      </c>
      <c r="X366" s="270"/>
      <c r="Y366" s="262"/>
      <c r="Z366" s="271" t="s">
        <v>25</v>
      </c>
      <c r="AA366" s="287"/>
      <c r="AB366" s="287"/>
      <c r="AC366" s="272">
        <f t="shared" si="13"/>
        <v>10000000</v>
      </c>
      <c r="AD366" s="272">
        <v>10000000</v>
      </c>
      <c r="AE366" s="272">
        <f t="shared" si="14"/>
        <v>0</v>
      </c>
      <c r="AF366" s="273"/>
      <c r="AG366" s="274"/>
      <c r="AH366" s="273"/>
      <c r="AI366" s="273"/>
      <c r="AJ366" s="274"/>
      <c r="AK366" s="273"/>
      <c r="AL366" s="275"/>
      <c r="AM366" s="290"/>
      <c r="AN366" s="275"/>
      <c r="AO366" s="276"/>
      <c r="AP366" s="275"/>
      <c r="AQ366" s="275">
        <v>5000000</v>
      </c>
      <c r="AR366" s="275"/>
      <c r="AS366" s="275"/>
      <c r="AT366" s="275"/>
      <c r="AU366" s="275"/>
      <c r="AV366" s="275"/>
      <c r="AW366" s="275"/>
      <c r="AX366" s="275"/>
      <c r="AY366" s="275"/>
      <c r="AZ366" s="275"/>
      <c r="BA366" s="275"/>
      <c r="BB366" s="275"/>
      <c r="BC366" s="275">
        <v>5000000</v>
      </c>
      <c r="BD366" s="275"/>
      <c r="BE366" s="275"/>
      <c r="BF366" s="275"/>
      <c r="BH366" s="277"/>
    </row>
    <row r="367" spans="1:60" ht="16.5" customHeight="1">
      <c r="A367" s="260">
        <v>345</v>
      </c>
      <c r="B367" s="261"/>
      <c r="C367" s="261"/>
      <c r="D367" s="262" t="s">
        <v>15</v>
      </c>
      <c r="E367" s="262" t="s">
        <v>364</v>
      </c>
      <c r="F367" s="263" t="s">
        <v>15</v>
      </c>
      <c r="G367" s="264" t="s">
        <v>364</v>
      </c>
      <c r="H367" s="281"/>
      <c r="I367" s="265"/>
      <c r="J367" s="266" t="s">
        <v>756</v>
      </c>
      <c r="K367" s="262"/>
      <c r="L367" s="262"/>
      <c r="M367" s="262">
        <v>29224</v>
      </c>
      <c r="N367" s="262" t="s">
        <v>32</v>
      </c>
      <c r="O367" s="262" t="s">
        <v>35</v>
      </c>
      <c r="P367" s="262"/>
      <c r="Q367" s="262"/>
      <c r="R367" s="262"/>
      <c r="S367" s="267" t="s">
        <v>823</v>
      </c>
      <c r="T367" s="268"/>
      <c r="U367" s="269"/>
      <c r="V367" s="269"/>
      <c r="W367" s="278">
        <v>0</v>
      </c>
      <c r="X367" s="270"/>
      <c r="Y367" s="262"/>
      <c r="Z367" s="271" t="s">
        <v>25</v>
      </c>
      <c r="AA367" s="287"/>
      <c r="AB367" s="287"/>
      <c r="AC367" s="272">
        <f t="shared" si="13"/>
        <v>0</v>
      </c>
      <c r="AD367" s="272">
        <v>0</v>
      </c>
      <c r="AE367" s="272">
        <f t="shared" si="14"/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customHeight="1">
      <c r="A368" s="260">
        <v>346</v>
      </c>
      <c r="B368" s="261"/>
      <c r="C368" s="261"/>
      <c r="D368" s="262" t="s">
        <v>15</v>
      </c>
      <c r="E368" s="262" t="s">
        <v>113</v>
      </c>
      <c r="F368" s="263" t="s">
        <v>15</v>
      </c>
      <c r="G368" s="264" t="s">
        <v>364</v>
      </c>
      <c r="H368" s="281"/>
      <c r="I368" s="265"/>
      <c r="J368" s="266" t="s">
        <v>125</v>
      </c>
      <c r="K368" s="262"/>
      <c r="L368" s="262"/>
      <c r="M368" s="262">
        <v>4257</v>
      </c>
      <c r="N368" s="262" t="s">
        <v>32</v>
      </c>
      <c r="O368" s="262" t="s">
        <v>178</v>
      </c>
      <c r="P368" s="262" t="s">
        <v>57</v>
      </c>
      <c r="Q368" s="262" t="s">
        <v>63</v>
      </c>
      <c r="R368" s="262" t="s">
        <v>28</v>
      </c>
      <c r="S368" s="267" t="s">
        <v>28</v>
      </c>
      <c r="T368" s="268"/>
      <c r="U368" s="269">
        <v>1032718000</v>
      </c>
      <c r="V368" s="269">
        <v>0</v>
      </c>
      <c r="W368" s="278">
        <v>787927000</v>
      </c>
      <c r="X368" s="270"/>
      <c r="Y368" s="262" t="s">
        <v>27</v>
      </c>
      <c r="Z368" s="271" t="s">
        <v>27</v>
      </c>
      <c r="AA368" s="287"/>
      <c r="AB368" s="287"/>
      <c r="AC368" s="272">
        <f t="shared" si="13"/>
        <v>910000000</v>
      </c>
      <c r="AD368" s="272">
        <v>910000000</v>
      </c>
      <c r="AE368" s="272">
        <f t="shared" si="14"/>
        <v>0</v>
      </c>
      <c r="AF368" s="273">
        <v>0</v>
      </c>
      <c r="AG368" s="274"/>
      <c r="AH368" s="273" t="s">
        <v>850</v>
      </c>
      <c r="AI368" s="273">
        <v>145000000</v>
      </c>
      <c r="AJ368" s="274"/>
      <c r="AK368" s="273"/>
      <c r="AL368" s="275">
        <v>149735200</v>
      </c>
      <c r="AM368" s="290">
        <v>149735200</v>
      </c>
      <c r="AN368" s="275" t="s">
        <v>1005</v>
      </c>
      <c r="AO368" s="276">
        <v>213039420</v>
      </c>
      <c r="AP368" s="275"/>
      <c r="AQ368" s="275">
        <v>60000000</v>
      </c>
      <c r="AR368" s="275"/>
      <c r="AS368" s="275">
        <v>60000000</v>
      </c>
      <c r="AT368" s="275"/>
      <c r="AU368" s="275">
        <v>66960580</v>
      </c>
      <c r="AV368" s="275"/>
      <c r="AW368" s="275">
        <v>100000000</v>
      </c>
      <c r="AX368" s="275"/>
      <c r="AY368" s="275">
        <v>100000000</v>
      </c>
      <c r="AZ368" s="275"/>
      <c r="BA368" s="275">
        <v>79735200</v>
      </c>
      <c r="BB368" s="275"/>
      <c r="BC368" s="275">
        <v>70000000</v>
      </c>
      <c r="BD368" s="275"/>
      <c r="BE368" s="275">
        <v>10529600</v>
      </c>
      <c r="BF368" s="275"/>
      <c r="BH368" s="277"/>
    </row>
    <row r="369" spans="1:60" ht="16.5" customHeight="1">
      <c r="A369" s="260">
        <v>347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125</v>
      </c>
      <c r="K369" s="262"/>
      <c r="L369" s="262"/>
      <c r="M369" s="262">
        <v>4257</v>
      </c>
      <c r="N369" s="262" t="s">
        <v>32</v>
      </c>
      <c r="O369" s="262" t="s">
        <v>56</v>
      </c>
      <c r="P369" s="262"/>
      <c r="Q369" s="262" t="s">
        <v>55</v>
      </c>
      <c r="R369" s="262" t="s">
        <v>466</v>
      </c>
      <c r="S369" s="267" t="s">
        <v>829</v>
      </c>
      <c r="T369" s="268"/>
      <c r="U369" s="269"/>
      <c r="V369" s="269">
        <v>8818182</v>
      </c>
      <c r="W369" s="278">
        <v>0</v>
      </c>
      <c r="X369" s="270"/>
      <c r="Y369" s="262" t="s">
        <v>562</v>
      </c>
      <c r="Z369" s="271" t="s">
        <v>20</v>
      </c>
      <c r="AA369" s="287"/>
      <c r="AB369" s="287"/>
      <c r="AC369" s="272">
        <f t="shared" si="13"/>
        <v>0</v>
      </c>
      <c r="AD369" s="272">
        <v>0</v>
      </c>
      <c r="AE369" s="272">
        <f t="shared" si="14"/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customHeight="1">
      <c r="A370" s="260">
        <v>348</v>
      </c>
      <c r="B370" s="261"/>
      <c r="C370" s="261"/>
      <c r="D370" s="262" t="s">
        <v>15</v>
      </c>
      <c r="E370" s="262" t="s">
        <v>153</v>
      </c>
      <c r="F370" s="263" t="s">
        <v>15</v>
      </c>
      <c r="G370" s="264" t="s">
        <v>364</v>
      </c>
      <c r="H370" s="281"/>
      <c r="I370" s="265"/>
      <c r="J370" s="266" t="s">
        <v>720</v>
      </c>
      <c r="K370" s="262"/>
      <c r="L370" s="262"/>
      <c r="M370" s="262">
        <v>52333</v>
      </c>
      <c r="N370" s="262" t="s">
        <v>32</v>
      </c>
      <c r="O370" s="262" t="s">
        <v>56</v>
      </c>
      <c r="P370" s="262" t="s">
        <v>57</v>
      </c>
      <c r="Q370" s="262"/>
      <c r="R370" s="262" t="s">
        <v>28</v>
      </c>
      <c r="S370" s="267" t="s">
        <v>28</v>
      </c>
      <c r="T370" s="268"/>
      <c r="U370" s="269"/>
      <c r="V370" s="269"/>
      <c r="W370" s="278">
        <v>0</v>
      </c>
      <c r="X370" s="270"/>
      <c r="Y370" s="262"/>
      <c r="Z370" s="271" t="s">
        <v>27</v>
      </c>
      <c r="AA370" s="287"/>
      <c r="AB370" s="287"/>
      <c r="AC370" s="272">
        <f t="shared" si="13"/>
        <v>90000000</v>
      </c>
      <c r="AD370" s="272">
        <v>90000000</v>
      </c>
      <c r="AE370" s="272">
        <f t="shared" si="14"/>
        <v>0</v>
      </c>
      <c r="AF370" s="273">
        <v>7500000</v>
      </c>
      <c r="AG370" s="274">
        <v>7500000</v>
      </c>
      <c r="AH370" s="273"/>
      <c r="AI370" s="273">
        <v>7500000</v>
      </c>
      <c r="AJ370" s="274">
        <v>7500000</v>
      </c>
      <c r="AK370" s="273"/>
      <c r="AL370" s="275">
        <v>0</v>
      </c>
      <c r="AM370" s="290"/>
      <c r="AN370" s="275" t="s">
        <v>1006</v>
      </c>
      <c r="AO370" s="276">
        <v>7500000</v>
      </c>
      <c r="AP370" s="275"/>
      <c r="AQ370" s="275">
        <v>7500000</v>
      </c>
      <c r="AR370" s="275"/>
      <c r="AS370" s="275">
        <v>7500000</v>
      </c>
      <c r="AT370" s="275"/>
      <c r="AU370" s="275">
        <v>7500000</v>
      </c>
      <c r="AV370" s="275"/>
      <c r="AW370" s="275">
        <v>7500000</v>
      </c>
      <c r="AX370" s="275"/>
      <c r="AY370" s="275">
        <v>7500000</v>
      </c>
      <c r="AZ370" s="275"/>
      <c r="BA370" s="275">
        <v>7500000</v>
      </c>
      <c r="BB370" s="275"/>
      <c r="BC370" s="275">
        <v>7500000</v>
      </c>
      <c r="BD370" s="275"/>
      <c r="BE370" s="275">
        <v>15000000</v>
      </c>
      <c r="BF370" s="275"/>
      <c r="BH370" s="277"/>
    </row>
    <row r="371" spans="1:60" ht="16.5" customHeight="1">
      <c r="A371" s="260">
        <v>349</v>
      </c>
      <c r="B371" s="261"/>
      <c r="C371" s="261"/>
      <c r="D371" s="262" t="s">
        <v>15</v>
      </c>
      <c r="E371" s="262" t="s">
        <v>113</v>
      </c>
      <c r="F371" s="263" t="s">
        <v>15</v>
      </c>
      <c r="G371" s="264" t="s">
        <v>364</v>
      </c>
      <c r="H371" s="281"/>
      <c r="I371" s="265"/>
      <c r="J371" s="266" t="s">
        <v>720</v>
      </c>
      <c r="K371" s="262"/>
      <c r="L371" s="262"/>
      <c r="M371" s="262">
        <v>52333</v>
      </c>
      <c r="N371" s="262" t="s">
        <v>32</v>
      </c>
      <c r="O371" s="262" t="s">
        <v>56</v>
      </c>
      <c r="P371" s="262" t="s">
        <v>57</v>
      </c>
      <c r="Q371" s="262" t="s">
        <v>59</v>
      </c>
      <c r="R371" s="262" t="s">
        <v>476</v>
      </c>
      <c r="S371" s="267" t="s">
        <v>825</v>
      </c>
      <c r="T371" s="268"/>
      <c r="U371" s="269">
        <v>155999998</v>
      </c>
      <c r="V371" s="269">
        <v>63960000</v>
      </c>
      <c r="W371" s="278">
        <v>94920000</v>
      </c>
      <c r="X371" s="270"/>
      <c r="Y371" s="262" t="s">
        <v>27</v>
      </c>
      <c r="Z371" s="271" t="s">
        <v>20</v>
      </c>
      <c r="AA371" s="287"/>
      <c r="AB371" s="287"/>
      <c r="AC371" s="272">
        <f t="shared" si="13"/>
        <v>0</v>
      </c>
      <c r="AD371" s="272">
        <v>0</v>
      </c>
      <c r="AE371" s="272">
        <f t="shared" si="14"/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/>
      <c r="AT371" s="275"/>
      <c r="AU371" s="275"/>
      <c r="AV371" s="275"/>
      <c r="AW371" s="275"/>
      <c r="AX371" s="275"/>
      <c r="AY371" s="275"/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customHeight="1">
      <c r="A372" s="260">
        <v>350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478</v>
      </c>
      <c r="T372" s="268"/>
      <c r="U372" s="269"/>
      <c r="V372" s="269"/>
      <c r="W372" s="278">
        <v>6320000</v>
      </c>
      <c r="X372" s="270"/>
      <c r="Y372" s="262"/>
      <c r="Z372" s="271" t="s">
        <v>25</v>
      </c>
      <c r="AA372" s="287"/>
      <c r="AB372" s="287"/>
      <c r="AC372" s="272">
        <f t="shared" si="13"/>
        <v>10000000</v>
      </c>
      <c r="AD372" s="272">
        <v>10000000</v>
      </c>
      <c r="AE372" s="272">
        <f t="shared" si="14"/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/>
      <c r="AT372" s="275"/>
      <c r="AU372" s="275"/>
      <c r="AV372" s="275"/>
      <c r="AW372" s="275"/>
      <c r="AX372" s="275"/>
      <c r="AY372" s="275">
        <v>10000000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customHeight="1">
      <c r="A373" s="260">
        <v>351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757</v>
      </c>
      <c r="K373" s="262"/>
      <c r="L373" s="262"/>
      <c r="M373" s="262">
        <v>46319</v>
      </c>
      <c r="N373" s="262" t="s">
        <v>32</v>
      </c>
      <c r="O373" s="262" t="s">
        <v>35</v>
      </c>
      <c r="P373" s="262"/>
      <c r="Q373" s="262"/>
      <c r="R373" s="262"/>
      <c r="S373" s="267" t="s">
        <v>822</v>
      </c>
      <c r="T373" s="268"/>
      <c r="U373" s="269"/>
      <c r="V373" s="269"/>
      <c r="W373" s="278">
        <v>0</v>
      </c>
      <c r="X373" s="270"/>
      <c r="Y373" s="262"/>
      <c r="Z373" s="271" t="s">
        <v>25</v>
      </c>
      <c r="AA373" s="287"/>
      <c r="AB373" s="287"/>
      <c r="AC373" s="272">
        <f t="shared" si="13"/>
        <v>10000000</v>
      </c>
      <c r="AD373" s="272">
        <v>10000000</v>
      </c>
      <c r="AE373" s="272">
        <f t="shared" si="14"/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>
        <v>10000000</v>
      </c>
      <c r="AT373" s="275"/>
      <c r="AU373" s="275"/>
      <c r="AV373" s="275"/>
      <c r="AW373" s="275"/>
      <c r="AX373" s="275"/>
      <c r="AY373" s="275">
        <v>0</v>
      </c>
      <c r="AZ373" s="275"/>
      <c r="BA373" s="275"/>
      <c r="BB373" s="275"/>
      <c r="BC373" s="275"/>
      <c r="BD373" s="275"/>
      <c r="BE373" s="275"/>
      <c r="BF373" s="275"/>
      <c r="BH373" s="277"/>
    </row>
    <row r="374" spans="1:60" ht="16.5" customHeight="1">
      <c r="A374" s="260">
        <v>352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757</v>
      </c>
      <c r="K374" s="262"/>
      <c r="L374" s="262"/>
      <c r="M374" s="262">
        <v>46319</v>
      </c>
      <c r="N374" s="262" t="s">
        <v>32</v>
      </c>
      <c r="O374" s="262" t="s">
        <v>35</v>
      </c>
      <c r="P374" s="262"/>
      <c r="Q374" s="262"/>
      <c r="R374" s="262"/>
      <c r="S374" s="267" t="s">
        <v>828</v>
      </c>
      <c r="T374" s="268"/>
      <c r="U374" s="269"/>
      <c r="V374" s="269"/>
      <c r="W374" s="278">
        <v>0</v>
      </c>
      <c r="X374" s="270"/>
      <c r="Y374" s="262"/>
      <c r="Z374" s="271" t="s">
        <v>25</v>
      </c>
      <c r="AA374" s="287"/>
      <c r="AB374" s="287"/>
      <c r="AC374" s="272">
        <f t="shared" si="13"/>
        <v>10000000</v>
      </c>
      <c r="AD374" s="272">
        <v>10000000</v>
      </c>
      <c r="AE374" s="272">
        <f t="shared" si="14"/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>
        <v>10000000</v>
      </c>
      <c r="AT374" s="275"/>
      <c r="AU374" s="275"/>
      <c r="AV374" s="275"/>
      <c r="AW374" s="275"/>
      <c r="AX374" s="275"/>
      <c r="AY374" s="275">
        <v>0</v>
      </c>
      <c r="AZ374" s="275"/>
      <c r="BA374" s="275"/>
      <c r="BB374" s="275"/>
      <c r="BC374" s="275"/>
      <c r="BD374" s="275"/>
      <c r="BE374" s="275"/>
      <c r="BF374" s="275"/>
      <c r="BH374" s="277"/>
    </row>
    <row r="375" spans="1:60" ht="16.5" customHeight="1">
      <c r="A375" s="260">
        <v>353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371</v>
      </c>
      <c r="K375" s="262"/>
      <c r="L375" s="262"/>
      <c r="M375" s="262">
        <v>10461</v>
      </c>
      <c r="N375" s="262" t="s">
        <v>32</v>
      </c>
      <c r="O375" s="262" t="s">
        <v>56</v>
      </c>
      <c r="P375" s="262" t="s">
        <v>57</v>
      </c>
      <c r="Q375" s="262" t="s">
        <v>63</v>
      </c>
      <c r="R375" s="262" t="s">
        <v>28</v>
      </c>
      <c r="S375" s="267" t="s">
        <v>28</v>
      </c>
      <c r="T375" s="268"/>
      <c r="U375" s="269">
        <v>80000000</v>
      </c>
      <c r="V375" s="269">
        <v>87272727</v>
      </c>
      <c r="W375" s="278">
        <v>101818181</v>
      </c>
      <c r="X375" s="270"/>
      <c r="Y375" s="262" t="s">
        <v>27</v>
      </c>
      <c r="Z375" s="271" t="s">
        <v>27</v>
      </c>
      <c r="AA375" s="287"/>
      <c r="AB375" s="287"/>
      <c r="AC375" s="272">
        <f t="shared" si="13"/>
        <v>110000000</v>
      </c>
      <c r="AD375" s="272">
        <v>110000000</v>
      </c>
      <c r="AE375" s="272">
        <f t="shared" si="14"/>
        <v>0</v>
      </c>
      <c r="AF375" s="273"/>
      <c r="AG375" s="274"/>
      <c r="AH375" s="273"/>
      <c r="AI375" s="273"/>
      <c r="AJ375" s="274"/>
      <c r="AK375" s="273"/>
      <c r="AL375" s="275"/>
      <c r="AM375" s="290"/>
      <c r="AN375" s="275"/>
      <c r="AO375" s="276"/>
      <c r="AP375" s="275"/>
      <c r="AQ375" s="275"/>
      <c r="AR375" s="275"/>
      <c r="AS375" s="275"/>
      <c r="AT375" s="275"/>
      <c r="AU375" s="275">
        <v>60000000</v>
      </c>
      <c r="AV375" s="275"/>
      <c r="AW375" s="275"/>
      <c r="AX375" s="275"/>
      <c r="AY375" s="275"/>
      <c r="AZ375" s="275"/>
      <c r="BA375" s="275"/>
      <c r="BB375" s="275"/>
      <c r="BC375" s="275"/>
      <c r="BD375" s="275"/>
      <c r="BE375" s="275">
        <v>50000000</v>
      </c>
      <c r="BF375" s="275"/>
      <c r="BH375" s="277"/>
    </row>
    <row r="376" spans="1:60" ht="16.5" customHeight="1">
      <c r="A376" s="260">
        <v>354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625</v>
      </c>
      <c r="K376" s="262"/>
      <c r="L376" s="262"/>
      <c r="M376" s="262">
        <v>61976</v>
      </c>
      <c r="N376" s="262" t="s">
        <v>32</v>
      </c>
      <c r="O376" s="262" t="s">
        <v>35</v>
      </c>
      <c r="P376" s="262" t="s">
        <v>124</v>
      </c>
      <c r="Q376" s="262" t="s">
        <v>44</v>
      </c>
      <c r="R376" s="262" t="s">
        <v>469</v>
      </c>
      <c r="S376" s="267" t="s">
        <v>469</v>
      </c>
      <c r="T376" s="268"/>
      <c r="U376" s="269"/>
      <c r="V376" s="269">
        <v>6000000</v>
      </c>
      <c r="W376" s="278">
        <v>0</v>
      </c>
      <c r="X376" s="270"/>
      <c r="Y376" s="262" t="s">
        <v>20</v>
      </c>
      <c r="Z376" s="271" t="s">
        <v>24</v>
      </c>
      <c r="AA376" s="287"/>
      <c r="AB376" s="287"/>
      <c r="AC376" s="272">
        <f t="shared" si="13"/>
        <v>6000000</v>
      </c>
      <c r="AD376" s="272">
        <v>6000000</v>
      </c>
      <c r="AE376" s="272">
        <f t="shared" si="14"/>
        <v>0</v>
      </c>
      <c r="AF376" s="273"/>
      <c r="AG376" s="274"/>
      <c r="AH376" s="273"/>
      <c r="AI376" s="273"/>
      <c r="AJ376" s="274"/>
      <c r="AK376" s="273"/>
      <c r="AL376" s="275"/>
      <c r="AM376" s="290"/>
      <c r="AN376" s="275"/>
      <c r="AO376" s="276"/>
      <c r="AP376" s="275"/>
      <c r="AQ376" s="275"/>
      <c r="AR376" s="275"/>
      <c r="AS376" s="275"/>
      <c r="AT376" s="275"/>
      <c r="AU376" s="275"/>
      <c r="AV376" s="275"/>
      <c r="AW376" s="275"/>
      <c r="AX376" s="275"/>
      <c r="AY376" s="275"/>
      <c r="AZ376" s="275"/>
      <c r="BA376" s="275"/>
      <c r="BB376" s="275"/>
      <c r="BC376" s="275">
        <v>6000000</v>
      </c>
      <c r="BD376" s="275"/>
      <c r="BE376" s="275"/>
      <c r="BF376" s="275"/>
      <c r="BH376" s="277"/>
    </row>
    <row r="377" spans="1:60" ht="16.5" customHeight="1">
      <c r="A377" s="260">
        <v>355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374</v>
      </c>
      <c r="K377" s="262"/>
      <c r="L377" s="262"/>
      <c r="M377" s="262">
        <v>3889</v>
      </c>
      <c r="N377" s="262" t="s">
        <v>22</v>
      </c>
      <c r="O377" s="262" t="s">
        <v>56</v>
      </c>
      <c r="P377" s="262" t="s">
        <v>156</v>
      </c>
      <c r="Q377" s="262" t="s">
        <v>23</v>
      </c>
      <c r="R377" s="262" t="s">
        <v>397</v>
      </c>
      <c r="S377" s="267" t="s">
        <v>823</v>
      </c>
      <c r="T377" s="268"/>
      <c r="U377" s="269" t="s">
        <v>154</v>
      </c>
      <c r="V377" s="269">
        <v>90000000</v>
      </c>
      <c r="W377" s="278">
        <v>35200000</v>
      </c>
      <c r="X377" s="270"/>
      <c r="Y377" s="262" t="s">
        <v>24</v>
      </c>
      <c r="Z377" s="271" t="s">
        <v>27</v>
      </c>
      <c r="AA377" s="287"/>
      <c r="AB377" s="287"/>
      <c r="AC377" s="272">
        <f t="shared" si="13"/>
        <v>7818182</v>
      </c>
      <c r="AD377" s="272">
        <v>7818182</v>
      </c>
      <c r="AE377" s="272">
        <f t="shared" si="14"/>
        <v>0</v>
      </c>
      <c r="AF377" s="273"/>
      <c r="AG377" s="274"/>
      <c r="AH377" s="273"/>
      <c r="AI377" s="273"/>
      <c r="AJ377" s="274"/>
      <c r="AK377" s="273"/>
      <c r="AL377" s="275">
        <v>1818182</v>
      </c>
      <c r="AM377" s="290">
        <v>1818182</v>
      </c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0</v>
      </c>
      <c r="AZ377" s="275"/>
      <c r="BA377" s="275"/>
      <c r="BB377" s="275"/>
      <c r="BC377" s="275">
        <v>6000000</v>
      </c>
      <c r="BD377" s="275"/>
      <c r="BE377" s="275"/>
      <c r="BF377" s="275"/>
      <c r="BH377" s="277"/>
    </row>
    <row r="378" spans="1:60" ht="16.5" customHeight="1">
      <c r="A378" s="260">
        <v>356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212</v>
      </c>
      <c r="P378" s="262" t="s">
        <v>57</v>
      </c>
      <c r="Q378" s="262" t="s">
        <v>63</v>
      </c>
      <c r="R378" s="262" t="s">
        <v>28</v>
      </c>
      <c r="S378" s="267" t="s">
        <v>28</v>
      </c>
      <c r="T378" s="268" t="s">
        <v>951</v>
      </c>
      <c r="U378" s="269">
        <v>55850920</v>
      </c>
      <c r="V378" s="269">
        <v>57024600</v>
      </c>
      <c r="W378" s="278">
        <v>55690100</v>
      </c>
      <c r="X378" s="270"/>
      <c r="Y378" s="262" t="s">
        <v>27</v>
      </c>
      <c r="Z378" s="271" t="s">
        <v>27</v>
      </c>
      <c r="AA378" s="287"/>
      <c r="AB378" s="287"/>
      <c r="AC378" s="272">
        <f t="shared" si="13"/>
        <v>46660800</v>
      </c>
      <c r="AD378" s="272">
        <v>48985000</v>
      </c>
      <c r="AE378" s="272">
        <f t="shared" si="14"/>
        <v>-2324200</v>
      </c>
      <c r="AF378" s="273">
        <v>765400</v>
      </c>
      <c r="AG378" s="274">
        <v>765400</v>
      </c>
      <c r="AH378" s="273"/>
      <c r="AI378" s="273">
        <v>1333000</v>
      </c>
      <c r="AJ378" s="274">
        <v>1333000</v>
      </c>
      <c r="AK378" s="273"/>
      <c r="AL378" s="275">
        <v>1886600</v>
      </c>
      <c r="AM378" s="290">
        <v>1886600</v>
      </c>
      <c r="AN378" s="275"/>
      <c r="AO378" s="276">
        <v>2675800</v>
      </c>
      <c r="AP378" s="275"/>
      <c r="AQ378" s="275">
        <v>5000000</v>
      </c>
      <c r="AR378" s="275"/>
      <c r="AS378" s="275">
        <v>5000000</v>
      </c>
      <c r="AT378" s="275"/>
      <c r="AU378" s="275">
        <v>5000000</v>
      </c>
      <c r="AV378" s="275"/>
      <c r="AW378" s="275">
        <v>5000000</v>
      </c>
      <c r="AX378" s="275"/>
      <c r="AY378" s="275">
        <v>5000000</v>
      </c>
      <c r="AZ378" s="275"/>
      <c r="BA378" s="275">
        <v>5000000</v>
      </c>
      <c r="BB378" s="275"/>
      <c r="BC378" s="275">
        <v>5000000</v>
      </c>
      <c r="BD378" s="275"/>
      <c r="BE378" s="275">
        <v>5000000</v>
      </c>
      <c r="BF378" s="275"/>
      <c r="BH378" s="277"/>
    </row>
    <row r="379" spans="1:60" ht="16.5" customHeight="1">
      <c r="A379" s="260">
        <v>357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212</v>
      </c>
      <c r="P379" s="262" t="s">
        <v>57</v>
      </c>
      <c r="Q379" s="262" t="s">
        <v>30</v>
      </c>
      <c r="R379" s="262" t="s">
        <v>31</v>
      </c>
      <c r="S379" s="267" t="s">
        <v>31</v>
      </c>
      <c r="T379" s="268"/>
      <c r="U379" s="269">
        <v>3252500</v>
      </c>
      <c r="V379" s="269">
        <v>0</v>
      </c>
      <c r="W379" s="278">
        <v>0</v>
      </c>
      <c r="X379" s="270"/>
      <c r="Y379" s="262" t="s">
        <v>27</v>
      </c>
      <c r="Z379" s="271" t="s">
        <v>24</v>
      </c>
      <c r="AA379" s="287"/>
      <c r="AB379" s="287"/>
      <c r="AC379" s="272">
        <f t="shared" si="13"/>
        <v>25000000</v>
      </c>
      <c r="AD379" s="272">
        <v>25000000</v>
      </c>
      <c r="AE379" s="272">
        <f t="shared" si="14"/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>
        <v>25000000</v>
      </c>
      <c r="AZ379" s="275"/>
      <c r="BA379" s="275"/>
      <c r="BB379" s="275"/>
      <c r="BC379" s="275"/>
      <c r="BD379" s="275"/>
      <c r="BE379" s="275"/>
      <c r="BF379" s="275"/>
      <c r="BH379" s="277"/>
    </row>
    <row r="380" spans="1:60" ht="16.5" customHeight="1">
      <c r="A380" s="260">
        <v>358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478</v>
      </c>
      <c r="T380" s="268"/>
      <c r="U380" s="269"/>
      <c r="V380" s="269"/>
      <c r="W380" s="278">
        <v>0</v>
      </c>
      <c r="X380" s="270"/>
      <c r="Y380" s="262"/>
      <c r="Z380" s="271" t="s">
        <v>27</v>
      </c>
      <c r="AA380" s="287"/>
      <c r="AB380" s="287"/>
      <c r="AC380" s="272">
        <f t="shared" si="13"/>
        <v>2000000</v>
      </c>
      <c r="AD380" s="272">
        <v>5000000</v>
      </c>
      <c r="AE380" s="272">
        <f t="shared" si="14"/>
        <v>-3000000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>
        <v>2000000</v>
      </c>
      <c r="AP380" s="275"/>
      <c r="AQ380" s="275">
        <v>0</v>
      </c>
      <c r="AR380" s="275"/>
      <c r="AS380" s="275"/>
      <c r="AT380" s="275"/>
      <c r="AU380" s="275"/>
      <c r="AV380" s="275"/>
      <c r="AW380" s="275"/>
      <c r="AX380" s="275"/>
      <c r="AY380" s="275"/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customHeight="1">
      <c r="A381" s="260">
        <v>359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568</v>
      </c>
      <c r="K381" s="262"/>
      <c r="L381" s="262"/>
      <c r="M381" s="262">
        <v>1261</v>
      </c>
      <c r="N381" s="262" t="s">
        <v>53</v>
      </c>
      <c r="O381" s="262" t="s">
        <v>56</v>
      </c>
      <c r="P381" s="262" t="s">
        <v>57</v>
      </c>
      <c r="Q381" s="262" t="s">
        <v>63</v>
      </c>
      <c r="R381" s="262" t="s">
        <v>473</v>
      </c>
      <c r="S381" s="267" t="s">
        <v>828</v>
      </c>
      <c r="T381" s="268"/>
      <c r="U381" s="269"/>
      <c r="V381" s="269">
        <v>0</v>
      </c>
      <c r="W381" s="278">
        <v>0</v>
      </c>
      <c r="X381" s="270"/>
      <c r="Y381" s="262" t="s">
        <v>25</v>
      </c>
      <c r="Z381" s="271" t="s">
        <v>25</v>
      </c>
      <c r="AA381" s="287"/>
      <c r="AB381" s="287"/>
      <c r="AC381" s="272">
        <f t="shared" si="13"/>
        <v>10000000</v>
      </c>
      <c r="AD381" s="272">
        <v>10000000</v>
      </c>
      <c r="AE381" s="272">
        <f t="shared" si="14"/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/>
      <c r="BB381" s="275"/>
      <c r="BC381" s="275"/>
      <c r="BD381" s="275"/>
      <c r="BE381" s="275">
        <v>10000000</v>
      </c>
      <c r="BF381" s="275"/>
      <c r="BH381" s="277"/>
    </row>
    <row r="382" spans="1:60" ht="16.5" customHeight="1">
      <c r="A382" s="260">
        <v>360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568</v>
      </c>
      <c r="K382" s="262"/>
      <c r="L382" s="262"/>
      <c r="M382" s="262">
        <v>1261</v>
      </c>
      <c r="N382" s="262" t="s">
        <v>53</v>
      </c>
      <c r="O382" s="262" t="s">
        <v>35</v>
      </c>
      <c r="P382" s="262" t="s">
        <v>57</v>
      </c>
      <c r="Q382" s="262"/>
      <c r="R382" s="262"/>
      <c r="S382" s="267" t="s">
        <v>830</v>
      </c>
      <c r="T382" s="268"/>
      <c r="U382" s="269"/>
      <c r="V382" s="269"/>
      <c r="W382" s="278">
        <v>0</v>
      </c>
      <c r="X382" s="270"/>
      <c r="Y382" s="262"/>
      <c r="Z382" s="271" t="s">
        <v>25</v>
      </c>
      <c r="AA382" s="287"/>
      <c r="AB382" s="287"/>
      <c r="AC382" s="272">
        <f t="shared" si="13"/>
        <v>15000000</v>
      </c>
      <c r="AD382" s="272">
        <v>15000000</v>
      </c>
      <c r="AE382" s="272">
        <f t="shared" si="14"/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>
        <v>15000000</v>
      </c>
      <c r="AZ382" s="275"/>
      <c r="BA382" s="275"/>
      <c r="BB382" s="275"/>
      <c r="BC382" s="275"/>
      <c r="BD382" s="275"/>
      <c r="BE382" s="275"/>
      <c r="BF382" s="275"/>
      <c r="BH382" s="277"/>
    </row>
    <row r="383" spans="1:60" ht="16.5" customHeight="1">
      <c r="A383" s="260">
        <v>361</v>
      </c>
      <c r="B383" s="261"/>
      <c r="C383" s="261"/>
      <c r="D383" s="262" t="s">
        <v>15</v>
      </c>
      <c r="E383" s="262" t="s">
        <v>364</v>
      </c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 t="s">
        <v>32</v>
      </c>
      <c r="O383" s="262" t="s">
        <v>35</v>
      </c>
      <c r="P383" s="262" t="s">
        <v>57</v>
      </c>
      <c r="Q383" s="262"/>
      <c r="R383" s="262" t="s">
        <v>19</v>
      </c>
      <c r="S383" s="267" t="s">
        <v>19</v>
      </c>
      <c r="T383" s="268"/>
      <c r="U383" s="269"/>
      <c r="V383" s="269"/>
      <c r="W383" s="278">
        <v>0</v>
      </c>
      <c r="X383" s="270"/>
      <c r="Y383" s="262" t="s">
        <v>27</v>
      </c>
      <c r="Z383" s="271" t="s">
        <v>27</v>
      </c>
      <c r="AA383" s="287"/>
      <c r="AB383" s="287"/>
      <c r="AC383" s="272">
        <f t="shared" si="13"/>
        <v>27000000</v>
      </c>
      <c r="AD383" s="272">
        <v>27000000</v>
      </c>
      <c r="AE383" s="272">
        <f t="shared" si="14"/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>
        <v>27000000</v>
      </c>
      <c r="BB383" s="275"/>
      <c r="BC383" s="275"/>
      <c r="BD383" s="275"/>
      <c r="BE383" s="275"/>
      <c r="BF383" s="275"/>
      <c r="BH383" s="277"/>
    </row>
    <row r="384" spans="1:60" ht="16.5" customHeight="1">
      <c r="A384" s="260">
        <v>362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212</v>
      </c>
      <c r="P384" s="262" t="s">
        <v>57</v>
      </c>
      <c r="Q384" s="262" t="s">
        <v>30</v>
      </c>
      <c r="R384" s="262" t="s">
        <v>31</v>
      </c>
      <c r="S384" s="267" t="s">
        <v>31</v>
      </c>
      <c r="T384" s="268"/>
      <c r="U384" s="269">
        <v>32888000</v>
      </c>
      <c r="V384" s="269">
        <v>11300000</v>
      </c>
      <c r="W384" s="278">
        <v>9169000</v>
      </c>
      <c r="X384" s="270"/>
      <c r="Y384" s="262" t="s">
        <v>27</v>
      </c>
      <c r="Z384" s="271" t="s">
        <v>24</v>
      </c>
      <c r="AA384" s="287"/>
      <c r="AB384" s="287"/>
      <c r="AC384" s="272">
        <f t="shared" si="13"/>
        <v>30000000</v>
      </c>
      <c r="AD384" s="272">
        <v>30000000</v>
      </c>
      <c r="AE384" s="272">
        <f t="shared" si="14"/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/>
      <c r="AT384" s="275"/>
      <c r="AU384" s="275"/>
      <c r="AV384" s="275"/>
      <c r="AW384" s="275"/>
      <c r="AX384" s="275"/>
      <c r="AY384" s="275"/>
      <c r="AZ384" s="275"/>
      <c r="BA384" s="275">
        <v>30000000</v>
      </c>
      <c r="BB384" s="275"/>
      <c r="BC384" s="275"/>
      <c r="BD384" s="275"/>
      <c r="BE384" s="275"/>
      <c r="BF384" s="275"/>
      <c r="BH384" s="277"/>
    </row>
    <row r="385" spans="1:60" ht="16.5" customHeight="1">
      <c r="A385" s="260">
        <v>363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468</v>
      </c>
      <c r="T385" s="268"/>
      <c r="U385" s="269"/>
      <c r="V385" s="269"/>
      <c r="W385" s="278">
        <v>3000000</v>
      </c>
      <c r="X385" s="270"/>
      <c r="Y385" s="262"/>
      <c r="Z385" s="271" t="s">
        <v>718</v>
      </c>
      <c r="AA385" s="287"/>
      <c r="AB385" s="287"/>
      <c r="AC385" s="272">
        <f t="shared" si="13"/>
        <v>0</v>
      </c>
      <c r="AD385" s="272">
        <v>0</v>
      </c>
      <c r="AE385" s="272">
        <f t="shared" si="14"/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customHeight="1">
      <c r="A386" s="260">
        <v>364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828</v>
      </c>
      <c r="T386" s="268"/>
      <c r="U386" s="269"/>
      <c r="V386" s="269"/>
      <c r="W386" s="278">
        <v>0</v>
      </c>
      <c r="X386" s="270"/>
      <c r="Y386" s="262"/>
      <c r="Z386" s="271" t="s">
        <v>25</v>
      </c>
      <c r="AA386" s="287"/>
      <c r="AB386" s="287"/>
      <c r="AC386" s="272">
        <f t="shared" si="13"/>
        <v>20000000</v>
      </c>
      <c r="AD386" s="272">
        <v>20000000</v>
      </c>
      <c r="AE386" s="272">
        <f t="shared" si="14"/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>
        <v>20000000</v>
      </c>
      <c r="AT386" s="275"/>
      <c r="AU386" s="275"/>
      <c r="AV386" s="275"/>
      <c r="AW386" s="275"/>
      <c r="AX386" s="275"/>
      <c r="AY386" s="275"/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customHeight="1">
      <c r="A387" s="260">
        <v>365</v>
      </c>
      <c r="B387" s="261"/>
      <c r="C387" s="261"/>
      <c r="D387" s="262"/>
      <c r="E387" s="262"/>
      <c r="F387" s="263" t="s">
        <v>15</v>
      </c>
      <c r="G387" s="264" t="s">
        <v>364</v>
      </c>
      <c r="H387" s="281"/>
      <c r="I387" s="265"/>
      <c r="J387" s="266" t="s">
        <v>375</v>
      </c>
      <c r="K387" s="262"/>
      <c r="L387" s="262"/>
      <c r="M387" s="262">
        <v>14087</v>
      </c>
      <c r="N387" s="262"/>
      <c r="O387" s="262"/>
      <c r="P387" s="262"/>
      <c r="Q387" s="262"/>
      <c r="R387" s="262"/>
      <c r="S387" s="267" t="s">
        <v>832</v>
      </c>
      <c r="T387" s="268"/>
      <c r="U387" s="269"/>
      <c r="V387" s="269"/>
      <c r="W387" s="278">
        <v>20870000</v>
      </c>
      <c r="X387" s="270"/>
      <c r="Y387" s="262"/>
      <c r="Z387" s="271" t="s">
        <v>718</v>
      </c>
      <c r="AA387" s="287"/>
      <c r="AB387" s="287"/>
      <c r="AC387" s="272">
        <f t="shared" si="13"/>
        <v>0</v>
      </c>
      <c r="AD387" s="272">
        <v>0</v>
      </c>
      <c r="AE387" s="272">
        <f t="shared" si="14"/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/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customHeight="1">
      <c r="A388" s="260">
        <v>366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375</v>
      </c>
      <c r="K388" s="262"/>
      <c r="L388" s="262"/>
      <c r="M388" s="262">
        <v>14087</v>
      </c>
      <c r="N388" s="262" t="s">
        <v>32</v>
      </c>
      <c r="O388" s="262" t="s">
        <v>35</v>
      </c>
      <c r="P388" s="262" t="s">
        <v>57</v>
      </c>
      <c r="Q388" s="262"/>
      <c r="R388" s="262"/>
      <c r="S388" s="267" t="s">
        <v>830</v>
      </c>
      <c r="T388" s="268"/>
      <c r="U388" s="269"/>
      <c r="V388" s="269"/>
      <c r="W388" s="278">
        <v>0</v>
      </c>
      <c r="X388" s="270"/>
      <c r="Y388" s="262"/>
      <c r="Z388" s="271" t="s">
        <v>24</v>
      </c>
      <c r="AA388" s="287"/>
      <c r="AB388" s="287"/>
      <c r="AC388" s="272">
        <f t="shared" si="13"/>
        <v>10000000</v>
      </c>
      <c r="AD388" s="272">
        <v>10000000</v>
      </c>
      <c r="AE388" s="272">
        <f t="shared" si="14"/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75"/>
      <c r="AR388" s="275"/>
      <c r="AS388" s="275"/>
      <c r="AT388" s="275"/>
      <c r="AU388" s="275"/>
      <c r="AV388" s="275"/>
      <c r="AW388" s="275"/>
      <c r="AX388" s="275"/>
      <c r="AY388" s="275">
        <v>10000000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customHeight="1">
      <c r="A389" s="260">
        <v>367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 t="s">
        <v>156</v>
      </c>
      <c r="Q389" s="262" t="s">
        <v>55</v>
      </c>
      <c r="R389" s="262" t="s">
        <v>466</v>
      </c>
      <c r="S389" s="267" t="s">
        <v>31</v>
      </c>
      <c r="T389" s="268"/>
      <c r="U389" s="269"/>
      <c r="V389" s="269">
        <v>7500000</v>
      </c>
      <c r="W389" s="278">
        <v>0</v>
      </c>
      <c r="X389" s="270"/>
      <c r="Y389" s="262" t="s">
        <v>20</v>
      </c>
      <c r="Z389" s="271" t="s">
        <v>25</v>
      </c>
      <c r="AA389" s="287"/>
      <c r="AB389" s="287"/>
      <c r="AC389" s="272">
        <f t="shared" si="13"/>
        <v>10000000</v>
      </c>
      <c r="AD389" s="272">
        <v>10000000</v>
      </c>
      <c r="AE389" s="272">
        <f t="shared" si="14"/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customHeight="1">
      <c r="A390" s="260">
        <v>368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569</v>
      </c>
      <c r="K390" s="262"/>
      <c r="L390" s="262"/>
      <c r="M390" s="262">
        <v>7665</v>
      </c>
      <c r="N390" s="262" t="s">
        <v>22</v>
      </c>
      <c r="O390" s="262" t="s">
        <v>35</v>
      </c>
      <c r="P390" s="262" t="s">
        <v>156</v>
      </c>
      <c r="Q390" s="262" t="s">
        <v>26</v>
      </c>
      <c r="R390" s="262" t="s">
        <v>478</v>
      </c>
      <c r="S390" s="267" t="s">
        <v>478</v>
      </c>
      <c r="T390" s="268"/>
      <c r="U390" s="269"/>
      <c r="V390" s="269">
        <v>0</v>
      </c>
      <c r="W390" s="278">
        <v>4000000</v>
      </c>
      <c r="X390" s="270"/>
      <c r="Y390" s="262" t="s">
        <v>27</v>
      </c>
      <c r="Z390" s="271" t="s">
        <v>25</v>
      </c>
      <c r="AA390" s="287"/>
      <c r="AB390" s="287"/>
      <c r="AC390" s="272">
        <f t="shared" si="13"/>
        <v>8000000</v>
      </c>
      <c r="AD390" s="272">
        <v>8000000</v>
      </c>
      <c r="AE390" s="272">
        <f t="shared" si="14"/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75">
        <v>4000000</v>
      </c>
      <c r="AR390" s="275"/>
      <c r="AS390" s="275"/>
      <c r="AT390" s="275"/>
      <c r="AU390" s="275"/>
      <c r="AV390" s="275"/>
      <c r="AW390" s="275"/>
      <c r="AX390" s="275"/>
      <c r="AY390" s="275">
        <v>4000000</v>
      </c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customHeight="1">
      <c r="A391" s="260">
        <v>369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569</v>
      </c>
      <c r="K391" s="262"/>
      <c r="L391" s="262"/>
      <c r="M391" s="262">
        <v>7665</v>
      </c>
      <c r="N391" s="262" t="s">
        <v>22</v>
      </c>
      <c r="O391" s="262" t="s">
        <v>35</v>
      </c>
      <c r="P391" s="262"/>
      <c r="Q391" s="262"/>
      <c r="R391" s="262"/>
      <c r="S391" s="267" t="s">
        <v>830</v>
      </c>
      <c r="T391" s="268"/>
      <c r="U391" s="269"/>
      <c r="V391" s="269"/>
      <c r="W391" s="278">
        <v>0</v>
      </c>
      <c r="X391" s="270"/>
      <c r="Y391" s="262"/>
      <c r="Z391" s="271" t="s">
        <v>25</v>
      </c>
      <c r="AA391" s="287"/>
      <c r="AB391" s="287"/>
      <c r="AC391" s="272">
        <f t="shared" si="13"/>
        <v>10000000</v>
      </c>
      <c r="AD391" s="272">
        <v>10000000</v>
      </c>
      <c r="AE391" s="272">
        <f t="shared" si="14"/>
        <v>0</v>
      </c>
      <c r="AF391" s="273"/>
      <c r="AG391" s="274"/>
      <c r="AH391" s="273"/>
      <c r="AI391" s="273"/>
      <c r="AJ391" s="274"/>
      <c r="AK391" s="273"/>
      <c r="AL391" s="275"/>
      <c r="AM391" s="290"/>
      <c r="AN391" s="275"/>
      <c r="AO391" s="276"/>
      <c r="AP391" s="275"/>
      <c r="AQ391" s="275"/>
      <c r="AR391" s="275"/>
      <c r="AS391" s="275"/>
      <c r="AT391" s="275"/>
      <c r="AU391" s="275"/>
      <c r="AV391" s="275"/>
      <c r="AW391" s="275"/>
      <c r="AX391" s="275"/>
      <c r="AY391" s="275">
        <v>10000000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customHeight="1">
      <c r="A392" s="260">
        <v>370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68</v>
      </c>
      <c r="K392" s="262"/>
      <c r="L392" s="262"/>
      <c r="M392" s="262">
        <v>42955</v>
      </c>
      <c r="N392" s="262" t="s">
        <v>22</v>
      </c>
      <c r="O392" s="262" t="s">
        <v>35</v>
      </c>
      <c r="P392" s="262" t="s">
        <v>156</v>
      </c>
      <c r="Q392" s="262" t="s">
        <v>55</v>
      </c>
      <c r="R392" s="262" t="s">
        <v>466</v>
      </c>
      <c r="S392" s="267" t="s">
        <v>31</v>
      </c>
      <c r="T392" s="268"/>
      <c r="U392" s="269"/>
      <c r="V392" s="269">
        <v>2500000</v>
      </c>
      <c r="W392" s="278">
        <v>0</v>
      </c>
      <c r="X392" s="270"/>
      <c r="Y392" s="262" t="s">
        <v>20</v>
      </c>
      <c r="Z392" s="271" t="s">
        <v>25</v>
      </c>
      <c r="AA392" s="287"/>
      <c r="AB392" s="287"/>
      <c r="AC392" s="272">
        <f t="shared" si="13"/>
        <v>4000000</v>
      </c>
      <c r="AD392" s="272">
        <v>4000000</v>
      </c>
      <c r="AE392" s="272">
        <f t="shared" si="14"/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>
        <v>4000000</v>
      </c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customHeight="1">
      <c r="A393" s="260">
        <v>371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212</v>
      </c>
      <c r="P393" s="262" t="s">
        <v>124</v>
      </c>
      <c r="Q393" s="262" t="s">
        <v>18</v>
      </c>
      <c r="R393" s="262" t="s">
        <v>19</v>
      </c>
      <c r="S393" s="267" t="s">
        <v>19</v>
      </c>
      <c r="T393" s="268"/>
      <c r="U393" s="269">
        <v>13296600</v>
      </c>
      <c r="V393" s="269">
        <v>21031720</v>
      </c>
      <c r="W393" s="278">
        <v>15364700</v>
      </c>
      <c r="X393" s="270"/>
      <c r="Y393" s="262" t="s">
        <v>27</v>
      </c>
      <c r="Z393" s="271" t="s">
        <v>27</v>
      </c>
      <c r="AA393" s="287"/>
      <c r="AB393" s="287"/>
      <c r="AC393" s="272">
        <f t="shared" si="13"/>
        <v>9647400</v>
      </c>
      <c r="AD393" s="272">
        <v>10200000</v>
      </c>
      <c r="AE393" s="272">
        <f t="shared" si="14"/>
        <v>-552600</v>
      </c>
      <c r="AF393" s="273"/>
      <c r="AG393" s="274"/>
      <c r="AH393" s="273"/>
      <c r="AI393" s="273"/>
      <c r="AJ393" s="274"/>
      <c r="AK393" s="273"/>
      <c r="AL393" s="275">
        <v>2200000</v>
      </c>
      <c r="AM393" s="290">
        <v>2200000</v>
      </c>
      <c r="AN393" s="275"/>
      <c r="AO393" s="276">
        <v>3447400</v>
      </c>
      <c r="AP393" s="275"/>
      <c r="AQ393" s="275">
        <v>0</v>
      </c>
      <c r="AR393" s="275"/>
      <c r="AS393" s="275">
        <v>2000000</v>
      </c>
      <c r="AT393" s="275"/>
      <c r="AU393" s="275">
        <v>0</v>
      </c>
      <c r="AV393" s="275"/>
      <c r="AW393" s="275">
        <v>2000000</v>
      </c>
      <c r="AX393" s="275"/>
      <c r="AY393" s="275">
        <v>0</v>
      </c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customHeight="1">
      <c r="A394" s="260">
        <v>372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56</v>
      </c>
      <c r="P394" s="262" t="s">
        <v>124</v>
      </c>
      <c r="Q394" s="262" t="s">
        <v>46</v>
      </c>
      <c r="R394" s="262" t="s">
        <v>47</v>
      </c>
      <c r="S394" s="267" t="s">
        <v>47</v>
      </c>
      <c r="T394" s="268"/>
      <c r="U394" s="269">
        <v>3375900</v>
      </c>
      <c r="V394" s="269">
        <v>0</v>
      </c>
      <c r="W394" s="278">
        <v>0</v>
      </c>
      <c r="X394" s="270"/>
      <c r="Y394" s="262" t="s">
        <v>24</v>
      </c>
      <c r="Z394" s="271" t="s">
        <v>562</v>
      </c>
      <c r="AA394" s="287"/>
      <c r="AB394" s="287"/>
      <c r="AC394" s="272">
        <f t="shared" si="13"/>
        <v>0</v>
      </c>
      <c r="AD394" s="272">
        <v>0</v>
      </c>
      <c r="AE394" s="272">
        <f t="shared" si="14"/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customHeight="1">
      <c r="A395" s="260">
        <v>373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376</v>
      </c>
      <c r="K395" s="262"/>
      <c r="L395" s="262"/>
      <c r="M395" s="262">
        <v>4059</v>
      </c>
      <c r="N395" s="262" t="s">
        <v>22</v>
      </c>
      <c r="O395" s="262" t="s">
        <v>56</v>
      </c>
      <c r="P395" s="262" t="s">
        <v>124</v>
      </c>
      <c r="Q395" s="262" t="s">
        <v>26</v>
      </c>
      <c r="R395" s="262" t="s">
        <v>478</v>
      </c>
      <c r="S395" s="267" t="s">
        <v>478</v>
      </c>
      <c r="T395" s="268"/>
      <c r="U395" s="269">
        <v>7574220</v>
      </c>
      <c r="V395" s="269">
        <v>0</v>
      </c>
      <c r="W395" s="278">
        <v>300000</v>
      </c>
      <c r="X395" s="270"/>
      <c r="Y395" s="262" t="s">
        <v>27</v>
      </c>
      <c r="Z395" s="271" t="s">
        <v>25</v>
      </c>
      <c r="AA395" s="287"/>
      <c r="AB395" s="287"/>
      <c r="AC395" s="272">
        <f t="shared" si="13"/>
        <v>12000000</v>
      </c>
      <c r="AD395" s="272">
        <v>12000000</v>
      </c>
      <c r="AE395" s="272">
        <f t="shared" si="14"/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>
        <v>12000000</v>
      </c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customHeight="1">
      <c r="A396" s="260">
        <v>374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376</v>
      </c>
      <c r="K396" s="262"/>
      <c r="L396" s="262"/>
      <c r="M396" s="262">
        <v>4059</v>
      </c>
      <c r="N396" s="262" t="s">
        <v>22</v>
      </c>
      <c r="O396" s="262" t="s">
        <v>35</v>
      </c>
      <c r="P396" s="262" t="s">
        <v>124</v>
      </c>
      <c r="Q396" s="262" t="s">
        <v>23</v>
      </c>
      <c r="R396" s="262" t="s">
        <v>397</v>
      </c>
      <c r="S396" s="267" t="s">
        <v>823</v>
      </c>
      <c r="T396" s="268"/>
      <c r="U396" s="269"/>
      <c r="V396" s="269"/>
      <c r="W396" s="278">
        <v>0</v>
      </c>
      <c r="X396" s="270"/>
      <c r="Y396" s="262"/>
      <c r="Z396" s="271" t="s">
        <v>25</v>
      </c>
      <c r="AA396" s="287"/>
      <c r="AB396" s="287"/>
      <c r="AC396" s="272">
        <f t="shared" si="13"/>
        <v>0</v>
      </c>
      <c r="AD396" s="272">
        <v>0</v>
      </c>
      <c r="AE396" s="272">
        <f t="shared" si="14"/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/>
      <c r="BD396" s="275"/>
      <c r="BE396" s="275"/>
      <c r="BF396" s="275"/>
      <c r="BH396" s="277"/>
    </row>
    <row r="397" spans="1:60" ht="16.5" customHeight="1">
      <c r="A397" s="260">
        <v>375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377</v>
      </c>
      <c r="K397" s="262"/>
      <c r="L397" s="262"/>
      <c r="M397" s="262">
        <v>53744</v>
      </c>
      <c r="N397" s="262" t="s">
        <v>22</v>
      </c>
      <c r="O397" s="262" t="s">
        <v>35</v>
      </c>
      <c r="P397" s="262" t="s">
        <v>57</v>
      </c>
      <c r="Q397" s="262" t="s">
        <v>61</v>
      </c>
      <c r="R397" s="262" t="s">
        <v>468</v>
      </c>
      <c r="S397" s="267" t="s">
        <v>468</v>
      </c>
      <c r="T397" s="268"/>
      <c r="U397" s="269">
        <v>16800000</v>
      </c>
      <c r="V397" s="269">
        <v>0</v>
      </c>
      <c r="W397" s="278">
        <v>0</v>
      </c>
      <c r="X397" s="270"/>
      <c r="Y397" s="262" t="s">
        <v>21</v>
      </c>
      <c r="Z397" s="271" t="s">
        <v>25</v>
      </c>
      <c r="AA397" s="287"/>
      <c r="AB397" s="287"/>
      <c r="AC397" s="272">
        <f t="shared" si="13"/>
        <v>0</v>
      </c>
      <c r="AD397" s="272">
        <v>0</v>
      </c>
      <c r="AE397" s="272">
        <f t="shared" si="14"/>
        <v>0</v>
      </c>
      <c r="AF397" s="273"/>
      <c r="AG397" s="274"/>
      <c r="AH397" s="273"/>
      <c r="AI397" s="273"/>
      <c r="AJ397" s="274"/>
      <c r="AK397" s="273"/>
      <c r="AL397" s="275"/>
      <c r="AM397" s="290"/>
      <c r="AN397" s="275"/>
      <c r="AO397" s="276"/>
      <c r="AP397" s="275"/>
      <c r="AQ397" s="275"/>
      <c r="AR397" s="275"/>
      <c r="AS397" s="275"/>
      <c r="AT397" s="275"/>
      <c r="AU397" s="275"/>
      <c r="AV397" s="275"/>
      <c r="AW397" s="275"/>
      <c r="AX397" s="275"/>
      <c r="AY397" s="275"/>
      <c r="AZ397" s="275"/>
      <c r="BA397" s="275"/>
      <c r="BB397" s="275"/>
      <c r="BC397" s="275"/>
      <c r="BD397" s="275"/>
      <c r="BE397" s="275"/>
      <c r="BF397" s="275"/>
      <c r="BH397" s="277"/>
    </row>
    <row r="398" spans="1:60" ht="16.5" customHeight="1">
      <c r="A398" s="260">
        <v>376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215</v>
      </c>
      <c r="K398" s="262"/>
      <c r="L398" s="262"/>
      <c r="M398" s="262">
        <v>20943</v>
      </c>
      <c r="N398" s="262" t="s">
        <v>32</v>
      </c>
      <c r="O398" s="262" t="s">
        <v>35</v>
      </c>
      <c r="P398" s="262" t="s">
        <v>57</v>
      </c>
      <c r="Q398" s="262" t="s">
        <v>63</v>
      </c>
      <c r="R398" s="262" t="s">
        <v>469</v>
      </c>
      <c r="S398" s="267" t="s">
        <v>469</v>
      </c>
      <c r="T398" s="268"/>
      <c r="U398" s="269">
        <v>98181820</v>
      </c>
      <c r="V398" s="269">
        <v>99000000</v>
      </c>
      <c r="W398" s="278">
        <v>0</v>
      </c>
      <c r="X398" s="270"/>
      <c r="Y398" s="262" t="s">
        <v>562</v>
      </c>
      <c r="Z398" s="271" t="s">
        <v>25</v>
      </c>
      <c r="AA398" s="287"/>
      <c r="AB398" s="287"/>
      <c r="AC398" s="272">
        <f t="shared" si="13"/>
        <v>20000000</v>
      </c>
      <c r="AD398" s="272">
        <v>20000000</v>
      </c>
      <c r="AE398" s="272">
        <f t="shared" si="14"/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>
        <v>20000000</v>
      </c>
      <c r="BD398" s="275"/>
      <c r="BE398" s="275"/>
      <c r="BF398" s="275"/>
      <c r="BH398" s="277"/>
    </row>
    <row r="399" spans="1:60" ht="16.5" customHeight="1">
      <c r="A399" s="260">
        <v>377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378</v>
      </c>
      <c r="K399" s="262"/>
      <c r="L399" s="262"/>
      <c r="M399" s="262">
        <v>2943</v>
      </c>
      <c r="N399" s="262" t="s">
        <v>32</v>
      </c>
      <c r="O399" s="262" t="s">
        <v>212</v>
      </c>
      <c r="P399" s="262" t="s">
        <v>57</v>
      </c>
      <c r="Q399" s="262" t="s">
        <v>63</v>
      </c>
      <c r="R399" s="262" t="s">
        <v>28</v>
      </c>
      <c r="S399" s="267" t="s">
        <v>28</v>
      </c>
      <c r="T399" s="268"/>
      <c r="U399" s="269">
        <v>41204800</v>
      </c>
      <c r="V399" s="269">
        <v>38925260</v>
      </c>
      <c r="W399" s="278">
        <v>16733700</v>
      </c>
      <c r="X399" s="270"/>
      <c r="Y399" s="262" t="s">
        <v>27</v>
      </c>
      <c r="Z399" s="271" t="s">
        <v>27</v>
      </c>
      <c r="AA399" s="287"/>
      <c r="AB399" s="287"/>
      <c r="AC399" s="272">
        <f t="shared" si="13"/>
        <v>33648300</v>
      </c>
      <c r="AD399" s="272">
        <v>34097800</v>
      </c>
      <c r="AE399" s="272">
        <f t="shared" si="14"/>
        <v>-449500</v>
      </c>
      <c r="AF399" s="273"/>
      <c r="AG399" s="274"/>
      <c r="AH399" s="273"/>
      <c r="AI399" s="273">
        <v>3282800</v>
      </c>
      <c r="AJ399" s="274">
        <v>3282800</v>
      </c>
      <c r="AK399" s="273"/>
      <c r="AL399" s="275">
        <v>4135500</v>
      </c>
      <c r="AM399" s="290">
        <v>3815000</v>
      </c>
      <c r="AN399" s="275"/>
      <c r="AO399" s="276">
        <v>2550500</v>
      </c>
      <c r="AP399" s="275"/>
      <c r="AQ399" s="275">
        <v>3000000</v>
      </c>
      <c r="AR399" s="275"/>
      <c r="AS399" s="275">
        <v>3000000</v>
      </c>
      <c r="AT399" s="275"/>
      <c r="AU399" s="275">
        <v>3000000</v>
      </c>
      <c r="AV399" s="275"/>
      <c r="AW399" s="275">
        <v>3000000</v>
      </c>
      <c r="AX399" s="275"/>
      <c r="AY399" s="275">
        <v>3000000</v>
      </c>
      <c r="AZ399" s="275"/>
      <c r="BA399" s="275">
        <v>3000000</v>
      </c>
      <c r="BB399" s="275"/>
      <c r="BC399" s="275">
        <v>3000000</v>
      </c>
      <c r="BD399" s="275"/>
      <c r="BE399" s="275">
        <v>3000000</v>
      </c>
      <c r="BF399" s="275"/>
      <c r="BH399" s="277"/>
    </row>
    <row r="400" spans="1:60" ht="16.5" customHeight="1">
      <c r="A400" s="260">
        <v>378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/>
      <c r="O400" s="262"/>
      <c r="P400" s="262"/>
      <c r="Q400" s="262"/>
      <c r="R400" s="262"/>
      <c r="S400" s="267" t="s">
        <v>28</v>
      </c>
      <c r="T400" s="268" t="s">
        <v>951</v>
      </c>
      <c r="U400" s="269"/>
      <c r="V400" s="269"/>
      <c r="W400" s="278">
        <v>3543000</v>
      </c>
      <c r="X400" s="270"/>
      <c r="Y400" s="262"/>
      <c r="Z400" s="271" t="s">
        <v>718</v>
      </c>
      <c r="AA400" s="287"/>
      <c r="AB400" s="287"/>
      <c r="AC400" s="272">
        <f t="shared" si="13"/>
        <v>0</v>
      </c>
      <c r="AD400" s="272">
        <v>0</v>
      </c>
      <c r="AE400" s="272">
        <f t="shared" si="14"/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/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customHeight="1">
      <c r="A401" s="260">
        <v>379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212</v>
      </c>
      <c r="P401" s="262" t="s">
        <v>57</v>
      </c>
      <c r="Q401" s="262" t="s">
        <v>18</v>
      </c>
      <c r="R401" s="262" t="s">
        <v>19</v>
      </c>
      <c r="S401" s="267" t="s">
        <v>19</v>
      </c>
      <c r="T401" s="268"/>
      <c r="U401" s="269">
        <v>12774640</v>
      </c>
      <c r="V401" s="269">
        <v>23182420</v>
      </c>
      <c r="W401" s="278">
        <v>24723946</v>
      </c>
      <c r="X401" s="270"/>
      <c r="Y401" s="262" t="s">
        <v>27</v>
      </c>
      <c r="Z401" s="271" t="s">
        <v>27</v>
      </c>
      <c r="AA401" s="287"/>
      <c r="AB401" s="287"/>
      <c r="AC401" s="272">
        <f t="shared" si="13"/>
        <v>19375600</v>
      </c>
      <c r="AD401" s="272">
        <v>19375600</v>
      </c>
      <c r="AE401" s="272">
        <f t="shared" si="14"/>
        <v>0</v>
      </c>
      <c r="AF401" s="273"/>
      <c r="AG401" s="274"/>
      <c r="AH401" s="273"/>
      <c r="AI401" s="273"/>
      <c r="AJ401" s="274"/>
      <c r="AK401" s="273"/>
      <c r="AL401" s="275">
        <v>0</v>
      </c>
      <c r="AM401" s="290"/>
      <c r="AN401" s="275" t="s">
        <v>1007</v>
      </c>
      <c r="AO401" s="276">
        <v>4375600</v>
      </c>
      <c r="AP401" s="275"/>
      <c r="AQ401" s="275"/>
      <c r="AR401" s="275"/>
      <c r="AS401" s="275">
        <v>5000000</v>
      </c>
      <c r="AT401" s="275"/>
      <c r="AU401" s="275"/>
      <c r="AV401" s="275"/>
      <c r="AW401" s="275"/>
      <c r="AX401" s="275"/>
      <c r="AY401" s="275">
        <v>5000000</v>
      </c>
      <c r="AZ401" s="275"/>
      <c r="BA401" s="275"/>
      <c r="BB401" s="275"/>
      <c r="BC401" s="275"/>
      <c r="BD401" s="275"/>
      <c r="BE401" s="275">
        <v>5000000</v>
      </c>
      <c r="BF401" s="275"/>
      <c r="BH401" s="277"/>
    </row>
    <row r="402" spans="1:60" ht="16.5" customHeight="1">
      <c r="A402" s="260">
        <v>380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212</v>
      </c>
      <c r="P402" s="262" t="s">
        <v>57</v>
      </c>
      <c r="Q402" s="262" t="s">
        <v>30</v>
      </c>
      <c r="R402" s="262" t="s">
        <v>31</v>
      </c>
      <c r="S402" s="267" t="s">
        <v>31</v>
      </c>
      <c r="T402" s="268"/>
      <c r="U402" s="269">
        <v>3350000</v>
      </c>
      <c r="V402" s="269">
        <v>4062500</v>
      </c>
      <c r="W402" s="278">
        <v>2710000</v>
      </c>
      <c r="X402" s="270"/>
      <c r="Y402" s="262" t="s">
        <v>27</v>
      </c>
      <c r="Z402" s="271" t="s">
        <v>24</v>
      </c>
      <c r="AA402" s="287"/>
      <c r="AB402" s="287"/>
      <c r="AC402" s="272">
        <f t="shared" si="13"/>
        <v>5000000</v>
      </c>
      <c r="AD402" s="272">
        <v>5000000</v>
      </c>
      <c r="AE402" s="272">
        <f t="shared" si="14"/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/>
      <c r="AT402" s="275"/>
      <c r="AU402" s="275">
        <v>5000000</v>
      </c>
      <c r="AV402" s="275"/>
      <c r="AW402" s="275"/>
      <c r="AX402" s="275"/>
      <c r="AY402" s="275"/>
      <c r="AZ402" s="275"/>
      <c r="BA402" s="275"/>
      <c r="BB402" s="275"/>
      <c r="BC402" s="275"/>
      <c r="BD402" s="275"/>
      <c r="BE402" s="275"/>
      <c r="BF402" s="275"/>
      <c r="BH402" s="277"/>
    </row>
    <row r="403" spans="1:60" ht="16.5" customHeight="1">
      <c r="A403" s="260">
        <v>381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56</v>
      </c>
      <c r="P403" s="262" t="s">
        <v>57</v>
      </c>
      <c r="Q403" s="262" t="s">
        <v>26</v>
      </c>
      <c r="R403" s="262" t="s">
        <v>468</v>
      </c>
      <c r="S403" s="267" t="s">
        <v>468</v>
      </c>
      <c r="T403" s="268"/>
      <c r="U403" s="269">
        <v>16900000</v>
      </c>
      <c r="V403" s="269">
        <v>4230000</v>
      </c>
      <c r="W403" s="278">
        <v>293040</v>
      </c>
      <c r="X403" s="270"/>
      <c r="Y403" s="262" t="s">
        <v>27</v>
      </c>
      <c r="Z403" s="271" t="s">
        <v>25</v>
      </c>
      <c r="AA403" s="287"/>
      <c r="AB403" s="287"/>
      <c r="AC403" s="272">
        <f t="shared" si="13"/>
        <v>60000000</v>
      </c>
      <c r="AD403" s="272">
        <v>60000000</v>
      </c>
      <c r="AE403" s="272">
        <f t="shared" si="14"/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>
        <v>30000000</v>
      </c>
      <c r="AR403" s="275"/>
      <c r="AS403" s="275"/>
      <c r="AT403" s="275"/>
      <c r="AU403" s="275"/>
      <c r="AV403" s="275"/>
      <c r="AW403" s="275"/>
      <c r="AX403" s="275"/>
      <c r="AY403" s="275">
        <v>30000000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customHeight="1">
      <c r="A404" s="260">
        <v>382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672</v>
      </c>
      <c r="K404" s="262"/>
      <c r="L404" s="262"/>
      <c r="M404" s="262">
        <v>17786</v>
      </c>
      <c r="N404" s="262" t="s">
        <v>22</v>
      </c>
      <c r="O404" s="262" t="s">
        <v>56</v>
      </c>
      <c r="P404" s="262" t="s">
        <v>57</v>
      </c>
      <c r="Q404" s="262" t="s">
        <v>26</v>
      </c>
      <c r="R404" s="262" t="s">
        <v>478</v>
      </c>
      <c r="S404" s="267" t="s">
        <v>478</v>
      </c>
      <c r="T404" s="268"/>
      <c r="U404" s="269"/>
      <c r="V404" s="269">
        <v>0</v>
      </c>
      <c r="W404" s="278">
        <v>0</v>
      </c>
      <c r="X404" s="270"/>
      <c r="Y404" s="262" t="s">
        <v>27</v>
      </c>
      <c r="Z404" s="271" t="s">
        <v>25</v>
      </c>
      <c r="AA404" s="287"/>
      <c r="AB404" s="287"/>
      <c r="AC404" s="272">
        <f t="shared" si="13"/>
        <v>9000000</v>
      </c>
      <c r="AD404" s="272">
        <v>9000000</v>
      </c>
      <c r="AE404" s="272">
        <f t="shared" si="14"/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>
        <v>3000000</v>
      </c>
      <c r="AT404" s="275"/>
      <c r="AU404" s="275"/>
      <c r="AV404" s="275"/>
      <c r="AW404" s="275"/>
      <c r="AX404" s="275"/>
      <c r="AY404" s="275">
        <v>3000000</v>
      </c>
      <c r="AZ404" s="275"/>
      <c r="BA404" s="275"/>
      <c r="BB404" s="275"/>
      <c r="BC404" s="275"/>
      <c r="BD404" s="275"/>
      <c r="BE404" s="275">
        <v>3000000</v>
      </c>
      <c r="BF404" s="275"/>
      <c r="BH404" s="277"/>
    </row>
    <row r="405" spans="1:60" ht="16.5" customHeight="1">
      <c r="A405" s="260">
        <v>383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672</v>
      </c>
      <c r="K405" s="262"/>
      <c r="L405" s="262"/>
      <c r="M405" s="262">
        <v>17786</v>
      </c>
      <c r="N405" s="262" t="s">
        <v>22</v>
      </c>
      <c r="O405" s="262" t="s">
        <v>212</v>
      </c>
      <c r="P405" s="262" t="s">
        <v>57</v>
      </c>
      <c r="Q405" s="262"/>
      <c r="R405" s="262"/>
      <c r="S405" s="267" t="s">
        <v>830</v>
      </c>
      <c r="T405" s="268"/>
      <c r="U405" s="269"/>
      <c r="V405" s="269"/>
      <c r="W405" s="278">
        <v>0</v>
      </c>
      <c r="X405" s="270"/>
      <c r="Y405" s="262"/>
      <c r="Z405" s="271" t="s">
        <v>25</v>
      </c>
      <c r="AA405" s="287"/>
      <c r="AB405" s="287"/>
      <c r="AC405" s="272">
        <f t="shared" si="13"/>
        <v>10000000</v>
      </c>
      <c r="AD405" s="272">
        <v>10000000</v>
      </c>
      <c r="AE405" s="272">
        <f t="shared" si="14"/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/>
      <c r="AV405" s="275"/>
      <c r="AW405" s="275"/>
      <c r="AX405" s="275"/>
      <c r="AY405" s="275">
        <v>10000000</v>
      </c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customHeight="1">
      <c r="A406" s="260">
        <v>384</v>
      </c>
      <c r="B406" s="261"/>
      <c r="C406" s="261"/>
      <c r="D406" s="262" t="s">
        <v>15</v>
      </c>
      <c r="E406" s="262" t="s">
        <v>364</v>
      </c>
      <c r="F406" s="263" t="s">
        <v>15</v>
      </c>
      <c r="G406" s="264" t="s">
        <v>364</v>
      </c>
      <c r="H406" s="281"/>
      <c r="I406" s="265"/>
      <c r="J406" s="266" t="s">
        <v>684</v>
      </c>
      <c r="K406" s="262"/>
      <c r="L406" s="262"/>
      <c r="M406" s="262">
        <v>45447</v>
      </c>
      <c r="N406" s="262" t="s">
        <v>22</v>
      </c>
      <c r="O406" s="262" t="s">
        <v>56</v>
      </c>
      <c r="P406" s="262" t="s">
        <v>57</v>
      </c>
      <c r="Q406" s="262" t="s">
        <v>18</v>
      </c>
      <c r="R406" s="262" t="s">
        <v>19</v>
      </c>
      <c r="S406" s="267" t="s">
        <v>19</v>
      </c>
      <c r="T406" s="268"/>
      <c r="U406" s="269" t="s">
        <v>154</v>
      </c>
      <c r="V406" s="269">
        <v>0</v>
      </c>
      <c r="W406" s="278">
        <v>0</v>
      </c>
      <c r="X406" s="270"/>
      <c r="Y406" s="262" t="s">
        <v>24</v>
      </c>
      <c r="Z406" s="271" t="s">
        <v>24</v>
      </c>
      <c r="AA406" s="287"/>
      <c r="AB406" s="287"/>
      <c r="AC406" s="272">
        <f t="shared" si="13"/>
        <v>5000000</v>
      </c>
      <c r="AD406" s="272">
        <v>5000000</v>
      </c>
      <c r="AE406" s="272">
        <f t="shared" si="14"/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/>
      <c r="AP406" s="275"/>
      <c r="AQ406" s="275"/>
      <c r="AR406" s="275"/>
      <c r="AS406" s="275"/>
      <c r="AT406" s="275"/>
      <c r="AU406" s="275"/>
      <c r="AV406" s="275"/>
      <c r="AW406" s="275">
        <v>5000000</v>
      </c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customHeight="1">
      <c r="A407" s="260">
        <v>385</v>
      </c>
      <c r="B407" s="261"/>
      <c r="C407" s="261"/>
      <c r="D407" s="262" t="s">
        <v>15</v>
      </c>
      <c r="E407" s="262" t="s">
        <v>364</v>
      </c>
      <c r="F407" s="263" t="s">
        <v>15</v>
      </c>
      <c r="G407" s="264" t="s">
        <v>364</v>
      </c>
      <c r="H407" s="281"/>
      <c r="I407" s="265"/>
      <c r="J407" s="266" t="s">
        <v>684</v>
      </c>
      <c r="K407" s="262"/>
      <c r="L407" s="262"/>
      <c r="M407" s="262">
        <v>45447</v>
      </c>
      <c r="N407" s="262" t="s">
        <v>22</v>
      </c>
      <c r="O407" s="262" t="s">
        <v>35</v>
      </c>
      <c r="P407" s="262" t="s">
        <v>57</v>
      </c>
      <c r="Q407" s="262" t="s">
        <v>54</v>
      </c>
      <c r="R407" s="262" t="s">
        <v>467</v>
      </c>
      <c r="S407" s="267" t="s">
        <v>826</v>
      </c>
      <c r="T407" s="268"/>
      <c r="U407" s="269" t="s">
        <v>154</v>
      </c>
      <c r="V407" s="269">
        <v>0</v>
      </c>
      <c r="W407" s="278">
        <v>0</v>
      </c>
      <c r="X407" s="270"/>
      <c r="Y407" s="262" t="s">
        <v>24</v>
      </c>
      <c r="Z407" s="271" t="s">
        <v>27</v>
      </c>
      <c r="AA407" s="287"/>
      <c r="AB407" s="287"/>
      <c r="AC407" s="272">
        <f t="shared" ref="AC407:AC470" si="15">AG407+AJ407+AM407+AO407+AQ407+AS407+AU407+AW407+AY407+BA407+BC407+BE407</f>
        <v>20000000</v>
      </c>
      <c r="AD407" s="272">
        <v>20000000</v>
      </c>
      <c r="AE407" s="272">
        <f t="shared" ref="AE407:AE470" si="16">AC407-AD407</f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>
        <v>20000000</v>
      </c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customHeight="1">
      <c r="A408" s="260">
        <v>386</v>
      </c>
      <c r="B408" s="261"/>
      <c r="C408" s="261"/>
      <c r="D408" s="262"/>
      <c r="E408" s="262"/>
      <c r="F408" s="263" t="s">
        <v>15</v>
      </c>
      <c r="G408" s="264" t="s">
        <v>364</v>
      </c>
      <c r="H408" s="281"/>
      <c r="I408" s="265"/>
      <c r="J408" s="266" t="s">
        <v>961</v>
      </c>
      <c r="K408" s="262"/>
      <c r="L408" s="262"/>
      <c r="M408" s="262">
        <v>12798</v>
      </c>
      <c r="N408" s="262"/>
      <c r="O408" s="262"/>
      <c r="P408" s="262"/>
      <c r="Q408" s="262"/>
      <c r="R408" s="262"/>
      <c r="S408" s="267" t="s">
        <v>19</v>
      </c>
      <c r="T408" s="268"/>
      <c r="U408" s="269"/>
      <c r="V408" s="269"/>
      <c r="W408" s="278">
        <v>0</v>
      </c>
      <c r="X408" s="270"/>
      <c r="Y408" s="262"/>
      <c r="Z408" s="271" t="s">
        <v>27</v>
      </c>
      <c r="AA408" s="287"/>
      <c r="AB408" s="287"/>
      <c r="AC408" s="272">
        <f t="shared" si="15"/>
        <v>10000000</v>
      </c>
      <c r="AD408" s="272">
        <v>10000000</v>
      </c>
      <c r="AE408" s="272">
        <f t="shared" si="16"/>
        <v>0</v>
      </c>
      <c r="AF408" s="273"/>
      <c r="AG408" s="274"/>
      <c r="AH408" s="273"/>
      <c r="AI408" s="273"/>
      <c r="AJ408" s="274"/>
      <c r="AK408" s="273"/>
      <c r="AL408" s="275"/>
      <c r="AM408" s="290"/>
      <c r="AN408" s="275"/>
      <c r="AO408" s="276">
        <v>0</v>
      </c>
      <c r="AP408" s="275"/>
      <c r="AQ408" s="275">
        <v>5000000</v>
      </c>
      <c r="AR408" s="275"/>
      <c r="AS408" s="275">
        <v>5000000</v>
      </c>
      <c r="AT408" s="275"/>
      <c r="AU408" s="275"/>
      <c r="AV408" s="275"/>
      <c r="AW408" s="275"/>
      <c r="AX408" s="275"/>
      <c r="AY408" s="275"/>
      <c r="AZ408" s="275"/>
      <c r="BA408" s="275"/>
      <c r="BB408" s="275"/>
      <c r="BC408" s="275"/>
      <c r="BD408" s="275"/>
      <c r="BE408" s="275"/>
      <c r="BF408" s="275"/>
      <c r="BH408" s="277"/>
    </row>
    <row r="409" spans="1:60" ht="16.5" customHeight="1">
      <c r="A409" s="260">
        <v>387</v>
      </c>
      <c r="B409" s="261"/>
      <c r="C409" s="261"/>
      <c r="D409" s="262"/>
      <c r="E409" s="262"/>
      <c r="F409" s="263" t="s">
        <v>15</v>
      </c>
      <c r="G409" s="264" t="s">
        <v>364</v>
      </c>
      <c r="H409" s="281"/>
      <c r="I409" s="265"/>
      <c r="J409" s="266" t="s">
        <v>961</v>
      </c>
      <c r="K409" s="262"/>
      <c r="L409" s="262"/>
      <c r="M409" s="262">
        <v>12798</v>
      </c>
      <c r="N409" s="262"/>
      <c r="O409" s="262"/>
      <c r="P409" s="262"/>
      <c r="Q409" s="262"/>
      <c r="R409" s="262"/>
      <c r="S409" s="267" t="s">
        <v>19</v>
      </c>
      <c r="T409" s="268"/>
      <c r="U409" s="269"/>
      <c r="V409" s="269"/>
      <c r="W409" s="278">
        <v>293020</v>
      </c>
      <c r="X409" s="270"/>
      <c r="Y409" s="262"/>
      <c r="Z409" s="271" t="s">
        <v>718</v>
      </c>
      <c r="AA409" s="287"/>
      <c r="AB409" s="287"/>
      <c r="AC409" s="272">
        <f t="shared" si="15"/>
        <v>0</v>
      </c>
      <c r="AD409" s="272">
        <v>0</v>
      </c>
      <c r="AE409" s="272">
        <f t="shared" si="16"/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customHeight="1">
      <c r="A410" s="260">
        <v>388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 t="s">
        <v>22</v>
      </c>
      <c r="O410" s="262" t="s">
        <v>212</v>
      </c>
      <c r="P410" s="262" t="s">
        <v>57</v>
      </c>
      <c r="Q410" s="262" t="s">
        <v>63</v>
      </c>
      <c r="R410" s="262" t="s">
        <v>28</v>
      </c>
      <c r="S410" s="267" t="s">
        <v>28</v>
      </c>
      <c r="T410" s="268" t="s">
        <v>951</v>
      </c>
      <c r="U410" s="269" t="s">
        <v>154</v>
      </c>
      <c r="V410" s="269">
        <v>128387660</v>
      </c>
      <c r="W410" s="278">
        <v>143483898</v>
      </c>
      <c r="X410" s="270"/>
      <c r="Y410" s="262" t="s">
        <v>27</v>
      </c>
      <c r="Z410" s="271" t="s">
        <v>27</v>
      </c>
      <c r="AA410" s="287"/>
      <c r="AB410" s="287"/>
      <c r="AC410" s="272">
        <f t="shared" si="15"/>
        <v>160445700</v>
      </c>
      <c r="AD410" s="272">
        <v>166445700</v>
      </c>
      <c r="AE410" s="272">
        <f t="shared" si="16"/>
        <v>-6000000</v>
      </c>
      <c r="AF410" s="273">
        <v>19242000</v>
      </c>
      <c r="AG410" s="274">
        <v>19242000</v>
      </c>
      <c r="AH410" s="273"/>
      <c r="AI410" s="273">
        <v>15242200</v>
      </c>
      <c r="AJ410" s="274">
        <v>15242200</v>
      </c>
      <c r="AK410" s="273"/>
      <c r="AL410" s="275">
        <v>0</v>
      </c>
      <c r="AM410" s="290"/>
      <c r="AN410" s="275" t="s">
        <v>1008</v>
      </c>
      <c r="AO410" s="276">
        <v>12961500</v>
      </c>
      <c r="AP410" s="275"/>
      <c r="AQ410" s="275">
        <v>15000000</v>
      </c>
      <c r="AR410" s="275"/>
      <c r="AS410" s="275">
        <v>15000000</v>
      </c>
      <c r="AT410" s="275"/>
      <c r="AU410" s="275">
        <v>18000000</v>
      </c>
      <c r="AV410" s="275"/>
      <c r="AW410" s="275">
        <v>18000000</v>
      </c>
      <c r="AX410" s="275"/>
      <c r="AY410" s="275">
        <v>18000000</v>
      </c>
      <c r="AZ410" s="275"/>
      <c r="BA410" s="275">
        <v>15000000</v>
      </c>
      <c r="BB410" s="275"/>
      <c r="BC410" s="275">
        <v>14000000</v>
      </c>
      <c r="BD410" s="275"/>
      <c r="BE410" s="275"/>
      <c r="BF410" s="275"/>
      <c r="BH410" s="277"/>
    </row>
    <row r="411" spans="1:60" ht="16.5" customHeight="1">
      <c r="A411" s="260">
        <v>389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212</v>
      </c>
      <c r="P411" s="262" t="s">
        <v>57</v>
      </c>
      <c r="Q411" s="262" t="s">
        <v>63</v>
      </c>
      <c r="R411" s="262" t="s">
        <v>28</v>
      </c>
      <c r="S411" s="267" t="s">
        <v>28</v>
      </c>
      <c r="T411" s="268"/>
      <c r="U411" s="269">
        <v>174244140</v>
      </c>
      <c r="V411" s="269">
        <v>0</v>
      </c>
      <c r="W411" s="278">
        <v>0</v>
      </c>
      <c r="X411" s="270"/>
      <c r="Y411" s="262" t="s">
        <v>21</v>
      </c>
      <c r="Z411" s="271" t="s">
        <v>21</v>
      </c>
      <c r="AA411" s="287"/>
      <c r="AB411" s="287"/>
      <c r="AC411" s="272">
        <f t="shared" si="15"/>
        <v>0</v>
      </c>
      <c r="AD411" s="272">
        <v>0</v>
      </c>
      <c r="AE411" s="272">
        <f t="shared" si="16"/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customHeight="1">
      <c r="A412" s="260">
        <v>390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/>
      <c r="O412" s="262"/>
      <c r="P412" s="262"/>
      <c r="Q412" s="262"/>
      <c r="R412" s="262"/>
      <c r="S412" s="267" t="s">
        <v>468</v>
      </c>
      <c r="T412" s="268"/>
      <c r="U412" s="269"/>
      <c r="V412" s="269"/>
      <c r="W412" s="278">
        <v>34770400</v>
      </c>
      <c r="X412" s="270"/>
      <c r="Y412" s="262"/>
      <c r="Z412" s="271" t="s">
        <v>718</v>
      </c>
      <c r="AA412" s="287"/>
      <c r="AB412" s="287"/>
      <c r="AC412" s="272">
        <f t="shared" si="15"/>
        <v>0</v>
      </c>
      <c r="AD412" s="272">
        <v>0</v>
      </c>
      <c r="AE412" s="272">
        <f t="shared" si="16"/>
        <v>0</v>
      </c>
      <c r="AF412" s="273"/>
      <c r="AG412" s="274"/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customHeight="1">
      <c r="A413" s="260">
        <v>391</v>
      </c>
      <c r="B413" s="261"/>
      <c r="C413" s="261"/>
      <c r="D413" s="262" t="s">
        <v>15</v>
      </c>
      <c r="E413" s="262" t="s">
        <v>364</v>
      </c>
      <c r="F413" s="263" t="s">
        <v>15</v>
      </c>
      <c r="G413" s="264" t="s">
        <v>364</v>
      </c>
      <c r="H413" s="281"/>
      <c r="I413" s="265"/>
      <c r="J413" s="266" t="s">
        <v>379</v>
      </c>
      <c r="K413" s="262"/>
      <c r="L413" s="262"/>
      <c r="M413" s="262">
        <v>1886</v>
      </c>
      <c r="N413" s="262" t="s">
        <v>22</v>
      </c>
      <c r="O413" s="262" t="s">
        <v>56</v>
      </c>
      <c r="P413" s="262" t="s">
        <v>57</v>
      </c>
      <c r="Q413" s="262"/>
      <c r="R413" s="262" t="s">
        <v>478</v>
      </c>
      <c r="S413" s="267" t="s">
        <v>478</v>
      </c>
      <c r="T413" s="268"/>
      <c r="U413" s="269"/>
      <c r="V413" s="269">
        <v>0</v>
      </c>
      <c r="W413" s="278">
        <v>0</v>
      </c>
      <c r="X413" s="270"/>
      <c r="Y413" s="262" t="s">
        <v>27</v>
      </c>
      <c r="Z413" s="271" t="s">
        <v>25</v>
      </c>
      <c r="AA413" s="287"/>
      <c r="AB413" s="287"/>
      <c r="AC413" s="272">
        <f t="shared" si="15"/>
        <v>0</v>
      </c>
      <c r="AD413" s="272">
        <v>0</v>
      </c>
      <c r="AE413" s="272">
        <f t="shared" si="16"/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customHeight="1">
      <c r="A414" s="260">
        <v>392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379</v>
      </c>
      <c r="K414" s="262"/>
      <c r="L414" s="262"/>
      <c r="M414" s="262">
        <v>1886</v>
      </c>
      <c r="N414" s="262" t="s">
        <v>22</v>
      </c>
      <c r="O414" s="262" t="s">
        <v>212</v>
      </c>
      <c r="P414" s="262" t="s">
        <v>57</v>
      </c>
      <c r="Q414" s="262" t="s">
        <v>54</v>
      </c>
      <c r="R414" s="262" t="s">
        <v>467</v>
      </c>
      <c r="S414" s="267" t="s">
        <v>826</v>
      </c>
      <c r="T414" s="268"/>
      <c r="U414" s="269" t="s">
        <v>154</v>
      </c>
      <c r="V414" s="269">
        <v>30000000</v>
      </c>
      <c r="W414" s="278">
        <v>30000000</v>
      </c>
      <c r="X414" s="270"/>
      <c r="Y414" s="262" t="s">
        <v>27</v>
      </c>
      <c r="Z414" s="271" t="s">
        <v>27</v>
      </c>
      <c r="AA414" s="287"/>
      <c r="AB414" s="287"/>
      <c r="AC414" s="272">
        <f t="shared" si="15"/>
        <v>30000000</v>
      </c>
      <c r="AD414" s="272">
        <v>30000000</v>
      </c>
      <c r="AE414" s="272">
        <f t="shared" si="16"/>
        <v>0</v>
      </c>
      <c r="AF414" s="273">
        <v>30000000</v>
      </c>
      <c r="AG414" s="274">
        <v>30000000</v>
      </c>
      <c r="AH414" s="273"/>
      <c r="AI414" s="273"/>
      <c r="AJ414" s="274"/>
      <c r="AK414" s="273"/>
      <c r="AL414" s="275"/>
      <c r="AM414" s="290"/>
      <c r="AN414" s="275"/>
      <c r="AO414" s="276"/>
      <c r="AP414" s="275"/>
      <c r="AQ414" s="275"/>
      <c r="AR414" s="275"/>
      <c r="AS414" s="275"/>
      <c r="AT414" s="275"/>
      <c r="AU414" s="275"/>
      <c r="AV414" s="275"/>
      <c r="AW414" s="275"/>
      <c r="AX414" s="275"/>
      <c r="AY414" s="275"/>
      <c r="AZ414" s="275"/>
      <c r="BA414" s="275"/>
      <c r="BB414" s="275"/>
      <c r="BC414" s="275"/>
      <c r="BD414" s="275"/>
      <c r="BE414" s="275"/>
      <c r="BF414" s="275"/>
      <c r="BH414" s="277"/>
    </row>
    <row r="415" spans="1:60" ht="16.5" customHeight="1">
      <c r="A415" s="260">
        <v>393</v>
      </c>
      <c r="B415" s="261"/>
      <c r="C415" s="261"/>
      <c r="D415" s="262"/>
      <c r="E415" s="262"/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/>
      <c r="O415" s="262"/>
      <c r="P415" s="262"/>
      <c r="Q415" s="262"/>
      <c r="R415" s="262"/>
      <c r="S415" s="267" t="s">
        <v>28</v>
      </c>
      <c r="T415" s="268"/>
      <c r="U415" s="269"/>
      <c r="V415" s="269"/>
      <c r="W415" s="278">
        <v>1400000</v>
      </c>
      <c r="X415" s="270"/>
      <c r="Y415" s="262"/>
      <c r="Z415" s="271" t="s">
        <v>718</v>
      </c>
      <c r="AA415" s="287"/>
      <c r="AB415" s="287"/>
      <c r="AC415" s="272">
        <f t="shared" si="15"/>
        <v>0</v>
      </c>
      <c r="AD415" s="272">
        <v>0</v>
      </c>
      <c r="AE415" s="272">
        <f t="shared" si="16"/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customHeight="1">
      <c r="A416" s="260">
        <v>394</v>
      </c>
      <c r="B416" s="261"/>
      <c r="C416" s="261"/>
      <c r="D416" s="262" t="s">
        <v>15</v>
      </c>
      <c r="E416" s="262" t="s">
        <v>364</v>
      </c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 t="s">
        <v>22</v>
      </c>
      <c r="O416" s="262" t="s">
        <v>212</v>
      </c>
      <c r="P416" s="262" t="s">
        <v>57</v>
      </c>
      <c r="Q416" s="262" t="s">
        <v>63</v>
      </c>
      <c r="R416" s="262" t="s">
        <v>19</v>
      </c>
      <c r="S416" s="267" t="s">
        <v>19</v>
      </c>
      <c r="T416" s="268"/>
      <c r="U416" s="269" t="s">
        <v>154</v>
      </c>
      <c r="V416" s="269">
        <v>7010500</v>
      </c>
      <c r="W416" s="278">
        <v>6352000</v>
      </c>
      <c r="X416" s="270"/>
      <c r="Y416" s="262" t="s">
        <v>27</v>
      </c>
      <c r="Z416" s="271" t="s">
        <v>27</v>
      </c>
      <c r="AA416" s="287"/>
      <c r="AB416" s="287"/>
      <c r="AC416" s="272">
        <f t="shared" si="15"/>
        <v>13000000</v>
      </c>
      <c r="AD416" s="272">
        <v>14000000</v>
      </c>
      <c r="AE416" s="272">
        <f t="shared" si="16"/>
        <v>-1000000</v>
      </c>
      <c r="AF416" s="273"/>
      <c r="AG416" s="274"/>
      <c r="AH416" s="273"/>
      <c r="AI416" s="273"/>
      <c r="AJ416" s="274"/>
      <c r="AK416" s="273"/>
      <c r="AL416" s="275">
        <v>0</v>
      </c>
      <c r="AM416" s="290"/>
      <c r="AN416" s="275"/>
      <c r="AO416" s="276">
        <v>0</v>
      </c>
      <c r="AP416" s="275"/>
      <c r="AQ416" s="275">
        <v>2000000</v>
      </c>
      <c r="AR416" s="275"/>
      <c r="AS416" s="275">
        <v>1000000</v>
      </c>
      <c r="AT416" s="275"/>
      <c r="AU416" s="275">
        <v>2000000</v>
      </c>
      <c r="AV416" s="275"/>
      <c r="AW416" s="275">
        <v>2000000</v>
      </c>
      <c r="AX416" s="275"/>
      <c r="AY416" s="275">
        <v>1000000</v>
      </c>
      <c r="AZ416" s="275"/>
      <c r="BA416" s="275">
        <v>2000000</v>
      </c>
      <c r="BB416" s="275"/>
      <c r="BC416" s="275">
        <v>2000000</v>
      </c>
      <c r="BD416" s="275"/>
      <c r="BE416" s="275">
        <v>1000000</v>
      </c>
      <c r="BF416" s="275"/>
      <c r="BH416" s="277"/>
    </row>
    <row r="417" spans="1:60" ht="16.5" customHeight="1">
      <c r="A417" s="260">
        <v>395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56</v>
      </c>
      <c r="P417" s="262" t="s">
        <v>57</v>
      </c>
      <c r="Q417" s="262" t="s">
        <v>18</v>
      </c>
      <c r="R417" s="262" t="s">
        <v>19</v>
      </c>
      <c r="S417" s="267" t="s">
        <v>19</v>
      </c>
      <c r="T417" s="268"/>
      <c r="U417" s="269">
        <v>17538200</v>
      </c>
      <c r="V417" s="269">
        <v>0</v>
      </c>
      <c r="W417" s="278">
        <v>0</v>
      </c>
      <c r="X417" s="270"/>
      <c r="Y417" s="262" t="s">
        <v>21</v>
      </c>
      <c r="Z417" s="271" t="s">
        <v>21</v>
      </c>
      <c r="AA417" s="287"/>
      <c r="AB417" s="287"/>
      <c r="AC417" s="272">
        <f t="shared" si="15"/>
        <v>0</v>
      </c>
      <c r="AD417" s="272">
        <v>0</v>
      </c>
      <c r="AE417" s="272">
        <f t="shared" si="16"/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75"/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customHeight="1">
      <c r="A418" s="260">
        <v>396</v>
      </c>
      <c r="B418" s="261"/>
      <c r="C418" s="261"/>
      <c r="D418" s="262"/>
      <c r="E418" s="262"/>
      <c r="F418" s="263" t="s">
        <v>15</v>
      </c>
      <c r="G418" s="264" t="s">
        <v>364</v>
      </c>
      <c r="H418" s="281"/>
      <c r="I418" s="265"/>
      <c r="J418" s="266" t="s">
        <v>380</v>
      </c>
      <c r="K418" s="262"/>
      <c r="L418" s="262"/>
      <c r="M418" s="262">
        <v>53292</v>
      </c>
      <c r="N418" s="262"/>
      <c r="O418" s="262"/>
      <c r="P418" s="262"/>
      <c r="Q418" s="262"/>
      <c r="R418" s="262"/>
      <c r="S418" s="267" t="s">
        <v>478</v>
      </c>
      <c r="T418" s="268"/>
      <c r="U418" s="269"/>
      <c r="V418" s="269"/>
      <c r="W418" s="278">
        <v>1700000</v>
      </c>
      <c r="X418" s="270"/>
      <c r="Y418" s="262"/>
      <c r="Z418" s="271" t="s">
        <v>718</v>
      </c>
      <c r="AA418" s="287"/>
      <c r="AB418" s="287"/>
      <c r="AC418" s="272">
        <f t="shared" si="15"/>
        <v>0</v>
      </c>
      <c r="AD418" s="272">
        <v>0</v>
      </c>
      <c r="AE418" s="272">
        <f t="shared" si="16"/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/>
      <c r="AR418" s="275"/>
      <c r="AS418" s="275"/>
      <c r="AT418" s="275"/>
      <c r="AU418" s="275"/>
      <c r="AV418" s="275"/>
      <c r="AW418" s="275"/>
      <c r="AX418" s="275"/>
      <c r="AY418" s="275"/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customHeight="1">
      <c r="A419" s="260">
        <v>397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380</v>
      </c>
      <c r="K419" s="262"/>
      <c r="L419" s="262"/>
      <c r="M419" s="262">
        <v>53292</v>
      </c>
      <c r="N419" s="262" t="s">
        <v>22</v>
      </c>
      <c r="O419" s="262" t="s">
        <v>212</v>
      </c>
      <c r="P419" s="262" t="s">
        <v>57</v>
      </c>
      <c r="Q419" s="262"/>
      <c r="R419" s="262"/>
      <c r="S419" s="267" t="s">
        <v>834</v>
      </c>
      <c r="T419" s="268"/>
      <c r="U419" s="269"/>
      <c r="V419" s="269"/>
      <c r="W419" s="278">
        <v>0</v>
      </c>
      <c r="X419" s="270"/>
      <c r="Y419" s="262"/>
      <c r="Z419" s="271" t="s">
        <v>25</v>
      </c>
      <c r="AA419" s="287"/>
      <c r="AB419" s="287"/>
      <c r="AC419" s="272">
        <f t="shared" si="15"/>
        <v>30000000</v>
      </c>
      <c r="AD419" s="272">
        <v>30000000</v>
      </c>
      <c r="AE419" s="272">
        <f t="shared" si="16"/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75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customHeight="1">
      <c r="A420" s="260">
        <v>398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212</v>
      </c>
      <c r="P420" s="262" t="s">
        <v>57</v>
      </c>
      <c r="Q420" s="262" t="s">
        <v>18</v>
      </c>
      <c r="R420" s="262" t="s">
        <v>19</v>
      </c>
      <c r="S420" s="267" t="s">
        <v>19</v>
      </c>
      <c r="T420" s="268"/>
      <c r="U420" s="269">
        <v>7509260</v>
      </c>
      <c r="V420" s="269">
        <v>3480000</v>
      </c>
      <c r="W420" s="278">
        <v>560000</v>
      </c>
      <c r="X420" s="270"/>
      <c r="Y420" s="262" t="s">
        <v>27</v>
      </c>
      <c r="Z420" s="271" t="s">
        <v>24</v>
      </c>
      <c r="AA420" s="287"/>
      <c r="AB420" s="287"/>
      <c r="AC420" s="272">
        <f t="shared" si="15"/>
        <v>7000000</v>
      </c>
      <c r="AD420" s="272">
        <v>7000000</v>
      </c>
      <c r="AE420" s="272">
        <f t="shared" si="16"/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>
        <v>3500000</v>
      </c>
      <c r="AR420" s="275"/>
      <c r="AS420" s="275"/>
      <c r="AT420" s="275"/>
      <c r="AU420" s="275"/>
      <c r="AV420" s="275"/>
      <c r="AW420" s="275"/>
      <c r="AX420" s="275"/>
      <c r="AY420" s="275">
        <v>3500000</v>
      </c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customHeight="1">
      <c r="A421" s="260">
        <v>399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653</v>
      </c>
      <c r="K421" s="262"/>
      <c r="L421" s="262"/>
      <c r="M421" s="262">
        <v>4713</v>
      </c>
      <c r="N421" s="262" t="s">
        <v>42</v>
      </c>
      <c r="O421" s="262" t="s">
        <v>56</v>
      </c>
      <c r="P421" s="262" t="s">
        <v>57</v>
      </c>
      <c r="Q421" s="262" t="s">
        <v>18</v>
      </c>
      <c r="R421" s="262" t="s">
        <v>19</v>
      </c>
      <c r="S421" s="267" t="s">
        <v>833</v>
      </c>
      <c r="T421" s="268"/>
      <c r="U421" s="269"/>
      <c r="V421" s="269"/>
      <c r="W421" s="278">
        <v>0</v>
      </c>
      <c r="X421" s="270"/>
      <c r="Y421" s="262" t="s">
        <v>25</v>
      </c>
      <c r="Z421" s="271" t="s">
        <v>25</v>
      </c>
      <c r="AA421" s="287"/>
      <c r="AB421" s="287"/>
      <c r="AC421" s="272">
        <f t="shared" si="15"/>
        <v>30000000</v>
      </c>
      <c r="AD421" s="272">
        <v>30000000</v>
      </c>
      <c r="AE421" s="272">
        <f t="shared" si="16"/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75">
        <v>30000000</v>
      </c>
      <c r="AR421" s="275"/>
      <c r="AS421" s="275"/>
      <c r="AT421" s="275"/>
      <c r="AU421" s="275"/>
      <c r="AV421" s="275"/>
      <c r="AW421" s="275"/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customHeight="1">
      <c r="A422" s="260">
        <v>400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653</v>
      </c>
      <c r="K422" s="262"/>
      <c r="L422" s="262"/>
      <c r="M422" s="262">
        <v>4713</v>
      </c>
      <c r="N422" s="262" t="s">
        <v>42</v>
      </c>
      <c r="O422" s="262" t="s">
        <v>56</v>
      </c>
      <c r="P422" s="262" t="s">
        <v>57</v>
      </c>
      <c r="Q422" s="262" t="s">
        <v>26</v>
      </c>
      <c r="R422" s="262" t="s">
        <v>468</v>
      </c>
      <c r="S422" s="267" t="s">
        <v>468</v>
      </c>
      <c r="T422" s="268"/>
      <c r="U422" s="269" t="s">
        <v>154</v>
      </c>
      <c r="V422" s="269">
        <v>0</v>
      </c>
      <c r="W422" s="278">
        <v>293020</v>
      </c>
      <c r="X422" s="270"/>
      <c r="Y422" s="262" t="s">
        <v>24</v>
      </c>
      <c r="Z422" s="271" t="s">
        <v>24</v>
      </c>
      <c r="AA422" s="287"/>
      <c r="AB422" s="287"/>
      <c r="AC422" s="272">
        <f t="shared" si="15"/>
        <v>1000000</v>
      </c>
      <c r="AD422" s="272">
        <v>1000000</v>
      </c>
      <c r="AE422" s="272">
        <f t="shared" si="16"/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>
        <v>1000000</v>
      </c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/>
      <c r="BD422" s="275"/>
      <c r="BE422" s="275"/>
      <c r="BF422" s="275"/>
      <c r="BH422" s="277"/>
    </row>
    <row r="423" spans="1:60" ht="16.5" customHeight="1">
      <c r="A423" s="260">
        <v>401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212</v>
      </c>
      <c r="P423" s="262" t="s">
        <v>57</v>
      </c>
      <c r="Q423" s="262" t="s">
        <v>18</v>
      </c>
      <c r="R423" s="262" t="s">
        <v>19</v>
      </c>
      <c r="S423" s="267" t="s">
        <v>19</v>
      </c>
      <c r="T423" s="268"/>
      <c r="U423" s="269">
        <v>20757000</v>
      </c>
      <c r="V423" s="269">
        <v>5870900</v>
      </c>
      <c r="W423" s="278">
        <v>97670</v>
      </c>
      <c r="X423" s="270"/>
      <c r="Y423" s="262" t="s">
        <v>27</v>
      </c>
      <c r="Z423" s="271" t="s">
        <v>24</v>
      </c>
      <c r="AA423" s="287"/>
      <c r="AB423" s="287"/>
      <c r="AC423" s="272">
        <f t="shared" si="15"/>
        <v>5000000</v>
      </c>
      <c r="AD423" s="272">
        <v>5000000</v>
      </c>
      <c r="AE423" s="272">
        <f t="shared" si="16"/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75"/>
      <c r="AR423" s="275"/>
      <c r="AS423" s="275"/>
      <c r="AT423" s="275"/>
      <c r="AU423" s="275"/>
      <c r="AV423" s="275"/>
      <c r="AW423" s="275">
        <v>5000000</v>
      </c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customHeight="1">
      <c r="A424" s="260">
        <v>402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381</v>
      </c>
      <c r="K424" s="262"/>
      <c r="L424" s="262"/>
      <c r="M424" s="262">
        <v>24013</v>
      </c>
      <c r="N424" s="262" t="s">
        <v>22</v>
      </c>
      <c r="O424" s="262" t="s">
        <v>212</v>
      </c>
      <c r="P424" s="262" t="s">
        <v>57</v>
      </c>
      <c r="Q424" s="262" t="s">
        <v>30</v>
      </c>
      <c r="R424" s="262" t="s">
        <v>31</v>
      </c>
      <c r="S424" s="267" t="s">
        <v>31</v>
      </c>
      <c r="T424" s="268"/>
      <c r="U424" s="269" t="s">
        <v>154</v>
      </c>
      <c r="V424" s="269">
        <v>13245000</v>
      </c>
      <c r="W424" s="278">
        <v>0</v>
      </c>
      <c r="X424" s="270"/>
      <c r="Y424" s="262" t="s">
        <v>27</v>
      </c>
      <c r="Z424" s="271" t="s">
        <v>24</v>
      </c>
      <c r="AA424" s="287"/>
      <c r="AB424" s="287"/>
      <c r="AC424" s="272">
        <f t="shared" si="15"/>
        <v>15000000</v>
      </c>
      <c r="AD424" s="272">
        <v>15000000</v>
      </c>
      <c r="AE424" s="272">
        <f t="shared" si="16"/>
        <v>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/>
      <c r="AP424" s="275"/>
      <c r="AQ424" s="275"/>
      <c r="AR424" s="275"/>
      <c r="AS424" s="275"/>
      <c r="AT424" s="275"/>
      <c r="AU424" s="275"/>
      <c r="AV424" s="275"/>
      <c r="AW424" s="275"/>
      <c r="AX424" s="275"/>
      <c r="AY424" s="275"/>
      <c r="AZ424" s="275"/>
      <c r="BA424" s="275"/>
      <c r="BB424" s="275"/>
      <c r="BC424" s="275">
        <v>15000000</v>
      </c>
      <c r="BD424" s="275"/>
      <c r="BE424" s="275"/>
      <c r="BF424" s="275"/>
      <c r="BH424" s="277"/>
    </row>
    <row r="425" spans="1:60" ht="16.5" customHeight="1">
      <c r="A425" s="260">
        <v>403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381</v>
      </c>
      <c r="K425" s="262"/>
      <c r="L425" s="262"/>
      <c r="M425" s="262">
        <v>24013</v>
      </c>
      <c r="N425" s="262" t="s">
        <v>22</v>
      </c>
      <c r="O425" s="262" t="s">
        <v>56</v>
      </c>
      <c r="P425" s="262" t="s">
        <v>57</v>
      </c>
      <c r="Q425" s="262"/>
      <c r="R425" s="262" t="s">
        <v>478</v>
      </c>
      <c r="S425" s="267" t="s">
        <v>478</v>
      </c>
      <c r="T425" s="268"/>
      <c r="U425" s="269"/>
      <c r="V425" s="269"/>
      <c r="W425" s="278">
        <v>1500000</v>
      </c>
      <c r="X425" s="270"/>
      <c r="Y425" s="262" t="s">
        <v>27</v>
      </c>
      <c r="Z425" s="271" t="s">
        <v>25</v>
      </c>
      <c r="AA425" s="287"/>
      <c r="AB425" s="287"/>
      <c r="AC425" s="272">
        <f t="shared" si="15"/>
        <v>3000000</v>
      </c>
      <c r="AD425" s="272">
        <v>3000000</v>
      </c>
      <c r="AE425" s="272">
        <f t="shared" si="16"/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75">
        <v>3000000</v>
      </c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/>
      <c r="BF425" s="275"/>
      <c r="BH425" s="277"/>
    </row>
    <row r="426" spans="1:60" ht="16.5" customHeight="1">
      <c r="A426" s="260">
        <v>404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382</v>
      </c>
      <c r="K426" s="262"/>
      <c r="L426" s="262"/>
      <c r="M426" s="262">
        <v>3846</v>
      </c>
      <c r="N426" s="262" t="s">
        <v>22</v>
      </c>
      <c r="O426" s="262" t="s">
        <v>35</v>
      </c>
      <c r="P426" s="262" t="s">
        <v>57</v>
      </c>
      <c r="Q426" s="262"/>
      <c r="R426" s="262"/>
      <c r="S426" s="267" t="s">
        <v>19</v>
      </c>
      <c r="T426" s="268"/>
      <c r="U426" s="269"/>
      <c r="V426" s="269"/>
      <c r="W426" s="278">
        <v>20142000</v>
      </c>
      <c r="X426" s="270"/>
      <c r="Y426" s="262"/>
      <c r="Z426" s="271" t="s">
        <v>25</v>
      </c>
      <c r="AA426" s="287"/>
      <c r="AB426" s="287"/>
      <c r="AC426" s="272">
        <f t="shared" si="15"/>
        <v>8000000</v>
      </c>
      <c r="AD426" s="272">
        <v>9000000</v>
      </c>
      <c r="AE426" s="272">
        <f t="shared" si="16"/>
        <v>-1000000</v>
      </c>
      <c r="AF426" s="273"/>
      <c r="AG426" s="274"/>
      <c r="AH426" s="273"/>
      <c r="AI426" s="273"/>
      <c r="AJ426" s="274"/>
      <c r="AK426" s="273"/>
      <c r="AL426" s="275"/>
      <c r="AM426" s="290"/>
      <c r="AN426" s="275"/>
      <c r="AO426" s="276"/>
      <c r="AP426" s="275"/>
      <c r="AQ426" s="275">
        <v>1000000</v>
      </c>
      <c r="AR426" s="275"/>
      <c r="AS426" s="275">
        <v>1000000</v>
      </c>
      <c r="AT426" s="275"/>
      <c r="AU426" s="275">
        <v>1000000</v>
      </c>
      <c r="AV426" s="275"/>
      <c r="AW426" s="275">
        <v>1000000</v>
      </c>
      <c r="AX426" s="275"/>
      <c r="AY426" s="275">
        <v>1000000</v>
      </c>
      <c r="AZ426" s="275"/>
      <c r="BA426" s="275">
        <v>1000000</v>
      </c>
      <c r="BB426" s="275"/>
      <c r="BC426" s="275">
        <v>1000000</v>
      </c>
      <c r="BD426" s="275"/>
      <c r="BE426" s="275">
        <v>1000000</v>
      </c>
      <c r="BF426" s="275"/>
      <c r="BH426" s="277"/>
    </row>
    <row r="427" spans="1:60" ht="16.5" customHeight="1">
      <c r="A427" s="260">
        <v>405</v>
      </c>
      <c r="B427" s="261"/>
      <c r="C427" s="261"/>
      <c r="D427" s="262" t="s">
        <v>15</v>
      </c>
      <c r="E427" s="262" t="s">
        <v>364</v>
      </c>
      <c r="F427" s="263" t="s">
        <v>15</v>
      </c>
      <c r="G427" s="264" t="s">
        <v>364</v>
      </c>
      <c r="H427" s="281"/>
      <c r="I427" s="265"/>
      <c r="J427" s="266" t="s">
        <v>382</v>
      </c>
      <c r="K427" s="262"/>
      <c r="L427" s="262"/>
      <c r="M427" s="262">
        <v>3846</v>
      </c>
      <c r="N427" s="262" t="s">
        <v>22</v>
      </c>
      <c r="O427" s="262" t="s">
        <v>56</v>
      </c>
      <c r="P427" s="262" t="s">
        <v>57</v>
      </c>
      <c r="Q427" s="262" t="s">
        <v>18</v>
      </c>
      <c r="R427" s="262" t="s">
        <v>19</v>
      </c>
      <c r="S427" s="267" t="s">
        <v>31</v>
      </c>
      <c r="T427" s="268"/>
      <c r="U427" s="269">
        <v>15904240</v>
      </c>
      <c r="V427" s="269">
        <v>7720000</v>
      </c>
      <c r="W427" s="278">
        <v>0</v>
      </c>
      <c r="X427" s="270"/>
      <c r="Y427" s="262" t="s">
        <v>27</v>
      </c>
      <c r="Z427" s="271" t="s">
        <v>24</v>
      </c>
      <c r="AA427" s="287"/>
      <c r="AB427" s="287"/>
      <c r="AC427" s="272">
        <f t="shared" si="15"/>
        <v>15000000</v>
      </c>
      <c r="AD427" s="272">
        <v>15000000</v>
      </c>
      <c r="AE427" s="272">
        <f t="shared" si="16"/>
        <v>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>
        <v>15000000</v>
      </c>
      <c r="BF427" s="275"/>
      <c r="BH427" s="277"/>
    </row>
    <row r="428" spans="1:60" ht="16.5" customHeight="1">
      <c r="A428" s="260">
        <v>406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 t="s">
        <v>22</v>
      </c>
      <c r="O428" s="262" t="s">
        <v>212</v>
      </c>
      <c r="P428" s="262" t="s">
        <v>124</v>
      </c>
      <c r="Q428" s="262" t="s">
        <v>18</v>
      </c>
      <c r="R428" s="262" t="s">
        <v>19</v>
      </c>
      <c r="S428" s="267" t="s">
        <v>28</v>
      </c>
      <c r="T428" s="268" t="s">
        <v>951</v>
      </c>
      <c r="U428" s="269">
        <v>28416440</v>
      </c>
      <c r="V428" s="269">
        <v>25596380</v>
      </c>
      <c r="W428" s="278">
        <v>0</v>
      </c>
      <c r="X428" s="270"/>
      <c r="Y428" s="262" t="s">
        <v>27</v>
      </c>
      <c r="Z428" s="271" t="s">
        <v>27</v>
      </c>
      <c r="AA428" s="287"/>
      <c r="AB428" s="287"/>
      <c r="AC428" s="272">
        <f t="shared" si="15"/>
        <v>20318700</v>
      </c>
      <c r="AD428" s="272">
        <v>21602500</v>
      </c>
      <c r="AE428" s="272">
        <f t="shared" si="16"/>
        <v>-1283800</v>
      </c>
      <c r="AF428" s="273">
        <v>1297000</v>
      </c>
      <c r="AG428" s="274">
        <v>1297000</v>
      </c>
      <c r="AH428" s="273"/>
      <c r="AI428" s="273">
        <v>1261500</v>
      </c>
      <c r="AJ428" s="274">
        <v>1261500</v>
      </c>
      <c r="AK428" s="273"/>
      <c r="AL428" s="275">
        <v>1044000</v>
      </c>
      <c r="AM428" s="290">
        <v>1044000</v>
      </c>
      <c r="AN428" s="275"/>
      <c r="AO428" s="276">
        <v>716200</v>
      </c>
      <c r="AP428" s="275"/>
      <c r="AQ428" s="275">
        <v>2000000</v>
      </c>
      <c r="AR428" s="275"/>
      <c r="AS428" s="275">
        <v>2000000</v>
      </c>
      <c r="AT428" s="275"/>
      <c r="AU428" s="275">
        <v>2000000</v>
      </c>
      <c r="AV428" s="275"/>
      <c r="AW428" s="275">
        <v>2000000</v>
      </c>
      <c r="AX428" s="275"/>
      <c r="AY428" s="275">
        <v>2000000</v>
      </c>
      <c r="AZ428" s="275"/>
      <c r="BA428" s="275">
        <v>2000000</v>
      </c>
      <c r="BB428" s="275"/>
      <c r="BC428" s="275">
        <v>2000000</v>
      </c>
      <c r="BD428" s="275"/>
      <c r="BE428" s="275">
        <v>2000000</v>
      </c>
      <c r="BF428" s="275"/>
      <c r="BH428" s="277"/>
    </row>
    <row r="429" spans="1:60" ht="16.5" customHeight="1">
      <c r="A429" s="260">
        <v>407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/>
      <c r="O429" s="262"/>
      <c r="P429" s="262"/>
      <c r="Q429" s="262"/>
      <c r="R429" s="262"/>
      <c r="S429" s="267" t="s">
        <v>19</v>
      </c>
      <c r="T429" s="268"/>
      <c r="U429" s="269"/>
      <c r="V429" s="269"/>
      <c r="W429" s="278">
        <v>22336900</v>
      </c>
      <c r="X429" s="270"/>
      <c r="Y429" s="262"/>
      <c r="Z429" s="271" t="s">
        <v>718</v>
      </c>
      <c r="AA429" s="287"/>
      <c r="AB429" s="287"/>
      <c r="AC429" s="272">
        <f t="shared" si="15"/>
        <v>0</v>
      </c>
      <c r="AD429" s="272">
        <v>0</v>
      </c>
      <c r="AE429" s="272">
        <f t="shared" si="16"/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customHeight="1">
      <c r="A430" s="260">
        <v>408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758</v>
      </c>
      <c r="K430" s="262"/>
      <c r="L430" s="262"/>
      <c r="M430" s="262">
        <v>786</v>
      </c>
      <c r="N430" s="262" t="s">
        <v>22</v>
      </c>
      <c r="O430" s="262" t="s">
        <v>212</v>
      </c>
      <c r="P430" s="262" t="s">
        <v>124</v>
      </c>
      <c r="Q430" s="262" t="s">
        <v>18</v>
      </c>
      <c r="R430" s="262"/>
      <c r="S430" s="267" t="s">
        <v>468</v>
      </c>
      <c r="T430" s="268"/>
      <c r="U430" s="269"/>
      <c r="V430" s="269"/>
      <c r="W430" s="278">
        <v>0</v>
      </c>
      <c r="X430" s="270"/>
      <c r="Y430" s="262"/>
      <c r="Z430" s="271" t="s">
        <v>24</v>
      </c>
      <c r="AA430" s="287"/>
      <c r="AB430" s="287"/>
      <c r="AC430" s="272">
        <f t="shared" si="15"/>
        <v>0</v>
      </c>
      <c r="AD430" s="272">
        <v>0</v>
      </c>
      <c r="AE430" s="272">
        <f t="shared" si="16"/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/>
      <c r="BD430" s="275"/>
      <c r="BE430" s="275"/>
      <c r="BF430" s="275"/>
      <c r="BH430" s="277"/>
    </row>
    <row r="431" spans="1:60" ht="16.5" customHeight="1">
      <c r="A431" s="260">
        <v>409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758</v>
      </c>
      <c r="K431" s="262"/>
      <c r="L431" s="262"/>
      <c r="M431" s="262">
        <v>786</v>
      </c>
      <c r="N431" s="262"/>
      <c r="O431" s="262"/>
      <c r="P431" s="262"/>
      <c r="Q431" s="262"/>
      <c r="R431" s="262"/>
      <c r="S431" s="267" t="s">
        <v>828</v>
      </c>
      <c r="T431" s="268"/>
      <c r="U431" s="269"/>
      <c r="V431" s="269"/>
      <c r="W431" s="278">
        <v>60000</v>
      </c>
      <c r="X431" s="270"/>
      <c r="Y431" s="262"/>
      <c r="Z431" s="271" t="s">
        <v>718</v>
      </c>
      <c r="AA431" s="287"/>
      <c r="AB431" s="287"/>
      <c r="AC431" s="272">
        <f t="shared" si="15"/>
        <v>0</v>
      </c>
      <c r="AD431" s="272">
        <v>0</v>
      </c>
      <c r="AE431" s="272">
        <f t="shared" si="16"/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/>
      <c r="BD431" s="275"/>
      <c r="BE431" s="275"/>
      <c r="BF431" s="275"/>
      <c r="BH431" s="277"/>
    </row>
    <row r="432" spans="1:60" ht="16.5" customHeight="1">
      <c r="A432" s="260">
        <v>410</v>
      </c>
      <c r="B432" s="261"/>
      <c r="C432" s="261"/>
      <c r="D432" s="262" t="s">
        <v>1049</v>
      </c>
      <c r="E432" s="262" t="s">
        <v>1050</v>
      </c>
      <c r="F432" s="263" t="s">
        <v>1051</v>
      </c>
      <c r="G432" s="264" t="s">
        <v>1052</v>
      </c>
      <c r="H432" s="281"/>
      <c r="I432" s="265"/>
      <c r="J432" s="266" t="s">
        <v>1053</v>
      </c>
      <c r="K432" s="262"/>
      <c r="L432" s="262"/>
      <c r="M432" s="262">
        <v>67154</v>
      </c>
      <c r="N432" s="262" t="s">
        <v>22</v>
      </c>
      <c r="O432" s="262" t="s">
        <v>35</v>
      </c>
      <c r="P432" s="262" t="s">
        <v>57</v>
      </c>
      <c r="Q432" s="262"/>
      <c r="R432" s="262"/>
      <c r="S432" s="267" t="s">
        <v>19</v>
      </c>
      <c r="T432" s="268"/>
      <c r="U432" s="269"/>
      <c r="V432" s="269"/>
      <c r="W432" s="278"/>
      <c r="X432" s="270"/>
      <c r="Y432" s="262"/>
      <c r="Z432" s="271" t="s">
        <v>27</v>
      </c>
      <c r="AA432" s="287"/>
      <c r="AB432" s="287"/>
      <c r="AC432" s="272">
        <f t="shared" si="15"/>
        <v>30000000</v>
      </c>
      <c r="AD432" s="272">
        <v>0</v>
      </c>
      <c r="AE432" s="272">
        <f t="shared" si="16"/>
        <v>30000000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>
        <v>5000000</v>
      </c>
      <c r="AR432" s="275"/>
      <c r="AS432" s="275">
        <v>5000000</v>
      </c>
      <c r="AT432" s="275"/>
      <c r="AU432" s="275">
        <v>5000000</v>
      </c>
      <c r="AV432" s="275"/>
      <c r="AW432" s="275">
        <v>5000000</v>
      </c>
      <c r="AX432" s="275"/>
      <c r="AY432" s="275">
        <v>5000000</v>
      </c>
      <c r="AZ432" s="275"/>
      <c r="BA432" s="275">
        <v>5000000</v>
      </c>
      <c r="BB432" s="275"/>
      <c r="BC432" s="275"/>
      <c r="BD432" s="275"/>
      <c r="BE432" s="275"/>
      <c r="BF432" s="275"/>
      <c r="BH432" s="277"/>
    </row>
    <row r="433" spans="1:60" ht="16.5" customHeight="1">
      <c r="A433" s="260">
        <v>411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383</v>
      </c>
      <c r="K433" s="262"/>
      <c r="L433" s="262"/>
      <c r="M433" s="262">
        <v>30428</v>
      </c>
      <c r="N433" s="262" t="s">
        <v>53</v>
      </c>
      <c r="O433" s="262" t="s">
        <v>35</v>
      </c>
      <c r="P433" s="262" t="s">
        <v>57</v>
      </c>
      <c r="Q433" s="262"/>
      <c r="R433" s="262" t="s">
        <v>19</v>
      </c>
      <c r="S433" s="267" t="s">
        <v>19</v>
      </c>
      <c r="T433" s="268"/>
      <c r="U433" s="269"/>
      <c r="V433" s="269">
        <v>0</v>
      </c>
      <c r="W433" s="278">
        <v>0</v>
      </c>
      <c r="X433" s="270"/>
      <c r="Y433" s="262" t="s">
        <v>25</v>
      </c>
      <c r="Z433" s="271" t="s">
        <v>25</v>
      </c>
      <c r="AA433" s="287"/>
      <c r="AB433" s="287"/>
      <c r="AC433" s="272">
        <f t="shared" si="15"/>
        <v>60000000</v>
      </c>
      <c r="AD433" s="272">
        <v>60000000</v>
      </c>
      <c r="AE433" s="272">
        <f t="shared" si="16"/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/>
      <c r="AZ433" s="275"/>
      <c r="BA433" s="275"/>
      <c r="BB433" s="275"/>
      <c r="BC433" s="275">
        <v>60000000</v>
      </c>
      <c r="BD433" s="275"/>
      <c r="BE433" s="275"/>
      <c r="BF433" s="275"/>
      <c r="BH433" s="277"/>
    </row>
    <row r="434" spans="1:60" ht="16.5" customHeight="1">
      <c r="A434" s="260">
        <v>412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383</v>
      </c>
      <c r="K434" s="262"/>
      <c r="L434" s="262"/>
      <c r="M434" s="262">
        <v>30428</v>
      </c>
      <c r="N434" s="262" t="s">
        <v>53</v>
      </c>
      <c r="O434" s="262" t="s">
        <v>56</v>
      </c>
      <c r="P434" s="262" t="s">
        <v>57</v>
      </c>
      <c r="Q434" s="262" t="s">
        <v>18</v>
      </c>
      <c r="R434" s="262" t="s">
        <v>31</v>
      </c>
      <c r="S434" s="267" t="s">
        <v>31</v>
      </c>
      <c r="T434" s="268"/>
      <c r="U434" s="269"/>
      <c r="V434" s="269"/>
      <c r="W434" s="278">
        <v>0</v>
      </c>
      <c r="X434" s="270"/>
      <c r="Y434" s="262" t="s">
        <v>27</v>
      </c>
      <c r="Z434" s="271" t="s">
        <v>24</v>
      </c>
      <c r="AA434" s="287"/>
      <c r="AB434" s="287"/>
      <c r="AC434" s="272">
        <f t="shared" si="15"/>
        <v>30000000</v>
      </c>
      <c r="AD434" s="272">
        <v>30000000</v>
      </c>
      <c r="AE434" s="272">
        <f t="shared" si="16"/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>
        <v>30000000</v>
      </c>
      <c r="BD434" s="275"/>
      <c r="BE434" s="275"/>
      <c r="BF434" s="275"/>
      <c r="BH434" s="277"/>
    </row>
    <row r="435" spans="1:60" ht="16.5" customHeight="1">
      <c r="A435" s="260">
        <v>413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383</v>
      </c>
      <c r="K435" s="262"/>
      <c r="L435" s="262"/>
      <c r="M435" s="262">
        <v>30428</v>
      </c>
      <c r="N435" s="262" t="s">
        <v>53</v>
      </c>
      <c r="O435" s="262" t="s">
        <v>56</v>
      </c>
      <c r="P435" s="262" t="s">
        <v>57</v>
      </c>
      <c r="Q435" s="262" t="s">
        <v>54</v>
      </c>
      <c r="R435" s="262" t="s">
        <v>467</v>
      </c>
      <c r="S435" s="267" t="s">
        <v>826</v>
      </c>
      <c r="T435" s="268"/>
      <c r="U435" s="269">
        <v>38000000</v>
      </c>
      <c r="V435" s="269">
        <v>38000000</v>
      </c>
      <c r="W435" s="278">
        <v>0</v>
      </c>
      <c r="X435" s="270"/>
      <c r="Y435" s="262" t="s">
        <v>24</v>
      </c>
      <c r="Z435" s="271" t="s">
        <v>562</v>
      </c>
      <c r="AA435" s="287"/>
      <c r="AB435" s="287"/>
      <c r="AC435" s="272">
        <f t="shared" si="15"/>
        <v>0</v>
      </c>
      <c r="AD435" s="272">
        <v>0</v>
      </c>
      <c r="AE435" s="272">
        <f t="shared" si="16"/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/>
      <c r="AX435" s="275"/>
      <c r="AY435" s="275"/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customHeight="1">
      <c r="A436" s="260">
        <v>414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571</v>
      </c>
      <c r="K436" s="262"/>
      <c r="L436" s="262"/>
      <c r="M436" s="262">
        <v>1210</v>
      </c>
      <c r="N436" s="262" t="s">
        <v>22</v>
      </c>
      <c r="O436" s="262" t="s">
        <v>35</v>
      </c>
      <c r="P436" s="262" t="s">
        <v>156</v>
      </c>
      <c r="Q436" s="262" t="s">
        <v>30</v>
      </c>
      <c r="R436" s="262" t="s">
        <v>31</v>
      </c>
      <c r="S436" s="267" t="s">
        <v>31</v>
      </c>
      <c r="T436" s="268"/>
      <c r="U436" s="269">
        <v>9760000</v>
      </c>
      <c r="V436" s="269">
        <v>0</v>
      </c>
      <c r="W436" s="278">
        <v>0</v>
      </c>
      <c r="X436" s="270"/>
      <c r="Y436" s="262" t="s">
        <v>24</v>
      </c>
      <c r="Z436" s="271" t="s">
        <v>24</v>
      </c>
      <c r="AA436" s="287"/>
      <c r="AB436" s="287"/>
      <c r="AC436" s="272">
        <f t="shared" si="15"/>
        <v>20000000</v>
      </c>
      <c r="AD436" s="272">
        <v>20000000</v>
      </c>
      <c r="AE436" s="272">
        <f t="shared" si="16"/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>
        <v>20000000</v>
      </c>
      <c r="AZ436" s="275"/>
      <c r="BA436" s="275"/>
      <c r="BB436" s="275"/>
      <c r="BC436" s="275"/>
      <c r="BD436" s="275"/>
      <c r="BE436" s="275"/>
      <c r="BF436" s="275"/>
      <c r="BH436" s="277"/>
    </row>
    <row r="437" spans="1:60" ht="16.5" customHeight="1">
      <c r="A437" s="260">
        <v>415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571</v>
      </c>
      <c r="K437" s="262"/>
      <c r="L437" s="262"/>
      <c r="M437" s="262">
        <v>1210</v>
      </c>
      <c r="N437" s="262"/>
      <c r="O437" s="262"/>
      <c r="P437" s="262"/>
      <c r="Q437" s="262"/>
      <c r="R437" s="262"/>
      <c r="S437" s="267" t="s">
        <v>469</v>
      </c>
      <c r="T437" s="268"/>
      <c r="U437" s="269"/>
      <c r="V437" s="269"/>
      <c r="W437" s="278">
        <v>13820000</v>
      </c>
      <c r="X437" s="270"/>
      <c r="Y437" s="262"/>
      <c r="Z437" s="271" t="s">
        <v>718</v>
      </c>
      <c r="AA437" s="287"/>
      <c r="AB437" s="287"/>
      <c r="AC437" s="272">
        <f t="shared" si="15"/>
        <v>0</v>
      </c>
      <c r="AD437" s="272">
        <v>0</v>
      </c>
      <c r="AE437" s="272">
        <f t="shared" si="16"/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/>
      <c r="AZ437" s="275"/>
      <c r="BA437" s="275"/>
      <c r="BB437" s="275"/>
      <c r="BC437" s="275"/>
      <c r="BD437" s="275"/>
      <c r="BE437" s="275"/>
      <c r="BF437" s="275"/>
      <c r="BH437" s="277"/>
    </row>
    <row r="438" spans="1:60" ht="16.5" customHeight="1">
      <c r="A438" s="260">
        <v>416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571</v>
      </c>
      <c r="K438" s="262"/>
      <c r="L438" s="262"/>
      <c r="M438" s="262">
        <v>1210</v>
      </c>
      <c r="N438" s="262" t="s">
        <v>22</v>
      </c>
      <c r="O438" s="262" t="s">
        <v>35</v>
      </c>
      <c r="P438" s="262" t="s">
        <v>156</v>
      </c>
      <c r="Q438" s="262" t="s">
        <v>23</v>
      </c>
      <c r="R438" s="262" t="s">
        <v>397</v>
      </c>
      <c r="S438" s="267" t="s">
        <v>823</v>
      </c>
      <c r="T438" s="268"/>
      <c r="U438" s="269">
        <v>24000000</v>
      </c>
      <c r="V438" s="269">
        <v>0</v>
      </c>
      <c r="W438" s="278">
        <v>0</v>
      </c>
      <c r="X438" s="270"/>
      <c r="Y438" s="262" t="s">
        <v>25</v>
      </c>
      <c r="Z438" s="271" t="s">
        <v>25</v>
      </c>
      <c r="AA438" s="287"/>
      <c r="AB438" s="287"/>
      <c r="AC438" s="272">
        <f t="shared" si="15"/>
        <v>15000000</v>
      </c>
      <c r="AD438" s="272">
        <v>15000000</v>
      </c>
      <c r="AE438" s="272">
        <f t="shared" si="16"/>
        <v>0</v>
      </c>
      <c r="AF438" s="273"/>
      <c r="AG438" s="274"/>
      <c r="AH438" s="273"/>
      <c r="AI438" s="273"/>
      <c r="AJ438" s="274"/>
      <c r="AK438" s="273"/>
      <c r="AL438" s="275"/>
      <c r="AM438" s="290"/>
      <c r="AN438" s="275"/>
      <c r="AO438" s="276"/>
      <c r="AP438" s="275"/>
      <c r="AQ438" s="275"/>
      <c r="AR438" s="275"/>
      <c r="AS438" s="275"/>
      <c r="AT438" s="275"/>
      <c r="AU438" s="275"/>
      <c r="AV438" s="275"/>
      <c r="AW438" s="275">
        <v>15000000</v>
      </c>
      <c r="AX438" s="275"/>
      <c r="AY438" s="275"/>
      <c r="AZ438" s="275"/>
      <c r="BA438" s="275"/>
      <c r="BB438" s="275"/>
      <c r="BC438" s="275"/>
      <c r="BD438" s="275"/>
      <c r="BE438" s="275"/>
      <c r="BF438" s="275"/>
      <c r="BH438" s="277"/>
    </row>
    <row r="439" spans="1:60" ht="16.5" customHeight="1">
      <c r="A439" s="260">
        <v>417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759</v>
      </c>
      <c r="K439" s="262"/>
      <c r="L439" s="262"/>
      <c r="M439" s="262">
        <v>10740</v>
      </c>
      <c r="N439" s="262" t="s">
        <v>22</v>
      </c>
      <c r="O439" s="262" t="s">
        <v>35</v>
      </c>
      <c r="P439" s="262" t="s">
        <v>57</v>
      </c>
      <c r="Q439" s="262" t="s">
        <v>30</v>
      </c>
      <c r="R439" s="262" t="s">
        <v>31</v>
      </c>
      <c r="S439" s="267" t="s">
        <v>31</v>
      </c>
      <c r="T439" s="268"/>
      <c r="U439" s="269"/>
      <c r="V439" s="269">
        <v>1880000</v>
      </c>
      <c r="W439" s="278">
        <v>0</v>
      </c>
      <c r="X439" s="270"/>
      <c r="Y439" s="262" t="s">
        <v>20</v>
      </c>
      <c r="Z439" s="271" t="s">
        <v>24</v>
      </c>
      <c r="AA439" s="287"/>
      <c r="AB439" s="287"/>
      <c r="AC439" s="272">
        <f t="shared" si="15"/>
        <v>4000000</v>
      </c>
      <c r="AD439" s="272">
        <v>4000000</v>
      </c>
      <c r="AE439" s="272">
        <f t="shared" si="16"/>
        <v>0</v>
      </c>
      <c r="AF439" s="273"/>
      <c r="AG439" s="274"/>
      <c r="AH439" s="273"/>
      <c r="AI439" s="273"/>
      <c r="AJ439" s="274"/>
      <c r="AK439" s="273"/>
      <c r="AL439" s="275"/>
      <c r="AM439" s="290"/>
      <c r="AN439" s="275"/>
      <c r="AO439" s="276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>
        <v>4000000</v>
      </c>
      <c r="BF439" s="275"/>
      <c r="BH439" s="277"/>
    </row>
    <row r="440" spans="1:60" ht="16.5" customHeight="1">
      <c r="A440" s="260">
        <v>418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384</v>
      </c>
      <c r="K440" s="262"/>
      <c r="L440" s="262"/>
      <c r="M440" s="262">
        <v>16684</v>
      </c>
      <c r="N440" s="262" t="s">
        <v>22</v>
      </c>
      <c r="O440" s="262" t="s">
        <v>35</v>
      </c>
      <c r="P440" s="262" t="s">
        <v>156</v>
      </c>
      <c r="Q440" s="262" t="s">
        <v>26</v>
      </c>
      <c r="R440" s="262" t="s">
        <v>468</v>
      </c>
      <c r="S440" s="267" t="s">
        <v>468</v>
      </c>
      <c r="T440" s="268"/>
      <c r="U440" s="269">
        <v>1400000</v>
      </c>
      <c r="V440" s="269">
        <v>0</v>
      </c>
      <c r="W440" s="278">
        <v>0</v>
      </c>
      <c r="X440" s="270"/>
      <c r="Y440" s="262" t="s">
        <v>21</v>
      </c>
      <c r="Z440" s="271" t="s">
        <v>25</v>
      </c>
      <c r="AA440" s="287"/>
      <c r="AB440" s="287"/>
      <c r="AC440" s="272">
        <f t="shared" si="15"/>
        <v>40000000</v>
      </c>
      <c r="AD440" s="272">
        <v>40000000</v>
      </c>
      <c r="AE440" s="272">
        <f t="shared" si="16"/>
        <v>0</v>
      </c>
      <c r="AF440" s="273"/>
      <c r="AG440" s="274"/>
      <c r="AH440" s="273"/>
      <c r="AI440" s="273"/>
      <c r="AJ440" s="274"/>
      <c r="AK440" s="273"/>
      <c r="AL440" s="275"/>
      <c r="AM440" s="290"/>
      <c r="AN440" s="275"/>
      <c r="AO440" s="276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>
        <v>40000000</v>
      </c>
      <c r="AZ440" s="275"/>
      <c r="BA440" s="275"/>
      <c r="BB440" s="275"/>
      <c r="BC440" s="275"/>
      <c r="BD440" s="275"/>
      <c r="BE440" s="275"/>
      <c r="BF440" s="275"/>
      <c r="BH440" s="277"/>
    </row>
    <row r="441" spans="1:60" ht="16.5" customHeight="1">
      <c r="A441" s="260">
        <v>419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63</v>
      </c>
      <c r="R441" s="262" t="s">
        <v>28</v>
      </c>
      <c r="S441" s="267" t="s">
        <v>28</v>
      </c>
      <c r="T441" s="268" t="s">
        <v>951</v>
      </c>
      <c r="U441" s="269">
        <v>32975906</v>
      </c>
      <c r="V441" s="269">
        <v>38394980</v>
      </c>
      <c r="W441" s="278">
        <v>33047300</v>
      </c>
      <c r="X441" s="270"/>
      <c r="Y441" s="262" t="s">
        <v>27</v>
      </c>
      <c r="Z441" s="271" t="s">
        <v>27</v>
      </c>
      <c r="AA441" s="287"/>
      <c r="AB441" s="287"/>
      <c r="AC441" s="272">
        <f t="shared" si="15"/>
        <v>46452080</v>
      </c>
      <c r="AD441" s="272">
        <v>49254880</v>
      </c>
      <c r="AE441" s="272">
        <f t="shared" si="16"/>
        <v>-2802800</v>
      </c>
      <c r="AF441" s="273">
        <v>1686120</v>
      </c>
      <c r="AG441" s="274">
        <v>1885080</v>
      </c>
      <c r="AH441" s="273"/>
      <c r="AI441" s="273">
        <v>985400</v>
      </c>
      <c r="AJ441" s="274">
        <v>985400</v>
      </c>
      <c r="AK441" s="273"/>
      <c r="AL441" s="275">
        <v>5884400</v>
      </c>
      <c r="AM441" s="290">
        <v>5884400</v>
      </c>
      <c r="AN441" s="275"/>
      <c r="AO441" s="276">
        <v>1697200</v>
      </c>
      <c r="AP441" s="275"/>
      <c r="AQ441" s="275">
        <v>4500000</v>
      </c>
      <c r="AR441" s="275"/>
      <c r="AS441" s="275">
        <v>4500000</v>
      </c>
      <c r="AT441" s="275"/>
      <c r="AU441" s="275">
        <v>4500000</v>
      </c>
      <c r="AV441" s="275"/>
      <c r="AW441" s="275">
        <v>4500000</v>
      </c>
      <c r="AX441" s="275"/>
      <c r="AY441" s="275">
        <v>4500000</v>
      </c>
      <c r="AZ441" s="275"/>
      <c r="BA441" s="275">
        <v>4500000</v>
      </c>
      <c r="BB441" s="275"/>
      <c r="BC441" s="275">
        <v>4500000</v>
      </c>
      <c r="BD441" s="275"/>
      <c r="BE441" s="275">
        <v>4500000</v>
      </c>
      <c r="BF441" s="275"/>
      <c r="BH441" s="277"/>
    </row>
    <row r="442" spans="1:60" ht="16.5" customHeight="1">
      <c r="A442" s="260">
        <v>420</v>
      </c>
      <c r="B442" s="261"/>
      <c r="C442" s="261"/>
      <c r="D442" s="262" t="s">
        <v>15</v>
      </c>
      <c r="E442" s="262" t="s">
        <v>364</v>
      </c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 t="s">
        <v>22</v>
      </c>
      <c r="O442" s="262" t="s">
        <v>212</v>
      </c>
      <c r="P442" s="262" t="s">
        <v>57</v>
      </c>
      <c r="Q442" s="262" t="s">
        <v>30</v>
      </c>
      <c r="R442" s="262" t="s">
        <v>31</v>
      </c>
      <c r="S442" s="267" t="s">
        <v>31</v>
      </c>
      <c r="T442" s="268"/>
      <c r="U442" s="269">
        <v>10000000</v>
      </c>
      <c r="V442" s="269">
        <v>10000000</v>
      </c>
      <c r="W442" s="278">
        <v>10000000</v>
      </c>
      <c r="X442" s="270"/>
      <c r="Y442" s="262" t="s">
        <v>27</v>
      </c>
      <c r="Z442" s="271" t="s">
        <v>27</v>
      </c>
      <c r="AA442" s="287"/>
      <c r="AB442" s="287"/>
      <c r="AC442" s="272">
        <f t="shared" si="15"/>
        <v>10000000</v>
      </c>
      <c r="AD442" s="272">
        <v>10000000</v>
      </c>
      <c r="AE442" s="272">
        <f t="shared" si="16"/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>
        <v>10000000</v>
      </c>
      <c r="BF442" s="275"/>
      <c r="BH442" s="277"/>
    </row>
    <row r="443" spans="1:60" ht="16.5" customHeight="1">
      <c r="A443" s="260">
        <v>421</v>
      </c>
      <c r="B443" s="261"/>
      <c r="C443" s="261"/>
      <c r="D443" s="262" t="s">
        <v>15</v>
      </c>
      <c r="E443" s="262" t="s">
        <v>364</v>
      </c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 t="s">
        <v>22</v>
      </c>
      <c r="O443" s="262" t="s">
        <v>212</v>
      </c>
      <c r="P443" s="262" t="s">
        <v>57</v>
      </c>
      <c r="Q443" s="262" t="s">
        <v>46</v>
      </c>
      <c r="R443" s="262" t="s">
        <v>47</v>
      </c>
      <c r="S443" s="267" t="s">
        <v>47</v>
      </c>
      <c r="T443" s="268"/>
      <c r="U443" s="269">
        <v>10000000</v>
      </c>
      <c r="V443" s="269">
        <v>13000000</v>
      </c>
      <c r="W443" s="278">
        <v>10000000</v>
      </c>
      <c r="X443" s="270"/>
      <c r="Y443" s="262" t="s">
        <v>27</v>
      </c>
      <c r="Z443" s="271" t="s">
        <v>27</v>
      </c>
      <c r="AA443" s="287"/>
      <c r="AB443" s="287"/>
      <c r="AC443" s="272">
        <f t="shared" si="15"/>
        <v>10000000</v>
      </c>
      <c r="AD443" s="272">
        <v>10000000</v>
      </c>
      <c r="AE443" s="272">
        <f t="shared" si="16"/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/>
      <c r="AZ443" s="275"/>
      <c r="BA443" s="275"/>
      <c r="BB443" s="275"/>
      <c r="BC443" s="275"/>
      <c r="BD443" s="275"/>
      <c r="BE443" s="275">
        <v>10000000</v>
      </c>
      <c r="BF443" s="275"/>
      <c r="BH443" s="277"/>
    </row>
    <row r="444" spans="1:60" ht="16.5" customHeight="1">
      <c r="A444" s="260">
        <v>422</v>
      </c>
      <c r="B444" s="261"/>
      <c r="C444" s="261"/>
      <c r="D444" s="262" t="s">
        <v>15</v>
      </c>
      <c r="E444" s="262" t="s">
        <v>364</v>
      </c>
      <c r="F444" s="263" t="s">
        <v>15</v>
      </c>
      <c r="G444" s="264" t="s">
        <v>364</v>
      </c>
      <c r="H444" s="281"/>
      <c r="I444" s="265"/>
      <c r="J444" s="266" t="s">
        <v>385</v>
      </c>
      <c r="K444" s="262"/>
      <c r="L444" s="262"/>
      <c r="M444" s="262">
        <v>5024</v>
      </c>
      <c r="N444" s="262" t="s">
        <v>22</v>
      </c>
      <c r="O444" s="262" t="s">
        <v>212</v>
      </c>
      <c r="P444" s="262" t="s">
        <v>57</v>
      </c>
      <c r="Q444" s="262" t="s">
        <v>46</v>
      </c>
      <c r="R444" s="262" t="s">
        <v>47</v>
      </c>
      <c r="S444" s="267" t="s">
        <v>47</v>
      </c>
      <c r="T444" s="268"/>
      <c r="U444" s="269"/>
      <c r="V444" s="269">
        <v>0</v>
      </c>
      <c r="W444" s="278">
        <v>0</v>
      </c>
      <c r="X444" s="270"/>
      <c r="Y444" s="262" t="s">
        <v>25</v>
      </c>
      <c r="Z444" s="271" t="s">
        <v>25</v>
      </c>
      <c r="AA444" s="287"/>
      <c r="AB444" s="287"/>
      <c r="AC444" s="272">
        <f t="shared" si="15"/>
        <v>15000000</v>
      </c>
      <c r="AD444" s="272">
        <v>15000000</v>
      </c>
      <c r="AE444" s="272">
        <f t="shared" si="16"/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>
        <v>15000000</v>
      </c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customHeight="1">
      <c r="A445" s="260">
        <v>423</v>
      </c>
      <c r="B445" s="261"/>
      <c r="C445" s="261"/>
      <c r="D445" s="262"/>
      <c r="E445" s="262"/>
      <c r="F445" s="263" t="s">
        <v>15</v>
      </c>
      <c r="G445" s="264" t="s">
        <v>364</v>
      </c>
      <c r="H445" s="281"/>
      <c r="I445" s="265"/>
      <c r="J445" s="266" t="s">
        <v>385</v>
      </c>
      <c r="K445" s="262"/>
      <c r="L445" s="262"/>
      <c r="M445" s="262">
        <v>5024</v>
      </c>
      <c r="N445" s="262"/>
      <c r="O445" s="262"/>
      <c r="P445" s="262"/>
      <c r="Q445" s="262"/>
      <c r="R445" s="262"/>
      <c r="S445" s="267" t="s">
        <v>831</v>
      </c>
      <c r="T445" s="268"/>
      <c r="U445" s="269"/>
      <c r="V445" s="269"/>
      <c r="W445" s="278">
        <v>22746194</v>
      </c>
      <c r="X445" s="270"/>
      <c r="Y445" s="262"/>
      <c r="Z445" s="271" t="s">
        <v>718</v>
      </c>
      <c r="AA445" s="287"/>
      <c r="AB445" s="287"/>
      <c r="AC445" s="272">
        <f t="shared" si="15"/>
        <v>0</v>
      </c>
      <c r="AD445" s="272">
        <v>0</v>
      </c>
      <c r="AE445" s="272">
        <f t="shared" si="16"/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/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customHeight="1">
      <c r="A446" s="260">
        <v>424</v>
      </c>
      <c r="B446" s="261"/>
      <c r="C446" s="261"/>
      <c r="D446" s="262" t="s">
        <v>15</v>
      </c>
      <c r="E446" s="262" t="s">
        <v>364</v>
      </c>
      <c r="F446" s="263" t="s">
        <v>15</v>
      </c>
      <c r="G446" s="264" t="s">
        <v>364</v>
      </c>
      <c r="H446" s="281"/>
      <c r="I446" s="265"/>
      <c r="J446" s="266" t="s">
        <v>385</v>
      </c>
      <c r="K446" s="262"/>
      <c r="L446" s="262"/>
      <c r="M446" s="262">
        <v>5024</v>
      </c>
      <c r="N446" s="262" t="s">
        <v>22</v>
      </c>
      <c r="O446" s="262" t="s">
        <v>35</v>
      </c>
      <c r="P446" s="262" t="s">
        <v>57</v>
      </c>
      <c r="Q446" s="262"/>
      <c r="R446" s="262"/>
      <c r="S446" s="267" t="s">
        <v>830</v>
      </c>
      <c r="T446" s="268"/>
      <c r="U446" s="269"/>
      <c r="V446" s="269"/>
      <c r="W446" s="278">
        <v>0</v>
      </c>
      <c r="X446" s="270"/>
      <c r="Y446" s="262"/>
      <c r="Z446" s="271" t="s">
        <v>25</v>
      </c>
      <c r="AA446" s="287"/>
      <c r="AB446" s="287"/>
      <c r="AC446" s="272">
        <f t="shared" si="15"/>
        <v>10000000</v>
      </c>
      <c r="AD446" s="272">
        <v>10000000</v>
      </c>
      <c r="AE446" s="272">
        <f t="shared" si="16"/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>
        <v>10000000</v>
      </c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customHeight="1">
      <c r="A447" s="260">
        <v>425</v>
      </c>
      <c r="B447" s="261"/>
      <c r="C447" s="261"/>
      <c r="D447" s="262"/>
      <c r="E447" s="262"/>
      <c r="F447" s="263" t="s">
        <v>15</v>
      </c>
      <c r="G447" s="264" t="s">
        <v>364</v>
      </c>
      <c r="H447" s="281"/>
      <c r="I447" s="265"/>
      <c r="J447" s="266" t="s">
        <v>921</v>
      </c>
      <c r="K447" s="262"/>
      <c r="L447" s="262"/>
      <c r="M447" s="262">
        <v>60969</v>
      </c>
      <c r="N447" s="262"/>
      <c r="O447" s="262"/>
      <c r="P447" s="262"/>
      <c r="Q447" s="262"/>
      <c r="R447" s="262"/>
      <c r="S447" s="267" t="s">
        <v>19</v>
      </c>
      <c r="T447" s="268"/>
      <c r="U447" s="269"/>
      <c r="V447" s="269"/>
      <c r="W447" s="278">
        <v>555000</v>
      </c>
      <c r="X447" s="270"/>
      <c r="Y447" s="262"/>
      <c r="Z447" s="271" t="s">
        <v>718</v>
      </c>
      <c r="AA447" s="287"/>
      <c r="AB447" s="287"/>
      <c r="AC447" s="272">
        <f t="shared" si="15"/>
        <v>0</v>
      </c>
      <c r="AD447" s="272">
        <v>0</v>
      </c>
      <c r="AE447" s="272">
        <f t="shared" si="16"/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customHeight="1">
      <c r="A448" s="260">
        <v>426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218</v>
      </c>
      <c r="K448" s="262"/>
      <c r="L448" s="262"/>
      <c r="M448" s="262">
        <v>3835</v>
      </c>
      <c r="N448" s="262" t="s">
        <v>32</v>
      </c>
      <c r="O448" s="262" t="s">
        <v>56</v>
      </c>
      <c r="P448" s="262" t="s">
        <v>57</v>
      </c>
      <c r="Q448" s="262"/>
      <c r="R448" s="262" t="s">
        <v>28</v>
      </c>
      <c r="S448" s="267" t="s">
        <v>28</v>
      </c>
      <c r="T448" s="268"/>
      <c r="U448" s="269"/>
      <c r="V448" s="269"/>
      <c r="W448" s="278">
        <v>0</v>
      </c>
      <c r="X448" s="270"/>
      <c r="Y448" s="262" t="s">
        <v>27</v>
      </c>
      <c r="Z448" s="271" t="s">
        <v>27</v>
      </c>
      <c r="AA448" s="287"/>
      <c r="AB448" s="287"/>
      <c r="AC448" s="272">
        <f t="shared" si="15"/>
        <v>60000000</v>
      </c>
      <c r="AD448" s="272">
        <v>60000000</v>
      </c>
      <c r="AE448" s="272">
        <f t="shared" si="16"/>
        <v>0</v>
      </c>
      <c r="AF448" s="273"/>
      <c r="AG448" s="274"/>
      <c r="AH448" s="273"/>
      <c r="AI448" s="273"/>
      <c r="AJ448" s="274"/>
      <c r="AK448" s="273"/>
      <c r="AL448" s="275"/>
      <c r="AM448" s="290"/>
      <c r="AN448" s="275"/>
      <c r="AO448" s="276"/>
      <c r="AP448" s="275"/>
      <c r="AQ448" s="275">
        <v>60000000</v>
      </c>
      <c r="AR448" s="275"/>
      <c r="AS448" s="275"/>
      <c r="AT448" s="275"/>
      <c r="AU448" s="275"/>
      <c r="AV448" s="275"/>
      <c r="AW448" s="275"/>
      <c r="AX448" s="275"/>
      <c r="AY448" s="275"/>
      <c r="AZ448" s="275"/>
      <c r="BA448" s="275"/>
      <c r="BB448" s="275"/>
      <c r="BC448" s="275"/>
      <c r="BD448" s="275"/>
      <c r="BE448" s="275"/>
      <c r="BF448" s="275"/>
      <c r="BH448" s="277"/>
    </row>
    <row r="449" spans="1:60" ht="16.5" customHeight="1">
      <c r="A449" s="260">
        <v>427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218</v>
      </c>
      <c r="K449" s="262"/>
      <c r="L449" s="262"/>
      <c r="M449" s="262">
        <v>3835</v>
      </c>
      <c r="N449" s="262" t="s">
        <v>32</v>
      </c>
      <c r="O449" s="262" t="s">
        <v>56</v>
      </c>
      <c r="P449" s="262" t="s">
        <v>57</v>
      </c>
      <c r="Q449" s="262" t="s">
        <v>26</v>
      </c>
      <c r="R449" s="262" t="s">
        <v>468</v>
      </c>
      <c r="S449" s="267" t="s">
        <v>468</v>
      </c>
      <c r="T449" s="268"/>
      <c r="U449" s="269">
        <v>17636364</v>
      </c>
      <c r="V449" s="269">
        <v>0</v>
      </c>
      <c r="W449" s="278">
        <v>0</v>
      </c>
      <c r="X449" s="270"/>
      <c r="Y449" s="262" t="s">
        <v>27</v>
      </c>
      <c r="Z449" s="271" t="s">
        <v>562</v>
      </c>
      <c r="AA449" s="287"/>
      <c r="AB449" s="287"/>
      <c r="AC449" s="272">
        <f t="shared" si="15"/>
        <v>0</v>
      </c>
      <c r="AD449" s="272">
        <v>0</v>
      </c>
      <c r="AE449" s="272">
        <f t="shared" si="16"/>
        <v>0</v>
      </c>
      <c r="AF449" s="273"/>
      <c r="AG449" s="274"/>
      <c r="AH449" s="273"/>
      <c r="AI449" s="273"/>
      <c r="AJ449" s="274"/>
      <c r="AK449" s="273"/>
      <c r="AL449" s="275"/>
      <c r="AM449" s="290"/>
      <c r="AN449" s="275"/>
      <c r="AO449" s="276"/>
      <c r="AP449" s="275"/>
      <c r="AQ449" s="275"/>
      <c r="AR449" s="275"/>
      <c r="AS449" s="275"/>
      <c r="AT449" s="275"/>
      <c r="AU449" s="275"/>
      <c r="AV449" s="275"/>
      <c r="AW449" s="275"/>
      <c r="AX449" s="275"/>
      <c r="AY449" s="275"/>
      <c r="AZ449" s="275"/>
      <c r="BA449" s="275"/>
      <c r="BB449" s="275"/>
      <c r="BC449" s="275"/>
      <c r="BD449" s="275"/>
      <c r="BE449" s="275"/>
      <c r="BF449" s="275"/>
      <c r="BH449" s="277"/>
    </row>
    <row r="450" spans="1:60" ht="16.5" customHeight="1">
      <c r="A450" s="260">
        <v>428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760</v>
      </c>
      <c r="K450" s="262"/>
      <c r="L450" s="262"/>
      <c r="M450" s="262">
        <v>3835</v>
      </c>
      <c r="N450" s="262" t="s">
        <v>32</v>
      </c>
      <c r="O450" s="262" t="s">
        <v>56</v>
      </c>
      <c r="P450" s="262" t="s">
        <v>57</v>
      </c>
      <c r="Q450" s="262" t="s">
        <v>63</v>
      </c>
      <c r="R450" s="262" t="s">
        <v>28</v>
      </c>
      <c r="S450" s="267" t="s">
        <v>28</v>
      </c>
      <c r="T450" s="268"/>
      <c r="U450" s="269">
        <v>123636364</v>
      </c>
      <c r="V450" s="269">
        <v>0</v>
      </c>
      <c r="W450" s="278">
        <v>81363637</v>
      </c>
      <c r="X450" s="270"/>
      <c r="Y450" s="262" t="s">
        <v>27</v>
      </c>
      <c r="Z450" s="271" t="s">
        <v>718</v>
      </c>
      <c r="AA450" s="287"/>
      <c r="AB450" s="287"/>
      <c r="AC450" s="272">
        <f t="shared" si="15"/>
        <v>0</v>
      </c>
      <c r="AD450" s="272">
        <v>0</v>
      </c>
      <c r="AE450" s="272">
        <f t="shared" si="16"/>
        <v>0</v>
      </c>
      <c r="AF450" s="273"/>
      <c r="AG450" s="274"/>
      <c r="AH450" s="273"/>
      <c r="AI450" s="273"/>
      <c r="AJ450" s="274"/>
      <c r="AK450" s="273"/>
      <c r="AL450" s="275"/>
      <c r="AM450" s="290"/>
      <c r="AN450" s="275"/>
      <c r="AO450" s="276"/>
      <c r="AP450" s="275"/>
      <c r="AQ450" s="275"/>
      <c r="AR450" s="275"/>
      <c r="AS450" s="275"/>
      <c r="AT450" s="275"/>
      <c r="AU450" s="275"/>
      <c r="AV450" s="275"/>
      <c r="AW450" s="275"/>
      <c r="AX450" s="275"/>
      <c r="AY450" s="275"/>
      <c r="AZ450" s="275"/>
      <c r="BA450" s="275"/>
      <c r="BB450" s="275"/>
      <c r="BC450" s="275"/>
      <c r="BD450" s="275"/>
      <c r="BE450" s="275"/>
      <c r="BF450" s="275"/>
      <c r="BH450" s="277"/>
    </row>
    <row r="451" spans="1:60" ht="16.5" customHeight="1">
      <c r="A451" s="260">
        <v>429</v>
      </c>
      <c r="B451" s="261"/>
      <c r="C451" s="261"/>
      <c r="D451" s="262" t="s">
        <v>15</v>
      </c>
      <c r="E451" s="262" t="s">
        <v>364</v>
      </c>
      <c r="F451" s="263" t="s">
        <v>15</v>
      </c>
      <c r="G451" s="264" t="s">
        <v>364</v>
      </c>
      <c r="H451" s="281"/>
      <c r="I451" s="265"/>
      <c r="J451" s="266" t="s">
        <v>563</v>
      </c>
      <c r="K451" s="262"/>
      <c r="L451" s="262"/>
      <c r="M451" s="262">
        <v>12169</v>
      </c>
      <c r="N451" s="262" t="s">
        <v>32</v>
      </c>
      <c r="O451" s="262" t="s">
        <v>56</v>
      </c>
      <c r="P451" s="262" t="s">
        <v>57</v>
      </c>
      <c r="Q451" s="262"/>
      <c r="R451" s="262" t="s">
        <v>19</v>
      </c>
      <c r="S451" s="267" t="s">
        <v>19</v>
      </c>
      <c r="T451" s="268"/>
      <c r="U451" s="269"/>
      <c r="V451" s="269">
        <v>0</v>
      </c>
      <c r="W451" s="278">
        <v>925000</v>
      </c>
      <c r="X451" s="270"/>
      <c r="Y451" s="262" t="s">
        <v>27</v>
      </c>
      <c r="Z451" s="271" t="s">
        <v>27</v>
      </c>
      <c r="AA451" s="287"/>
      <c r="AB451" s="287"/>
      <c r="AC451" s="272">
        <f t="shared" si="15"/>
        <v>19405500</v>
      </c>
      <c r="AD451" s="272">
        <v>19405500</v>
      </c>
      <c r="AE451" s="272">
        <f t="shared" si="16"/>
        <v>0</v>
      </c>
      <c r="AF451" s="273"/>
      <c r="AG451" s="274"/>
      <c r="AH451" s="273"/>
      <c r="AI451" s="273">
        <v>1085000</v>
      </c>
      <c r="AJ451" s="274">
        <v>1085000</v>
      </c>
      <c r="AK451" s="273"/>
      <c r="AL451" s="275">
        <v>320500</v>
      </c>
      <c r="AM451" s="290">
        <v>320500</v>
      </c>
      <c r="AN451" s="275"/>
      <c r="AO451" s="276">
        <v>2000000</v>
      </c>
      <c r="AP451" s="275"/>
      <c r="AQ451" s="275">
        <v>2000000</v>
      </c>
      <c r="AR451" s="275"/>
      <c r="AS451" s="275">
        <v>2000000</v>
      </c>
      <c r="AT451" s="275"/>
      <c r="AU451" s="275">
        <v>2000000</v>
      </c>
      <c r="AV451" s="275"/>
      <c r="AW451" s="275">
        <v>2000000</v>
      </c>
      <c r="AX451" s="275"/>
      <c r="AY451" s="275">
        <v>2000000</v>
      </c>
      <c r="AZ451" s="275"/>
      <c r="BA451" s="275">
        <v>2000000</v>
      </c>
      <c r="BB451" s="275"/>
      <c r="BC451" s="275">
        <v>2000000</v>
      </c>
      <c r="BD451" s="275"/>
      <c r="BE451" s="275">
        <v>2000000</v>
      </c>
      <c r="BF451" s="275"/>
      <c r="BH451" s="277"/>
    </row>
    <row r="452" spans="1:60" ht="16.5" customHeight="1">
      <c r="A452" s="260">
        <v>430</v>
      </c>
      <c r="B452" s="261"/>
      <c r="C452" s="261"/>
      <c r="D452" s="262" t="s">
        <v>15</v>
      </c>
      <c r="E452" s="262" t="s">
        <v>364</v>
      </c>
      <c r="F452" s="263" t="s">
        <v>15</v>
      </c>
      <c r="G452" s="264" t="s">
        <v>364</v>
      </c>
      <c r="H452" s="281"/>
      <c r="I452" s="265"/>
      <c r="J452" s="266" t="s">
        <v>670</v>
      </c>
      <c r="K452" s="262"/>
      <c r="L452" s="262"/>
      <c r="M452" s="262">
        <v>10239</v>
      </c>
      <c r="N452" s="262" t="s">
        <v>32</v>
      </c>
      <c r="O452" s="262" t="s">
        <v>35</v>
      </c>
      <c r="P452" s="262" t="s">
        <v>57</v>
      </c>
      <c r="Q452" s="262"/>
      <c r="R452" s="262" t="s">
        <v>19</v>
      </c>
      <c r="S452" s="267" t="s">
        <v>19</v>
      </c>
      <c r="T452" s="268"/>
      <c r="U452" s="269"/>
      <c r="V452" s="269"/>
      <c r="W452" s="278">
        <v>9856400</v>
      </c>
      <c r="X452" s="270"/>
      <c r="Y452" s="262" t="s">
        <v>27</v>
      </c>
      <c r="Z452" s="271" t="s">
        <v>24</v>
      </c>
      <c r="AA452" s="287"/>
      <c r="AB452" s="287"/>
      <c r="AC452" s="272">
        <f t="shared" si="15"/>
        <v>6000000</v>
      </c>
      <c r="AD452" s="272">
        <v>6000000</v>
      </c>
      <c r="AE452" s="272">
        <f t="shared" si="16"/>
        <v>0</v>
      </c>
      <c r="AF452" s="273"/>
      <c r="AG452" s="274"/>
      <c r="AH452" s="273"/>
      <c r="AI452" s="273"/>
      <c r="AJ452" s="274"/>
      <c r="AK452" s="273"/>
      <c r="AL452" s="275"/>
      <c r="AM452" s="290"/>
      <c r="AN452" s="275"/>
      <c r="AO452" s="276"/>
      <c r="AP452" s="275"/>
      <c r="AQ452" s="275"/>
      <c r="AR452" s="275"/>
      <c r="AS452" s="275">
        <v>3000000</v>
      </c>
      <c r="AT452" s="275"/>
      <c r="AU452" s="275"/>
      <c r="AV452" s="275"/>
      <c r="AW452" s="275"/>
      <c r="AX452" s="275"/>
      <c r="AY452" s="275">
        <v>3000000</v>
      </c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customHeight="1">
      <c r="A453" s="260">
        <v>431</v>
      </c>
      <c r="B453" s="261"/>
      <c r="C453" s="261"/>
      <c r="D453" s="262" t="s">
        <v>15</v>
      </c>
      <c r="E453" s="262" t="s">
        <v>364</v>
      </c>
      <c r="F453" s="263" t="s">
        <v>15</v>
      </c>
      <c r="G453" s="264" t="s">
        <v>364</v>
      </c>
      <c r="H453" s="281"/>
      <c r="I453" s="265"/>
      <c r="J453" s="266" t="s">
        <v>386</v>
      </c>
      <c r="K453" s="262"/>
      <c r="L453" s="262"/>
      <c r="M453" s="262">
        <v>16603</v>
      </c>
      <c r="N453" s="262" t="s">
        <v>32</v>
      </c>
      <c r="O453" s="262" t="s">
        <v>212</v>
      </c>
      <c r="P453" s="262" t="s">
        <v>57</v>
      </c>
      <c r="Q453" s="262" t="s">
        <v>18</v>
      </c>
      <c r="R453" s="262" t="s">
        <v>19</v>
      </c>
      <c r="S453" s="267" t="s">
        <v>19</v>
      </c>
      <c r="T453" s="268"/>
      <c r="U453" s="269" t="s">
        <v>154</v>
      </c>
      <c r="V453" s="269">
        <v>35836440</v>
      </c>
      <c r="W453" s="278">
        <v>20952300</v>
      </c>
      <c r="X453" s="270"/>
      <c r="Y453" s="262" t="s">
        <v>27</v>
      </c>
      <c r="Z453" s="271" t="s">
        <v>27</v>
      </c>
      <c r="AA453" s="287"/>
      <c r="AB453" s="287"/>
      <c r="AC453" s="272">
        <f t="shared" si="15"/>
        <v>2300000</v>
      </c>
      <c r="AD453" s="272">
        <v>2300000</v>
      </c>
      <c r="AE453" s="272">
        <f t="shared" si="16"/>
        <v>0</v>
      </c>
      <c r="AF453" s="273"/>
      <c r="AG453" s="274"/>
      <c r="AH453" s="273"/>
      <c r="AI453" s="273"/>
      <c r="AJ453" s="274"/>
      <c r="AK453" s="273"/>
      <c r="AL453" s="275">
        <v>0</v>
      </c>
      <c r="AM453" s="290"/>
      <c r="AN453" s="275"/>
      <c r="AO453" s="276"/>
      <c r="AP453" s="275"/>
      <c r="AQ453" s="275">
        <v>2300000</v>
      </c>
      <c r="AR453" s="275"/>
      <c r="AS453" s="275"/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/>
      <c r="BD453" s="275"/>
      <c r="BE453" s="275"/>
      <c r="BF453" s="275"/>
      <c r="BH453" s="277"/>
    </row>
    <row r="454" spans="1:60" ht="16.5" customHeight="1">
      <c r="A454" s="260">
        <v>432</v>
      </c>
      <c r="B454" s="261"/>
      <c r="C454" s="261"/>
      <c r="D454" s="262"/>
      <c r="E454" s="262"/>
      <c r="F454" s="263" t="s">
        <v>15</v>
      </c>
      <c r="G454" s="264" t="s">
        <v>364</v>
      </c>
      <c r="H454" s="281"/>
      <c r="I454" s="265"/>
      <c r="J454" s="266" t="s">
        <v>917</v>
      </c>
      <c r="K454" s="262"/>
      <c r="L454" s="262"/>
      <c r="M454" s="262">
        <v>54158</v>
      </c>
      <c r="N454" s="262"/>
      <c r="O454" s="262"/>
      <c r="P454" s="262"/>
      <c r="Q454" s="262"/>
      <c r="R454" s="262"/>
      <c r="S454" s="267" t="s">
        <v>468</v>
      </c>
      <c r="T454" s="268"/>
      <c r="U454" s="269"/>
      <c r="V454" s="269"/>
      <c r="W454" s="278">
        <v>97670</v>
      </c>
      <c r="X454" s="270"/>
      <c r="Y454" s="262"/>
      <c r="Z454" s="271" t="s">
        <v>718</v>
      </c>
      <c r="AA454" s="287"/>
      <c r="AB454" s="287"/>
      <c r="AC454" s="272">
        <f t="shared" si="15"/>
        <v>0</v>
      </c>
      <c r="AD454" s="272">
        <v>0</v>
      </c>
      <c r="AE454" s="272">
        <f t="shared" si="16"/>
        <v>0</v>
      </c>
      <c r="AF454" s="273"/>
      <c r="AG454" s="274"/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/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/>
      <c r="BD454" s="275"/>
      <c r="BE454" s="275"/>
      <c r="BF454" s="275"/>
      <c r="BH454" s="277"/>
    </row>
    <row r="455" spans="1:60" ht="16.5" customHeight="1">
      <c r="A455" s="260">
        <v>433</v>
      </c>
      <c r="B455" s="261"/>
      <c r="C455" s="261"/>
      <c r="D455" s="262"/>
      <c r="E455" s="262"/>
      <c r="F455" s="263" t="s">
        <v>15</v>
      </c>
      <c r="G455" s="264" t="s">
        <v>364</v>
      </c>
      <c r="H455" s="281"/>
      <c r="I455" s="265"/>
      <c r="J455" s="266" t="s">
        <v>922</v>
      </c>
      <c r="K455" s="262"/>
      <c r="L455" s="262"/>
      <c r="M455" s="262">
        <v>62138</v>
      </c>
      <c r="N455" s="262"/>
      <c r="O455" s="262"/>
      <c r="P455" s="262"/>
      <c r="Q455" s="262"/>
      <c r="R455" s="262"/>
      <c r="S455" s="267" t="s">
        <v>19</v>
      </c>
      <c r="T455" s="268"/>
      <c r="U455" s="269"/>
      <c r="V455" s="269"/>
      <c r="W455" s="278">
        <v>615000</v>
      </c>
      <c r="X455" s="270"/>
      <c r="Y455" s="262"/>
      <c r="Z455" s="271" t="s">
        <v>718</v>
      </c>
      <c r="AA455" s="287"/>
      <c r="AB455" s="287"/>
      <c r="AC455" s="272">
        <f t="shared" si="15"/>
        <v>0</v>
      </c>
      <c r="AD455" s="272">
        <v>0</v>
      </c>
      <c r="AE455" s="272">
        <f t="shared" si="16"/>
        <v>0</v>
      </c>
      <c r="AF455" s="273"/>
      <c r="AG455" s="274"/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/>
      <c r="AT455" s="275"/>
      <c r="AU455" s="275"/>
      <c r="AV455" s="275"/>
      <c r="AW455" s="275"/>
      <c r="AX455" s="275"/>
      <c r="AY455" s="275"/>
      <c r="AZ455" s="275"/>
      <c r="BA455" s="275"/>
      <c r="BB455" s="275"/>
      <c r="BC455" s="275"/>
      <c r="BD455" s="275"/>
      <c r="BE455" s="275"/>
      <c r="BF455" s="275"/>
      <c r="BH455" s="277"/>
    </row>
    <row r="456" spans="1:60" ht="16.5" customHeight="1">
      <c r="A456" s="260">
        <v>434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631</v>
      </c>
      <c r="K456" s="262"/>
      <c r="L456" s="262"/>
      <c r="M456" s="262">
        <v>62261</v>
      </c>
      <c r="N456" s="262" t="s">
        <v>22</v>
      </c>
      <c r="O456" s="262" t="s">
        <v>35</v>
      </c>
      <c r="P456" s="262" t="s">
        <v>57</v>
      </c>
      <c r="Q456" s="262" t="s">
        <v>30</v>
      </c>
      <c r="R456" s="262" t="s">
        <v>31</v>
      </c>
      <c r="S456" s="267" t="s">
        <v>31</v>
      </c>
      <c r="T456" s="268"/>
      <c r="U456" s="269"/>
      <c r="V456" s="269">
        <v>2675000</v>
      </c>
      <c r="W456" s="278">
        <v>3020000</v>
      </c>
      <c r="X456" s="270"/>
      <c r="Y456" s="262" t="s">
        <v>20</v>
      </c>
      <c r="Z456" s="271" t="s">
        <v>24</v>
      </c>
      <c r="AA456" s="287"/>
      <c r="AB456" s="287"/>
      <c r="AC456" s="272">
        <f t="shared" si="15"/>
        <v>10000000</v>
      </c>
      <c r="AD456" s="272">
        <v>10000000</v>
      </c>
      <c r="AE456" s="272">
        <f t="shared" si="16"/>
        <v>0</v>
      </c>
      <c r="AF456" s="273"/>
      <c r="AG456" s="274"/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>
        <v>5000000</v>
      </c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>
        <v>5000000</v>
      </c>
      <c r="BD456" s="275"/>
      <c r="BE456" s="275"/>
      <c r="BF456" s="275"/>
      <c r="BH456" s="277"/>
    </row>
    <row r="457" spans="1:60" ht="16.5" customHeight="1">
      <c r="A457" s="260">
        <v>435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387</v>
      </c>
      <c r="K457" s="262"/>
      <c r="L457" s="262"/>
      <c r="M457" s="262">
        <v>4325</v>
      </c>
      <c r="N457" s="262" t="s">
        <v>22</v>
      </c>
      <c r="O457" s="262" t="s">
        <v>56</v>
      </c>
      <c r="P457" s="262" t="s">
        <v>57</v>
      </c>
      <c r="Q457" s="262" t="s">
        <v>18</v>
      </c>
      <c r="R457" s="262" t="s">
        <v>19</v>
      </c>
      <c r="S457" s="267" t="s">
        <v>19</v>
      </c>
      <c r="T457" s="268"/>
      <c r="U457" s="269"/>
      <c r="V457" s="269"/>
      <c r="W457" s="278">
        <v>9700000</v>
      </c>
      <c r="X457" s="270"/>
      <c r="Y457" s="262"/>
      <c r="Z457" s="271" t="s">
        <v>27</v>
      </c>
      <c r="AA457" s="287"/>
      <c r="AB457" s="287"/>
      <c r="AC457" s="272">
        <f t="shared" si="15"/>
        <v>15008000</v>
      </c>
      <c r="AD457" s="272">
        <v>15008000</v>
      </c>
      <c r="AE457" s="272">
        <f t="shared" si="16"/>
        <v>0</v>
      </c>
      <c r="AF457" s="273"/>
      <c r="AG457" s="274">
        <v>8000</v>
      </c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>
        <v>7500000</v>
      </c>
      <c r="AT457" s="275"/>
      <c r="AU457" s="275"/>
      <c r="AV457" s="275"/>
      <c r="AW457" s="275"/>
      <c r="AX457" s="275"/>
      <c r="AY457" s="275"/>
      <c r="AZ457" s="275"/>
      <c r="BA457" s="275"/>
      <c r="BB457" s="275"/>
      <c r="BC457" s="275">
        <v>7500000</v>
      </c>
      <c r="BD457" s="275"/>
      <c r="BE457" s="275"/>
      <c r="BF457" s="275"/>
      <c r="BH457" s="277"/>
    </row>
    <row r="458" spans="1:60" ht="16.5" customHeight="1">
      <c r="A458" s="260">
        <v>436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387</v>
      </c>
      <c r="K458" s="262"/>
      <c r="L458" s="262"/>
      <c r="M458" s="262">
        <v>4325</v>
      </c>
      <c r="N458" s="262" t="s">
        <v>22</v>
      </c>
      <c r="O458" s="262" t="s">
        <v>56</v>
      </c>
      <c r="P458" s="262" t="s">
        <v>57</v>
      </c>
      <c r="Q458" s="262" t="s">
        <v>30</v>
      </c>
      <c r="R458" s="262" t="s">
        <v>31</v>
      </c>
      <c r="S458" s="267" t="s">
        <v>31</v>
      </c>
      <c r="T458" s="268"/>
      <c r="U458" s="269">
        <v>10070000</v>
      </c>
      <c r="V458" s="269">
        <v>23318000</v>
      </c>
      <c r="W458" s="278">
        <v>0</v>
      </c>
      <c r="X458" s="270"/>
      <c r="Y458" s="262" t="s">
        <v>27</v>
      </c>
      <c r="Z458" s="271" t="s">
        <v>24</v>
      </c>
      <c r="AA458" s="287"/>
      <c r="AB458" s="287"/>
      <c r="AC458" s="272">
        <f t="shared" si="15"/>
        <v>7500000</v>
      </c>
      <c r="AD458" s="272">
        <v>7500000</v>
      </c>
      <c r="AE458" s="272">
        <f t="shared" si="16"/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>
        <v>7500000</v>
      </c>
      <c r="AV458" s="275"/>
      <c r="AW458" s="275"/>
      <c r="AX458" s="275"/>
      <c r="AY458" s="275"/>
      <c r="AZ458" s="275"/>
      <c r="BA458" s="275"/>
      <c r="BB458" s="275"/>
      <c r="BC458" s="275">
        <v>0</v>
      </c>
      <c r="BD458" s="275"/>
      <c r="BE458" s="275"/>
      <c r="BF458" s="275"/>
      <c r="BH458" s="277"/>
    </row>
    <row r="459" spans="1:60" ht="16.5" customHeight="1">
      <c r="A459" s="260">
        <v>437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63</v>
      </c>
      <c r="R459" s="262" t="s">
        <v>28</v>
      </c>
      <c r="S459" s="267" t="s">
        <v>28</v>
      </c>
      <c r="T459" s="268"/>
      <c r="U459" s="269" t="s">
        <v>154</v>
      </c>
      <c r="V459" s="269">
        <v>3000000</v>
      </c>
      <c r="W459" s="278">
        <v>0</v>
      </c>
      <c r="X459" s="270"/>
      <c r="Y459" s="262" t="s">
        <v>20</v>
      </c>
      <c r="Z459" s="271" t="s">
        <v>20</v>
      </c>
      <c r="AA459" s="287"/>
      <c r="AB459" s="287"/>
      <c r="AC459" s="272">
        <f t="shared" si="15"/>
        <v>0</v>
      </c>
      <c r="AD459" s="272">
        <v>0</v>
      </c>
      <c r="AE459" s="272">
        <f t="shared" si="16"/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/>
      <c r="AZ459" s="275"/>
      <c r="BA459" s="275"/>
      <c r="BB459" s="275"/>
      <c r="BC459" s="275"/>
      <c r="BD459" s="275"/>
      <c r="BE459" s="275"/>
      <c r="BF459" s="275"/>
      <c r="BH459" s="277"/>
    </row>
    <row r="460" spans="1:60" ht="16.5" customHeight="1">
      <c r="A460" s="260">
        <v>438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30</v>
      </c>
      <c r="R460" s="262" t="s">
        <v>31</v>
      </c>
      <c r="S460" s="267" t="s">
        <v>31</v>
      </c>
      <c r="T460" s="268"/>
      <c r="U460" s="269">
        <v>3000000</v>
      </c>
      <c r="V460" s="269">
        <v>0</v>
      </c>
      <c r="W460" s="278">
        <v>3000000</v>
      </c>
      <c r="X460" s="270"/>
      <c r="Y460" s="262" t="s">
        <v>27</v>
      </c>
      <c r="Z460" s="271" t="s">
        <v>27</v>
      </c>
      <c r="AA460" s="287"/>
      <c r="AB460" s="287"/>
      <c r="AC460" s="272">
        <f t="shared" si="15"/>
        <v>5000000</v>
      </c>
      <c r="AD460" s="272">
        <v>5000000</v>
      </c>
      <c r="AE460" s="272">
        <f t="shared" si="16"/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>
        <v>5000000</v>
      </c>
      <c r="BB460" s="275"/>
      <c r="BC460" s="275"/>
      <c r="BD460" s="275"/>
      <c r="BE460" s="275"/>
      <c r="BF460" s="275"/>
      <c r="BH460" s="277"/>
    </row>
    <row r="461" spans="1:60" ht="16.5" customHeight="1">
      <c r="A461" s="260">
        <v>439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46</v>
      </c>
      <c r="R461" s="262" t="s">
        <v>47</v>
      </c>
      <c r="S461" s="267" t="s">
        <v>47</v>
      </c>
      <c r="T461" s="268"/>
      <c r="U461" s="269">
        <v>21869200</v>
      </c>
      <c r="V461" s="269">
        <v>0</v>
      </c>
      <c r="W461" s="278">
        <v>0</v>
      </c>
      <c r="X461" s="270"/>
      <c r="Y461" s="262" t="s">
        <v>20</v>
      </c>
      <c r="Z461" s="271" t="s">
        <v>20</v>
      </c>
      <c r="AA461" s="287"/>
      <c r="AB461" s="287"/>
      <c r="AC461" s="272">
        <f t="shared" si="15"/>
        <v>0</v>
      </c>
      <c r="AD461" s="272">
        <v>0</v>
      </c>
      <c r="AE461" s="272">
        <f t="shared" si="16"/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/>
      <c r="BF461" s="275"/>
      <c r="BH461" s="277"/>
    </row>
    <row r="462" spans="1:60" ht="16.5" customHeight="1">
      <c r="A462" s="260">
        <v>440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61</v>
      </c>
      <c r="R462" s="262" t="s">
        <v>468</v>
      </c>
      <c r="S462" s="267" t="s">
        <v>468</v>
      </c>
      <c r="T462" s="268"/>
      <c r="U462" s="269" t="s">
        <v>154</v>
      </c>
      <c r="V462" s="269">
        <v>0</v>
      </c>
      <c r="W462" s="278">
        <v>0</v>
      </c>
      <c r="X462" s="270"/>
      <c r="Y462" s="262" t="s">
        <v>24</v>
      </c>
      <c r="Z462" s="271" t="s">
        <v>25</v>
      </c>
      <c r="AA462" s="287"/>
      <c r="AB462" s="287"/>
      <c r="AC462" s="272">
        <f t="shared" si="15"/>
        <v>20000000</v>
      </c>
      <c r="AD462" s="272">
        <v>20000000</v>
      </c>
      <c r="AE462" s="272">
        <f t="shared" si="16"/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>
        <v>20000000</v>
      </c>
      <c r="AZ462" s="275"/>
      <c r="BA462" s="275"/>
      <c r="BB462" s="275"/>
      <c r="BC462" s="275"/>
      <c r="BD462" s="275"/>
      <c r="BE462" s="275"/>
      <c r="BF462" s="275"/>
      <c r="BH462" s="277"/>
    </row>
    <row r="463" spans="1:60" ht="16.5" customHeight="1">
      <c r="A463" s="260">
        <v>441</v>
      </c>
      <c r="B463" s="261"/>
      <c r="C463" s="261"/>
      <c r="D463" s="262" t="s">
        <v>15</v>
      </c>
      <c r="E463" s="262" t="s">
        <v>364</v>
      </c>
      <c r="F463" s="263" t="s">
        <v>15</v>
      </c>
      <c r="G463" s="264" t="s">
        <v>364</v>
      </c>
      <c r="H463" s="281"/>
      <c r="I463" s="265"/>
      <c r="J463" s="266" t="s">
        <v>761</v>
      </c>
      <c r="K463" s="262"/>
      <c r="L463" s="262"/>
      <c r="M463" s="262">
        <v>19468</v>
      </c>
      <c r="N463" s="262" t="s">
        <v>22</v>
      </c>
      <c r="O463" s="262" t="s">
        <v>56</v>
      </c>
      <c r="P463" s="262" t="s">
        <v>57</v>
      </c>
      <c r="Q463" s="262" t="s">
        <v>62</v>
      </c>
      <c r="R463" s="262" t="s">
        <v>678</v>
      </c>
      <c r="S463" s="267" t="s">
        <v>832</v>
      </c>
      <c r="T463" s="268"/>
      <c r="U463" s="269" t="s">
        <v>154</v>
      </c>
      <c r="V463" s="269">
        <v>4340000</v>
      </c>
      <c r="W463" s="278">
        <v>0</v>
      </c>
      <c r="X463" s="270"/>
      <c r="Y463" s="262" t="s">
        <v>24</v>
      </c>
      <c r="Z463" s="271" t="s">
        <v>25</v>
      </c>
      <c r="AA463" s="287"/>
      <c r="AB463" s="287"/>
      <c r="AC463" s="272">
        <f t="shared" si="15"/>
        <v>30000000</v>
      </c>
      <c r="AD463" s="272">
        <v>30000000</v>
      </c>
      <c r="AE463" s="272">
        <f t="shared" si="16"/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/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>
        <v>30000000</v>
      </c>
      <c r="BF463" s="275"/>
      <c r="BH463" s="277"/>
    </row>
    <row r="464" spans="1:60" ht="16.5" customHeight="1">
      <c r="A464" s="260">
        <v>442</v>
      </c>
      <c r="B464" s="261"/>
      <c r="C464" s="261"/>
      <c r="D464" s="262" t="s">
        <v>15</v>
      </c>
      <c r="E464" s="262" t="s">
        <v>364</v>
      </c>
      <c r="F464" s="263" t="s">
        <v>15</v>
      </c>
      <c r="G464" s="264" t="s">
        <v>364</v>
      </c>
      <c r="H464" s="281"/>
      <c r="I464" s="265"/>
      <c r="J464" s="266" t="s">
        <v>761</v>
      </c>
      <c r="K464" s="262"/>
      <c r="L464" s="262"/>
      <c r="M464" s="262">
        <v>19468</v>
      </c>
      <c r="N464" s="262" t="s">
        <v>22</v>
      </c>
      <c r="O464" s="262" t="s">
        <v>56</v>
      </c>
      <c r="P464" s="262" t="s">
        <v>57</v>
      </c>
      <c r="Q464" s="262" t="s">
        <v>46</v>
      </c>
      <c r="R464" s="262" t="s">
        <v>477</v>
      </c>
      <c r="S464" s="267" t="s">
        <v>834</v>
      </c>
      <c r="T464" s="268"/>
      <c r="U464" s="269"/>
      <c r="V464" s="269">
        <v>0</v>
      </c>
      <c r="W464" s="278">
        <v>0</v>
      </c>
      <c r="X464" s="270"/>
      <c r="Y464" s="262" t="s">
        <v>24</v>
      </c>
      <c r="Z464" s="271" t="s">
        <v>25</v>
      </c>
      <c r="AA464" s="287"/>
      <c r="AB464" s="287"/>
      <c r="AC464" s="272">
        <f t="shared" si="15"/>
        <v>10000000</v>
      </c>
      <c r="AD464" s="272">
        <v>10000000</v>
      </c>
      <c r="AE464" s="272">
        <f t="shared" si="16"/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>
        <v>10000000</v>
      </c>
      <c r="BF464" s="275"/>
      <c r="BH464" s="277"/>
    </row>
    <row r="465" spans="1:60" ht="16.5" customHeight="1">
      <c r="A465" s="260">
        <v>443</v>
      </c>
      <c r="B465" s="261"/>
      <c r="C465" s="261"/>
      <c r="D465" s="262" t="s">
        <v>15</v>
      </c>
      <c r="E465" s="262" t="s">
        <v>364</v>
      </c>
      <c r="F465" s="263" t="s">
        <v>15</v>
      </c>
      <c r="G465" s="264" t="s">
        <v>364</v>
      </c>
      <c r="H465" s="281"/>
      <c r="I465" s="265"/>
      <c r="J465" s="266" t="s">
        <v>761</v>
      </c>
      <c r="K465" s="262"/>
      <c r="L465" s="262"/>
      <c r="M465" s="262">
        <v>19468</v>
      </c>
      <c r="N465" s="262" t="s">
        <v>22</v>
      </c>
      <c r="O465" s="262" t="s">
        <v>56</v>
      </c>
      <c r="P465" s="262" t="s">
        <v>57</v>
      </c>
      <c r="Q465" s="262" t="s">
        <v>372</v>
      </c>
      <c r="R465" s="262" t="s">
        <v>476</v>
      </c>
      <c r="S465" s="267" t="s">
        <v>825</v>
      </c>
      <c r="T465" s="268"/>
      <c r="U465" s="269">
        <v>280000</v>
      </c>
      <c r="V465" s="269">
        <v>0</v>
      </c>
      <c r="W465" s="278">
        <v>0</v>
      </c>
      <c r="X465" s="270"/>
      <c r="Y465" s="262" t="s">
        <v>20</v>
      </c>
      <c r="Z465" s="271" t="s">
        <v>20</v>
      </c>
      <c r="AA465" s="287"/>
      <c r="AB465" s="287"/>
      <c r="AC465" s="272">
        <f t="shared" si="15"/>
        <v>0</v>
      </c>
      <c r="AD465" s="272">
        <v>0</v>
      </c>
      <c r="AE465" s="272">
        <f t="shared" si="16"/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75"/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customHeight="1">
      <c r="A466" s="260">
        <v>444</v>
      </c>
      <c r="B466" s="261"/>
      <c r="C466" s="261"/>
      <c r="D466" s="262"/>
      <c r="E466" s="262"/>
      <c r="F466" s="263" t="s">
        <v>15</v>
      </c>
      <c r="G466" s="264" t="s">
        <v>364</v>
      </c>
      <c r="H466" s="281"/>
      <c r="I466" s="265"/>
      <c r="J466" s="266" t="s">
        <v>949</v>
      </c>
      <c r="K466" s="262"/>
      <c r="L466" s="262"/>
      <c r="M466" s="262">
        <v>14023</v>
      </c>
      <c r="N466" s="262" t="s">
        <v>22</v>
      </c>
      <c r="O466" s="262" t="s">
        <v>35</v>
      </c>
      <c r="P466" s="262"/>
      <c r="Q466" s="262"/>
      <c r="R466" s="262"/>
      <c r="S466" s="267" t="s">
        <v>478</v>
      </c>
      <c r="T466" s="268"/>
      <c r="U466" s="269"/>
      <c r="V466" s="269"/>
      <c r="W466" s="278">
        <v>0</v>
      </c>
      <c r="X466" s="270"/>
      <c r="Y466" s="262"/>
      <c r="Z466" s="271" t="s">
        <v>25</v>
      </c>
      <c r="AA466" s="287"/>
      <c r="AB466" s="287"/>
      <c r="AC466" s="272">
        <f t="shared" si="15"/>
        <v>30000000</v>
      </c>
      <c r="AD466" s="272">
        <v>30000000</v>
      </c>
      <c r="AE466" s="272">
        <f t="shared" si="16"/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75">
        <v>30000000</v>
      </c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/>
      <c r="BB466" s="275"/>
      <c r="BC466" s="275"/>
      <c r="BD466" s="275"/>
      <c r="BE466" s="275"/>
      <c r="BF466" s="275"/>
      <c r="BH466" s="277"/>
    </row>
    <row r="467" spans="1:60" ht="16.5" customHeight="1">
      <c r="A467" s="260">
        <v>445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/>
      <c r="O467" s="262"/>
      <c r="P467" s="262"/>
      <c r="Q467" s="262"/>
      <c r="R467" s="262"/>
      <c r="S467" s="267" t="s">
        <v>28</v>
      </c>
      <c r="T467" s="268"/>
      <c r="U467" s="269"/>
      <c r="V467" s="269"/>
      <c r="W467" s="278">
        <v>2471000</v>
      </c>
      <c r="X467" s="270"/>
      <c r="Y467" s="262"/>
      <c r="Z467" s="271" t="s">
        <v>718</v>
      </c>
      <c r="AA467" s="287"/>
      <c r="AB467" s="287"/>
      <c r="AC467" s="272">
        <f t="shared" si="15"/>
        <v>0</v>
      </c>
      <c r="AD467" s="272">
        <v>0</v>
      </c>
      <c r="AE467" s="272">
        <f t="shared" si="16"/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75"/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H467" s="277"/>
    </row>
    <row r="468" spans="1:60" ht="16.5" customHeight="1">
      <c r="A468" s="260">
        <v>446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564</v>
      </c>
      <c r="K468" s="262"/>
      <c r="L468" s="262"/>
      <c r="M468" s="262">
        <v>21595</v>
      </c>
      <c r="N468" s="262" t="s">
        <v>22</v>
      </c>
      <c r="O468" s="262" t="s">
        <v>35</v>
      </c>
      <c r="P468" s="262" t="s">
        <v>57</v>
      </c>
      <c r="Q468" s="262" t="s">
        <v>30</v>
      </c>
      <c r="R468" s="262" t="s">
        <v>478</v>
      </c>
      <c r="S468" s="267" t="s">
        <v>478</v>
      </c>
      <c r="T468" s="268"/>
      <c r="U468" s="269" t="s">
        <v>154</v>
      </c>
      <c r="V468" s="269">
        <v>29022000</v>
      </c>
      <c r="W468" s="278">
        <v>22070000</v>
      </c>
      <c r="X468" s="270"/>
      <c r="Y468" s="262" t="s">
        <v>27</v>
      </c>
      <c r="Z468" s="271" t="s">
        <v>25</v>
      </c>
      <c r="AA468" s="287"/>
      <c r="AB468" s="287"/>
      <c r="AC468" s="272">
        <f t="shared" si="15"/>
        <v>10000000</v>
      </c>
      <c r="AD468" s="272">
        <v>10000000</v>
      </c>
      <c r="AE468" s="272">
        <f t="shared" si="16"/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>
        <v>10000000</v>
      </c>
      <c r="AR468" s="275"/>
      <c r="AS468" s="275"/>
      <c r="AT468" s="275"/>
      <c r="AU468" s="275"/>
      <c r="AV468" s="275"/>
      <c r="AW468" s="275"/>
      <c r="AX468" s="275"/>
      <c r="AY468" s="275"/>
      <c r="AZ468" s="275"/>
      <c r="BA468" s="275"/>
      <c r="BB468" s="275"/>
      <c r="BC468" s="275"/>
      <c r="BD468" s="275"/>
      <c r="BE468" s="275"/>
      <c r="BF468" s="275"/>
      <c r="BH468" s="277"/>
    </row>
    <row r="469" spans="1:60" ht="16.5" customHeight="1">
      <c r="A469" s="260">
        <v>447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564</v>
      </c>
      <c r="K469" s="262"/>
      <c r="L469" s="262"/>
      <c r="M469" s="262">
        <v>21595</v>
      </c>
      <c r="N469" s="262" t="s">
        <v>22</v>
      </c>
      <c r="O469" s="262" t="s">
        <v>35</v>
      </c>
      <c r="P469" s="262" t="s">
        <v>57</v>
      </c>
      <c r="Q469" s="262"/>
      <c r="R469" s="262" t="s">
        <v>478</v>
      </c>
      <c r="S469" s="267" t="s">
        <v>478</v>
      </c>
      <c r="T469" s="268"/>
      <c r="U469" s="269"/>
      <c r="V469" s="269">
        <v>0</v>
      </c>
      <c r="W469" s="278">
        <v>0</v>
      </c>
      <c r="X469" s="270"/>
      <c r="Y469" s="262" t="s">
        <v>27</v>
      </c>
      <c r="Z469" s="271" t="s">
        <v>25</v>
      </c>
      <c r="AA469" s="287"/>
      <c r="AB469" s="287"/>
      <c r="AC469" s="272">
        <f t="shared" si="15"/>
        <v>20000000</v>
      </c>
      <c r="AD469" s="272">
        <v>20000000</v>
      </c>
      <c r="AE469" s="272">
        <f t="shared" si="16"/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>
        <v>20000000</v>
      </c>
      <c r="BB469" s="275"/>
      <c r="BC469" s="275"/>
      <c r="BD469" s="275"/>
      <c r="BE469" s="275"/>
      <c r="BF469" s="275"/>
      <c r="BH469" s="277"/>
    </row>
    <row r="470" spans="1:60" ht="16.5" customHeight="1">
      <c r="A470" s="260">
        <v>448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564</v>
      </c>
      <c r="K470" s="262"/>
      <c r="L470" s="262"/>
      <c r="M470" s="262">
        <v>21595</v>
      </c>
      <c r="N470" s="262" t="s">
        <v>22</v>
      </c>
      <c r="O470" s="262" t="s">
        <v>56</v>
      </c>
      <c r="P470" s="262" t="s">
        <v>57</v>
      </c>
      <c r="Q470" s="262" t="s">
        <v>30</v>
      </c>
      <c r="R470" s="262" t="s">
        <v>397</v>
      </c>
      <c r="S470" s="267" t="s">
        <v>823</v>
      </c>
      <c r="T470" s="268"/>
      <c r="U470" s="269" t="s">
        <v>154</v>
      </c>
      <c r="V470" s="269">
        <v>0</v>
      </c>
      <c r="W470" s="278">
        <v>0</v>
      </c>
      <c r="X470" s="270"/>
      <c r="Y470" s="262" t="s">
        <v>24</v>
      </c>
      <c r="Z470" s="271" t="s">
        <v>25</v>
      </c>
      <c r="AA470" s="287"/>
      <c r="AB470" s="287"/>
      <c r="AC470" s="272">
        <f t="shared" si="15"/>
        <v>20000000</v>
      </c>
      <c r="AD470" s="272">
        <v>20000000</v>
      </c>
      <c r="AE470" s="272">
        <f t="shared" si="16"/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>
        <v>20000000</v>
      </c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customHeight="1">
      <c r="A471" s="260">
        <v>449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69</v>
      </c>
      <c r="K471" s="262"/>
      <c r="L471" s="262"/>
      <c r="M471" s="262">
        <v>4081</v>
      </c>
      <c r="N471" s="262" t="s">
        <v>22</v>
      </c>
      <c r="O471" s="262" t="s">
        <v>35</v>
      </c>
      <c r="P471" s="262" t="s">
        <v>156</v>
      </c>
      <c r="Q471" s="262" t="s">
        <v>26</v>
      </c>
      <c r="R471" s="262" t="s">
        <v>468</v>
      </c>
      <c r="S471" s="267" t="s">
        <v>468</v>
      </c>
      <c r="T471" s="268"/>
      <c r="U471" s="269">
        <v>15520000</v>
      </c>
      <c r="V471" s="269">
        <v>0</v>
      </c>
      <c r="W471" s="278">
        <v>0</v>
      </c>
      <c r="X471" s="270"/>
      <c r="Y471" s="262" t="s">
        <v>21</v>
      </c>
      <c r="Z471" s="271" t="s">
        <v>25</v>
      </c>
      <c r="AA471" s="287"/>
      <c r="AB471" s="287"/>
      <c r="AC471" s="272">
        <f t="shared" ref="AC471:AC534" si="17">AG471+AJ471+AM471+AO471+AQ471+AS471+AU471+AW471+AY471+BA471+BC471+BE471</f>
        <v>10000000</v>
      </c>
      <c r="AD471" s="272">
        <v>10000000</v>
      </c>
      <c r="AE471" s="272">
        <f t="shared" ref="AE471:AE534" si="18">AC471-AD471</f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>
        <v>5000000</v>
      </c>
      <c r="AT471" s="275"/>
      <c r="AU471" s="275"/>
      <c r="AV471" s="275"/>
      <c r="AW471" s="275"/>
      <c r="AX471" s="275"/>
      <c r="AY471" s="275">
        <v>5000000</v>
      </c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customHeight="1">
      <c r="A472" s="260">
        <v>450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69</v>
      </c>
      <c r="K472" s="262"/>
      <c r="L472" s="262"/>
      <c r="M472" s="262">
        <v>4081</v>
      </c>
      <c r="N472" s="262" t="s">
        <v>22</v>
      </c>
      <c r="O472" s="262" t="s">
        <v>35</v>
      </c>
      <c r="P472" s="262" t="s">
        <v>57</v>
      </c>
      <c r="Q472" s="262"/>
      <c r="R472" s="262"/>
      <c r="S472" s="267" t="s">
        <v>828</v>
      </c>
      <c r="T472" s="268"/>
      <c r="U472" s="269"/>
      <c r="V472" s="269"/>
      <c r="W472" s="278">
        <v>0</v>
      </c>
      <c r="X472" s="270"/>
      <c r="Y472" s="262"/>
      <c r="Z472" s="271" t="s">
        <v>25</v>
      </c>
      <c r="AA472" s="287"/>
      <c r="AB472" s="287"/>
      <c r="AC472" s="272">
        <f t="shared" si="17"/>
        <v>0</v>
      </c>
      <c r="AD472" s="272">
        <v>0</v>
      </c>
      <c r="AE472" s="272">
        <f t="shared" si="18"/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customHeight="1">
      <c r="A473" s="260">
        <v>451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388</v>
      </c>
      <c r="K473" s="262"/>
      <c r="L473" s="262"/>
      <c r="M473" s="262">
        <v>12659</v>
      </c>
      <c r="N473" s="262" t="s">
        <v>22</v>
      </c>
      <c r="O473" s="262" t="s">
        <v>178</v>
      </c>
      <c r="P473" s="262" t="s">
        <v>156</v>
      </c>
      <c r="Q473" s="262" t="s">
        <v>63</v>
      </c>
      <c r="R473" s="262" t="s">
        <v>28</v>
      </c>
      <c r="S473" s="267" t="s">
        <v>28</v>
      </c>
      <c r="T473" s="268"/>
      <c r="U473" s="269">
        <v>675000</v>
      </c>
      <c r="V473" s="269">
        <v>0</v>
      </c>
      <c r="W473" s="278">
        <v>0</v>
      </c>
      <c r="X473" s="270"/>
      <c r="Y473" s="262" t="s">
        <v>21</v>
      </c>
      <c r="Z473" s="271" t="s">
        <v>21</v>
      </c>
      <c r="AA473" s="287"/>
      <c r="AB473" s="287"/>
      <c r="AC473" s="272">
        <f t="shared" si="17"/>
        <v>0</v>
      </c>
      <c r="AD473" s="272">
        <v>0</v>
      </c>
      <c r="AE473" s="272">
        <f t="shared" si="18"/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customHeight="1">
      <c r="A474" s="260">
        <v>452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388</v>
      </c>
      <c r="K474" s="262"/>
      <c r="L474" s="262"/>
      <c r="M474" s="262">
        <v>12659</v>
      </c>
      <c r="N474" s="262" t="s">
        <v>22</v>
      </c>
      <c r="O474" s="262" t="s">
        <v>178</v>
      </c>
      <c r="P474" s="262" t="s">
        <v>156</v>
      </c>
      <c r="Q474" s="262" t="s">
        <v>46</v>
      </c>
      <c r="R474" s="262" t="s">
        <v>47</v>
      </c>
      <c r="S474" s="267" t="s">
        <v>47</v>
      </c>
      <c r="T474" s="268"/>
      <c r="U474" s="269">
        <v>8250000</v>
      </c>
      <c r="V474" s="269">
        <v>0</v>
      </c>
      <c r="W474" s="278">
        <v>0</v>
      </c>
      <c r="X474" s="270"/>
      <c r="Y474" s="262" t="s">
        <v>21</v>
      </c>
      <c r="Z474" s="271" t="s">
        <v>21</v>
      </c>
      <c r="AA474" s="287"/>
      <c r="AB474" s="287"/>
      <c r="AC474" s="272">
        <f t="shared" si="17"/>
        <v>0</v>
      </c>
      <c r="AD474" s="272">
        <v>0</v>
      </c>
      <c r="AE474" s="272">
        <f t="shared" si="18"/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customHeight="1">
      <c r="A475" s="260">
        <v>453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388</v>
      </c>
      <c r="K475" s="262"/>
      <c r="L475" s="262"/>
      <c r="M475" s="262">
        <v>12659</v>
      </c>
      <c r="N475" s="262" t="s">
        <v>22</v>
      </c>
      <c r="O475" s="262" t="s">
        <v>35</v>
      </c>
      <c r="P475" s="262" t="s">
        <v>57</v>
      </c>
      <c r="Q475" s="262"/>
      <c r="R475" s="262"/>
      <c r="S475" s="267" t="s">
        <v>822</v>
      </c>
      <c r="T475" s="268"/>
      <c r="U475" s="269"/>
      <c r="V475" s="269"/>
      <c r="W475" s="278">
        <v>0</v>
      </c>
      <c r="X475" s="270"/>
      <c r="Y475" s="262"/>
      <c r="Z475" s="271" t="s">
        <v>25</v>
      </c>
      <c r="AA475" s="287"/>
      <c r="AB475" s="287"/>
      <c r="AC475" s="272">
        <f t="shared" si="17"/>
        <v>0</v>
      </c>
      <c r="AD475" s="272">
        <v>0</v>
      </c>
      <c r="AE475" s="272">
        <f t="shared" si="18"/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/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customHeight="1">
      <c r="A476" s="260">
        <v>454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178</v>
      </c>
      <c r="P476" s="262" t="s">
        <v>156</v>
      </c>
      <c r="Q476" s="262" t="s">
        <v>18</v>
      </c>
      <c r="R476" s="262" t="s">
        <v>19</v>
      </c>
      <c r="S476" s="267" t="s">
        <v>19</v>
      </c>
      <c r="T476" s="268"/>
      <c r="U476" s="269">
        <v>280000</v>
      </c>
      <c r="V476" s="269">
        <v>0</v>
      </c>
      <c r="W476" s="278">
        <v>0</v>
      </c>
      <c r="X476" s="270"/>
      <c r="Y476" s="262" t="s">
        <v>21</v>
      </c>
      <c r="Z476" s="271" t="s">
        <v>21</v>
      </c>
      <c r="AA476" s="287"/>
      <c r="AB476" s="287"/>
      <c r="AC476" s="272">
        <f t="shared" si="17"/>
        <v>0</v>
      </c>
      <c r="AD476" s="272">
        <v>0</v>
      </c>
      <c r="AE476" s="272">
        <f t="shared" si="18"/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75"/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customHeight="1">
      <c r="A477" s="260">
        <v>455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/>
      <c r="R477" s="262" t="s">
        <v>31</v>
      </c>
      <c r="S477" s="267" t="s">
        <v>31</v>
      </c>
      <c r="T477" s="268"/>
      <c r="U477" s="269"/>
      <c r="V477" s="269">
        <v>0</v>
      </c>
      <c r="W477" s="278">
        <v>1368000</v>
      </c>
      <c r="X477" s="270"/>
      <c r="Y477" s="262" t="s">
        <v>27</v>
      </c>
      <c r="Z477" s="271" t="s">
        <v>24</v>
      </c>
      <c r="AA477" s="287"/>
      <c r="AB477" s="287"/>
      <c r="AC477" s="272">
        <f t="shared" si="17"/>
        <v>0</v>
      </c>
      <c r="AD477" s="272">
        <v>0</v>
      </c>
      <c r="AE477" s="272">
        <f t="shared" si="18"/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75"/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customHeight="1">
      <c r="A478" s="260">
        <v>456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72</v>
      </c>
      <c r="K478" s="262"/>
      <c r="L478" s="262"/>
      <c r="M478" s="262">
        <v>42841</v>
      </c>
      <c r="N478" s="262" t="s">
        <v>22</v>
      </c>
      <c r="O478" s="262" t="s">
        <v>35</v>
      </c>
      <c r="P478" s="262" t="s">
        <v>156</v>
      </c>
      <c r="Q478" s="262" t="s">
        <v>26</v>
      </c>
      <c r="R478" s="262" t="s">
        <v>468</v>
      </c>
      <c r="S478" s="267" t="s">
        <v>468</v>
      </c>
      <c r="T478" s="268"/>
      <c r="U478" s="269"/>
      <c r="V478" s="269">
        <v>0</v>
      </c>
      <c r="W478" s="278">
        <v>0</v>
      </c>
      <c r="X478" s="270"/>
      <c r="Y478" s="262" t="s">
        <v>25</v>
      </c>
      <c r="Z478" s="271" t="s">
        <v>25</v>
      </c>
      <c r="AA478" s="287"/>
      <c r="AB478" s="287"/>
      <c r="AC478" s="272">
        <f t="shared" si="17"/>
        <v>20000000</v>
      </c>
      <c r="AD478" s="272">
        <v>20000000</v>
      </c>
      <c r="AE478" s="272">
        <f t="shared" si="18"/>
        <v>0</v>
      </c>
      <c r="AF478" s="273"/>
      <c r="AG478" s="274"/>
      <c r="AH478" s="273"/>
      <c r="AI478" s="273"/>
      <c r="AJ478" s="274"/>
      <c r="AK478" s="273"/>
      <c r="AL478" s="275"/>
      <c r="AM478" s="290"/>
      <c r="AN478" s="275"/>
      <c r="AO478" s="276"/>
      <c r="AP478" s="275"/>
      <c r="AQ478" s="275"/>
      <c r="AR478" s="275"/>
      <c r="AS478" s="275"/>
      <c r="AT478" s="275"/>
      <c r="AU478" s="275"/>
      <c r="AV478" s="275"/>
      <c r="AW478" s="275"/>
      <c r="AX478" s="275"/>
      <c r="AY478" s="275">
        <v>20000000</v>
      </c>
      <c r="AZ478" s="275"/>
      <c r="BA478" s="275"/>
      <c r="BB478" s="275"/>
      <c r="BC478" s="275"/>
      <c r="BD478" s="275"/>
      <c r="BE478" s="275"/>
      <c r="BF478" s="275"/>
      <c r="BH478" s="277"/>
    </row>
    <row r="479" spans="1:60" ht="16.5" customHeight="1">
      <c r="A479" s="260">
        <v>457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72</v>
      </c>
      <c r="K479" s="262"/>
      <c r="L479" s="262"/>
      <c r="M479" s="262">
        <v>42841</v>
      </c>
      <c r="N479" s="262" t="s">
        <v>22</v>
      </c>
      <c r="O479" s="262" t="s">
        <v>35</v>
      </c>
      <c r="P479" s="262" t="s">
        <v>156</v>
      </c>
      <c r="Q479" s="262"/>
      <c r="R479" s="262"/>
      <c r="S479" s="267" t="s">
        <v>822</v>
      </c>
      <c r="T479" s="268"/>
      <c r="U479" s="269"/>
      <c r="V479" s="269"/>
      <c r="W479" s="278">
        <v>0</v>
      </c>
      <c r="X479" s="270"/>
      <c r="Y479" s="262"/>
      <c r="Z479" s="271" t="s">
        <v>25</v>
      </c>
      <c r="AA479" s="287"/>
      <c r="AB479" s="287"/>
      <c r="AC479" s="272">
        <f t="shared" si="17"/>
        <v>20000000</v>
      </c>
      <c r="AD479" s="272">
        <v>20000000</v>
      </c>
      <c r="AE479" s="272">
        <f t="shared" si="18"/>
        <v>0</v>
      </c>
      <c r="AF479" s="273"/>
      <c r="AG479" s="274"/>
      <c r="AH479" s="273"/>
      <c r="AI479" s="273"/>
      <c r="AJ479" s="274"/>
      <c r="AK479" s="273"/>
      <c r="AL479" s="275"/>
      <c r="AM479" s="290"/>
      <c r="AN479" s="275"/>
      <c r="AO479" s="276"/>
      <c r="AP479" s="275"/>
      <c r="AQ479" s="275">
        <v>20000000</v>
      </c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H479" s="277"/>
    </row>
    <row r="480" spans="1:60" ht="16.5" customHeight="1">
      <c r="A480" s="260">
        <v>458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72</v>
      </c>
      <c r="K480" s="262"/>
      <c r="L480" s="262"/>
      <c r="M480" s="262">
        <v>42841</v>
      </c>
      <c r="N480" s="262" t="s">
        <v>22</v>
      </c>
      <c r="O480" s="262" t="s">
        <v>35</v>
      </c>
      <c r="P480" s="262" t="s">
        <v>156</v>
      </c>
      <c r="Q480" s="262"/>
      <c r="R480" s="262"/>
      <c r="S480" s="267" t="s">
        <v>835</v>
      </c>
      <c r="T480" s="268"/>
      <c r="U480" s="269"/>
      <c r="V480" s="269"/>
      <c r="W480" s="278">
        <v>0</v>
      </c>
      <c r="X480" s="270"/>
      <c r="Y480" s="262"/>
      <c r="Z480" s="271" t="s">
        <v>25</v>
      </c>
      <c r="AA480" s="287"/>
      <c r="AB480" s="287"/>
      <c r="AC480" s="272">
        <f t="shared" si="17"/>
        <v>30000000</v>
      </c>
      <c r="AD480" s="272">
        <v>30000000</v>
      </c>
      <c r="AE480" s="272">
        <f t="shared" si="18"/>
        <v>0</v>
      </c>
      <c r="AF480" s="273"/>
      <c r="AG480" s="274"/>
      <c r="AH480" s="273"/>
      <c r="AI480" s="273"/>
      <c r="AJ480" s="274"/>
      <c r="AK480" s="273"/>
      <c r="AL480" s="275"/>
      <c r="AM480" s="290"/>
      <c r="AN480" s="275"/>
      <c r="AO480" s="276"/>
      <c r="AP480" s="275"/>
      <c r="AQ480" s="275">
        <v>30000000</v>
      </c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H480" s="277"/>
    </row>
    <row r="481" spans="1:60" ht="16.5" customHeight="1">
      <c r="A481" s="260">
        <v>459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389</v>
      </c>
      <c r="K481" s="262"/>
      <c r="L481" s="262"/>
      <c r="M481" s="262">
        <v>13756</v>
      </c>
      <c r="N481" s="262" t="s">
        <v>42</v>
      </c>
      <c r="O481" s="262" t="s">
        <v>212</v>
      </c>
      <c r="P481" s="262" t="s">
        <v>57</v>
      </c>
      <c r="Q481" s="262" t="s">
        <v>63</v>
      </c>
      <c r="R481" s="262" t="s">
        <v>28</v>
      </c>
      <c r="S481" s="267" t="s">
        <v>28</v>
      </c>
      <c r="T481" s="268" t="s">
        <v>951</v>
      </c>
      <c r="U481" s="269">
        <v>40245500</v>
      </c>
      <c r="V481" s="269">
        <v>38256100</v>
      </c>
      <c r="W481" s="278">
        <v>30992900</v>
      </c>
      <c r="X481" s="270"/>
      <c r="Y481" s="262" t="s">
        <v>27</v>
      </c>
      <c r="Z481" s="271" t="s">
        <v>27</v>
      </c>
      <c r="AA481" s="287"/>
      <c r="AB481" s="287"/>
      <c r="AC481" s="272">
        <f t="shared" si="17"/>
        <v>34025900</v>
      </c>
      <c r="AD481" s="272">
        <v>35509900</v>
      </c>
      <c r="AE481" s="272">
        <f t="shared" si="18"/>
        <v>-1484000</v>
      </c>
      <c r="AF481" s="273">
        <v>2525000</v>
      </c>
      <c r="AG481" s="274">
        <v>2525000</v>
      </c>
      <c r="AH481" s="273"/>
      <c r="AI481" s="273">
        <v>3089400</v>
      </c>
      <c r="AJ481" s="274">
        <v>3089400</v>
      </c>
      <c r="AK481" s="273"/>
      <c r="AL481" s="275">
        <v>2895500</v>
      </c>
      <c r="AM481" s="290">
        <v>2895500</v>
      </c>
      <c r="AN481" s="275"/>
      <c r="AO481" s="276">
        <v>1516000</v>
      </c>
      <c r="AP481" s="275"/>
      <c r="AQ481" s="275">
        <v>3000000</v>
      </c>
      <c r="AR481" s="275"/>
      <c r="AS481" s="275">
        <v>3000000</v>
      </c>
      <c r="AT481" s="275"/>
      <c r="AU481" s="275">
        <v>3000000</v>
      </c>
      <c r="AV481" s="275"/>
      <c r="AW481" s="275">
        <v>3000000</v>
      </c>
      <c r="AX481" s="275"/>
      <c r="AY481" s="275">
        <v>3000000</v>
      </c>
      <c r="AZ481" s="275"/>
      <c r="BA481" s="275">
        <v>3000000</v>
      </c>
      <c r="BB481" s="275"/>
      <c r="BC481" s="275">
        <v>3000000</v>
      </c>
      <c r="BD481" s="275"/>
      <c r="BE481" s="275">
        <v>3000000</v>
      </c>
      <c r="BF481" s="275"/>
      <c r="BH481" s="277"/>
    </row>
    <row r="482" spans="1:60" ht="16.5" customHeight="1">
      <c r="A482" s="260">
        <v>460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389</v>
      </c>
      <c r="K482" s="262"/>
      <c r="L482" s="262"/>
      <c r="M482" s="262">
        <v>13756</v>
      </c>
      <c r="N482" s="262" t="s">
        <v>42</v>
      </c>
      <c r="O482" s="262" t="s">
        <v>35</v>
      </c>
      <c r="P482" s="262" t="s">
        <v>57</v>
      </c>
      <c r="Q482" s="262"/>
      <c r="R482" s="262"/>
      <c r="S482" s="267" t="s">
        <v>828</v>
      </c>
      <c r="T482" s="268"/>
      <c r="U482" s="269"/>
      <c r="V482" s="269"/>
      <c r="W482" s="278">
        <v>0</v>
      </c>
      <c r="X482" s="270"/>
      <c r="Y482" s="262"/>
      <c r="Z482" s="271" t="s">
        <v>25</v>
      </c>
      <c r="AA482" s="287"/>
      <c r="AB482" s="287"/>
      <c r="AC482" s="272">
        <f t="shared" si="17"/>
        <v>20000000</v>
      </c>
      <c r="AD482" s="272">
        <v>20000000</v>
      </c>
      <c r="AE482" s="272">
        <f t="shared" si="18"/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>
        <v>20000000</v>
      </c>
      <c r="AR482" s="275"/>
      <c r="AS482" s="275"/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H482" s="277"/>
    </row>
    <row r="483" spans="1:60" ht="16.5" customHeight="1">
      <c r="A483" s="260">
        <v>461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390</v>
      </c>
      <c r="K483" s="262"/>
      <c r="L483" s="262"/>
      <c r="M483" s="262">
        <v>49808</v>
      </c>
      <c r="N483" s="262" t="s">
        <v>53</v>
      </c>
      <c r="O483" s="262" t="s">
        <v>56</v>
      </c>
      <c r="P483" s="262" t="s">
        <v>57</v>
      </c>
      <c r="Q483" s="262" t="s">
        <v>63</v>
      </c>
      <c r="R483" s="262" t="s">
        <v>28</v>
      </c>
      <c r="S483" s="267" t="s">
        <v>28</v>
      </c>
      <c r="T483" s="268"/>
      <c r="U483" s="269">
        <v>82600000</v>
      </c>
      <c r="V483" s="269">
        <v>0</v>
      </c>
      <c r="W483" s="278">
        <v>0</v>
      </c>
      <c r="X483" s="270"/>
      <c r="Y483" s="262" t="s">
        <v>21</v>
      </c>
      <c r="Z483" s="271" t="s">
        <v>21</v>
      </c>
      <c r="AA483" s="287"/>
      <c r="AB483" s="287"/>
      <c r="AC483" s="272">
        <f t="shared" si="17"/>
        <v>0</v>
      </c>
      <c r="AD483" s="272">
        <v>0</v>
      </c>
      <c r="AE483" s="272">
        <f t="shared" si="18"/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75"/>
      <c r="AR483" s="275"/>
      <c r="AS483" s="275"/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H483" s="277"/>
    </row>
    <row r="484" spans="1:60" ht="16.5" customHeight="1">
      <c r="A484" s="260">
        <v>462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149</v>
      </c>
      <c r="K484" s="262"/>
      <c r="L484" s="262"/>
      <c r="M484" s="262">
        <v>3829</v>
      </c>
      <c r="N484" s="262" t="s">
        <v>32</v>
      </c>
      <c r="O484" s="262" t="s">
        <v>56</v>
      </c>
      <c r="P484" s="262" t="s">
        <v>124</v>
      </c>
      <c r="Q484" s="262" t="s">
        <v>63</v>
      </c>
      <c r="R484" s="262" t="s">
        <v>28</v>
      </c>
      <c r="S484" s="267" t="s">
        <v>28</v>
      </c>
      <c r="T484" s="268"/>
      <c r="U484" s="269">
        <v>292000000</v>
      </c>
      <c r="V484" s="269">
        <v>185000000</v>
      </c>
      <c r="W484" s="278">
        <v>171705150</v>
      </c>
      <c r="X484" s="270"/>
      <c r="Y484" s="262" t="s">
        <v>27</v>
      </c>
      <c r="Z484" s="271" t="s">
        <v>24</v>
      </c>
      <c r="AA484" s="287"/>
      <c r="AB484" s="287"/>
      <c r="AC484" s="272">
        <f t="shared" si="17"/>
        <v>190000000</v>
      </c>
      <c r="AD484" s="272">
        <v>190000000</v>
      </c>
      <c r="AE484" s="272">
        <f t="shared" si="18"/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75"/>
      <c r="AR484" s="275"/>
      <c r="AS484" s="275">
        <v>10000000</v>
      </c>
      <c r="AT484" s="275"/>
      <c r="AU484" s="275">
        <v>30000000</v>
      </c>
      <c r="AV484" s="275"/>
      <c r="AW484" s="275">
        <v>30000000</v>
      </c>
      <c r="AX484" s="275"/>
      <c r="AY484" s="275">
        <v>30000000</v>
      </c>
      <c r="AZ484" s="275"/>
      <c r="BA484" s="275">
        <v>30000000</v>
      </c>
      <c r="BB484" s="275"/>
      <c r="BC484" s="275">
        <v>30000000</v>
      </c>
      <c r="BD484" s="275"/>
      <c r="BE484" s="275">
        <v>30000000</v>
      </c>
      <c r="BF484" s="275"/>
      <c r="BH484" s="277"/>
    </row>
    <row r="485" spans="1:60" ht="16.5" customHeight="1">
      <c r="A485" s="260">
        <v>463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762</v>
      </c>
      <c r="K485" s="262"/>
      <c r="L485" s="262"/>
      <c r="M485" s="262">
        <v>50222</v>
      </c>
      <c r="N485" s="262" t="s">
        <v>32</v>
      </c>
      <c r="O485" s="262" t="s">
        <v>56</v>
      </c>
      <c r="P485" s="262" t="s">
        <v>57</v>
      </c>
      <c r="Q485" s="262" t="s">
        <v>18</v>
      </c>
      <c r="R485" s="262" t="s">
        <v>468</v>
      </c>
      <c r="S485" s="267" t="s">
        <v>468</v>
      </c>
      <c r="T485" s="268"/>
      <c r="U485" s="269"/>
      <c r="V485" s="269">
        <v>0</v>
      </c>
      <c r="W485" s="278">
        <v>0</v>
      </c>
      <c r="X485" s="270"/>
      <c r="Y485" s="262" t="s">
        <v>25</v>
      </c>
      <c r="Z485" s="271" t="s">
        <v>25</v>
      </c>
      <c r="AA485" s="287"/>
      <c r="AB485" s="287"/>
      <c r="AC485" s="272">
        <f t="shared" si="17"/>
        <v>10000000</v>
      </c>
      <c r="AD485" s="272">
        <v>10000000</v>
      </c>
      <c r="AE485" s="272">
        <f t="shared" si="18"/>
        <v>0</v>
      </c>
      <c r="AF485" s="273"/>
      <c r="AG485" s="274"/>
      <c r="AH485" s="273"/>
      <c r="AI485" s="273"/>
      <c r="AJ485" s="274"/>
      <c r="AK485" s="273"/>
      <c r="AL485" s="275"/>
      <c r="AM485" s="290"/>
      <c r="AN485" s="275"/>
      <c r="AO485" s="276"/>
      <c r="AP485" s="275"/>
      <c r="AQ485" s="275"/>
      <c r="AR485" s="275"/>
      <c r="AS485" s="275">
        <v>10000000</v>
      </c>
      <c r="AT485" s="275"/>
      <c r="AU485" s="275"/>
      <c r="AV485" s="275"/>
      <c r="AW485" s="275"/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customHeight="1">
      <c r="A486" s="260">
        <v>464</v>
      </c>
      <c r="B486" s="261"/>
      <c r="C486" s="261"/>
      <c r="D486" s="262" t="s">
        <v>15</v>
      </c>
      <c r="E486" s="262" t="s">
        <v>364</v>
      </c>
      <c r="F486" s="263" t="s">
        <v>15</v>
      </c>
      <c r="G486" s="264" t="s">
        <v>364</v>
      </c>
      <c r="H486" s="281"/>
      <c r="I486" s="265"/>
      <c r="J486" s="266" t="s">
        <v>964</v>
      </c>
      <c r="K486" s="262"/>
      <c r="L486" s="262"/>
      <c r="M486" s="262">
        <v>22869</v>
      </c>
      <c r="N486" s="262" t="s">
        <v>32</v>
      </c>
      <c r="O486" s="262" t="s">
        <v>35</v>
      </c>
      <c r="P486" s="262"/>
      <c r="Q486" s="262"/>
      <c r="R486" s="262"/>
      <c r="S486" s="267" t="s">
        <v>31</v>
      </c>
      <c r="T486" s="268"/>
      <c r="U486" s="269"/>
      <c r="V486" s="269"/>
      <c r="W486" s="278">
        <v>0</v>
      </c>
      <c r="X486" s="270"/>
      <c r="Y486" s="262"/>
      <c r="Z486" s="271" t="s">
        <v>25</v>
      </c>
      <c r="AA486" s="287"/>
      <c r="AB486" s="287"/>
      <c r="AC486" s="272">
        <f t="shared" si="17"/>
        <v>20000000</v>
      </c>
      <c r="AD486" s="272">
        <v>20000000</v>
      </c>
      <c r="AE486" s="272">
        <f t="shared" si="18"/>
        <v>0</v>
      </c>
      <c r="AF486" s="273"/>
      <c r="AG486" s="274"/>
      <c r="AH486" s="273"/>
      <c r="AI486" s="273"/>
      <c r="AJ486" s="274"/>
      <c r="AK486" s="273"/>
      <c r="AL486" s="275"/>
      <c r="AM486" s="290"/>
      <c r="AN486" s="275"/>
      <c r="AO486" s="276"/>
      <c r="AP486" s="275"/>
      <c r="AQ486" s="275">
        <v>20000000</v>
      </c>
      <c r="AR486" s="275"/>
      <c r="AS486" s="275"/>
      <c r="AT486" s="275"/>
      <c r="AU486" s="275"/>
      <c r="AV486" s="275"/>
      <c r="AW486" s="275"/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customHeight="1">
      <c r="A487" s="260">
        <v>465</v>
      </c>
      <c r="B487" s="261"/>
      <c r="C487" s="261"/>
      <c r="D487" s="262" t="s">
        <v>15</v>
      </c>
      <c r="E487" s="262" t="s">
        <v>364</v>
      </c>
      <c r="F487" s="263" t="s">
        <v>15</v>
      </c>
      <c r="G487" s="264" t="s">
        <v>364</v>
      </c>
      <c r="H487" s="281"/>
      <c r="I487" s="265"/>
      <c r="J487" s="266" t="s">
        <v>391</v>
      </c>
      <c r="K487" s="262"/>
      <c r="L487" s="262"/>
      <c r="M487" s="262">
        <v>1104</v>
      </c>
      <c r="N487" s="262" t="s">
        <v>42</v>
      </c>
      <c r="O487" s="262" t="s">
        <v>35</v>
      </c>
      <c r="P487" s="262" t="s">
        <v>57</v>
      </c>
      <c r="Q487" s="262" t="s">
        <v>18</v>
      </c>
      <c r="R487" s="262" t="s">
        <v>19</v>
      </c>
      <c r="S487" s="267" t="s">
        <v>19</v>
      </c>
      <c r="T487" s="268"/>
      <c r="U487" s="269">
        <v>12479000</v>
      </c>
      <c r="V487" s="269">
        <v>0</v>
      </c>
      <c r="W487" s="278">
        <v>0</v>
      </c>
      <c r="X487" s="270"/>
      <c r="Y487" s="262" t="s">
        <v>24</v>
      </c>
      <c r="Z487" s="271" t="s">
        <v>25</v>
      </c>
      <c r="AA487" s="287"/>
      <c r="AB487" s="287"/>
      <c r="AC487" s="272">
        <f t="shared" si="17"/>
        <v>12000000</v>
      </c>
      <c r="AD487" s="272">
        <v>12000000</v>
      </c>
      <c r="AE487" s="272">
        <f t="shared" si="18"/>
        <v>0</v>
      </c>
      <c r="AF487" s="273"/>
      <c r="AG487" s="274"/>
      <c r="AH487" s="273"/>
      <c r="AI487" s="273"/>
      <c r="AJ487" s="274"/>
      <c r="AK487" s="273"/>
      <c r="AL487" s="275"/>
      <c r="AM487" s="290"/>
      <c r="AN487" s="275"/>
      <c r="AO487" s="276"/>
      <c r="AP487" s="275"/>
      <c r="AQ487" s="275"/>
      <c r="AR487" s="275"/>
      <c r="AS487" s="275"/>
      <c r="AT487" s="275"/>
      <c r="AU487" s="275"/>
      <c r="AV487" s="275"/>
      <c r="AW487" s="275">
        <v>12000000</v>
      </c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customHeight="1">
      <c r="A488" s="260">
        <v>466</v>
      </c>
      <c r="B488" s="261"/>
      <c r="C488" s="261"/>
      <c r="D488" s="262" t="s">
        <v>15</v>
      </c>
      <c r="E488" s="262" t="s">
        <v>364</v>
      </c>
      <c r="F488" s="263" t="s">
        <v>15</v>
      </c>
      <c r="G488" s="264" t="s">
        <v>364</v>
      </c>
      <c r="H488" s="281"/>
      <c r="I488" s="265"/>
      <c r="J488" s="266" t="s">
        <v>391</v>
      </c>
      <c r="K488" s="262"/>
      <c r="L488" s="262"/>
      <c r="M488" s="262">
        <v>1104</v>
      </c>
      <c r="N488" s="262" t="s">
        <v>42</v>
      </c>
      <c r="O488" s="262" t="s">
        <v>35</v>
      </c>
      <c r="P488" s="262" t="s">
        <v>57</v>
      </c>
      <c r="Q488" s="262" t="s">
        <v>26</v>
      </c>
      <c r="R488" s="262" t="s">
        <v>468</v>
      </c>
      <c r="S488" s="267" t="s">
        <v>468</v>
      </c>
      <c r="T488" s="268"/>
      <c r="U488" s="269"/>
      <c r="V488" s="269"/>
      <c r="W488" s="278">
        <v>0</v>
      </c>
      <c r="X488" s="270"/>
      <c r="Y488" s="262" t="s">
        <v>25</v>
      </c>
      <c r="Z488" s="271" t="s">
        <v>27</v>
      </c>
      <c r="AA488" s="287"/>
      <c r="AB488" s="287"/>
      <c r="AC488" s="272">
        <f t="shared" si="17"/>
        <v>59000000</v>
      </c>
      <c r="AD488" s="272">
        <v>56000000</v>
      </c>
      <c r="AE488" s="272">
        <f t="shared" si="18"/>
        <v>3000000</v>
      </c>
      <c r="AF488" s="273"/>
      <c r="AG488" s="274"/>
      <c r="AH488" s="273"/>
      <c r="AI488" s="273"/>
      <c r="AJ488" s="274"/>
      <c r="AK488" s="273"/>
      <c r="AL488" s="275">
        <v>6000000</v>
      </c>
      <c r="AM488" s="290">
        <v>6000000</v>
      </c>
      <c r="AN488" s="275"/>
      <c r="AO488" s="276">
        <v>3000000</v>
      </c>
      <c r="AP488" s="275"/>
      <c r="AQ488" s="275"/>
      <c r="AR488" s="275"/>
      <c r="AS488" s="275"/>
      <c r="AT488" s="275"/>
      <c r="AU488" s="275"/>
      <c r="AV488" s="275"/>
      <c r="AW488" s="275">
        <v>50000000</v>
      </c>
      <c r="AX488" s="275"/>
      <c r="AY488" s="275"/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customHeight="1">
      <c r="A489" s="260">
        <v>467</v>
      </c>
      <c r="B489" s="261"/>
      <c r="C489" s="261"/>
      <c r="D489" s="262" t="s">
        <v>15</v>
      </c>
      <c r="E489" s="262" t="s">
        <v>175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56</v>
      </c>
      <c r="P489" s="262" t="s">
        <v>124</v>
      </c>
      <c r="Q489" s="262" t="s">
        <v>26</v>
      </c>
      <c r="R489" s="262" t="s">
        <v>19</v>
      </c>
      <c r="S489" s="267" t="s">
        <v>19</v>
      </c>
      <c r="T489" s="268"/>
      <c r="U489" s="269"/>
      <c r="V489" s="269"/>
      <c r="W489" s="278">
        <v>78300000</v>
      </c>
      <c r="X489" s="270"/>
      <c r="Y489" s="262" t="s">
        <v>27</v>
      </c>
      <c r="Z489" s="271" t="s">
        <v>24</v>
      </c>
      <c r="AA489" s="287"/>
      <c r="AB489" s="287"/>
      <c r="AC489" s="272">
        <f t="shared" si="17"/>
        <v>50000000</v>
      </c>
      <c r="AD489" s="272">
        <v>50000000</v>
      </c>
      <c r="AE489" s="272">
        <f t="shared" si="18"/>
        <v>0</v>
      </c>
      <c r="AF489" s="273"/>
      <c r="AG489" s="274"/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>
        <v>15000000</v>
      </c>
      <c r="AR489" s="275"/>
      <c r="AS489" s="275">
        <v>35000000</v>
      </c>
      <c r="AT489" s="275"/>
      <c r="AU489" s="275"/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customHeight="1">
      <c r="A490" s="260">
        <v>468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124</v>
      </c>
      <c r="Q490" s="262" t="s">
        <v>26</v>
      </c>
      <c r="R490" s="262" t="s">
        <v>19</v>
      </c>
      <c r="S490" s="267" t="s">
        <v>19</v>
      </c>
      <c r="T490" s="268"/>
      <c r="U490" s="269"/>
      <c r="V490" s="269"/>
      <c r="W490" s="278">
        <v>0</v>
      </c>
      <c r="X490" s="270"/>
      <c r="Y490" s="262" t="s">
        <v>27</v>
      </c>
      <c r="Z490" s="271" t="s">
        <v>718</v>
      </c>
      <c r="AA490" s="287"/>
      <c r="AB490" s="287"/>
      <c r="AC490" s="272">
        <f t="shared" si="17"/>
        <v>0</v>
      </c>
      <c r="AD490" s="272">
        <v>0</v>
      </c>
      <c r="AE490" s="272">
        <f t="shared" si="18"/>
        <v>0</v>
      </c>
      <c r="AF490" s="273"/>
      <c r="AG490" s="274"/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75"/>
      <c r="AR490" s="275"/>
      <c r="AS490" s="275"/>
      <c r="AT490" s="275"/>
      <c r="AU490" s="275"/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customHeight="1">
      <c r="A491" s="260">
        <v>469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634</v>
      </c>
      <c r="K491" s="262"/>
      <c r="L491" s="262"/>
      <c r="M491" s="262">
        <v>1429</v>
      </c>
      <c r="N491" s="262" t="s">
        <v>22</v>
      </c>
      <c r="O491" s="262" t="s">
        <v>35</v>
      </c>
      <c r="P491" s="262" t="s">
        <v>124</v>
      </c>
      <c r="Q491" s="262" t="s">
        <v>26</v>
      </c>
      <c r="R491" s="262" t="s">
        <v>468</v>
      </c>
      <c r="S491" s="267" t="s">
        <v>468</v>
      </c>
      <c r="T491" s="268"/>
      <c r="U491" s="269"/>
      <c r="V491" s="269">
        <v>18527273</v>
      </c>
      <c r="W491" s="278">
        <v>0</v>
      </c>
      <c r="X491" s="270"/>
      <c r="Y491" s="262" t="s">
        <v>24</v>
      </c>
      <c r="Z491" s="271" t="s">
        <v>27</v>
      </c>
      <c r="AA491" s="287"/>
      <c r="AB491" s="287"/>
      <c r="AC491" s="272">
        <f t="shared" si="17"/>
        <v>4411896</v>
      </c>
      <c r="AD491" s="272">
        <v>4411896</v>
      </c>
      <c r="AE491" s="272">
        <f t="shared" si="18"/>
        <v>0</v>
      </c>
      <c r="AF491" s="273">
        <v>4411896</v>
      </c>
      <c r="AG491" s="274">
        <v>4411896</v>
      </c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>
        <v>0</v>
      </c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customHeight="1">
      <c r="A492" s="260">
        <v>470</v>
      </c>
      <c r="B492" s="261"/>
      <c r="C492" s="261"/>
      <c r="D492" s="262" t="s">
        <v>15</v>
      </c>
      <c r="E492" s="262" t="s">
        <v>364</v>
      </c>
      <c r="F492" s="263" t="s">
        <v>15</v>
      </c>
      <c r="G492" s="264" t="s">
        <v>364</v>
      </c>
      <c r="H492" s="281"/>
      <c r="I492" s="265"/>
      <c r="J492" s="266" t="s">
        <v>634</v>
      </c>
      <c r="K492" s="262"/>
      <c r="L492" s="262"/>
      <c r="M492" s="262">
        <v>1429</v>
      </c>
      <c r="N492" s="262" t="s">
        <v>22</v>
      </c>
      <c r="O492" s="262" t="s">
        <v>35</v>
      </c>
      <c r="P492" s="262" t="s">
        <v>57</v>
      </c>
      <c r="Q492" s="262"/>
      <c r="R492" s="262"/>
      <c r="S492" s="267" t="s">
        <v>822</v>
      </c>
      <c r="T492" s="268"/>
      <c r="U492" s="269"/>
      <c r="V492" s="269"/>
      <c r="W492" s="278">
        <v>0</v>
      </c>
      <c r="X492" s="270"/>
      <c r="Y492" s="262"/>
      <c r="Z492" s="271" t="s">
        <v>25</v>
      </c>
      <c r="AA492" s="287"/>
      <c r="AB492" s="287"/>
      <c r="AC492" s="272">
        <f t="shared" si="17"/>
        <v>20000000</v>
      </c>
      <c r="AD492" s="272">
        <v>20000000</v>
      </c>
      <c r="AE492" s="272">
        <f t="shared" si="18"/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75"/>
      <c r="AR492" s="275"/>
      <c r="AS492" s="275"/>
      <c r="AT492" s="275"/>
      <c r="AU492" s="275">
        <v>20000000</v>
      </c>
      <c r="AV492" s="275"/>
      <c r="AW492" s="275"/>
      <c r="AX492" s="275"/>
      <c r="AY492" s="275"/>
      <c r="AZ492" s="275"/>
      <c r="BA492" s="275"/>
      <c r="BB492" s="275"/>
      <c r="BC492" s="275"/>
      <c r="BD492" s="275"/>
      <c r="BE492" s="275"/>
      <c r="BF492" s="275"/>
      <c r="BH492" s="277"/>
    </row>
    <row r="493" spans="1:60" ht="16.5" customHeight="1">
      <c r="A493" s="260">
        <v>471</v>
      </c>
      <c r="B493" s="261"/>
      <c r="C493" s="261"/>
      <c r="D493" s="262" t="s">
        <v>15</v>
      </c>
      <c r="E493" s="262" t="s">
        <v>364</v>
      </c>
      <c r="F493" s="263" t="s">
        <v>15</v>
      </c>
      <c r="G493" s="264" t="s">
        <v>364</v>
      </c>
      <c r="H493" s="281"/>
      <c r="I493" s="265"/>
      <c r="J493" s="266" t="s">
        <v>634</v>
      </c>
      <c r="K493" s="262"/>
      <c r="L493" s="262"/>
      <c r="M493" s="262">
        <v>1429</v>
      </c>
      <c r="N493" s="262" t="s">
        <v>22</v>
      </c>
      <c r="O493" s="262" t="s">
        <v>35</v>
      </c>
      <c r="P493" s="262" t="s">
        <v>57</v>
      </c>
      <c r="Q493" s="262"/>
      <c r="R493" s="262"/>
      <c r="S493" s="267" t="s">
        <v>828</v>
      </c>
      <c r="T493" s="268"/>
      <c r="U493" s="269"/>
      <c r="V493" s="269"/>
      <c r="W493" s="278">
        <v>0</v>
      </c>
      <c r="X493" s="270"/>
      <c r="Y493" s="262"/>
      <c r="Z493" s="271" t="s">
        <v>25</v>
      </c>
      <c r="AA493" s="287"/>
      <c r="AB493" s="287"/>
      <c r="AC493" s="272">
        <f t="shared" si="17"/>
        <v>20000000</v>
      </c>
      <c r="AD493" s="272">
        <v>20000000</v>
      </c>
      <c r="AE493" s="272">
        <f t="shared" si="18"/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>
        <v>20000000</v>
      </c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H493" s="277"/>
    </row>
    <row r="494" spans="1:60" ht="16.5" customHeight="1">
      <c r="A494" s="260">
        <v>472</v>
      </c>
      <c r="B494" s="261"/>
      <c r="C494" s="261"/>
      <c r="D494" s="262" t="s">
        <v>15</v>
      </c>
      <c r="E494" s="262" t="s">
        <v>364</v>
      </c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 t="s">
        <v>22</v>
      </c>
      <c r="O494" s="262" t="s">
        <v>56</v>
      </c>
      <c r="P494" s="262" t="s">
        <v>57</v>
      </c>
      <c r="Q494" s="262"/>
      <c r="R494" s="262" t="s">
        <v>19</v>
      </c>
      <c r="S494" s="267" t="s">
        <v>19</v>
      </c>
      <c r="T494" s="268"/>
      <c r="U494" s="269"/>
      <c r="V494" s="269"/>
      <c r="W494" s="278">
        <v>49665000</v>
      </c>
      <c r="X494" s="270"/>
      <c r="Y494" s="262" t="s">
        <v>27</v>
      </c>
      <c r="Z494" s="271" t="s">
        <v>24</v>
      </c>
      <c r="AA494" s="287"/>
      <c r="AB494" s="287"/>
      <c r="AC494" s="272">
        <f t="shared" si="17"/>
        <v>0</v>
      </c>
      <c r="AD494" s="272">
        <v>0</v>
      </c>
      <c r="AE494" s="272">
        <f t="shared" si="18"/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/>
      <c r="AP494" s="275"/>
      <c r="AQ494" s="275"/>
      <c r="AR494" s="275"/>
      <c r="AS494" s="275"/>
      <c r="AT494" s="275"/>
      <c r="AU494" s="275"/>
      <c r="AV494" s="275"/>
      <c r="AW494" s="275"/>
      <c r="AX494" s="275"/>
      <c r="AY494" s="275"/>
      <c r="AZ494" s="275"/>
      <c r="BA494" s="275"/>
      <c r="BB494" s="275"/>
      <c r="BC494" s="275"/>
      <c r="BD494" s="275"/>
      <c r="BE494" s="275"/>
      <c r="BF494" s="275"/>
      <c r="BH494" s="277"/>
    </row>
    <row r="495" spans="1:60" ht="16.5" customHeight="1">
      <c r="A495" s="260">
        <v>473</v>
      </c>
      <c r="B495" s="261"/>
      <c r="C495" s="261"/>
      <c r="D495" s="262"/>
      <c r="E495" s="262"/>
      <c r="F495" s="263" t="s">
        <v>15</v>
      </c>
      <c r="G495" s="264" t="s">
        <v>364</v>
      </c>
      <c r="H495" s="281"/>
      <c r="I495" s="265"/>
      <c r="J495" s="266" t="s">
        <v>392</v>
      </c>
      <c r="K495" s="262"/>
      <c r="L495" s="262"/>
      <c r="M495" s="262">
        <v>8229</v>
      </c>
      <c r="N495" s="262" t="s">
        <v>22</v>
      </c>
      <c r="O495" s="262" t="s">
        <v>56</v>
      </c>
      <c r="P495" s="262" t="s">
        <v>57</v>
      </c>
      <c r="Q495" s="262" t="s">
        <v>30</v>
      </c>
      <c r="R495" s="262" t="s">
        <v>31</v>
      </c>
      <c r="S495" s="267" t="s">
        <v>31</v>
      </c>
      <c r="T495" s="268"/>
      <c r="U495" s="269">
        <v>42054000</v>
      </c>
      <c r="V495" s="269">
        <v>51772000</v>
      </c>
      <c r="W495" s="278">
        <v>0</v>
      </c>
      <c r="X495" s="270"/>
      <c r="Y495" s="262" t="s">
        <v>24</v>
      </c>
      <c r="Z495" s="271" t="s">
        <v>24</v>
      </c>
      <c r="AA495" s="287"/>
      <c r="AB495" s="287"/>
      <c r="AC495" s="272">
        <f t="shared" si="17"/>
        <v>50000000</v>
      </c>
      <c r="AD495" s="272">
        <v>50000000</v>
      </c>
      <c r="AE495" s="272">
        <f t="shared" si="18"/>
        <v>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/>
      <c r="AR495" s="275"/>
      <c r="AS495" s="275">
        <v>15000000</v>
      </c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>
        <v>35000000</v>
      </c>
      <c r="BD495" s="275"/>
      <c r="BE495" s="275"/>
      <c r="BF495" s="275"/>
      <c r="BH495" s="277"/>
    </row>
    <row r="496" spans="1:60" ht="16.5" customHeight="1">
      <c r="A496" s="260">
        <v>474</v>
      </c>
      <c r="B496" s="261"/>
      <c r="C496" s="261"/>
      <c r="D496" s="262" t="s">
        <v>15</v>
      </c>
      <c r="E496" s="262" t="s">
        <v>364</v>
      </c>
      <c r="F496" s="263" t="s">
        <v>15</v>
      </c>
      <c r="G496" s="264" t="s">
        <v>364</v>
      </c>
      <c r="H496" s="281"/>
      <c r="I496" s="265"/>
      <c r="J496" s="266" t="s">
        <v>392</v>
      </c>
      <c r="K496" s="262"/>
      <c r="L496" s="262"/>
      <c r="M496" s="262">
        <v>8229</v>
      </c>
      <c r="N496" s="262"/>
      <c r="O496" s="262"/>
      <c r="P496" s="262"/>
      <c r="Q496" s="262"/>
      <c r="R496" s="262"/>
      <c r="S496" s="267" t="s">
        <v>478</v>
      </c>
      <c r="T496" s="268"/>
      <c r="U496" s="269"/>
      <c r="V496" s="269"/>
      <c r="W496" s="278">
        <v>3100000</v>
      </c>
      <c r="X496" s="270"/>
      <c r="Y496" s="262"/>
      <c r="Z496" s="271" t="s">
        <v>718</v>
      </c>
      <c r="AA496" s="287"/>
      <c r="AB496" s="287"/>
      <c r="AC496" s="272">
        <f t="shared" si="17"/>
        <v>0</v>
      </c>
      <c r="AD496" s="272">
        <v>0</v>
      </c>
      <c r="AE496" s="272">
        <f t="shared" si="18"/>
        <v>0</v>
      </c>
      <c r="AF496" s="273"/>
      <c r="AG496" s="274"/>
      <c r="AH496" s="273"/>
      <c r="AI496" s="273"/>
      <c r="AJ496" s="274"/>
      <c r="AK496" s="273"/>
      <c r="AL496" s="275"/>
      <c r="AM496" s="290"/>
      <c r="AN496" s="275"/>
      <c r="AO496" s="276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H496" s="277"/>
    </row>
    <row r="497" spans="1:60" ht="16.5" customHeight="1">
      <c r="A497" s="260">
        <v>475</v>
      </c>
      <c r="B497" s="261"/>
      <c r="C497" s="261"/>
      <c r="D497" s="262" t="s">
        <v>15</v>
      </c>
      <c r="E497" s="262" t="s">
        <v>364</v>
      </c>
      <c r="F497" s="263" t="s">
        <v>15</v>
      </c>
      <c r="G497" s="264" t="s">
        <v>364</v>
      </c>
      <c r="H497" s="281"/>
      <c r="I497" s="265"/>
      <c r="J497" s="266" t="s">
        <v>392</v>
      </c>
      <c r="K497" s="262"/>
      <c r="L497" s="262"/>
      <c r="M497" s="262">
        <v>8229</v>
      </c>
      <c r="N497" s="262" t="s">
        <v>22</v>
      </c>
      <c r="O497" s="262" t="s">
        <v>35</v>
      </c>
      <c r="P497" s="262" t="s">
        <v>57</v>
      </c>
      <c r="Q497" s="262"/>
      <c r="R497" s="262"/>
      <c r="S497" s="267" t="s">
        <v>828</v>
      </c>
      <c r="T497" s="268"/>
      <c r="U497" s="269"/>
      <c r="V497" s="269"/>
      <c r="W497" s="278">
        <v>0</v>
      </c>
      <c r="X497" s="270"/>
      <c r="Y497" s="262"/>
      <c r="Z497" s="271" t="s">
        <v>25</v>
      </c>
      <c r="AA497" s="287"/>
      <c r="AB497" s="287"/>
      <c r="AC497" s="272">
        <f t="shared" si="17"/>
        <v>12000000</v>
      </c>
      <c r="AD497" s="272">
        <v>15000000</v>
      </c>
      <c r="AE497" s="272">
        <f t="shared" si="18"/>
        <v>-3000000</v>
      </c>
      <c r="AF497" s="273"/>
      <c r="AG497" s="274"/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>
        <v>3000000</v>
      </c>
      <c r="AR497" s="275"/>
      <c r="AS497" s="275"/>
      <c r="AT497" s="275"/>
      <c r="AU497" s="275">
        <v>3000000</v>
      </c>
      <c r="AV497" s="275"/>
      <c r="AW497" s="275"/>
      <c r="AX497" s="275"/>
      <c r="AY497" s="275">
        <v>3000000</v>
      </c>
      <c r="AZ497" s="275"/>
      <c r="BA497" s="275">
        <v>3000000</v>
      </c>
      <c r="BB497" s="275"/>
      <c r="BC497" s="275"/>
      <c r="BD497" s="275"/>
      <c r="BE497" s="275"/>
      <c r="BF497" s="275"/>
      <c r="BH497" s="277"/>
    </row>
    <row r="498" spans="1:60" ht="16.5" customHeight="1">
      <c r="A498" s="260">
        <v>476</v>
      </c>
      <c r="B498" s="261"/>
      <c r="C498" s="261"/>
      <c r="D498" s="262"/>
      <c r="E498" s="262"/>
      <c r="F498" s="263" t="s">
        <v>15</v>
      </c>
      <c r="G498" s="264" t="s">
        <v>364</v>
      </c>
      <c r="H498" s="281"/>
      <c r="I498" s="265"/>
      <c r="J498" s="266" t="s">
        <v>393</v>
      </c>
      <c r="K498" s="262"/>
      <c r="L498" s="262"/>
      <c r="M498" s="262">
        <v>28670</v>
      </c>
      <c r="N498" s="262" t="s">
        <v>42</v>
      </c>
      <c r="O498" s="262" t="s">
        <v>35</v>
      </c>
      <c r="P498" s="262" t="s">
        <v>57</v>
      </c>
      <c r="Q498" s="262" t="s">
        <v>30</v>
      </c>
      <c r="R498" s="262" t="s">
        <v>31</v>
      </c>
      <c r="S498" s="267" t="s">
        <v>31</v>
      </c>
      <c r="T498" s="268"/>
      <c r="U498" s="269">
        <v>2970000</v>
      </c>
      <c r="V498" s="269">
        <v>0</v>
      </c>
      <c r="W498" s="278">
        <v>0</v>
      </c>
      <c r="X498" s="270"/>
      <c r="Y498" s="262" t="s">
        <v>24</v>
      </c>
      <c r="Z498" s="271" t="s">
        <v>24</v>
      </c>
      <c r="AA498" s="287"/>
      <c r="AB498" s="287"/>
      <c r="AC498" s="272">
        <f t="shared" si="17"/>
        <v>3000000</v>
      </c>
      <c r="AD498" s="272">
        <v>3000000</v>
      </c>
      <c r="AE498" s="272">
        <f t="shared" si="18"/>
        <v>0</v>
      </c>
      <c r="AF498" s="273"/>
      <c r="AG498" s="274"/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>
        <v>3000000</v>
      </c>
      <c r="BF498" s="275"/>
      <c r="BH498" s="277"/>
    </row>
    <row r="499" spans="1:60" ht="16.5" customHeight="1">
      <c r="A499" s="260">
        <v>477</v>
      </c>
      <c r="B499" s="261"/>
      <c r="C499" s="261"/>
      <c r="D499" s="262" t="s">
        <v>15</v>
      </c>
      <c r="E499" s="262" t="s">
        <v>364</v>
      </c>
      <c r="F499" s="263" t="s">
        <v>15</v>
      </c>
      <c r="G499" s="264" t="s">
        <v>364</v>
      </c>
      <c r="H499" s="281"/>
      <c r="I499" s="265"/>
      <c r="J499" s="266" t="s">
        <v>963</v>
      </c>
      <c r="K499" s="262"/>
      <c r="L499" s="262"/>
      <c r="M499" s="262">
        <v>16169</v>
      </c>
      <c r="N499" s="262"/>
      <c r="O499" s="262"/>
      <c r="P499" s="262"/>
      <c r="Q499" s="262"/>
      <c r="R499" s="262" t="s">
        <v>31</v>
      </c>
      <c r="S499" s="267" t="s">
        <v>31</v>
      </c>
      <c r="T499" s="268"/>
      <c r="U499" s="269"/>
      <c r="V499" s="269"/>
      <c r="W499" s="278">
        <v>0</v>
      </c>
      <c r="X499" s="270"/>
      <c r="Y499" s="262" t="s">
        <v>718</v>
      </c>
      <c r="Z499" s="271" t="s">
        <v>27</v>
      </c>
      <c r="AA499" s="287"/>
      <c r="AB499" s="287"/>
      <c r="AC499" s="272">
        <f t="shared" si="17"/>
        <v>3278000</v>
      </c>
      <c r="AD499" s="272">
        <v>3278000</v>
      </c>
      <c r="AE499" s="272">
        <f t="shared" si="18"/>
        <v>0</v>
      </c>
      <c r="AF499" s="273">
        <v>2282000</v>
      </c>
      <c r="AG499" s="274">
        <v>3278000</v>
      </c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H499" s="277"/>
    </row>
    <row r="500" spans="1:60" ht="16.5" customHeight="1">
      <c r="A500" s="260">
        <v>478</v>
      </c>
      <c r="B500" s="261"/>
      <c r="C500" s="261"/>
      <c r="D500" s="262" t="s">
        <v>15</v>
      </c>
      <c r="E500" s="262" t="s">
        <v>364</v>
      </c>
      <c r="F500" s="263" t="s">
        <v>15</v>
      </c>
      <c r="G500" s="264" t="s">
        <v>364</v>
      </c>
      <c r="H500" s="281"/>
      <c r="I500" s="265"/>
      <c r="J500" s="266" t="s">
        <v>632</v>
      </c>
      <c r="K500" s="262"/>
      <c r="L500" s="262"/>
      <c r="M500" s="262">
        <v>43110</v>
      </c>
      <c r="N500" s="262" t="s">
        <v>22</v>
      </c>
      <c r="O500" s="262" t="s">
        <v>56</v>
      </c>
      <c r="P500" s="262" t="s">
        <v>57</v>
      </c>
      <c r="Q500" s="262" t="s">
        <v>30</v>
      </c>
      <c r="R500" s="262" t="s">
        <v>31</v>
      </c>
      <c r="S500" s="267" t="s">
        <v>31</v>
      </c>
      <c r="T500" s="268"/>
      <c r="U500" s="269"/>
      <c r="V500" s="269">
        <v>896000</v>
      </c>
      <c r="W500" s="278">
        <v>0</v>
      </c>
      <c r="X500" s="270"/>
      <c r="Y500" s="262" t="s">
        <v>20</v>
      </c>
      <c r="Z500" s="271" t="s">
        <v>20</v>
      </c>
      <c r="AA500" s="287"/>
      <c r="AB500" s="287"/>
      <c r="AC500" s="272">
        <f t="shared" si="17"/>
        <v>0</v>
      </c>
      <c r="AD500" s="272">
        <v>0</v>
      </c>
      <c r="AE500" s="272">
        <f t="shared" si="18"/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H500" s="277"/>
    </row>
    <row r="501" spans="1:60" ht="16.5" customHeight="1">
      <c r="A501" s="260">
        <v>479</v>
      </c>
      <c r="B501" s="261"/>
      <c r="C501" s="261"/>
      <c r="D501" s="262"/>
      <c r="E501" s="262"/>
      <c r="F501" s="263" t="s">
        <v>15</v>
      </c>
      <c r="G501" s="264" t="s">
        <v>364</v>
      </c>
      <c r="H501" s="281"/>
      <c r="I501" s="265"/>
      <c r="J501" s="266" t="s">
        <v>394</v>
      </c>
      <c r="K501" s="262"/>
      <c r="L501" s="262"/>
      <c r="M501" s="262">
        <v>16703</v>
      </c>
      <c r="N501" s="262" t="s">
        <v>22</v>
      </c>
      <c r="O501" s="262" t="s">
        <v>56</v>
      </c>
      <c r="P501" s="262" t="s">
        <v>57</v>
      </c>
      <c r="Q501" s="262" t="s">
        <v>30</v>
      </c>
      <c r="R501" s="262" t="s">
        <v>31</v>
      </c>
      <c r="S501" s="267" t="s">
        <v>31</v>
      </c>
      <c r="T501" s="268"/>
      <c r="U501" s="269">
        <v>14967000</v>
      </c>
      <c r="V501" s="269">
        <v>13598000</v>
      </c>
      <c r="W501" s="278">
        <v>13951000</v>
      </c>
      <c r="X501" s="270"/>
      <c r="Y501" s="262" t="s">
        <v>24</v>
      </c>
      <c r="Z501" s="271" t="s">
        <v>24</v>
      </c>
      <c r="AA501" s="287"/>
      <c r="AB501" s="287"/>
      <c r="AC501" s="272">
        <f t="shared" si="17"/>
        <v>10000000</v>
      </c>
      <c r="AD501" s="272">
        <v>10000000</v>
      </c>
      <c r="AE501" s="272">
        <f t="shared" si="18"/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>
        <v>10000000</v>
      </c>
      <c r="BF501" s="275"/>
      <c r="BH501" s="277"/>
    </row>
    <row r="502" spans="1:60" ht="16.5" customHeight="1">
      <c r="A502" s="260">
        <v>480</v>
      </c>
      <c r="B502" s="261"/>
      <c r="C502" s="261"/>
      <c r="D502" s="262" t="s">
        <v>15</v>
      </c>
      <c r="E502" s="262" t="s">
        <v>364</v>
      </c>
      <c r="F502" s="263" t="s">
        <v>15</v>
      </c>
      <c r="G502" s="264" t="s">
        <v>364</v>
      </c>
      <c r="H502" s="281"/>
      <c r="I502" s="265"/>
      <c r="J502" s="266" t="s">
        <v>394</v>
      </c>
      <c r="K502" s="262"/>
      <c r="L502" s="262"/>
      <c r="M502" s="262">
        <v>16703</v>
      </c>
      <c r="N502" s="262"/>
      <c r="O502" s="262"/>
      <c r="P502" s="262"/>
      <c r="Q502" s="262"/>
      <c r="R502" s="262"/>
      <c r="S502" s="267" t="s">
        <v>478</v>
      </c>
      <c r="T502" s="268"/>
      <c r="U502" s="269"/>
      <c r="V502" s="269"/>
      <c r="W502" s="278">
        <v>4950000</v>
      </c>
      <c r="X502" s="270"/>
      <c r="Y502" s="262"/>
      <c r="Z502" s="271" t="s">
        <v>718</v>
      </c>
      <c r="AA502" s="287"/>
      <c r="AB502" s="287"/>
      <c r="AC502" s="272">
        <f t="shared" si="17"/>
        <v>0</v>
      </c>
      <c r="AD502" s="272">
        <v>0</v>
      </c>
      <c r="AE502" s="272">
        <f t="shared" si="18"/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H502" s="277"/>
    </row>
    <row r="503" spans="1:60" ht="16.5" customHeight="1">
      <c r="A503" s="260">
        <v>481</v>
      </c>
      <c r="B503" s="261"/>
      <c r="C503" s="261"/>
      <c r="D503" s="262" t="s">
        <v>15</v>
      </c>
      <c r="E503" s="262" t="s">
        <v>364</v>
      </c>
      <c r="F503" s="263" t="s">
        <v>15</v>
      </c>
      <c r="G503" s="264" t="s">
        <v>364</v>
      </c>
      <c r="H503" s="281"/>
      <c r="I503" s="265"/>
      <c r="J503" s="266" t="s">
        <v>395</v>
      </c>
      <c r="K503" s="262"/>
      <c r="L503" s="262"/>
      <c r="M503" s="262">
        <v>14630</v>
      </c>
      <c r="N503" s="262" t="s">
        <v>22</v>
      </c>
      <c r="O503" s="262" t="s">
        <v>56</v>
      </c>
      <c r="P503" s="262" t="s">
        <v>57</v>
      </c>
      <c r="Q503" s="262" t="s">
        <v>63</v>
      </c>
      <c r="R503" s="262" t="s">
        <v>28</v>
      </c>
      <c r="S503" s="267" t="s">
        <v>28</v>
      </c>
      <c r="T503" s="268"/>
      <c r="U503" s="269"/>
      <c r="V503" s="269">
        <v>16182000</v>
      </c>
      <c r="W503" s="278">
        <v>0</v>
      </c>
      <c r="X503" s="270"/>
      <c r="Y503" s="262" t="s">
        <v>20</v>
      </c>
      <c r="Z503" s="271" t="s">
        <v>20</v>
      </c>
      <c r="AA503" s="287"/>
      <c r="AB503" s="287"/>
      <c r="AC503" s="272">
        <f t="shared" si="17"/>
        <v>0</v>
      </c>
      <c r="AD503" s="272">
        <v>0</v>
      </c>
      <c r="AE503" s="272">
        <f t="shared" si="18"/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H503" s="277"/>
    </row>
    <row r="504" spans="1:60" ht="16.5" customHeight="1">
      <c r="A504" s="260">
        <v>482</v>
      </c>
      <c r="B504" s="261"/>
      <c r="C504" s="261"/>
      <c r="D504" s="262" t="s">
        <v>15</v>
      </c>
      <c r="E504" s="262" t="s">
        <v>364</v>
      </c>
      <c r="F504" s="263" t="s">
        <v>15</v>
      </c>
      <c r="G504" s="264" t="s">
        <v>364</v>
      </c>
      <c r="H504" s="281"/>
      <c r="I504" s="265"/>
      <c r="J504" s="266" t="s">
        <v>395</v>
      </c>
      <c r="K504" s="262"/>
      <c r="L504" s="262"/>
      <c r="M504" s="262">
        <v>14630</v>
      </c>
      <c r="N504" s="262" t="s">
        <v>53</v>
      </c>
      <c r="O504" s="262" t="s">
        <v>56</v>
      </c>
      <c r="P504" s="262" t="s">
        <v>57</v>
      </c>
      <c r="Q504" s="262" t="s">
        <v>30</v>
      </c>
      <c r="R504" s="262" t="s">
        <v>31</v>
      </c>
      <c r="S504" s="267" t="s">
        <v>31</v>
      </c>
      <c r="T504" s="268"/>
      <c r="U504" s="269">
        <v>15497500</v>
      </c>
      <c r="V504" s="269">
        <v>0</v>
      </c>
      <c r="W504" s="278">
        <v>5363000</v>
      </c>
      <c r="X504" s="270"/>
      <c r="Y504" s="262" t="s">
        <v>27</v>
      </c>
      <c r="Z504" s="271" t="s">
        <v>24</v>
      </c>
      <c r="AA504" s="287"/>
      <c r="AB504" s="287"/>
      <c r="AC504" s="272">
        <f t="shared" si="17"/>
        <v>15000000</v>
      </c>
      <c r="AD504" s="272">
        <v>15000000</v>
      </c>
      <c r="AE504" s="272">
        <f t="shared" si="18"/>
        <v>0</v>
      </c>
      <c r="AF504" s="273"/>
      <c r="AG504" s="274"/>
      <c r="AH504" s="273"/>
      <c r="AI504" s="273"/>
      <c r="AJ504" s="274"/>
      <c r="AK504" s="273"/>
      <c r="AL504" s="275"/>
      <c r="AM504" s="290"/>
      <c r="AN504" s="275"/>
      <c r="AO504" s="276"/>
      <c r="AP504" s="275"/>
      <c r="AQ504" s="275"/>
      <c r="AR504" s="275"/>
      <c r="AS504" s="275"/>
      <c r="AT504" s="275"/>
      <c r="AU504" s="275"/>
      <c r="AV504" s="275"/>
      <c r="AW504" s="275"/>
      <c r="AX504" s="275"/>
      <c r="AY504" s="275"/>
      <c r="AZ504" s="275"/>
      <c r="BA504" s="275"/>
      <c r="BB504" s="275"/>
      <c r="BC504" s="275"/>
      <c r="BD504" s="275"/>
      <c r="BE504" s="275">
        <v>15000000</v>
      </c>
      <c r="BF504" s="275"/>
      <c r="BH504" s="277"/>
    </row>
    <row r="505" spans="1:60" ht="16.5" customHeight="1">
      <c r="A505" s="260">
        <v>483</v>
      </c>
      <c r="B505" s="261"/>
      <c r="C505" s="261"/>
      <c r="D505" s="262"/>
      <c r="E505" s="262"/>
      <c r="F505" s="263" t="s">
        <v>15</v>
      </c>
      <c r="G505" s="264" t="s">
        <v>364</v>
      </c>
      <c r="H505" s="281"/>
      <c r="I505" s="265"/>
      <c r="J505" s="266" t="s">
        <v>395</v>
      </c>
      <c r="K505" s="262"/>
      <c r="L505" s="262"/>
      <c r="M505" s="262">
        <v>14630</v>
      </c>
      <c r="N505" s="262" t="s">
        <v>22</v>
      </c>
      <c r="O505" s="262" t="s">
        <v>35</v>
      </c>
      <c r="P505" s="262" t="s">
        <v>57</v>
      </c>
      <c r="Q505" s="262"/>
      <c r="R505" s="262"/>
      <c r="S505" s="267" t="s">
        <v>834</v>
      </c>
      <c r="T505" s="268"/>
      <c r="U505" s="269"/>
      <c r="V505" s="269"/>
      <c r="W505" s="278">
        <v>0</v>
      </c>
      <c r="X505" s="270"/>
      <c r="Y505" s="262"/>
      <c r="Z505" s="271" t="s">
        <v>25</v>
      </c>
      <c r="AA505" s="287"/>
      <c r="AB505" s="287"/>
      <c r="AC505" s="272">
        <f t="shared" si="17"/>
        <v>0</v>
      </c>
      <c r="AD505" s="272">
        <v>0</v>
      </c>
      <c r="AE505" s="272">
        <f t="shared" si="18"/>
        <v>0</v>
      </c>
      <c r="AF505" s="273"/>
      <c r="AG505" s="274"/>
      <c r="AH505" s="273"/>
      <c r="AI505" s="273"/>
      <c r="AJ505" s="274"/>
      <c r="AK505" s="273"/>
      <c r="AL505" s="275"/>
      <c r="AM505" s="290"/>
      <c r="AN505" s="275"/>
      <c r="AO505" s="276"/>
      <c r="AP505" s="275"/>
      <c r="AQ505" s="275"/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H505" s="277"/>
    </row>
    <row r="506" spans="1:60" ht="16.5" customHeight="1">
      <c r="A506" s="260">
        <v>484</v>
      </c>
      <c r="B506" s="261"/>
      <c r="C506" s="261"/>
      <c r="D506" s="262" t="s">
        <v>15</v>
      </c>
      <c r="E506" s="262" t="s">
        <v>364</v>
      </c>
      <c r="F506" s="263" t="s">
        <v>15</v>
      </c>
      <c r="G506" s="264" t="s">
        <v>364</v>
      </c>
      <c r="H506" s="281"/>
      <c r="I506" s="265"/>
      <c r="J506" s="266" t="s">
        <v>203</v>
      </c>
      <c r="K506" s="262"/>
      <c r="L506" s="262"/>
      <c r="M506" s="262">
        <v>13066</v>
      </c>
      <c r="N506" s="262" t="s">
        <v>53</v>
      </c>
      <c r="O506" s="262" t="s">
        <v>35</v>
      </c>
      <c r="P506" s="262" t="s">
        <v>156</v>
      </c>
      <c r="Q506" s="262" t="s">
        <v>30</v>
      </c>
      <c r="R506" s="262" t="s">
        <v>31</v>
      </c>
      <c r="S506" s="267" t="s">
        <v>28</v>
      </c>
      <c r="T506" s="268"/>
      <c r="U506" s="269">
        <v>5240000</v>
      </c>
      <c r="V506" s="269">
        <v>0</v>
      </c>
      <c r="W506" s="278">
        <v>0</v>
      </c>
      <c r="X506" s="270"/>
      <c r="Y506" s="262" t="s">
        <v>21</v>
      </c>
      <c r="Z506" s="271" t="s">
        <v>21</v>
      </c>
      <c r="AA506" s="287"/>
      <c r="AB506" s="287"/>
      <c r="AC506" s="272">
        <f t="shared" si="17"/>
        <v>0</v>
      </c>
      <c r="AD506" s="272">
        <v>0</v>
      </c>
      <c r="AE506" s="272">
        <f t="shared" si="18"/>
        <v>0</v>
      </c>
      <c r="AF506" s="273"/>
      <c r="AG506" s="274"/>
      <c r="AH506" s="273"/>
      <c r="AI506" s="273"/>
      <c r="AJ506" s="274"/>
      <c r="AK506" s="273"/>
      <c r="AL506" s="275"/>
      <c r="AM506" s="290"/>
      <c r="AN506" s="275"/>
      <c r="AO506" s="276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H506" s="277"/>
    </row>
    <row r="507" spans="1:60" ht="16.5" customHeight="1">
      <c r="A507" s="260">
        <v>485</v>
      </c>
      <c r="B507" s="261"/>
      <c r="C507" s="261"/>
      <c r="D507" s="262" t="s">
        <v>15</v>
      </c>
      <c r="E507" s="262" t="s">
        <v>364</v>
      </c>
      <c r="F507" s="263" t="s">
        <v>15</v>
      </c>
      <c r="G507" s="264" t="s">
        <v>364</v>
      </c>
      <c r="H507" s="281"/>
      <c r="I507" s="265"/>
      <c r="J507" s="266" t="s">
        <v>203</v>
      </c>
      <c r="K507" s="262"/>
      <c r="L507" s="262"/>
      <c r="M507" s="262">
        <v>13066</v>
      </c>
      <c r="N507" s="262" t="s">
        <v>53</v>
      </c>
      <c r="O507" s="262" t="s">
        <v>35</v>
      </c>
      <c r="P507" s="262" t="s">
        <v>156</v>
      </c>
      <c r="Q507" s="262"/>
      <c r="R507" s="262" t="s">
        <v>28</v>
      </c>
      <c r="S507" s="267" t="s">
        <v>31</v>
      </c>
      <c r="T507" s="268"/>
      <c r="U507" s="269"/>
      <c r="V507" s="269">
        <v>0</v>
      </c>
      <c r="W507" s="278">
        <v>0</v>
      </c>
      <c r="X507" s="270"/>
      <c r="Y507" s="262" t="s">
        <v>25</v>
      </c>
      <c r="Z507" s="271" t="s">
        <v>27</v>
      </c>
      <c r="AA507" s="287"/>
      <c r="AB507" s="287"/>
      <c r="AC507" s="272">
        <f t="shared" si="17"/>
        <v>19025000</v>
      </c>
      <c r="AD507" s="272">
        <v>19005000</v>
      </c>
      <c r="AE507" s="272">
        <f t="shared" si="18"/>
        <v>20000</v>
      </c>
      <c r="AF507" s="273"/>
      <c r="AG507" s="274"/>
      <c r="AH507" s="273"/>
      <c r="AI507" s="273"/>
      <c r="AJ507" s="274"/>
      <c r="AK507" s="273"/>
      <c r="AL507" s="275">
        <v>5000</v>
      </c>
      <c r="AM507" s="290">
        <v>5000</v>
      </c>
      <c r="AN507" s="275"/>
      <c r="AO507" s="276">
        <v>20000</v>
      </c>
      <c r="AP507" s="275"/>
      <c r="AQ507" s="275">
        <v>0</v>
      </c>
      <c r="AR507" s="275"/>
      <c r="AS507" s="275">
        <v>0</v>
      </c>
      <c r="AT507" s="275"/>
      <c r="AU507" s="275">
        <v>0</v>
      </c>
      <c r="AV507" s="275"/>
      <c r="AW507" s="275">
        <v>0</v>
      </c>
      <c r="AX507" s="275"/>
      <c r="AY507" s="275">
        <v>0</v>
      </c>
      <c r="AZ507" s="275"/>
      <c r="BA507" s="275">
        <v>19000000</v>
      </c>
      <c r="BB507" s="275"/>
      <c r="BC507" s="275">
        <v>0</v>
      </c>
      <c r="BD507" s="275"/>
      <c r="BE507" s="275">
        <v>0</v>
      </c>
      <c r="BF507" s="275"/>
      <c r="BH507" s="277"/>
    </row>
    <row r="508" spans="1:60" ht="16.5" customHeight="1">
      <c r="A508" s="260">
        <v>486</v>
      </c>
      <c r="B508" s="261"/>
      <c r="C508" s="261"/>
      <c r="D508" s="262" t="s">
        <v>15</v>
      </c>
      <c r="E508" s="262" t="s">
        <v>364</v>
      </c>
      <c r="F508" s="263" t="s">
        <v>15</v>
      </c>
      <c r="G508" s="264" t="s">
        <v>364</v>
      </c>
      <c r="H508" s="281"/>
      <c r="I508" s="265"/>
      <c r="J508" s="266" t="s">
        <v>203</v>
      </c>
      <c r="K508" s="262"/>
      <c r="L508" s="262"/>
      <c r="M508" s="262">
        <v>13066</v>
      </c>
      <c r="N508" s="262" t="s">
        <v>53</v>
      </c>
      <c r="O508" s="262" t="s">
        <v>35</v>
      </c>
      <c r="P508" s="262" t="s">
        <v>156</v>
      </c>
      <c r="Q508" s="262"/>
      <c r="R508" s="262" t="s">
        <v>468</v>
      </c>
      <c r="S508" s="267" t="s">
        <v>468</v>
      </c>
      <c r="T508" s="268"/>
      <c r="U508" s="269"/>
      <c r="V508" s="269">
        <v>0</v>
      </c>
      <c r="W508" s="278">
        <v>0</v>
      </c>
      <c r="X508" s="270"/>
      <c r="Y508" s="262" t="s">
        <v>25</v>
      </c>
      <c r="Z508" s="271" t="s">
        <v>25</v>
      </c>
      <c r="AA508" s="287"/>
      <c r="AB508" s="287"/>
      <c r="AC508" s="272">
        <f t="shared" si="17"/>
        <v>3000000</v>
      </c>
      <c r="AD508" s="272">
        <v>3000000</v>
      </c>
      <c r="AE508" s="272">
        <f t="shared" si="18"/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>
        <v>3000000</v>
      </c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/>
      <c r="BD508" s="275"/>
      <c r="BE508" s="275"/>
      <c r="BF508" s="275"/>
      <c r="BH508" s="277"/>
    </row>
    <row r="509" spans="1:60" ht="16.5" customHeight="1">
      <c r="A509" s="260">
        <v>487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78</v>
      </c>
      <c r="K509" s="262"/>
      <c r="L509" s="262"/>
      <c r="M509" s="262">
        <v>4372</v>
      </c>
      <c r="N509" s="262"/>
      <c r="O509" s="262"/>
      <c r="P509" s="262"/>
      <c r="Q509" s="262"/>
      <c r="R509" s="262"/>
      <c r="S509" s="267" t="s">
        <v>19</v>
      </c>
      <c r="T509" s="268"/>
      <c r="U509" s="269"/>
      <c r="V509" s="269"/>
      <c r="W509" s="278">
        <v>2878000</v>
      </c>
      <c r="X509" s="270"/>
      <c r="Y509" s="262"/>
      <c r="Z509" s="271" t="s">
        <v>718</v>
      </c>
      <c r="AA509" s="287"/>
      <c r="AB509" s="287"/>
      <c r="AC509" s="272">
        <f t="shared" si="17"/>
        <v>0</v>
      </c>
      <c r="AD509" s="272">
        <v>0</v>
      </c>
      <c r="AE509" s="272">
        <f t="shared" si="18"/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75"/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  <c r="BD509" s="275"/>
      <c r="BE509" s="275"/>
      <c r="BF509" s="275"/>
      <c r="BH509" s="277"/>
    </row>
    <row r="510" spans="1:60" ht="16.5" customHeight="1">
      <c r="A510" s="260">
        <v>488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78</v>
      </c>
      <c r="K510" s="262"/>
      <c r="L510" s="262"/>
      <c r="M510" s="262">
        <v>4372</v>
      </c>
      <c r="N510" s="262" t="s">
        <v>53</v>
      </c>
      <c r="O510" s="262" t="s">
        <v>56</v>
      </c>
      <c r="P510" s="262" t="s">
        <v>124</v>
      </c>
      <c r="Q510" s="262" t="s">
        <v>30</v>
      </c>
      <c r="R510" s="262" t="s">
        <v>31</v>
      </c>
      <c r="S510" s="267" t="s">
        <v>31</v>
      </c>
      <c r="T510" s="268"/>
      <c r="U510" s="269">
        <v>23914000</v>
      </c>
      <c r="V510" s="269">
        <v>33039000</v>
      </c>
      <c r="W510" s="278">
        <v>31007000</v>
      </c>
      <c r="X510" s="270"/>
      <c r="Y510" s="262" t="s">
        <v>27</v>
      </c>
      <c r="Z510" s="271" t="s">
        <v>27</v>
      </c>
      <c r="AA510" s="287"/>
      <c r="AB510" s="287"/>
      <c r="AC510" s="272">
        <f t="shared" si="17"/>
        <v>30000000</v>
      </c>
      <c r="AD510" s="272">
        <v>30000000</v>
      </c>
      <c r="AE510" s="272">
        <f t="shared" si="18"/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75">
        <v>6000000</v>
      </c>
      <c r="AR510" s="275"/>
      <c r="AS510" s="275">
        <v>4000000</v>
      </c>
      <c r="AT510" s="275"/>
      <c r="AU510" s="275">
        <v>12000000</v>
      </c>
      <c r="AV510" s="275"/>
      <c r="AW510" s="275"/>
      <c r="AX510" s="275"/>
      <c r="AY510" s="275">
        <v>2000000</v>
      </c>
      <c r="AZ510" s="275"/>
      <c r="BA510" s="275"/>
      <c r="BB510" s="275"/>
      <c r="BC510" s="275"/>
      <c r="BD510" s="275"/>
      <c r="BE510" s="275">
        <v>6000000</v>
      </c>
      <c r="BF510" s="275"/>
      <c r="BH510" s="277"/>
    </row>
    <row r="511" spans="1:60" ht="16.5" customHeight="1">
      <c r="A511" s="260">
        <v>489</v>
      </c>
      <c r="B511" s="261"/>
      <c r="C511" s="261"/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1003</v>
      </c>
      <c r="K511" s="262"/>
      <c r="L511" s="262"/>
      <c r="M511" s="262">
        <v>4372</v>
      </c>
      <c r="N511" s="262" t="s">
        <v>53</v>
      </c>
      <c r="O511" s="262" t="s">
        <v>56</v>
      </c>
      <c r="P511" s="262" t="s">
        <v>124</v>
      </c>
      <c r="Q511" s="262"/>
      <c r="R511" s="262" t="s">
        <v>633</v>
      </c>
      <c r="S511" s="267" t="s">
        <v>833</v>
      </c>
      <c r="T511" s="268"/>
      <c r="U511" s="269"/>
      <c r="V511" s="269"/>
      <c r="W511" s="278">
        <v>0</v>
      </c>
      <c r="X511" s="270"/>
      <c r="Y511" s="262" t="s">
        <v>27</v>
      </c>
      <c r="Z511" s="271" t="s">
        <v>27</v>
      </c>
      <c r="AA511" s="287"/>
      <c r="AB511" s="287"/>
      <c r="AC511" s="272">
        <f t="shared" si="17"/>
        <v>7420000</v>
      </c>
      <c r="AD511" s="272">
        <v>7420000</v>
      </c>
      <c r="AE511" s="272">
        <f t="shared" si="18"/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75">
        <v>5194000</v>
      </c>
      <c r="AR511" s="275"/>
      <c r="AS511" s="275"/>
      <c r="AT511" s="275"/>
      <c r="AU511" s="275"/>
      <c r="AV511" s="275"/>
      <c r="AW511" s="275"/>
      <c r="AX511" s="275"/>
      <c r="AY511" s="275"/>
      <c r="AZ511" s="275"/>
      <c r="BA511" s="275"/>
      <c r="BB511" s="275"/>
      <c r="BC511" s="275">
        <v>2226000</v>
      </c>
      <c r="BD511" s="275"/>
      <c r="BE511" s="275"/>
      <c r="BF511" s="275"/>
      <c r="BH511" s="277"/>
    </row>
    <row r="512" spans="1:60" ht="16.5" customHeight="1">
      <c r="A512" s="260">
        <v>490</v>
      </c>
      <c r="B512" s="261"/>
      <c r="C512" s="261"/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78</v>
      </c>
      <c r="K512" s="262"/>
      <c r="L512" s="262"/>
      <c r="M512" s="262">
        <v>4372</v>
      </c>
      <c r="N512" s="262"/>
      <c r="O512" s="262" t="s">
        <v>35</v>
      </c>
      <c r="P512" s="262"/>
      <c r="Q512" s="262"/>
      <c r="R512" s="262"/>
      <c r="S512" s="267" t="s">
        <v>468</v>
      </c>
      <c r="T512" s="268"/>
      <c r="U512" s="269"/>
      <c r="V512" s="269"/>
      <c r="W512" s="278">
        <v>0</v>
      </c>
      <c r="X512" s="270"/>
      <c r="Y512" s="262"/>
      <c r="Z512" s="271" t="s">
        <v>25</v>
      </c>
      <c r="AA512" s="287"/>
      <c r="AB512" s="287"/>
      <c r="AC512" s="272">
        <f t="shared" si="17"/>
        <v>10000000</v>
      </c>
      <c r="AD512" s="272">
        <v>10000000</v>
      </c>
      <c r="AE512" s="272">
        <f t="shared" si="18"/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>
        <v>10000000</v>
      </c>
      <c r="AR512" s="275"/>
      <c r="AS512" s="275"/>
      <c r="AT512" s="275"/>
      <c r="AU512" s="275"/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customHeight="1">
      <c r="A513" s="260">
        <v>491</v>
      </c>
      <c r="B513" s="261"/>
      <c r="C513" s="261"/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596</v>
      </c>
      <c r="K513" s="262"/>
      <c r="L513" s="262"/>
      <c r="M513" s="262">
        <v>517</v>
      </c>
      <c r="N513" s="262" t="s">
        <v>22</v>
      </c>
      <c r="O513" s="262" t="s">
        <v>35</v>
      </c>
      <c r="P513" s="262"/>
      <c r="Q513" s="262" t="s">
        <v>30</v>
      </c>
      <c r="R513" s="262" t="s">
        <v>31</v>
      </c>
      <c r="S513" s="267" t="s">
        <v>31</v>
      </c>
      <c r="T513" s="268"/>
      <c r="U513" s="269">
        <v>420000</v>
      </c>
      <c r="V513" s="269">
        <v>300000</v>
      </c>
      <c r="W513" s="278">
        <v>0</v>
      </c>
      <c r="X513" s="270"/>
      <c r="Y513" s="262" t="s">
        <v>21</v>
      </c>
      <c r="Z513" s="271" t="s">
        <v>21</v>
      </c>
      <c r="AA513" s="287"/>
      <c r="AB513" s="287"/>
      <c r="AC513" s="272">
        <f t="shared" si="17"/>
        <v>0</v>
      </c>
      <c r="AD513" s="272">
        <v>0</v>
      </c>
      <c r="AE513" s="272">
        <f t="shared" si="18"/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customHeight="1">
      <c r="A514" s="260">
        <v>492</v>
      </c>
      <c r="B514" s="261" t="s">
        <v>331</v>
      </c>
      <c r="C514" s="261" t="s">
        <v>364</v>
      </c>
      <c r="D514" s="262" t="s">
        <v>15</v>
      </c>
      <c r="E514" s="262" t="s">
        <v>2</v>
      </c>
      <c r="F514" s="263" t="s">
        <v>15</v>
      </c>
      <c r="G514" s="264" t="s">
        <v>2</v>
      </c>
      <c r="H514" s="281"/>
      <c r="I514" s="265"/>
      <c r="J514" s="266" t="s">
        <v>651</v>
      </c>
      <c r="K514" s="262"/>
      <c r="L514" s="262"/>
      <c r="M514" s="262">
        <v>4062</v>
      </c>
      <c r="N514" s="262" t="s">
        <v>22</v>
      </c>
      <c r="O514" s="262" t="s">
        <v>35</v>
      </c>
      <c r="P514" s="262"/>
      <c r="Q514" s="262"/>
      <c r="R514" s="262" t="s">
        <v>468</v>
      </c>
      <c r="S514" s="267" t="s">
        <v>468</v>
      </c>
      <c r="T514" s="268"/>
      <c r="U514" s="269"/>
      <c r="V514" s="269">
        <v>0</v>
      </c>
      <c r="W514" s="278">
        <v>0</v>
      </c>
      <c r="X514" s="270"/>
      <c r="Y514" s="262" t="s">
        <v>25</v>
      </c>
      <c r="Z514" s="271" t="s">
        <v>25</v>
      </c>
      <c r="AA514" s="287"/>
      <c r="AB514" s="287"/>
      <c r="AC514" s="272">
        <f t="shared" si="17"/>
        <v>20000000</v>
      </c>
      <c r="AD514" s="272">
        <v>20000000</v>
      </c>
      <c r="AE514" s="272">
        <f t="shared" si="18"/>
        <v>0</v>
      </c>
      <c r="AF514" s="273"/>
      <c r="AG514" s="274"/>
      <c r="AH514" s="273"/>
      <c r="AI514" s="273"/>
      <c r="AJ514" s="274"/>
      <c r="AK514" s="273"/>
      <c r="AL514" s="275"/>
      <c r="AM514" s="290"/>
      <c r="AN514" s="275"/>
      <c r="AO514" s="276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>
        <v>20000000</v>
      </c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customHeight="1">
      <c r="A515" s="260">
        <v>493</v>
      </c>
      <c r="B515" s="261"/>
      <c r="C515" s="261"/>
      <c r="D515" s="262" t="s">
        <v>15</v>
      </c>
      <c r="E515" s="262" t="s">
        <v>2</v>
      </c>
      <c r="F515" s="263" t="s">
        <v>15</v>
      </c>
      <c r="G515" s="264" t="s">
        <v>2</v>
      </c>
      <c r="H515" s="281"/>
      <c r="I515" s="265"/>
      <c r="J515" s="266" t="s">
        <v>64</v>
      </c>
      <c r="K515" s="262"/>
      <c r="L515" s="262"/>
      <c r="M515" s="262">
        <v>42824</v>
      </c>
      <c r="N515" s="262" t="s">
        <v>22</v>
      </c>
      <c r="O515" s="262" t="s">
        <v>56</v>
      </c>
      <c r="P515" s="262" t="s">
        <v>156</v>
      </c>
      <c r="Q515" s="262"/>
      <c r="R515" s="262" t="s">
        <v>467</v>
      </c>
      <c r="S515" s="267" t="s">
        <v>31</v>
      </c>
      <c r="T515" s="268"/>
      <c r="U515" s="269"/>
      <c r="V515" s="269"/>
      <c r="W515" s="278">
        <v>0</v>
      </c>
      <c r="X515" s="270"/>
      <c r="Y515" s="262" t="s">
        <v>27</v>
      </c>
      <c r="Z515" s="271" t="s">
        <v>27</v>
      </c>
      <c r="AA515" s="287"/>
      <c r="AB515" s="287"/>
      <c r="AC515" s="272">
        <f t="shared" si="17"/>
        <v>20000000</v>
      </c>
      <c r="AD515" s="272">
        <v>20000000</v>
      </c>
      <c r="AE515" s="272">
        <f t="shared" si="18"/>
        <v>0</v>
      </c>
      <c r="AF515" s="273"/>
      <c r="AG515" s="274"/>
      <c r="AH515" s="273"/>
      <c r="AI515" s="273"/>
      <c r="AJ515" s="274"/>
      <c r="AK515" s="273"/>
      <c r="AL515" s="275"/>
      <c r="AM515" s="290"/>
      <c r="AN515" s="275"/>
      <c r="AO515" s="276"/>
      <c r="AP515" s="275"/>
      <c r="AQ515" s="275"/>
      <c r="AR515" s="275"/>
      <c r="AS515" s="275"/>
      <c r="AT515" s="275"/>
      <c r="AU515" s="275">
        <v>20000000</v>
      </c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customHeight="1">
      <c r="A516" s="260">
        <v>494</v>
      </c>
      <c r="B516" s="261"/>
      <c r="C516" s="261"/>
      <c r="D516" s="262" t="s">
        <v>15</v>
      </c>
      <c r="E516" s="262" t="s">
        <v>2</v>
      </c>
      <c r="F516" s="263" t="s">
        <v>15</v>
      </c>
      <c r="G516" s="264" t="s">
        <v>2</v>
      </c>
      <c r="H516" s="281"/>
      <c r="I516" s="265"/>
      <c r="J516" s="266" t="s">
        <v>64</v>
      </c>
      <c r="K516" s="262"/>
      <c r="L516" s="262"/>
      <c r="M516" s="262">
        <v>42824</v>
      </c>
      <c r="N516" s="262" t="s">
        <v>22</v>
      </c>
      <c r="O516" s="262" t="s">
        <v>35</v>
      </c>
      <c r="P516" s="262"/>
      <c r="Q516" s="262" t="s">
        <v>54</v>
      </c>
      <c r="R516" s="262" t="s">
        <v>467</v>
      </c>
      <c r="S516" s="267" t="s">
        <v>826</v>
      </c>
      <c r="T516" s="268"/>
      <c r="U516" s="269">
        <v>12568000</v>
      </c>
      <c r="V516" s="269">
        <v>0</v>
      </c>
      <c r="W516" s="278">
        <v>11892500</v>
      </c>
      <c r="X516" s="270"/>
      <c r="Y516" s="262" t="s">
        <v>562</v>
      </c>
      <c r="Z516" s="271" t="s">
        <v>562</v>
      </c>
      <c r="AA516" s="287"/>
      <c r="AB516" s="287"/>
      <c r="AC516" s="272">
        <f t="shared" si="17"/>
        <v>0</v>
      </c>
      <c r="AD516" s="272">
        <v>0</v>
      </c>
      <c r="AE516" s="272">
        <f t="shared" si="18"/>
        <v>0</v>
      </c>
      <c r="AF516" s="273"/>
      <c r="AG516" s="274"/>
      <c r="AH516" s="273"/>
      <c r="AI516" s="273"/>
      <c r="AJ516" s="274"/>
      <c r="AK516" s="273"/>
      <c r="AL516" s="275"/>
      <c r="AM516" s="290"/>
      <c r="AN516" s="275"/>
      <c r="AO516" s="276"/>
      <c r="AP516" s="275"/>
      <c r="AQ516" s="275"/>
      <c r="AR516" s="275"/>
      <c r="AS516" s="275"/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customHeight="1">
      <c r="A517" s="260">
        <v>495</v>
      </c>
      <c r="B517" s="261"/>
      <c r="C517" s="261"/>
      <c r="D517" s="262"/>
      <c r="E517" s="262"/>
      <c r="F517" s="263" t="s">
        <v>15</v>
      </c>
      <c r="G517" s="264" t="s">
        <v>2</v>
      </c>
      <c r="H517" s="281"/>
      <c r="I517" s="265"/>
      <c r="J517" s="266" t="s">
        <v>966</v>
      </c>
      <c r="K517" s="262"/>
      <c r="L517" s="262"/>
      <c r="M517" s="262">
        <v>52268</v>
      </c>
      <c r="N517" s="262"/>
      <c r="O517" s="262" t="s">
        <v>35</v>
      </c>
      <c r="P517" s="262"/>
      <c r="Q517" s="262"/>
      <c r="R517" s="262"/>
      <c r="S517" s="267" t="s">
        <v>468</v>
      </c>
      <c r="T517" s="268"/>
      <c r="U517" s="269"/>
      <c r="V517" s="269"/>
      <c r="W517" s="278">
        <v>0</v>
      </c>
      <c r="X517" s="270"/>
      <c r="Y517" s="262"/>
      <c r="Z517" s="271" t="s">
        <v>74</v>
      </c>
      <c r="AA517" s="287"/>
      <c r="AB517" s="287"/>
      <c r="AC517" s="272">
        <f t="shared" si="17"/>
        <v>0</v>
      </c>
      <c r="AD517" s="272">
        <v>0</v>
      </c>
      <c r="AE517" s="272">
        <f t="shared" si="18"/>
        <v>0</v>
      </c>
      <c r="AF517" s="273"/>
      <c r="AG517" s="274"/>
      <c r="AH517" s="273"/>
      <c r="AI517" s="273"/>
      <c r="AJ517" s="274"/>
      <c r="AK517" s="273"/>
      <c r="AL517" s="275">
        <v>99000000</v>
      </c>
      <c r="AM517" s="290">
        <v>0</v>
      </c>
      <c r="AN517" s="275"/>
      <c r="AO517" s="276"/>
      <c r="AP517" s="275"/>
      <c r="AQ517" s="275"/>
      <c r="AR517" s="275"/>
      <c r="AS517" s="275"/>
      <c r="AT517" s="275"/>
      <c r="AU517" s="275"/>
      <c r="AV517" s="275"/>
      <c r="AW517" s="275"/>
      <c r="AX517" s="275"/>
      <c r="AY517" s="275"/>
      <c r="AZ517" s="275"/>
      <c r="BA517" s="275"/>
      <c r="BB517" s="275"/>
      <c r="BC517" s="275"/>
      <c r="BD517" s="275"/>
      <c r="BE517" s="275"/>
      <c r="BF517" s="275"/>
      <c r="BH517" s="277"/>
    </row>
    <row r="518" spans="1:60" ht="16.5" customHeight="1">
      <c r="A518" s="260">
        <v>496</v>
      </c>
      <c r="B518" s="261"/>
      <c r="C518" s="261"/>
      <c r="D518" s="262" t="s">
        <v>15</v>
      </c>
      <c r="E518" s="262" t="s">
        <v>2</v>
      </c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/>
      <c r="O518" s="262" t="s">
        <v>35</v>
      </c>
      <c r="P518" s="262"/>
      <c r="Q518" s="262"/>
      <c r="R518" s="262"/>
      <c r="S518" s="267" t="s">
        <v>19</v>
      </c>
      <c r="T518" s="268"/>
      <c r="U518" s="269"/>
      <c r="V518" s="269"/>
      <c r="W518" s="278">
        <v>0</v>
      </c>
      <c r="X518" s="270"/>
      <c r="Y518" s="262"/>
      <c r="Z518" s="271" t="s">
        <v>25</v>
      </c>
      <c r="AA518" s="287"/>
      <c r="AB518" s="287"/>
      <c r="AC518" s="272">
        <f t="shared" si="17"/>
        <v>10000000</v>
      </c>
      <c r="AD518" s="272">
        <v>10000000</v>
      </c>
      <c r="AE518" s="272">
        <f t="shared" si="18"/>
        <v>0</v>
      </c>
      <c r="AF518" s="273"/>
      <c r="AG518" s="274"/>
      <c r="AH518" s="273"/>
      <c r="AI518" s="273"/>
      <c r="AJ518" s="274"/>
      <c r="AK518" s="273"/>
      <c r="AL518" s="275"/>
      <c r="AM518" s="290"/>
      <c r="AN518" s="275"/>
      <c r="AO518" s="276"/>
      <c r="AP518" s="275"/>
      <c r="AQ518" s="275"/>
      <c r="AR518" s="275"/>
      <c r="AS518" s="275">
        <v>10000000</v>
      </c>
      <c r="AT518" s="275"/>
      <c r="AU518" s="275"/>
      <c r="AV518" s="275"/>
      <c r="AW518" s="275"/>
      <c r="AX518" s="275"/>
      <c r="AY518" s="275"/>
      <c r="AZ518" s="275"/>
      <c r="BA518" s="275"/>
      <c r="BB518" s="275"/>
      <c r="BC518" s="275"/>
      <c r="BD518" s="275"/>
      <c r="BE518" s="275"/>
      <c r="BF518" s="275"/>
      <c r="BH518" s="277"/>
    </row>
    <row r="519" spans="1:60" ht="16.5" customHeight="1">
      <c r="A519" s="260">
        <v>497</v>
      </c>
      <c r="B519" s="261"/>
      <c r="C519" s="261"/>
      <c r="D519" s="262" t="s">
        <v>15</v>
      </c>
      <c r="E519" s="262" t="s">
        <v>2</v>
      </c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 t="s">
        <v>22</v>
      </c>
      <c r="O519" s="262" t="s">
        <v>35</v>
      </c>
      <c r="P519" s="262"/>
      <c r="Q519" s="262" t="s">
        <v>26</v>
      </c>
      <c r="R519" s="262" t="s">
        <v>468</v>
      </c>
      <c r="S519" s="267" t="s">
        <v>468</v>
      </c>
      <c r="T519" s="268"/>
      <c r="U519" s="269">
        <v>15000000</v>
      </c>
      <c r="V519" s="269">
        <v>0</v>
      </c>
      <c r="W519" s="278">
        <v>0</v>
      </c>
      <c r="X519" s="270"/>
      <c r="Y519" s="262" t="s">
        <v>21</v>
      </c>
      <c r="Z519" s="271" t="s">
        <v>25</v>
      </c>
      <c r="AA519" s="287"/>
      <c r="AB519" s="287"/>
      <c r="AC519" s="272">
        <f t="shared" si="17"/>
        <v>20000000</v>
      </c>
      <c r="AD519" s="272">
        <v>20000000</v>
      </c>
      <c r="AE519" s="272">
        <f t="shared" si="18"/>
        <v>0</v>
      </c>
      <c r="AF519" s="273"/>
      <c r="AG519" s="274"/>
      <c r="AH519" s="273"/>
      <c r="AI519" s="273"/>
      <c r="AJ519" s="274"/>
      <c r="AK519" s="273"/>
      <c r="AL519" s="275"/>
      <c r="AM519" s="290"/>
      <c r="AN519" s="275"/>
      <c r="AO519" s="276"/>
      <c r="AP519" s="275"/>
      <c r="AQ519" s="275"/>
      <c r="AR519" s="275"/>
      <c r="AS519" s="275">
        <v>20000000</v>
      </c>
      <c r="AT519" s="275"/>
      <c r="AU519" s="275"/>
      <c r="AV519" s="275"/>
      <c r="AW519" s="275"/>
      <c r="AX519" s="275"/>
      <c r="AY519" s="275"/>
      <c r="AZ519" s="275"/>
      <c r="BA519" s="275"/>
      <c r="BB519" s="275"/>
      <c r="BC519" s="275"/>
      <c r="BD519" s="275"/>
      <c r="BE519" s="275"/>
      <c r="BF519" s="275"/>
      <c r="BH519" s="277"/>
    </row>
    <row r="520" spans="1:60" ht="16.5" customHeight="1">
      <c r="A520" s="260">
        <v>498</v>
      </c>
      <c r="B520" s="261"/>
      <c r="C520" s="261"/>
      <c r="D520" s="262" t="s">
        <v>15</v>
      </c>
      <c r="E520" s="262" t="s">
        <v>2</v>
      </c>
      <c r="F520" s="263" t="s">
        <v>15</v>
      </c>
      <c r="G520" s="264" t="s">
        <v>2</v>
      </c>
      <c r="H520" s="281"/>
      <c r="I520" s="265"/>
      <c r="J520" s="266" t="s">
        <v>65</v>
      </c>
      <c r="K520" s="262"/>
      <c r="L520" s="262"/>
      <c r="M520" s="262">
        <v>393</v>
      </c>
      <c r="N520" s="262" t="s">
        <v>22</v>
      </c>
      <c r="O520" s="262" t="s">
        <v>56</v>
      </c>
      <c r="P520" s="262" t="s">
        <v>124</v>
      </c>
      <c r="Q520" s="262"/>
      <c r="R520" s="262" t="s">
        <v>397</v>
      </c>
      <c r="S520" s="267" t="s">
        <v>823</v>
      </c>
      <c r="T520" s="268"/>
      <c r="U520" s="269"/>
      <c r="V520" s="269"/>
      <c r="W520" s="278">
        <v>120000000</v>
      </c>
      <c r="X520" s="270"/>
      <c r="Y520" s="262" t="s">
        <v>27</v>
      </c>
      <c r="Z520" s="271" t="s">
        <v>27</v>
      </c>
      <c r="AA520" s="287"/>
      <c r="AB520" s="287"/>
      <c r="AC520" s="272">
        <f t="shared" si="17"/>
        <v>22000000</v>
      </c>
      <c r="AD520" s="272">
        <v>22000000</v>
      </c>
      <c r="AE520" s="272">
        <f t="shared" si="18"/>
        <v>0</v>
      </c>
      <c r="AF520" s="273"/>
      <c r="AG520" s="274"/>
      <c r="AH520" s="273"/>
      <c r="AI520" s="273"/>
      <c r="AJ520" s="274"/>
      <c r="AK520" s="273"/>
      <c r="AL520" s="275">
        <v>22000000</v>
      </c>
      <c r="AM520" s="290">
        <v>0</v>
      </c>
      <c r="AN520" s="275" t="s">
        <v>1022</v>
      </c>
      <c r="AO520" s="276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>
        <v>22000000</v>
      </c>
      <c r="BB520" s="275"/>
      <c r="BC520" s="275"/>
      <c r="BD520" s="275"/>
      <c r="BE520" s="275"/>
      <c r="BF520" s="275"/>
      <c r="BH520" s="277"/>
    </row>
    <row r="521" spans="1:60" ht="16.5" customHeight="1">
      <c r="A521" s="260">
        <v>499</v>
      </c>
      <c r="B521" s="261"/>
      <c r="C521" s="261"/>
      <c r="D521" s="262"/>
      <c r="E521" s="262"/>
      <c r="F521" s="263" t="s">
        <v>15</v>
      </c>
      <c r="G521" s="264" t="s">
        <v>2</v>
      </c>
      <c r="H521" s="281"/>
      <c r="I521" s="265"/>
      <c r="J521" s="266" t="s">
        <v>65</v>
      </c>
      <c r="K521" s="262"/>
      <c r="L521" s="262"/>
      <c r="M521" s="262">
        <v>393</v>
      </c>
      <c r="N521" s="262" t="s">
        <v>22</v>
      </c>
      <c r="O521" s="262" t="s">
        <v>56</v>
      </c>
      <c r="P521" s="262" t="s">
        <v>124</v>
      </c>
      <c r="Q521" s="262"/>
      <c r="R521" s="262"/>
      <c r="S521" s="267" t="s">
        <v>823</v>
      </c>
      <c r="T521" s="268"/>
      <c r="U521" s="269"/>
      <c r="V521" s="269"/>
      <c r="W521" s="278">
        <v>0</v>
      </c>
      <c r="X521" s="270"/>
      <c r="Y521" s="262"/>
      <c r="Z521" s="271" t="s">
        <v>25</v>
      </c>
      <c r="AA521" s="287"/>
      <c r="AB521" s="287"/>
      <c r="AC521" s="272">
        <f t="shared" si="17"/>
        <v>120000000</v>
      </c>
      <c r="AD521" s="272">
        <v>120000000</v>
      </c>
      <c r="AE521" s="272">
        <f t="shared" si="18"/>
        <v>0</v>
      </c>
      <c r="AF521" s="273"/>
      <c r="AG521" s="274"/>
      <c r="AH521" s="273"/>
      <c r="AI521" s="273"/>
      <c r="AJ521" s="274"/>
      <c r="AK521" s="273"/>
      <c r="AL521" s="275"/>
      <c r="AM521" s="290"/>
      <c r="AN521" s="275"/>
      <c r="AO521" s="276"/>
      <c r="AP521" s="275"/>
      <c r="AQ521" s="275"/>
      <c r="AR521" s="275"/>
      <c r="AS521" s="275"/>
      <c r="AT521" s="275"/>
      <c r="AU521" s="275"/>
      <c r="AV521" s="275"/>
      <c r="AW521" s="275"/>
      <c r="AX521" s="275"/>
      <c r="AY521" s="275">
        <v>60000000</v>
      </c>
      <c r="AZ521" s="275"/>
      <c r="BA521" s="275"/>
      <c r="BB521" s="275"/>
      <c r="BC521" s="275">
        <v>60000000</v>
      </c>
      <c r="BD521" s="275"/>
      <c r="BE521" s="275"/>
      <c r="BF521" s="275"/>
      <c r="BH521" s="277"/>
    </row>
    <row r="522" spans="1:60" ht="16.5" customHeight="1">
      <c r="A522" s="260">
        <v>500</v>
      </c>
      <c r="B522" s="261"/>
      <c r="C522" s="261"/>
      <c r="D522" s="262" t="s">
        <v>15</v>
      </c>
      <c r="E522" s="262" t="s">
        <v>2</v>
      </c>
      <c r="F522" s="263" t="s">
        <v>15</v>
      </c>
      <c r="G522" s="264" t="s">
        <v>2</v>
      </c>
      <c r="H522" s="281"/>
      <c r="I522" s="265"/>
      <c r="J522" s="266" t="s">
        <v>65</v>
      </c>
      <c r="K522" s="262"/>
      <c r="L522" s="262"/>
      <c r="M522" s="262">
        <v>393</v>
      </c>
      <c r="N522" s="262"/>
      <c r="O522" s="262" t="s">
        <v>35</v>
      </c>
      <c r="P522" s="262"/>
      <c r="Q522" s="262"/>
      <c r="R522" s="262"/>
      <c r="S522" s="267" t="s">
        <v>835</v>
      </c>
      <c r="T522" s="268"/>
      <c r="U522" s="269"/>
      <c r="V522" s="269"/>
      <c r="W522" s="278">
        <v>0</v>
      </c>
      <c r="X522" s="270"/>
      <c r="Y522" s="262"/>
      <c r="Z522" s="271" t="s">
        <v>25</v>
      </c>
      <c r="AA522" s="287"/>
      <c r="AB522" s="287"/>
      <c r="AC522" s="272">
        <f t="shared" si="17"/>
        <v>10000000</v>
      </c>
      <c r="AD522" s="272">
        <v>10000000</v>
      </c>
      <c r="AE522" s="272">
        <f t="shared" si="18"/>
        <v>0</v>
      </c>
      <c r="AF522" s="273"/>
      <c r="AG522" s="274"/>
      <c r="AH522" s="273"/>
      <c r="AI522" s="273"/>
      <c r="AJ522" s="274"/>
      <c r="AK522" s="273"/>
      <c r="AL522" s="275"/>
      <c r="AM522" s="290"/>
      <c r="AN522" s="275"/>
      <c r="AO522" s="276"/>
      <c r="AP522" s="275"/>
      <c r="AQ522" s="275">
        <v>10000000</v>
      </c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H522" s="277"/>
    </row>
    <row r="523" spans="1:60" ht="16.5" customHeight="1">
      <c r="A523" s="260">
        <v>501</v>
      </c>
      <c r="B523" s="261"/>
      <c r="C523" s="261"/>
      <c r="D523" s="262" t="s">
        <v>15</v>
      </c>
      <c r="E523" s="262" t="s">
        <v>2</v>
      </c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 t="s">
        <v>32</v>
      </c>
      <c r="O523" s="262" t="s">
        <v>212</v>
      </c>
      <c r="P523" s="262" t="s">
        <v>57</v>
      </c>
      <c r="Q523" s="262" t="s">
        <v>63</v>
      </c>
      <c r="R523" s="262" t="s">
        <v>28</v>
      </c>
      <c r="S523" s="267" t="s">
        <v>28</v>
      </c>
      <c r="T523" s="268"/>
      <c r="U523" s="269"/>
      <c r="V523" s="269">
        <v>83131580</v>
      </c>
      <c r="W523" s="278">
        <v>119819900</v>
      </c>
      <c r="X523" s="270"/>
      <c r="Y523" s="262" t="s">
        <v>27</v>
      </c>
      <c r="Z523" s="271" t="s">
        <v>27</v>
      </c>
      <c r="AA523" s="287"/>
      <c r="AB523" s="287"/>
      <c r="AC523" s="272">
        <f t="shared" si="17"/>
        <v>18871710</v>
      </c>
      <c r="AD523" s="272">
        <v>18871710</v>
      </c>
      <c r="AE523" s="272">
        <f t="shared" si="18"/>
        <v>0</v>
      </c>
      <c r="AF523" s="273">
        <v>10000000</v>
      </c>
      <c r="AG523" s="274">
        <v>4326760</v>
      </c>
      <c r="AH523" s="273"/>
      <c r="AI523" s="273">
        <v>10000000</v>
      </c>
      <c r="AJ523" s="274">
        <v>7970950</v>
      </c>
      <c r="AK523" s="273"/>
      <c r="AL523" s="275">
        <v>10000000</v>
      </c>
      <c r="AM523" s="290">
        <v>6574000</v>
      </c>
      <c r="AN523" s="275"/>
      <c r="AO523" s="276"/>
      <c r="AP523" s="275"/>
      <c r="AQ523" s="275"/>
      <c r="AR523" s="275"/>
      <c r="AS523" s="275"/>
      <c r="AT523" s="275"/>
      <c r="AU523" s="275"/>
      <c r="AV523" s="275"/>
      <c r="AW523" s="275"/>
      <c r="AX523" s="275"/>
      <c r="AY523" s="275"/>
      <c r="AZ523" s="275"/>
      <c r="BA523" s="275"/>
      <c r="BB523" s="275"/>
      <c r="BC523" s="275"/>
      <c r="BD523" s="275"/>
      <c r="BE523" s="275"/>
      <c r="BF523" s="275"/>
      <c r="BH523" s="277"/>
    </row>
    <row r="524" spans="1:60" ht="16.5" customHeight="1">
      <c r="A524" s="260">
        <v>502</v>
      </c>
      <c r="B524" s="261"/>
      <c r="C524" s="261"/>
      <c r="D524" s="262" t="s">
        <v>15</v>
      </c>
      <c r="E524" s="262" t="s">
        <v>2</v>
      </c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 t="s">
        <v>32</v>
      </c>
      <c r="O524" s="262" t="s">
        <v>212</v>
      </c>
      <c r="P524" s="262" t="s">
        <v>57</v>
      </c>
      <c r="Q524" s="262" t="s">
        <v>26</v>
      </c>
      <c r="R524" s="262" t="s">
        <v>468</v>
      </c>
      <c r="S524" s="267" t="s">
        <v>28</v>
      </c>
      <c r="T524" s="268"/>
      <c r="U524" s="269"/>
      <c r="V524" s="269">
        <v>28110000</v>
      </c>
      <c r="W524" s="278">
        <v>0</v>
      </c>
      <c r="X524" s="270"/>
      <c r="Y524" s="262" t="s">
        <v>27</v>
      </c>
      <c r="Z524" s="271" t="s">
        <v>74</v>
      </c>
      <c r="AA524" s="287"/>
      <c r="AB524" s="287"/>
      <c r="AC524" s="272">
        <f t="shared" si="17"/>
        <v>0</v>
      </c>
      <c r="AD524" s="272">
        <v>99000000</v>
      </c>
      <c r="AE524" s="272">
        <f t="shared" si="18"/>
        <v>-99000000</v>
      </c>
      <c r="AF524" s="273"/>
      <c r="AG524" s="274"/>
      <c r="AH524" s="273"/>
      <c r="AI524" s="273"/>
      <c r="AJ524" s="274"/>
      <c r="AK524" s="273"/>
      <c r="AL524" s="275"/>
      <c r="AM524" s="290"/>
      <c r="AN524" s="275"/>
      <c r="AO524" s="276"/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customHeight="1">
      <c r="A525" s="260">
        <v>503</v>
      </c>
      <c r="B525" s="261"/>
      <c r="C525" s="261"/>
      <c r="D525" s="262"/>
      <c r="E525" s="262"/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/>
      <c r="O525" s="262"/>
      <c r="P525" s="262"/>
      <c r="Q525" s="262"/>
      <c r="R525" s="262"/>
      <c r="S525" s="267" t="s">
        <v>468</v>
      </c>
      <c r="T525" s="268"/>
      <c r="U525" s="269"/>
      <c r="V525" s="269"/>
      <c r="W525" s="278">
        <v>32553728</v>
      </c>
      <c r="X525" s="270"/>
      <c r="Y525" s="262"/>
      <c r="Z525" s="271" t="s">
        <v>27</v>
      </c>
      <c r="AA525" s="287"/>
      <c r="AB525" s="287"/>
      <c r="AC525" s="272">
        <f t="shared" si="17"/>
        <v>6000000</v>
      </c>
      <c r="AD525" s="272">
        <v>6000000</v>
      </c>
      <c r="AE525" s="272">
        <f t="shared" si="18"/>
        <v>0</v>
      </c>
      <c r="AF525" s="273"/>
      <c r="AG525" s="274"/>
      <c r="AH525" s="273"/>
      <c r="AI525" s="273"/>
      <c r="AJ525" s="274">
        <v>6000000</v>
      </c>
      <c r="AK525" s="273"/>
      <c r="AL525" s="275"/>
      <c r="AM525" s="290"/>
      <c r="AN525" s="275"/>
      <c r="AO525" s="276"/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customHeight="1">
      <c r="A526" s="260">
        <v>504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79</v>
      </c>
      <c r="K526" s="262"/>
      <c r="L526" s="262"/>
      <c r="M526" s="262">
        <v>18447</v>
      </c>
      <c r="N526" s="262" t="s">
        <v>32</v>
      </c>
      <c r="O526" s="262" t="s">
        <v>35</v>
      </c>
      <c r="P526" s="262"/>
      <c r="Q526" s="262"/>
      <c r="R526" s="262" t="s">
        <v>478</v>
      </c>
      <c r="S526" s="267" t="s">
        <v>478</v>
      </c>
      <c r="T526" s="268"/>
      <c r="U526" s="269"/>
      <c r="V526" s="269"/>
      <c r="W526" s="278">
        <v>0</v>
      </c>
      <c r="X526" s="270"/>
      <c r="Y526" s="262" t="s">
        <v>24</v>
      </c>
      <c r="Z526" s="271" t="s">
        <v>74</v>
      </c>
      <c r="AA526" s="287"/>
      <c r="AB526" s="287"/>
      <c r="AC526" s="272">
        <f t="shared" si="17"/>
        <v>0</v>
      </c>
      <c r="AD526" s="272">
        <v>60000000</v>
      </c>
      <c r="AE526" s="272">
        <f t="shared" si="18"/>
        <v>-60000000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customHeight="1">
      <c r="A527" s="260">
        <v>505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79</v>
      </c>
      <c r="K527" s="262"/>
      <c r="L527" s="262"/>
      <c r="M527" s="262">
        <v>18447</v>
      </c>
      <c r="N527" s="262" t="s">
        <v>32</v>
      </c>
      <c r="O527" s="262" t="s">
        <v>35</v>
      </c>
      <c r="P527" s="262"/>
      <c r="Q527" s="262"/>
      <c r="R527" s="262"/>
      <c r="S527" s="267" t="s">
        <v>828</v>
      </c>
      <c r="T527" s="268"/>
      <c r="U527" s="269"/>
      <c r="V527" s="269"/>
      <c r="W527" s="278">
        <v>0</v>
      </c>
      <c r="X527" s="270"/>
      <c r="Y527" s="262"/>
      <c r="Z527" s="271" t="s">
        <v>74</v>
      </c>
      <c r="AA527" s="287"/>
      <c r="AB527" s="287"/>
      <c r="AC527" s="272">
        <f t="shared" si="17"/>
        <v>0</v>
      </c>
      <c r="AD527" s="272">
        <v>12000000</v>
      </c>
      <c r="AE527" s="272">
        <f t="shared" si="18"/>
        <v>-12000000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/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/>
      <c r="BF527" s="275"/>
      <c r="BH527" s="277"/>
    </row>
    <row r="528" spans="1:60" ht="16.5" customHeight="1">
      <c r="A528" s="260">
        <v>506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79</v>
      </c>
      <c r="K528" s="262"/>
      <c r="L528" s="262"/>
      <c r="M528" s="262">
        <v>18447</v>
      </c>
      <c r="N528" s="262" t="s">
        <v>32</v>
      </c>
      <c r="O528" s="262" t="s">
        <v>35</v>
      </c>
      <c r="P528" s="262"/>
      <c r="Q528" s="262"/>
      <c r="R528" s="262"/>
      <c r="S528" s="267" t="s">
        <v>834</v>
      </c>
      <c r="T528" s="268"/>
      <c r="U528" s="269"/>
      <c r="V528" s="269"/>
      <c r="W528" s="278">
        <v>0</v>
      </c>
      <c r="X528" s="270"/>
      <c r="Y528" s="262"/>
      <c r="Z528" s="271" t="s">
        <v>74</v>
      </c>
      <c r="AA528" s="287"/>
      <c r="AB528" s="287"/>
      <c r="AC528" s="272">
        <f t="shared" si="17"/>
        <v>0</v>
      </c>
      <c r="AD528" s="272">
        <v>10000000</v>
      </c>
      <c r="AE528" s="272">
        <f t="shared" si="18"/>
        <v>-10000000</v>
      </c>
      <c r="AF528" s="273"/>
      <c r="AG528" s="274"/>
      <c r="AH528" s="273"/>
      <c r="AI528" s="273"/>
      <c r="AJ528" s="274"/>
      <c r="AK528" s="273"/>
      <c r="AL528" s="275"/>
      <c r="AM528" s="290"/>
      <c r="AN528" s="275"/>
      <c r="AO528" s="276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H528" s="277"/>
    </row>
    <row r="529" spans="1:60" ht="16.5" customHeight="1">
      <c r="A529" s="260">
        <v>507</v>
      </c>
      <c r="B529" s="261"/>
      <c r="C529" s="261"/>
      <c r="D529" s="262" t="s">
        <v>15</v>
      </c>
      <c r="E529" s="262" t="s">
        <v>2</v>
      </c>
      <c r="F529" s="263" t="s">
        <v>15</v>
      </c>
      <c r="G529" s="264" t="s">
        <v>2</v>
      </c>
      <c r="H529" s="281"/>
      <c r="I529" s="265"/>
      <c r="J529" s="266" t="s">
        <v>210</v>
      </c>
      <c r="K529" s="262"/>
      <c r="L529" s="262"/>
      <c r="M529" s="262">
        <v>54322</v>
      </c>
      <c r="N529" s="262" t="s">
        <v>32</v>
      </c>
      <c r="O529" s="262" t="s">
        <v>35</v>
      </c>
      <c r="P529" s="262" t="s">
        <v>124</v>
      </c>
      <c r="Q529" s="262" t="s">
        <v>18</v>
      </c>
      <c r="R529" s="262" t="s">
        <v>19</v>
      </c>
      <c r="S529" s="267" t="s">
        <v>19</v>
      </c>
      <c r="T529" s="268"/>
      <c r="U529" s="269">
        <v>490000</v>
      </c>
      <c r="V529" s="269">
        <v>0</v>
      </c>
      <c r="W529" s="278">
        <v>0</v>
      </c>
      <c r="X529" s="270"/>
      <c r="Y529" s="262" t="s">
        <v>25</v>
      </c>
      <c r="Z529" s="271" t="s">
        <v>562</v>
      </c>
      <c r="AA529" s="287"/>
      <c r="AB529" s="287"/>
      <c r="AC529" s="272">
        <f t="shared" si="17"/>
        <v>0</v>
      </c>
      <c r="AD529" s="272">
        <v>0</v>
      </c>
      <c r="AE529" s="272">
        <f t="shared" si="18"/>
        <v>0</v>
      </c>
      <c r="AF529" s="273"/>
      <c r="AG529" s="274"/>
      <c r="AH529" s="273"/>
      <c r="AI529" s="273"/>
      <c r="AJ529" s="274"/>
      <c r="AK529" s="273"/>
      <c r="AL529" s="275"/>
      <c r="AM529" s="290"/>
      <c r="AN529" s="275"/>
      <c r="AO529" s="276"/>
      <c r="AP529" s="275"/>
      <c r="AQ529" s="275"/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H529" s="277"/>
    </row>
    <row r="530" spans="1:60" ht="16.5" customHeight="1">
      <c r="A530" s="260">
        <v>508</v>
      </c>
      <c r="B530" s="261"/>
      <c r="C530" s="261"/>
      <c r="D530" s="262" t="s">
        <v>15</v>
      </c>
      <c r="E530" s="262" t="s">
        <v>2</v>
      </c>
      <c r="F530" s="263" t="s">
        <v>15</v>
      </c>
      <c r="G530" s="264" t="s">
        <v>2</v>
      </c>
      <c r="H530" s="281"/>
      <c r="I530" s="265"/>
      <c r="J530" s="266" t="s">
        <v>66</v>
      </c>
      <c r="K530" s="262"/>
      <c r="L530" s="262"/>
      <c r="M530" s="262">
        <v>3827</v>
      </c>
      <c r="N530" s="262" t="s">
        <v>32</v>
      </c>
      <c r="O530" s="262" t="s">
        <v>212</v>
      </c>
      <c r="P530" s="262" t="s">
        <v>57</v>
      </c>
      <c r="Q530" s="262" t="s">
        <v>63</v>
      </c>
      <c r="R530" s="262" t="s">
        <v>28</v>
      </c>
      <c r="S530" s="267" t="s">
        <v>28</v>
      </c>
      <c r="T530" s="268"/>
      <c r="U530" s="269">
        <v>95316364</v>
      </c>
      <c r="V530" s="269">
        <v>138037455</v>
      </c>
      <c r="W530" s="278">
        <v>71660000</v>
      </c>
      <c r="X530" s="270"/>
      <c r="Y530" s="262" t="s">
        <v>27</v>
      </c>
      <c r="Z530" s="271" t="s">
        <v>27</v>
      </c>
      <c r="AA530" s="287"/>
      <c r="AB530" s="287"/>
      <c r="AC530" s="272">
        <f t="shared" si="17"/>
        <v>118000000</v>
      </c>
      <c r="AD530" s="272">
        <v>118000000</v>
      </c>
      <c r="AE530" s="272">
        <f t="shared" si="18"/>
        <v>0</v>
      </c>
      <c r="AF530" s="273"/>
      <c r="AG530" s="274"/>
      <c r="AH530" s="273"/>
      <c r="AI530" s="273"/>
      <c r="AJ530" s="274"/>
      <c r="AK530" s="273"/>
      <c r="AL530" s="275"/>
      <c r="AM530" s="290"/>
      <c r="AN530" s="275"/>
      <c r="AO530" s="276">
        <v>59000000</v>
      </c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>
        <v>59000000</v>
      </c>
      <c r="BF530" s="275"/>
      <c r="BH530" s="277"/>
    </row>
    <row r="531" spans="1:60" ht="16.5" customHeight="1">
      <c r="A531" s="260">
        <v>509</v>
      </c>
      <c r="B531" s="261"/>
      <c r="C531" s="261"/>
      <c r="D531" s="262" t="s">
        <v>15</v>
      </c>
      <c r="E531" s="262" t="s">
        <v>2</v>
      </c>
      <c r="F531" s="263" t="s">
        <v>15</v>
      </c>
      <c r="G531" s="264" t="s">
        <v>2</v>
      </c>
      <c r="H531" s="281"/>
      <c r="I531" s="265"/>
      <c r="J531" s="266" t="s">
        <v>109</v>
      </c>
      <c r="K531" s="262"/>
      <c r="L531" s="262"/>
      <c r="M531" s="262">
        <v>18850</v>
      </c>
      <c r="N531" s="262" t="s">
        <v>32</v>
      </c>
      <c r="O531" s="262" t="s">
        <v>35</v>
      </c>
      <c r="P531" s="262"/>
      <c r="Q531" s="262"/>
      <c r="R531" s="262"/>
      <c r="S531" s="267" t="s">
        <v>28</v>
      </c>
      <c r="T531" s="268"/>
      <c r="U531" s="269"/>
      <c r="V531" s="269"/>
      <c r="W531" s="278">
        <v>0</v>
      </c>
      <c r="X531" s="270"/>
      <c r="Y531" s="262"/>
      <c r="Z531" s="271" t="s">
        <v>74</v>
      </c>
      <c r="AA531" s="287"/>
      <c r="AB531" s="287"/>
      <c r="AC531" s="272">
        <f t="shared" si="17"/>
        <v>0</v>
      </c>
      <c r="AD531" s="272">
        <v>0</v>
      </c>
      <c r="AE531" s="272">
        <f t="shared" si="18"/>
        <v>0</v>
      </c>
      <c r="AF531" s="273"/>
      <c r="AG531" s="274"/>
      <c r="AH531" s="273"/>
      <c r="AI531" s="273">
        <v>400000000</v>
      </c>
      <c r="AJ531" s="274"/>
      <c r="AK531" s="273"/>
      <c r="AL531" s="275">
        <v>400000000</v>
      </c>
      <c r="AM531" s="290">
        <v>0</v>
      </c>
      <c r="AN531" s="275" t="s">
        <v>948</v>
      </c>
      <c r="AO531" s="276"/>
      <c r="AP531" s="275"/>
      <c r="AQ531" s="275"/>
      <c r="AR531" s="275"/>
      <c r="AS531" s="275"/>
      <c r="AT531" s="275"/>
      <c r="AU531" s="275"/>
      <c r="AV531" s="275"/>
      <c r="AW531" s="275"/>
      <c r="AX531" s="275"/>
      <c r="AY531" s="275"/>
      <c r="AZ531" s="275"/>
      <c r="BA531" s="275"/>
      <c r="BB531" s="275"/>
      <c r="BC531" s="275"/>
      <c r="BD531" s="275"/>
      <c r="BE531" s="275"/>
      <c r="BF531" s="275"/>
      <c r="BH531" s="277"/>
    </row>
    <row r="532" spans="1:60" ht="16.5" customHeight="1">
      <c r="A532" s="260">
        <v>510</v>
      </c>
      <c r="B532" s="261"/>
      <c r="C532" s="261"/>
      <c r="D532" s="262"/>
      <c r="E532" s="262"/>
      <c r="F532" s="263" t="s">
        <v>15</v>
      </c>
      <c r="G532" s="264" t="s">
        <v>2</v>
      </c>
      <c r="H532" s="281"/>
      <c r="I532" s="265"/>
      <c r="J532" s="266" t="s">
        <v>109</v>
      </c>
      <c r="K532" s="262"/>
      <c r="L532" s="262"/>
      <c r="M532" s="262">
        <v>18850</v>
      </c>
      <c r="N532" s="262" t="s">
        <v>32</v>
      </c>
      <c r="O532" s="262" t="s">
        <v>35</v>
      </c>
      <c r="P532" s="262"/>
      <c r="Q532" s="262"/>
      <c r="R532" s="262"/>
      <c r="S532" s="267" t="s">
        <v>469</v>
      </c>
      <c r="T532" s="268"/>
      <c r="U532" s="269"/>
      <c r="V532" s="269"/>
      <c r="W532" s="278">
        <v>0</v>
      </c>
      <c r="X532" s="270"/>
      <c r="Y532" s="262"/>
      <c r="Z532" s="271" t="s">
        <v>24</v>
      </c>
      <c r="AA532" s="287"/>
      <c r="AB532" s="287"/>
      <c r="AC532" s="272">
        <f t="shared" si="17"/>
        <v>5000000</v>
      </c>
      <c r="AD532" s="272">
        <v>5000000</v>
      </c>
      <c r="AE532" s="272">
        <f t="shared" si="18"/>
        <v>0</v>
      </c>
      <c r="AF532" s="273"/>
      <c r="AG532" s="274"/>
      <c r="AH532" s="273"/>
      <c r="AI532" s="273"/>
      <c r="AJ532" s="274"/>
      <c r="AK532" s="273"/>
      <c r="AL532" s="275"/>
      <c r="AM532" s="290"/>
      <c r="AN532" s="275"/>
      <c r="AO532" s="276"/>
      <c r="AP532" s="275"/>
      <c r="AQ532" s="275">
        <v>5000000</v>
      </c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H532" s="277"/>
    </row>
    <row r="533" spans="1:60" ht="16.5" customHeight="1">
      <c r="A533" s="260">
        <v>511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109</v>
      </c>
      <c r="K533" s="262"/>
      <c r="L533" s="262"/>
      <c r="M533" s="262">
        <v>18850</v>
      </c>
      <c r="N533" s="262" t="s">
        <v>32</v>
      </c>
      <c r="O533" s="262" t="s">
        <v>35</v>
      </c>
      <c r="P533" s="262"/>
      <c r="Q533" s="262"/>
      <c r="R533" s="262" t="s">
        <v>397</v>
      </c>
      <c r="S533" s="267" t="s">
        <v>823</v>
      </c>
      <c r="T533" s="268"/>
      <c r="U533" s="269">
        <v>0</v>
      </c>
      <c r="V533" s="269">
        <v>0</v>
      </c>
      <c r="W533" s="278">
        <v>0</v>
      </c>
      <c r="X533" s="270"/>
      <c r="Y533" s="262" t="s">
        <v>74</v>
      </c>
      <c r="Z533" s="271" t="s">
        <v>25</v>
      </c>
      <c r="AA533" s="287"/>
      <c r="AB533" s="287"/>
      <c r="AC533" s="272">
        <f t="shared" si="17"/>
        <v>0</v>
      </c>
      <c r="AD533" s="272">
        <v>0</v>
      </c>
      <c r="AE533" s="272">
        <f t="shared" si="18"/>
        <v>0</v>
      </c>
      <c r="AF533" s="273"/>
      <c r="AG533" s="274"/>
      <c r="AH533" s="273"/>
      <c r="AI533" s="273"/>
      <c r="AJ533" s="274"/>
      <c r="AK533" s="273"/>
      <c r="AL533" s="275"/>
      <c r="AM533" s="290"/>
      <c r="AN533" s="275"/>
      <c r="AO533" s="276"/>
      <c r="AP533" s="275"/>
      <c r="AQ533" s="275"/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H533" s="277"/>
    </row>
    <row r="534" spans="1:60" ht="16.5" customHeight="1">
      <c r="A534" s="260">
        <v>512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212</v>
      </c>
      <c r="P534" s="262"/>
      <c r="Q534" s="262" t="s">
        <v>63</v>
      </c>
      <c r="R534" s="262" t="s">
        <v>28</v>
      </c>
      <c r="S534" s="267" t="s">
        <v>28</v>
      </c>
      <c r="T534" s="268" t="s">
        <v>951</v>
      </c>
      <c r="U534" s="269">
        <v>85644990</v>
      </c>
      <c r="V534" s="269">
        <v>69075150</v>
      </c>
      <c r="W534" s="278">
        <v>125439680</v>
      </c>
      <c r="X534" s="270"/>
      <c r="Y534" s="262" t="s">
        <v>27</v>
      </c>
      <c r="Z534" s="271" t="s">
        <v>27</v>
      </c>
      <c r="AA534" s="287"/>
      <c r="AB534" s="287"/>
      <c r="AC534" s="272">
        <f t="shared" si="17"/>
        <v>119353490</v>
      </c>
      <c r="AD534" s="272">
        <v>119353490</v>
      </c>
      <c r="AE534" s="272">
        <f t="shared" si="18"/>
        <v>0</v>
      </c>
      <c r="AF534" s="273">
        <v>10000000</v>
      </c>
      <c r="AG534" s="274">
        <v>5624000</v>
      </c>
      <c r="AH534" s="273"/>
      <c r="AI534" s="273">
        <v>10000000</v>
      </c>
      <c r="AJ534" s="274">
        <v>8885740</v>
      </c>
      <c r="AK534" s="273"/>
      <c r="AL534" s="275">
        <v>8343750</v>
      </c>
      <c r="AM534" s="290">
        <v>8343750</v>
      </c>
      <c r="AN534" s="275"/>
      <c r="AO534" s="276">
        <v>14500000</v>
      </c>
      <c r="AP534" s="275"/>
      <c r="AQ534" s="275">
        <v>10000000</v>
      </c>
      <c r="AR534" s="275"/>
      <c r="AS534" s="275">
        <v>11000000</v>
      </c>
      <c r="AT534" s="275"/>
      <c r="AU534" s="275">
        <v>11000000</v>
      </c>
      <c r="AV534" s="275"/>
      <c r="AW534" s="275">
        <v>10000000</v>
      </c>
      <c r="AX534" s="275"/>
      <c r="AY534" s="275">
        <v>10000000</v>
      </c>
      <c r="AZ534" s="275"/>
      <c r="BA534" s="275">
        <v>10000000</v>
      </c>
      <c r="BB534" s="275"/>
      <c r="BC534" s="275">
        <v>10000000</v>
      </c>
      <c r="BD534" s="275"/>
      <c r="BE534" s="275">
        <v>10000000</v>
      </c>
      <c r="BF534" s="275"/>
      <c r="BH534" s="277"/>
    </row>
    <row r="535" spans="1:60" ht="16.5" customHeight="1">
      <c r="A535" s="260">
        <v>513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212</v>
      </c>
      <c r="P535" s="262"/>
      <c r="Q535" s="262" t="s">
        <v>30</v>
      </c>
      <c r="R535" s="262" t="s">
        <v>31</v>
      </c>
      <c r="S535" s="267" t="s">
        <v>31</v>
      </c>
      <c r="T535" s="268"/>
      <c r="U535" s="269"/>
      <c r="V535" s="269">
        <v>915000</v>
      </c>
      <c r="W535" s="278">
        <v>0</v>
      </c>
      <c r="X535" s="270"/>
      <c r="Y535" s="262" t="s">
        <v>20</v>
      </c>
      <c r="Z535" s="271" t="s">
        <v>562</v>
      </c>
      <c r="AA535" s="287"/>
      <c r="AB535" s="287"/>
      <c r="AC535" s="272">
        <f t="shared" ref="AC535:AC598" si="19">AG535+AJ535+AM535+AO535+AQ535+AS535+AU535+AW535+AY535+BA535+BC535+BE535</f>
        <v>0</v>
      </c>
      <c r="AD535" s="272">
        <v>0</v>
      </c>
      <c r="AE535" s="272">
        <f t="shared" ref="AE535:AE598" si="20">AC535-AD535</f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75"/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customHeight="1">
      <c r="A536" s="260">
        <v>514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573</v>
      </c>
      <c r="K536" s="262"/>
      <c r="L536" s="262"/>
      <c r="M536" s="262">
        <v>384</v>
      </c>
      <c r="N536" s="262" t="s">
        <v>22</v>
      </c>
      <c r="O536" s="262" t="s">
        <v>178</v>
      </c>
      <c r="P536" s="262"/>
      <c r="Q536" s="262" t="s">
        <v>26</v>
      </c>
      <c r="R536" s="262" t="s">
        <v>468</v>
      </c>
      <c r="S536" s="267" t="s">
        <v>468</v>
      </c>
      <c r="T536" s="268"/>
      <c r="U536" s="269"/>
      <c r="V536" s="269">
        <v>9100000</v>
      </c>
      <c r="W536" s="278">
        <v>0</v>
      </c>
      <c r="X536" s="270"/>
      <c r="Y536" s="262" t="s">
        <v>20</v>
      </c>
      <c r="Z536" s="271" t="s">
        <v>25</v>
      </c>
      <c r="AA536" s="287"/>
      <c r="AB536" s="287"/>
      <c r="AC536" s="272">
        <f t="shared" si="19"/>
        <v>10000000</v>
      </c>
      <c r="AD536" s="272">
        <v>10000000</v>
      </c>
      <c r="AE536" s="272">
        <f t="shared" si="20"/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75">
        <v>10000000</v>
      </c>
      <c r="AR536" s="275"/>
      <c r="AS536" s="275"/>
      <c r="AT536" s="275"/>
      <c r="AU536" s="275"/>
      <c r="AV536" s="275"/>
      <c r="AW536" s="275"/>
      <c r="AX536" s="275"/>
      <c r="AY536" s="275"/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customHeight="1">
      <c r="A537" s="260">
        <v>515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573</v>
      </c>
      <c r="K537" s="262"/>
      <c r="L537" s="262"/>
      <c r="M537" s="262">
        <v>384</v>
      </c>
      <c r="N537" s="262" t="s">
        <v>22</v>
      </c>
      <c r="O537" s="262" t="s">
        <v>35</v>
      </c>
      <c r="P537" s="262"/>
      <c r="Q537" s="262"/>
      <c r="R537" s="262"/>
      <c r="S537" s="267" t="s">
        <v>822</v>
      </c>
      <c r="T537" s="268"/>
      <c r="U537" s="269"/>
      <c r="V537" s="269"/>
      <c r="W537" s="278">
        <v>1400000</v>
      </c>
      <c r="X537" s="270"/>
      <c r="Y537" s="262"/>
      <c r="Z537" s="271" t="s">
        <v>25</v>
      </c>
      <c r="AA537" s="287"/>
      <c r="AB537" s="287"/>
      <c r="AC537" s="272">
        <f t="shared" si="19"/>
        <v>12000000</v>
      </c>
      <c r="AD537" s="272">
        <v>12000000</v>
      </c>
      <c r="AE537" s="272">
        <f t="shared" si="20"/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75">
        <v>12000000</v>
      </c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customHeight="1">
      <c r="A538" s="260">
        <v>516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573</v>
      </c>
      <c r="K538" s="262"/>
      <c r="L538" s="262"/>
      <c r="M538" s="262">
        <v>384</v>
      </c>
      <c r="N538" s="262" t="s">
        <v>22</v>
      </c>
      <c r="O538" s="262" t="s">
        <v>35</v>
      </c>
      <c r="P538" s="262"/>
      <c r="Q538" s="262"/>
      <c r="R538" s="262"/>
      <c r="S538" s="267" t="s">
        <v>835</v>
      </c>
      <c r="T538" s="268"/>
      <c r="U538" s="269"/>
      <c r="V538" s="269"/>
      <c r="W538" s="278">
        <v>0</v>
      </c>
      <c r="X538" s="270"/>
      <c r="Y538" s="262"/>
      <c r="Z538" s="271" t="s">
        <v>25</v>
      </c>
      <c r="AA538" s="287"/>
      <c r="AB538" s="287"/>
      <c r="AC538" s="272">
        <f t="shared" si="19"/>
        <v>10000000</v>
      </c>
      <c r="AD538" s="272">
        <v>10000000</v>
      </c>
      <c r="AE538" s="272">
        <f t="shared" si="20"/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75">
        <v>10000000</v>
      </c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customHeight="1">
      <c r="A539" s="260">
        <v>517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80</v>
      </c>
      <c r="K539" s="262"/>
      <c r="L539" s="262"/>
      <c r="M539" s="262">
        <v>58593</v>
      </c>
      <c r="N539" s="262" t="s">
        <v>17</v>
      </c>
      <c r="O539" s="262" t="s">
        <v>178</v>
      </c>
      <c r="P539" s="262"/>
      <c r="Q539" s="262" t="s">
        <v>30</v>
      </c>
      <c r="R539" s="262" t="s">
        <v>31</v>
      </c>
      <c r="S539" s="267" t="s">
        <v>31</v>
      </c>
      <c r="T539" s="268"/>
      <c r="U539" s="269">
        <v>5510000</v>
      </c>
      <c r="V539" s="269">
        <v>6460000</v>
      </c>
      <c r="W539" s="278">
        <v>0</v>
      </c>
      <c r="X539" s="270"/>
      <c r="Y539" s="262" t="s">
        <v>24</v>
      </c>
      <c r="Z539" s="271" t="s">
        <v>24</v>
      </c>
      <c r="AA539" s="287"/>
      <c r="AB539" s="287"/>
      <c r="AC539" s="272">
        <f t="shared" si="19"/>
        <v>6000000</v>
      </c>
      <c r="AD539" s="272">
        <v>6000000</v>
      </c>
      <c r="AE539" s="272">
        <f t="shared" si="20"/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75"/>
      <c r="AR539" s="275"/>
      <c r="AS539" s="275"/>
      <c r="AT539" s="275"/>
      <c r="AU539" s="275"/>
      <c r="AV539" s="275"/>
      <c r="AW539" s="275"/>
      <c r="AX539" s="275"/>
      <c r="AY539" s="275">
        <v>6000000</v>
      </c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customHeight="1">
      <c r="A540" s="260">
        <v>518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80</v>
      </c>
      <c r="K540" s="262"/>
      <c r="L540" s="262"/>
      <c r="M540" s="262">
        <v>58593</v>
      </c>
      <c r="N540" s="262" t="s">
        <v>17</v>
      </c>
      <c r="O540" s="262" t="s">
        <v>35</v>
      </c>
      <c r="P540" s="262"/>
      <c r="Q540" s="262" t="s">
        <v>23</v>
      </c>
      <c r="R540" s="262" t="s">
        <v>397</v>
      </c>
      <c r="S540" s="267" t="s">
        <v>823</v>
      </c>
      <c r="T540" s="268"/>
      <c r="U540" s="269">
        <v>200000</v>
      </c>
      <c r="V540" s="269">
        <v>250000</v>
      </c>
      <c r="W540" s="278">
        <v>0</v>
      </c>
      <c r="X540" s="270"/>
      <c r="Y540" s="262" t="s">
        <v>24</v>
      </c>
      <c r="Z540" s="271" t="s">
        <v>20</v>
      </c>
      <c r="AA540" s="287"/>
      <c r="AB540" s="287"/>
      <c r="AC540" s="272">
        <f t="shared" si="19"/>
        <v>0</v>
      </c>
      <c r="AD540" s="272">
        <v>0</v>
      </c>
      <c r="AE540" s="272">
        <f t="shared" si="20"/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75"/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customHeight="1">
      <c r="A541" s="260">
        <v>519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81</v>
      </c>
      <c r="K541" s="262"/>
      <c r="L541" s="262"/>
      <c r="M541" s="262">
        <v>3700</v>
      </c>
      <c r="N541" s="262"/>
      <c r="O541" s="262" t="s">
        <v>35</v>
      </c>
      <c r="P541" s="262"/>
      <c r="Q541" s="262"/>
      <c r="R541" s="262"/>
      <c r="S541" s="267" t="s">
        <v>469</v>
      </c>
      <c r="T541" s="268"/>
      <c r="U541" s="269"/>
      <c r="V541" s="269"/>
      <c r="W541" s="278">
        <v>0</v>
      </c>
      <c r="X541" s="270"/>
      <c r="Y541" s="262"/>
      <c r="Z541" s="271" t="s">
        <v>25</v>
      </c>
      <c r="AA541" s="287"/>
      <c r="AB541" s="287"/>
      <c r="AC541" s="272">
        <f t="shared" si="19"/>
        <v>11000000</v>
      </c>
      <c r="AD541" s="272">
        <v>11000000</v>
      </c>
      <c r="AE541" s="272">
        <f t="shared" si="20"/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75">
        <v>11000000</v>
      </c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customHeight="1">
      <c r="A542" s="260">
        <v>520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81</v>
      </c>
      <c r="K542" s="262"/>
      <c r="L542" s="262"/>
      <c r="M542" s="262">
        <v>3700</v>
      </c>
      <c r="N542" s="262" t="s">
        <v>22</v>
      </c>
      <c r="O542" s="262" t="s">
        <v>35</v>
      </c>
      <c r="P542" s="262"/>
      <c r="Q542" s="262" t="s">
        <v>26</v>
      </c>
      <c r="R542" s="262" t="s">
        <v>468</v>
      </c>
      <c r="S542" s="267" t="s">
        <v>468</v>
      </c>
      <c r="T542" s="268"/>
      <c r="U542" s="269">
        <v>41840000</v>
      </c>
      <c r="V542" s="269">
        <v>19813636</v>
      </c>
      <c r="W542" s="278">
        <v>0</v>
      </c>
      <c r="X542" s="270"/>
      <c r="Y542" s="262" t="s">
        <v>25</v>
      </c>
      <c r="Z542" s="271" t="s">
        <v>25</v>
      </c>
      <c r="AA542" s="287"/>
      <c r="AB542" s="287"/>
      <c r="AC542" s="272">
        <f t="shared" si="19"/>
        <v>35200000</v>
      </c>
      <c r="AD542" s="272">
        <v>35200000</v>
      </c>
      <c r="AE542" s="272">
        <f t="shared" si="20"/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75"/>
      <c r="AR542" s="275"/>
      <c r="AS542" s="275"/>
      <c r="AT542" s="275"/>
      <c r="AU542" s="275">
        <v>15200000</v>
      </c>
      <c r="AV542" s="275"/>
      <c r="AW542" s="275">
        <v>20000000</v>
      </c>
      <c r="AX542" s="275"/>
      <c r="AY542" s="275"/>
      <c r="AZ542" s="275"/>
      <c r="BA542" s="275"/>
      <c r="BB542" s="275"/>
      <c r="BC542" s="275"/>
      <c r="BD542" s="275"/>
      <c r="BE542" s="275"/>
      <c r="BF542" s="275"/>
      <c r="BH542" s="277"/>
    </row>
    <row r="543" spans="1:60" ht="16.5" customHeight="1">
      <c r="A543" s="260">
        <v>521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81</v>
      </c>
      <c r="K543" s="262"/>
      <c r="L543" s="262"/>
      <c r="M543" s="262">
        <v>3700</v>
      </c>
      <c r="N543" s="262" t="s">
        <v>22</v>
      </c>
      <c r="O543" s="262" t="s">
        <v>56</v>
      </c>
      <c r="P543" s="262"/>
      <c r="Q543" s="262"/>
      <c r="R543" s="262" t="s">
        <v>478</v>
      </c>
      <c r="S543" s="267" t="s">
        <v>478</v>
      </c>
      <c r="T543" s="268"/>
      <c r="U543" s="269"/>
      <c r="V543" s="269"/>
      <c r="W543" s="278">
        <v>6900000</v>
      </c>
      <c r="X543" s="270"/>
      <c r="Y543" s="262" t="s">
        <v>27</v>
      </c>
      <c r="Z543" s="271" t="s">
        <v>27</v>
      </c>
      <c r="AA543" s="287"/>
      <c r="AB543" s="287"/>
      <c r="AC543" s="272">
        <f t="shared" si="19"/>
        <v>4800000</v>
      </c>
      <c r="AD543" s="272">
        <v>4800000</v>
      </c>
      <c r="AE543" s="272">
        <f t="shared" si="20"/>
        <v>0</v>
      </c>
      <c r="AF543" s="273"/>
      <c r="AG543" s="274"/>
      <c r="AH543" s="273"/>
      <c r="AI543" s="273"/>
      <c r="AJ543" s="274"/>
      <c r="AK543" s="273"/>
      <c r="AL543" s="275"/>
      <c r="AM543" s="290"/>
      <c r="AN543" s="275"/>
      <c r="AO543" s="276"/>
      <c r="AP543" s="275"/>
      <c r="AQ543" s="275">
        <v>4800000</v>
      </c>
      <c r="AR543" s="275"/>
      <c r="AS543" s="275"/>
      <c r="AT543" s="275"/>
      <c r="AU543" s="275"/>
      <c r="AV543" s="275"/>
      <c r="AW543" s="275"/>
      <c r="AX543" s="275"/>
      <c r="AY543" s="275"/>
      <c r="AZ543" s="275"/>
      <c r="BA543" s="275"/>
      <c r="BB543" s="275"/>
      <c r="BC543" s="275"/>
      <c r="BD543" s="275"/>
      <c r="BE543" s="275"/>
      <c r="BF543" s="275"/>
      <c r="BH543" s="277"/>
    </row>
    <row r="544" spans="1:60" ht="16.5" customHeight="1">
      <c r="A544" s="260">
        <v>522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727</v>
      </c>
      <c r="K544" s="262"/>
      <c r="L544" s="262"/>
      <c r="M544" s="262">
        <v>12158</v>
      </c>
      <c r="N544" s="262"/>
      <c r="O544" s="262" t="s">
        <v>35</v>
      </c>
      <c r="P544" s="262"/>
      <c r="Q544" s="262"/>
      <c r="R544" s="262"/>
      <c r="S544" s="267" t="s">
        <v>469</v>
      </c>
      <c r="T544" s="268"/>
      <c r="U544" s="269"/>
      <c r="V544" s="269"/>
      <c r="W544" s="278">
        <v>0</v>
      </c>
      <c r="X544" s="270"/>
      <c r="Y544" s="262"/>
      <c r="Z544" s="271" t="s">
        <v>25</v>
      </c>
      <c r="AA544" s="287"/>
      <c r="AB544" s="287"/>
      <c r="AC544" s="272">
        <f t="shared" si="19"/>
        <v>18000000</v>
      </c>
      <c r="AD544" s="272">
        <v>18000000</v>
      </c>
      <c r="AE544" s="272">
        <f t="shared" si="20"/>
        <v>0</v>
      </c>
      <c r="AF544" s="273"/>
      <c r="AG544" s="274"/>
      <c r="AH544" s="273"/>
      <c r="AI544" s="273"/>
      <c r="AJ544" s="274"/>
      <c r="AK544" s="273"/>
      <c r="AL544" s="275"/>
      <c r="AM544" s="290"/>
      <c r="AN544" s="275"/>
      <c r="AO544" s="276"/>
      <c r="AP544" s="275"/>
      <c r="AQ544" s="275">
        <v>18000000</v>
      </c>
      <c r="AR544" s="275"/>
      <c r="AS544" s="275"/>
      <c r="AT544" s="275"/>
      <c r="AU544" s="275"/>
      <c r="AV544" s="275"/>
      <c r="AW544" s="275"/>
      <c r="AX544" s="275"/>
      <c r="AY544" s="275"/>
      <c r="AZ544" s="275"/>
      <c r="BA544" s="275"/>
      <c r="BB544" s="275"/>
      <c r="BC544" s="275"/>
      <c r="BD544" s="275"/>
      <c r="BE544" s="275"/>
      <c r="BF544" s="275"/>
      <c r="BH544" s="277"/>
    </row>
    <row r="545" spans="1:60" ht="16.5" customHeight="1">
      <c r="A545" s="260">
        <v>523</v>
      </c>
      <c r="B545" s="261"/>
      <c r="C545" s="261"/>
      <c r="D545" s="262" t="s">
        <v>15</v>
      </c>
      <c r="E545" s="262" t="s">
        <v>2</v>
      </c>
      <c r="F545" s="263" t="s">
        <v>15</v>
      </c>
      <c r="G545" s="264" t="s">
        <v>2</v>
      </c>
      <c r="H545" s="281"/>
      <c r="I545" s="265"/>
      <c r="J545" s="266" t="s">
        <v>82</v>
      </c>
      <c r="K545" s="262"/>
      <c r="L545" s="262"/>
      <c r="M545" s="262">
        <v>29162</v>
      </c>
      <c r="N545" s="262" t="s">
        <v>17</v>
      </c>
      <c r="O545" s="262" t="s">
        <v>56</v>
      </c>
      <c r="P545" s="262"/>
      <c r="Q545" s="262" t="s">
        <v>30</v>
      </c>
      <c r="R545" s="262" t="s">
        <v>31</v>
      </c>
      <c r="S545" s="267" t="s">
        <v>31</v>
      </c>
      <c r="T545" s="268"/>
      <c r="U545" s="269">
        <v>2040000</v>
      </c>
      <c r="V545" s="269">
        <v>1320000</v>
      </c>
      <c r="W545" s="278">
        <v>2340000</v>
      </c>
      <c r="X545" s="270"/>
      <c r="Y545" s="262" t="s">
        <v>24</v>
      </c>
      <c r="Z545" s="271" t="s">
        <v>25</v>
      </c>
      <c r="AA545" s="287"/>
      <c r="AB545" s="287"/>
      <c r="AC545" s="272">
        <f t="shared" si="19"/>
        <v>2000000</v>
      </c>
      <c r="AD545" s="272">
        <v>2000000</v>
      </c>
      <c r="AE545" s="272">
        <f t="shared" si="20"/>
        <v>0</v>
      </c>
      <c r="AF545" s="273"/>
      <c r="AG545" s="274"/>
      <c r="AH545" s="273"/>
      <c r="AI545" s="273"/>
      <c r="AJ545" s="274"/>
      <c r="AK545" s="273"/>
      <c r="AL545" s="275"/>
      <c r="AM545" s="290"/>
      <c r="AN545" s="275"/>
      <c r="AO545" s="276"/>
      <c r="AP545" s="275"/>
      <c r="AQ545" s="275"/>
      <c r="AR545" s="275"/>
      <c r="AS545" s="275">
        <v>1000000</v>
      </c>
      <c r="AT545" s="275"/>
      <c r="AU545" s="275"/>
      <c r="AV545" s="275"/>
      <c r="AW545" s="275"/>
      <c r="AX545" s="275"/>
      <c r="AY545" s="275"/>
      <c r="AZ545" s="275"/>
      <c r="BA545" s="275">
        <v>1000000</v>
      </c>
      <c r="BB545" s="275"/>
      <c r="BC545" s="275"/>
      <c r="BD545" s="275"/>
      <c r="BE545" s="275"/>
      <c r="BF545" s="275"/>
      <c r="BH545" s="277"/>
    </row>
    <row r="546" spans="1:60" ht="16.5" customHeight="1">
      <c r="A546" s="260">
        <v>524</v>
      </c>
      <c r="B546" s="261"/>
      <c r="C546" s="261"/>
      <c r="D546" s="262" t="s">
        <v>15</v>
      </c>
      <c r="E546" s="262" t="s">
        <v>2</v>
      </c>
      <c r="F546" s="263" t="s">
        <v>15</v>
      </c>
      <c r="G546" s="264" t="s">
        <v>2</v>
      </c>
      <c r="H546" s="281"/>
      <c r="I546" s="265"/>
      <c r="J546" s="266" t="s">
        <v>108</v>
      </c>
      <c r="K546" s="262"/>
      <c r="L546" s="262"/>
      <c r="M546" s="262">
        <v>3801</v>
      </c>
      <c r="N546" s="262" t="s">
        <v>32</v>
      </c>
      <c r="O546" s="262" t="s">
        <v>212</v>
      </c>
      <c r="P546" s="262"/>
      <c r="Q546" s="262"/>
      <c r="R546" s="262" t="s">
        <v>28</v>
      </c>
      <c r="S546" s="267" t="s">
        <v>28</v>
      </c>
      <c r="T546" s="268" t="s">
        <v>951</v>
      </c>
      <c r="U546" s="269">
        <v>0</v>
      </c>
      <c r="V546" s="269">
        <v>0</v>
      </c>
      <c r="W546" s="278">
        <v>283938775</v>
      </c>
      <c r="X546" s="270"/>
      <c r="Y546" s="262" t="s">
        <v>27</v>
      </c>
      <c r="Z546" s="271" t="s">
        <v>27</v>
      </c>
      <c r="AA546" s="287"/>
      <c r="AB546" s="287"/>
      <c r="AC546" s="272">
        <f t="shared" si="19"/>
        <v>288467050</v>
      </c>
      <c r="AD546" s="272">
        <v>288467050</v>
      </c>
      <c r="AE546" s="272">
        <f t="shared" si="20"/>
        <v>0</v>
      </c>
      <c r="AF546" s="273">
        <v>24000000</v>
      </c>
      <c r="AG546" s="274">
        <v>36061175</v>
      </c>
      <c r="AH546" s="273"/>
      <c r="AI546" s="273">
        <v>24000000</v>
      </c>
      <c r="AJ546" s="274">
        <v>44211850</v>
      </c>
      <c r="AK546" s="273"/>
      <c r="AL546" s="275">
        <v>55000000</v>
      </c>
      <c r="AM546" s="290">
        <v>55194025</v>
      </c>
      <c r="AN546" s="275"/>
      <c r="AO546" s="276">
        <v>17000000</v>
      </c>
      <c r="AP546" s="275"/>
      <c r="AQ546" s="275">
        <v>17000000</v>
      </c>
      <c r="AR546" s="275"/>
      <c r="AS546" s="275">
        <v>17000000</v>
      </c>
      <c r="AT546" s="275"/>
      <c r="AU546" s="275">
        <v>17000000</v>
      </c>
      <c r="AV546" s="275"/>
      <c r="AW546" s="275">
        <v>17000000</v>
      </c>
      <c r="AX546" s="275"/>
      <c r="AY546" s="275">
        <v>17000000</v>
      </c>
      <c r="AZ546" s="275"/>
      <c r="BA546" s="275">
        <v>17000000</v>
      </c>
      <c r="BB546" s="275"/>
      <c r="BC546" s="275">
        <v>17000000</v>
      </c>
      <c r="BD546" s="275"/>
      <c r="BE546" s="275">
        <v>17000000</v>
      </c>
      <c r="BF546" s="275"/>
      <c r="BH546" s="277"/>
    </row>
    <row r="547" spans="1:60" ht="16.5" customHeight="1">
      <c r="A547" s="260">
        <v>525</v>
      </c>
      <c r="B547" s="261"/>
      <c r="C547" s="261"/>
      <c r="D547" s="262" t="s">
        <v>15</v>
      </c>
      <c r="E547" s="262" t="s">
        <v>2</v>
      </c>
      <c r="F547" s="263" t="s">
        <v>15</v>
      </c>
      <c r="G547" s="264" t="s">
        <v>2</v>
      </c>
      <c r="H547" s="281"/>
      <c r="I547" s="265"/>
      <c r="J547" s="266" t="s">
        <v>83</v>
      </c>
      <c r="K547" s="262"/>
      <c r="L547" s="262"/>
      <c r="M547" s="262">
        <v>8607</v>
      </c>
      <c r="N547" s="262" t="s">
        <v>22</v>
      </c>
      <c r="O547" s="262" t="s">
        <v>56</v>
      </c>
      <c r="P547" s="262"/>
      <c r="Q547" s="262" t="s">
        <v>18</v>
      </c>
      <c r="R547" s="262" t="s">
        <v>19</v>
      </c>
      <c r="S547" s="267" t="s">
        <v>19</v>
      </c>
      <c r="T547" s="268"/>
      <c r="U547" s="269">
        <v>13684000</v>
      </c>
      <c r="V547" s="269">
        <v>14772000</v>
      </c>
      <c r="W547" s="278">
        <v>15617000</v>
      </c>
      <c r="X547" s="270"/>
      <c r="Y547" s="262" t="s">
        <v>27</v>
      </c>
      <c r="Z547" s="271" t="s">
        <v>24</v>
      </c>
      <c r="AA547" s="287"/>
      <c r="AB547" s="287"/>
      <c r="AC547" s="272">
        <f t="shared" si="19"/>
        <v>30000000</v>
      </c>
      <c r="AD547" s="272">
        <v>30000000</v>
      </c>
      <c r="AE547" s="272">
        <f t="shared" si="20"/>
        <v>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/>
      <c r="AT547" s="275"/>
      <c r="AU547" s="275">
        <v>10000000</v>
      </c>
      <c r="AV547" s="275"/>
      <c r="AW547" s="275">
        <v>5000000</v>
      </c>
      <c r="AX547" s="275"/>
      <c r="AY547" s="275"/>
      <c r="AZ547" s="275"/>
      <c r="BA547" s="275">
        <v>5000000</v>
      </c>
      <c r="BB547" s="275"/>
      <c r="BC547" s="275">
        <v>10000000</v>
      </c>
      <c r="BD547" s="275"/>
      <c r="BE547" s="275"/>
      <c r="BF547" s="275"/>
      <c r="BH547" s="277"/>
    </row>
    <row r="548" spans="1:60" ht="16.5" customHeight="1">
      <c r="A548" s="260">
        <v>526</v>
      </c>
      <c r="B548" s="261"/>
      <c r="C548" s="261"/>
      <c r="D548" s="262"/>
      <c r="E548" s="262"/>
      <c r="F548" s="263" t="s">
        <v>15</v>
      </c>
      <c r="G548" s="264" t="s">
        <v>2</v>
      </c>
      <c r="H548" s="281"/>
      <c r="I548" s="265"/>
      <c r="J548" s="266" t="s">
        <v>83</v>
      </c>
      <c r="K548" s="262"/>
      <c r="L548" s="262"/>
      <c r="M548" s="262">
        <v>8607</v>
      </c>
      <c r="N548" s="262"/>
      <c r="O548" s="262"/>
      <c r="P548" s="262"/>
      <c r="Q548" s="262"/>
      <c r="R548" s="262"/>
      <c r="S548" s="267" t="s">
        <v>31</v>
      </c>
      <c r="T548" s="268"/>
      <c r="U548" s="269"/>
      <c r="V548" s="269"/>
      <c r="W548" s="278">
        <v>28356000</v>
      </c>
      <c r="X548" s="270"/>
      <c r="Y548" s="262"/>
      <c r="Z548" s="271" t="s">
        <v>27</v>
      </c>
      <c r="AA548" s="287"/>
      <c r="AB548" s="287"/>
      <c r="AC548" s="272">
        <f t="shared" si="19"/>
        <v>17000000</v>
      </c>
      <c r="AD548" s="272">
        <v>17000000</v>
      </c>
      <c r="AE548" s="272">
        <f t="shared" si="20"/>
        <v>0</v>
      </c>
      <c r="AF548" s="273"/>
      <c r="AG548" s="274"/>
      <c r="AH548" s="273"/>
      <c r="AI548" s="273"/>
      <c r="AJ548" s="274"/>
      <c r="AK548" s="273"/>
      <c r="AL548" s="275"/>
      <c r="AM548" s="290"/>
      <c r="AN548" s="275"/>
      <c r="AO548" s="276"/>
      <c r="AP548" s="275"/>
      <c r="AQ548" s="275"/>
      <c r="AR548" s="275"/>
      <c r="AS548" s="275"/>
      <c r="AT548" s="275"/>
      <c r="AU548" s="275"/>
      <c r="AV548" s="275"/>
      <c r="AW548" s="275"/>
      <c r="AX548" s="275"/>
      <c r="AY548" s="275"/>
      <c r="AZ548" s="275"/>
      <c r="BA548" s="275"/>
      <c r="BB548" s="275"/>
      <c r="BC548" s="275"/>
      <c r="BD548" s="275"/>
      <c r="BE548" s="275">
        <v>17000000</v>
      </c>
      <c r="BF548" s="275"/>
      <c r="BH548" s="277"/>
    </row>
    <row r="549" spans="1:60" ht="16.5" customHeight="1">
      <c r="A549" s="260">
        <v>527</v>
      </c>
      <c r="B549" s="261"/>
      <c r="C549" s="261"/>
      <c r="D549" s="262"/>
      <c r="E549" s="262"/>
      <c r="F549" s="263" t="s">
        <v>15</v>
      </c>
      <c r="G549" s="264" t="s">
        <v>2</v>
      </c>
      <c r="H549" s="281"/>
      <c r="I549" s="265"/>
      <c r="J549" s="266" t="s">
        <v>83</v>
      </c>
      <c r="K549" s="262"/>
      <c r="L549" s="262"/>
      <c r="M549" s="262">
        <v>8607</v>
      </c>
      <c r="N549" s="262"/>
      <c r="O549" s="262"/>
      <c r="P549" s="262"/>
      <c r="Q549" s="262"/>
      <c r="R549" s="262"/>
      <c r="S549" s="267" t="s">
        <v>468</v>
      </c>
      <c r="T549" s="268"/>
      <c r="U549" s="269"/>
      <c r="V549" s="269"/>
      <c r="W549" s="278">
        <v>1350000</v>
      </c>
      <c r="X549" s="270"/>
      <c r="Y549" s="262"/>
      <c r="Z549" s="271" t="s">
        <v>25</v>
      </c>
      <c r="AA549" s="287"/>
      <c r="AB549" s="287"/>
      <c r="AC549" s="272">
        <f t="shared" si="19"/>
        <v>18000000</v>
      </c>
      <c r="AD549" s="272">
        <v>0</v>
      </c>
      <c r="AE549" s="272">
        <f t="shared" si="20"/>
        <v>18000000</v>
      </c>
      <c r="AF549" s="273"/>
      <c r="AG549" s="274"/>
      <c r="AH549" s="273"/>
      <c r="AI549" s="273"/>
      <c r="AJ549" s="274"/>
      <c r="AK549" s="273"/>
      <c r="AL549" s="275"/>
      <c r="AM549" s="290"/>
      <c r="AN549" s="275"/>
      <c r="AO549" s="276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>
        <v>18000000</v>
      </c>
      <c r="AZ549" s="275"/>
      <c r="BA549" s="275"/>
      <c r="BB549" s="275"/>
      <c r="BC549" s="275"/>
      <c r="BD549" s="275"/>
      <c r="BE549" s="275"/>
      <c r="BF549" s="275"/>
      <c r="BH549" s="277"/>
    </row>
    <row r="550" spans="1:60" ht="16.5" customHeight="1">
      <c r="A550" s="260">
        <v>528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83</v>
      </c>
      <c r="K550" s="262"/>
      <c r="L550" s="262"/>
      <c r="M550" s="262">
        <v>8607</v>
      </c>
      <c r="N550" s="262" t="s">
        <v>22</v>
      </c>
      <c r="O550" s="262" t="s">
        <v>56</v>
      </c>
      <c r="P550" s="262"/>
      <c r="Q550" s="262"/>
      <c r="R550" s="262" t="s">
        <v>478</v>
      </c>
      <c r="S550" s="267" t="s">
        <v>478</v>
      </c>
      <c r="T550" s="268"/>
      <c r="U550" s="269"/>
      <c r="V550" s="269"/>
      <c r="W550" s="278">
        <v>0</v>
      </c>
      <c r="X550" s="270"/>
      <c r="Y550" s="262" t="s">
        <v>25</v>
      </c>
      <c r="Z550" s="271" t="s">
        <v>27</v>
      </c>
      <c r="AA550" s="287"/>
      <c r="AB550" s="287"/>
      <c r="AC550" s="272">
        <f t="shared" si="19"/>
        <v>2000000</v>
      </c>
      <c r="AD550" s="272">
        <v>20000000</v>
      </c>
      <c r="AE550" s="272">
        <f t="shared" si="20"/>
        <v>-18000000</v>
      </c>
      <c r="AF550" s="273"/>
      <c r="AG550" s="274"/>
      <c r="AH550" s="273"/>
      <c r="AI550" s="273"/>
      <c r="AJ550" s="274"/>
      <c r="AK550" s="273"/>
      <c r="AL550" s="275"/>
      <c r="AM550" s="290"/>
      <c r="AN550" s="275"/>
      <c r="AO550" s="276"/>
      <c r="AP550" s="275"/>
      <c r="AQ550" s="275"/>
      <c r="AR550" s="275"/>
      <c r="AS550" s="275">
        <v>2000000</v>
      </c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/>
      <c r="BF550" s="275"/>
      <c r="BH550" s="277"/>
    </row>
    <row r="551" spans="1:60" ht="16.5" customHeight="1">
      <c r="A551" s="260">
        <v>529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84</v>
      </c>
      <c r="K551" s="262"/>
      <c r="L551" s="262"/>
      <c r="M551" s="262">
        <v>5108</v>
      </c>
      <c r="N551" s="262" t="s">
        <v>22</v>
      </c>
      <c r="O551" s="262" t="s">
        <v>56</v>
      </c>
      <c r="P551" s="262"/>
      <c r="Q551" s="262"/>
      <c r="R551" s="262"/>
      <c r="S551" s="267" t="s">
        <v>19</v>
      </c>
      <c r="T551" s="268"/>
      <c r="U551" s="269"/>
      <c r="V551" s="269"/>
      <c r="W551" s="278">
        <v>7030300</v>
      </c>
      <c r="X551" s="270"/>
      <c r="Y551" s="262"/>
      <c r="Z551" s="271" t="s">
        <v>27</v>
      </c>
      <c r="AA551" s="287"/>
      <c r="AB551" s="287"/>
      <c r="AC551" s="272">
        <f t="shared" si="19"/>
        <v>10799000</v>
      </c>
      <c r="AD551" s="272">
        <v>10799000</v>
      </c>
      <c r="AE551" s="272">
        <f t="shared" si="20"/>
        <v>0</v>
      </c>
      <c r="AF551" s="273">
        <v>1000000</v>
      </c>
      <c r="AG551" s="274">
        <v>465000</v>
      </c>
      <c r="AH551" s="273"/>
      <c r="AI551" s="273">
        <v>1000000</v>
      </c>
      <c r="AJ551" s="274">
        <v>284000</v>
      </c>
      <c r="AK551" s="273"/>
      <c r="AL551" s="275">
        <v>1000000</v>
      </c>
      <c r="AM551" s="290">
        <v>50000</v>
      </c>
      <c r="AN551" s="275"/>
      <c r="AO551" s="276">
        <v>1000000</v>
      </c>
      <c r="AP551" s="275"/>
      <c r="AQ551" s="275">
        <v>1500000</v>
      </c>
      <c r="AR551" s="275"/>
      <c r="AS551" s="275">
        <v>1500000</v>
      </c>
      <c r="AT551" s="275"/>
      <c r="AU551" s="275">
        <v>1000000</v>
      </c>
      <c r="AV551" s="275"/>
      <c r="AW551" s="275">
        <v>1000000</v>
      </c>
      <c r="AX551" s="275"/>
      <c r="AY551" s="275">
        <v>1000000</v>
      </c>
      <c r="AZ551" s="275"/>
      <c r="BA551" s="275">
        <v>1000000</v>
      </c>
      <c r="BB551" s="275"/>
      <c r="BC551" s="275">
        <v>1000000</v>
      </c>
      <c r="BD551" s="275"/>
      <c r="BE551" s="275">
        <v>1000000</v>
      </c>
      <c r="BF551" s="275"/>
      <c r="BH551" s="277"/>
    </row>
    <row r="552" spans="1:60" ht="16.5" customHeight="1">
      <c r="A552" s="260">
        <v>530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84</v>
      </c>
      <c r="K552" s="262"/>
      <c r="L552" s="262"/>
      <c r="M552" s="262">
        <v>5108</v>
      </c>
      <c r="N552" s="262" t="s">
        <v>22</v>
      </c>
      <c r="O552" s="262" t="s">
        <v>56</v>
      </c>
      <c r="P552" s="262"/>
      <c r="Q552" s="262" t="s">
        <v>63</v>
      </c>
      <c r="R552" s="262" t="s">
        <v>31</v>
      </c>
      <c r="S552" s="267" t="s">
        <v>31</v>
      </c>
      <c r="T552" s="268"/>
      <c r="U552" s="269">
        <v>29669720</v>
      </c>
      <c r="V552" s="269">
        <v>6788000</v>
      </c>
      <c r="W552" s="278">
        <v>53254000</v>
      </c>
      <c r="X552" s="270"/>
      <c r="Y552" s="262" t="s">
        <v>27</v>
      </c>
      <c r="Z552" s="271" t="s">
        <v>27</v>
      </c>
      <c r="AA552" s="287"/>
      <c r="AB552" s="287"/>
      <c r="AC552" s="272">
        <f t="shared" si="19"/>
        <v>25000000</v>
      </c>
      <c r="AD552" s="272">
        <v>25000000</v>
      </c>
      <c r="AE552" s="272">
        <f t="shared" si="20"/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>
        <v>25000000</v>
      </c>
      <c r="BF552" s="275"/>
      <c r="BH552" s="277"/>
    </row>
    <row r="553" spans="1:60" ht="16.5" customHeight="1">
      <c r="A553" s="260">
        <v>531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84</v>
      </c>
      <c r="K553" s="262"/>
      <c r="L553" s="262"/>
      <c r="M553" s="262">
        <v>5108</v>
      </c>
      <c r="N553" s="262" t="s">
        <v>22</v>
      </c>
      <c r="O553" s="262" t="s">
        <v>35</v>
      </c>
      <c r="P553" s="262"/>
      <c r="Q553" s="262" t="s">
        <v>26</v>
      </c>
      <c r="R553" s="262" t="s">
        <v>468</v>
      </c>
      <c r="S553" s="267" t="s">
        <v>468</v>
      </c>
      <c r="T553" s="268"/>
      <c r="U553" s="269"/>
      <c r="V553" s="269">
        <v>0</v>
      </c>
      <c r="W553" s="278">
        <v>0</v>
      </c>
      <c r="X553" s="270"/>
      <c r="Y553" s="262" t="s">
        <v>25</v>
      </c>
      <c r="Z553" s="271" t="s">
        <v>25</v>
      </c>
      <c r="AA553" s="287"/>
      <c r="AB553" s="287"/>
      <c r="AC553" s="272">
        <f t="shared" si="19"/>
        <v>0</v>
      </c>
      <c r="AD553" s="272">
        <v>0</v>
      </c>
      <c r="AE553" s="272">
        <f t="shared" si="20"/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/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H553" s="277"/>
    </row>
    <row r="554" spans="1:60" ht="16.5" customHeight="1">
      <c r="A554" s="260">
        <v>532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86</v>
      </c>
      <c r="K554" s="262"/>
      <c r="L554" s="262"/>
      <c r="M554" s="262">
        <v>44292</v>
      </c>
      <c r="N554" s="262" t="s">
        <v>22</v>
      </c>
      <c r="O554" s="262" t="s">
        <v>56</v>
      </c>
      <c r="P554" s="262"/>
      <c r="Q554" s="262" t="s">
        <v>18</v>
      </c>
      <c r="R554" s="262" t="s">
        <v>19</v>
      </c>
      <c r="S554" s="267" t="s">
        <v>19</v>
      </c>
      <c r="T554" s="268"/>
      <c r="U554" s="269"/>
      <c r="V554" s="269">
        <v>14158000</v>
      </c>
      <c r="W554" s="278">
        <v>20357000</v>
      </c>
      <c r="X554" s="270"/>
      <c r="Y554" s="262" t="s">
        <v>27</v>
      </c>
      <c r="Z554" s="271" t="s">
        <v>27</v>
      </c>
      <c r="AA554" s="287"/>
      <c r="AB554" s="287"/>
      <c r="AC554" s="272">
        <f t="shared" si="19"/>
        <v>30000000</v>
      </c>
      <c r="AD554" s="272">
        <v>30000000</v>
      </c>
      <c r="AE554" s="272">
        <f t="shared" si="20"/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75"/>
      <c r="AR554" s="275"/>
      <c r="AS554" s="275"/>
      <c r="AT554" s="275"/>
      <c r="AU554" s="275">
        <v>5000000</v>
      </c>
      <c r="AV554" s="275"/>
      <c r="AW554" s="275">
        <v>5000000</v>
      </c>
      <c r="AX554" s="275"/>
      <c r="AY554" s="275">
        <v>5000000</v>
      </c>
      <c r="AZ554" s="275"/>
      <c r="BA554" s="275">
        <v>5000000</v>
      </c>
      <c r="BB554" s="275"/>
      <c r="BC554" s="275">
        <v>5000000</v>
      </c>
      <c r="BD554" s="275"/>
      <c r="BE554" s="275">
        <v>5000000</v>
      </c>
      <c r="BF554" s="275"/>
      <c r="BH554" s="277"/>
    </row>
    <row r="555" spans="1:60" ht="16.5" customHeight="1">
      <c r="A555" s="260">
        <v>533</v>
      </c>
      <c r="B555" s="261"/>
      <c r="C555" s="261"/>
      <c r="D555" s="262" t="s">
        <v>15</v>
      </c>
      <c r="E555" s="262" t="s">
        <v>2</v>
      </c>
      <c r="F555" s="263" t="s">
        <v>15</v>
      </c>
      <c r="G555" s="264" t="s">
        <v>2</v>
      </c>
      <c r="H555" s="281"/>
      <c r="I555" s="265"/>
      <c r="J555" s="266" t="s">
        <v>86</v>
      </c>
      <c r="K555" s="262"/>
      <c r="L555" s="262"/>
      <c r="M555" s="262">
        <v>60460</v>
      </c>
      <c r="N555" s="262" t="s">
        <v>22</v>
      </c>
      <c r="O555" s="262" t="s">
        <v>178</v>
      </c>
      <c r="P555" s="262"/>
      <c r="Q555" s="262" t="s">
        <v>62</v>
      </c>
      <c r="R555" s="262" t="s">
        <v>633</v>
      </c>
      <c r="S555" s="267" t="s">
        <v>833</v>
      </c>
      <c r="T555" s="268"/>
      <c r="U555" s="269"/>
      <c r="V555" s="269">
        <v>6720000</v>
      </c>
      <c r="W555" s="278">
        <v>0</v>
      </c>
      <c r="X555" s="270"/>
      <c r="Y555" s="262" t="s">
        <v>20</v>
      </c>
      <c r="Z555" s="271" t="s">
        <v>20</v>
      </c>
      <c r="AA555" s="287"/>
      <c r="AB555" s="287"/>
      <c r="AC555" s="272">
        <f t="shared" si="19"/>
        <v>0</v>
      </c>
      <c r="AD555" s="272">
        <v>0</v>
      </c>
      <c r="AE555" s="272">
        <f t="shared" si="20"/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75"/>
      <c r="AR555" s="275"/>
      <c r="AS555" s="275"/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customHeight="1">
      <c r="A556" s="260">
        <v>534</v>
      </c>
      <c r="B556" s="261"/>
      <c r="C556" s="261"/>
      <c r="D556" s="262" t="s">
        <v>15</v>
      </c>
      <c r="E556" s="262" t="s">
        <v>2</v>
      </c>
      <c r="F556" s="263" t="s">
        <v>15</v>
      </c>
      <c r="G556" s="264" t="s">
        <v>2</v>
      </c>
      <c r="H556" s="281"/>
      <c r="I556" s="265"/>
      <c r="J556" s="266" t="s">
        <v>652</v>
      </c>
      <c r="K556" s="262"/>
      <c r="L556" s="262"/>
      <c r="M556" s="262">
        <v>3853</v>
      </c>
      <c r="N556" s="262"/>
      <c r="O556" s="262" t="s">
        <v>35</v>
      </c>
      <c r="P556" s="262"/>
      <c r="Q556" s="262"/>
      <c r="R556" s="262"/>
      <c r="S556" s="267" t="s">
        <v>19</v>
      </c>
      <c r="T556" s="268"/>
      <c r="U556" s="269"/>
      <c r="V556" s="269"/>
      <c r="W556" s="278">
        <v>0</v>
      </c>
      <c r="X556" s="270"/>
      <c r="Y556" s="262"/>
      <c r="Z556" s="271" t="s">
        <v>25</v>
      </c>
      <c r="AA556" s="287"/>
      <c r="AB556" s="287"/>
      <c r="AC556" s="272">
        <f t="shared" si="19"/>
        <v>20000000</v>
      </c>
      <c r="AD556" s="272">
        <v>20000000</v>
      </c>
      <c r="AE556" s="272">
        <f t="shared" si="20"/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75"/>
      <c r="AR556" s="275"/>
      <c r="AS556" s="275">
        <v>20000000</v>
      </c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customHeight="1">
      <c r="A557" s="260">
        <v>535</v>
      </c>
      <c r="B557" s="261"/>
      <c r="C557" s="261"/>
      <c r="D557" s="262" t="s">
        <v>15</v>
      </c>
      <c r="E557" s="262" t="s">
        <v>2</v>
      </c>
      <c r="F557" s="263" t="s">
        <v>15</v>
      </c>
      <c r="G557" s="264" t="s">
        <v>2</v>
      </c>
      <c r="H557" s="281"/>
      <c r="I557" s="265"/>
      <c r="J557" s="266" t="s">
        <v>652</v>
      </c>
      <c r="K557" s="262"/>
      <c r="L557" s="262"/>
      <c r="M557" s="262">
        <v>3853</v>
      </c>
      <c r="N557" s="262" t="s">
        <v>22</v>
      </c>
      <c r="O557" s="262" t="s">
        <v>35</v>
      </c>
      <c r="P557" s="262"/>
      <c r="Q557" s="262"/>
      <c r="R557" s="262" t="s">
        <v>19</v>
      </c>
      <c r="S557" s="267" t="s">
        <v>31</v>
      </c>
      <c r="T557" s="268"/>
      <c r="U557" s="269"/>
      <c r="V557" s="269">
        <v>0</v>
      </c>
      <c r="W557" s="278">
        <v>0</v>
      </c>
      <c r="X557" s="270"/>
      <c r="Y557" s="262" t="s">
        <v>562</v>
      </c>
      <c r="Z557" s="271" t="s">
        <v>25</v>
      </c>
      <c r="AA557" s="287"/>
      <c r="AB557" s="287"/>
      <c r="AC557" s="272">
        <f t="shared" si="19"/>
        <v>30000000</v>
      </c>
      <c r="AD557" s="272">
        <v>30000000</v>
      </c>
      <c r="AE557" s="272">
        <f t="shared" si="20"/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75">
        <v>30000000</v>
      </c>
      <c r="AR557" s="275"/>
      <c r="AS557" s="275"/>
      <c r="AT557" s="275"/>
      <c r="AU557" s="275"/>
      <c r="AV557" s="275"/>
      <c r="AW557" s="275"/>
      <c r="AX557" s="275"/>
      <c r="AY557" s="275">
        <v>0</v>
      </c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customHeight="1">
      <c r="A558" s="260">
        <v>536</v>
      </c>
      <c r="B558" s="261"/>
      <c r="C558" s="261"/>
      <c r="D558" s="262"/>
      <c r="E558" s="262"/>
      <c r="F558" s="263" t="s">
        <v>15</v>
      </c>
      <c r="G558" s="264" t="s">
        <v>2</v>
      </c>
      <c r="H558" s="281"/>
      <c r="I558" s="265"/>
      <c r="J558" s="266" t="s">
        <v>652</v>
      </c>
      <c r="K558" s="262"/>
      <c r="L558" s="262"/>
      <c r="M558" s="262">
        <v>3853</v>
      </c>
      <c r="N558" s="262"/>
      <c r="O558" s="262" t="s">
        <v>35</v>
      </c>
      <c r="P558" s="262"/>
      <c r="Q558" s="262"/>
      <c r="R558" s="262"/>
      <c r="S558" s="267" t="s">
        <v>478</v>
      </c>
      <c r="T558" s="268"/>
      <c r="U558" s="269"/>
      <c r="V558" s="269"/>
      <c r="W558" s="278">
        <v>0</v>
      </c>
      <c r="X558" s="270"/>
      <c r="Y558" s="262"/>
      <c r="Z558" s="271" t="s">
        <v>25</v>
      </c>
      <c r="AA558" s="287"/>
      <c r="AB558" s="287"/>
      <c r="AC558" s="272">
        <f t="shared" si="19"/>
        <v>6870000</v>
      </c>
      <c r="AD558" s="272">
        <v>6870000</v>
      </c>
      <c r="AE558" s="272">
        <f t="shared" si="20"/>
        <v>0</v>
      </c>
      <c r="AF558" s="273"/>
      <c r="AG558" s="274"/>
      <c r="AH558" s="273"/>
      <c r="AI558" s="273"/>
      <c r="AJ558" s="274"/>
      <c r="AK558" s="273"/>
      <c r="AL558" s="275"/>
      <c r="AM558" s="290"/>
      <c r="AN558" s="275"/>
      <c r="AO558" s="276"/>
      <c r="AP558" s="275"/>
      <c r="AQ558" s="275">
        <v>6870000</v>
      </c>
      <c r="AR558" s="275"/>
      <c r="AS558" s="275"/>
      <c r="AT558" s="275"/>
      <c r="AU558" s="275"/>
      <c r="AV558" s="275"/>
      <c r="AW558" s="275"/>
      <c r="AX558" s="275"/>
      <c r="AY558" s="275"/>
      <c r="AZ558" s="275"/>
      <c r="BA558" s="275"/>
      <c r="BB558" s="275"/>
      <c r="BC558" s="275"/>
      <c r="BD558" s="275"/>
      <c r="BE558" s="275"/>
      <c r="BF558" s="275"/>
      <c r="BH558" s="277"/>
    </row>
    <row r="559" spans="1:60" ht="16.5" customHeight="1">
      <c r="A559" s="260">
        <v>537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728</v>
      </c>
      <c r="K559" s="262"/>
      <c r="L559" s="262"/>
      <c r="M559" s="262">
        <v>45507</v>
      </c>
      <c r="N559" s="262"/>
      <c r="O559" s="262" t="s">
        <v>35</v>
      </c>
      <c r="P559" s="262"/>
      <c r="Q559" s="262"/>
      <c r="R559" s="262"/>
      <c r="S559" s="267" t="s">
        <v>19</v>
      </c>
      <c r="T559" s="268"/>
      <c r="U559" s="269"/>
      <c r="V559" s="269"/>
      <c r="W559" s="278">
        <v>0</v>
      </c>
      <c r="X559" s="270"/>
      <c r="Y559" s="262"/>
      <c r="Z559" s="271" t="s">
        <v>25</v>
      </c>
      <c r="AA559" s="287"/>
      <c r="AB559" s="287"/>
      <c r="AC559" s="272">
        <f t="shared" si="19"/>
        <v>10000000</v>
      </c>
      <c r="AD559" s="272">
        <v>10000000</v>
      </c>
      <c r="AE559" s="272">
        <f t="shared" si="20"/>
        <v>0</v>
      </c>
      <c r="AF559" s="273"/>
      <c r="AG559" s="274"/>
      <c r="AH559" s="273"/>
      <c r="AI559" s="273"/>
      <c r="AJ559" s="274"/>
      <c r="AK559" s="273"/>
      <c r="AL559" s="275"/>
      <c r="AM559" s="290"/>
      <c r="AN559" s="275"/>
      <c r="AO559" s="276"/>
      <c r="AP559" s="275"/>
      <c r="AQ559" s="275"/>
      <c r="AR559" s="275"/>
      <c r="AS559" s="275">
        <v>10000000</v>
      </c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H559" s="277"/>
    </row>
    <row r="560" spans="1:60" ht="16.5" customHeight="1">
      <c r="A560" s="260">
        <v>538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574</v>
      </c>
      <c r="K560" s="262"/>
      <c r="L560" s="262"/>
      <c r="M560" s="262">
        <v>3756</v>
      </c>
      <c r="N560" s="262" t="s">
        <v>22</v>
      </c>
      <c r="O560" s="262" t="s">
        <v>35</v>
      </c>
      <c r="P560" s="262"/>
      <c r="Q560" s="262" t="s">
        <v>54</v>
      </c>
      <c r="R560" s="262" t="s">
        <v>467</v>
      </c>
      <c r="S560" s="267" t="s">
        <v>826</v>
      </c>
      <c r="T560" s="268"/>
      <c r="U560" s="269"/>
      <c r="V560" s="269">
        <v>12840000</v>
      </c>
      <c r="W560" s="278">
        <v>0</v>
      </c>
      <c r="X560" s="270"/>
      <c r="Y560" s="262" t="s">
        <v>562</v>
      </c>
      <c r="Z560" s="271" t="s">
        <v>562</v>
      </c>
      <c r="AA560" s="287"/>
      <c r="AB560" s="287"/>
      <c r="AC560" s="272">
        <f t="shared" si="19"/>
        <v>0</v>
      </c>
      <c r="AD560" s="272">
        <v>0</v>
      </c>
      <c r="AE560" s="272">
        <f t="shared" si="20"/>
        <v>0</v>
      </c>
      <c r="AF560" s="273"/>
      <c r="AG560" s="274"/>
      <c r="AH560" s="273"/>
      <c r="AI560" s="273"/>
      <c r="AJ560" s="274"/>
      <c r="AK560" s="273"/>
      <c r="AL560" s="275"/>
      <c r="AM560" s="290"/>
      <c r="AN560" s="275"/>
      <c r="AO560" s="276"/>
      <c r="AP560" s="275"/>
      <c r="AQ560" s="275"/>
      <c r="AR560" s="275"/>
      <c r="AS560" s="275"/>
      <c r="AT560" s="275"/>
      <c r="AU560" s="275"/>
      <c r="AV560" s="275"/>
      <c r="AW560" s="275"/>
      <c r="AX560" s="275"/>
      <c r="AY560" s="275"/>
      <c r="AZ560" s="275"/>
      <c r="BA560" s="275"/>
      <c r="BB560" s="275"/>
      <c r="BC560" s="275"/>
      <c r="BD560" s="275"/>
      <c r="BE560" s="275"/>
      <c r="BF560" s="275"/>
      <c r="BH560" s="277"/>
    </row>
    <row r="561" spans="1:60" ht="16.5" customHeight="1">
      <c r="A561" s="260">
        <v>539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607</v>
      </c>
      <c r="K561" s="262"/>
      <c r="L561" s="262"/>
      <c r="M561" s="262">
        <v>42576</v>
      </c>
      <c r="N561" s="262" t="s">
        <v>22</v>
      </c>
      <c r="O561" s="262" t="s">
        <v>212</v>
      </c>
      <c r="P561" s="262"/>
      <c r="Q561" s="262" t="s">
        <v>46</v>
      </c>
      <c r="R561" s="262" t="s">
        <v>47</v>
      </c>
      <c r="S561" s="267" t="s">
        <v>47</v>
      </c>
      <c r="T561" s="268"/>
      <c r="U561" s="269">
        <v>84000000</v>
      </c>
      <c r="V561" s="269">
        <v>66000000</v>
      </c>
      <c r="W561" s="278">
        <v>60615000</v>
      </c>
      <c r="X561" s="270"/>
      <c r="Y561" s="262" t="s">
        <v>27</v>
      </c>
      <c r="Z561" s="271" t="s">
        <v>27</v>
      </c>
      <c r="AA561" s="287"/>
      <c r="AB561" s="287"/>
      <c r="AC561" s="272">
        <f t="shared" si="19"/>
        <v>72000000</v>
      </c>
      <c r="AD561" s="272">
        <v>72000000</v>
      </c>
      <c r="AE561" s="272">
        <f t="shared" si="20"/>
        <v>0</v>
      </c>
      <c r="AF561" s="273">
        <v>5000000</v>
      </c>
      <c r="AG561" s="274">
        <v>6000000</v>
      </c>
      <c r="AH561" s="273"/>
      <c r="AI561" s="273">
        <v>5000000</v>
      </c>
      <c r="AJ561" s="274">
        <v>6000000</v>
      </c>
      <c r="AK561" s="273"/>
      <c r="AL561" s="275">
        <v>6000000</v>
      </c>
      <c r="AM561" s="290">
        <v>6000000</v>
      </c>
      <c r="AN561" s="275"/>
      <c r="AO561" s="276">
        <v>6000000</v>
      </c>
      <c r="AP561" s="275"/>
      <c r="AQ561" s="275">
        <v>6000000</v>
      </c>
      <c r="AR561" s="275"/>
      <c r="AS561" s="275">
        <v>6000000</v>
      </c>
      <c r="AT561" s="275"/>
      <c r="AU561" s="275">
        <v>6000000</v>
      </c>
      <c r="AV561" s="275"/>
      <c r="AW561" s="275">
        <v>6000000</v>
      </c>
      <c r="AX561" s="275"/>
      <c r="AY561" s="275">
        <v>6000000</v>
      </c>
      <c r="AZ561" s="275"/>
      <c r="BA561" s="275">
        <v>6000000</v>
      </c>
      <c r="BB561" s="275"/>
      <c r="BC561" s="275">
        <v>6000000</v>
      </c>
      <c r="BD561" s="275"/>
      <c r="BE561" s="275">
        <v>6000000</v>
      </c>
      <c r="BF561" s="275"/>
      <c r="BH561" s="277"/>
    </row>
    <row r="562" spans="1:60" ht="16.5" customHeight="1">
      <c r="A562" s="260">
        <v>540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630</v>
      </c>
      <c r="K562" s="262"/>
      <c r="L562" s="262"/>
      <c r="M562" s="262">
        <v>40360</v>
      </c>
      <c r="N562" s="262" t="s">
        <v>22</v>
      </c>
      <c r="O562" s="262" t="s">
        <v>178</v>
      </c>
      <c r="P562" s="262"/>
      <c r="Q562" s="262" t="s">
        <v>30</v>
      </c>
      <c r="R562" s="262" t="s">
        <v>31</v>
      </c>
      <c r="S562" s="267" t="s">
        <v>31</v>
      </c>
      <c r="T562" s="268"/>
      <c r="U562" s="269"/>
      <c r="V562" s="269">
        <v>180000</v>
      </c>
      <c r="W562" s="278">
        <v>0</v>
      </c>
      <c r="X562" s="270"/>
      <c r="Y562" s="262" t="s">
        <v>20</v>
      </c>
      <c r="Z562" s="271" t="s">
        <v>20</v>
      </c>
      <c r="AA562" s="287"/>
      <c r="AB562" s="287"/>
      <c r="AC562" s="272">
        <f t="shared" si="19"/>
        <v>0</v>
      </c>
      <c r="AD562" s="272">
        <v>0</v>
      </c>
      <c r="AE562" s="272">
        <f t="shared" si="20"/>
        <v>0</v>
      </c>
      <c r="AF562" s="273"/>
      <c r="AG562" s="274"/>
      <c r="AH562" s="273"/>
      <c r="AI562" s="273"/>
      <c r="AJ562" s="274"/>
      <c r="AK562" s="273"/>
      <c r="AL562" s="275"/>
      <c r="AM562" s="290"/>
      <c r="AN562" s="275"/>
      <c r="AO562" s="276"/>
      <c r="AP562" s="275"/>
      <c r="AQ562" s="275"/>
      <c r="AR562" s="275"/>
      <c r="AS562" s="275"/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H562" s="277"/>
    </row>
    <row r="563" spans="1:60" ht="16.5" customHeight="1">
      <c r="A563" s="260">
        <v>541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597</v>
      </c>
      <c r="K563" s="262"/>
      <c r="L563" s="262"/>
      <c r="M563" s="262">
        <v>12286</v>
      </c>
      <c r="N563" s="262" t="s">
        <v>42</v>
      </c>
      <c r="O563" s="262" t="s">
        <v>56</v>
      </c>
      <c r="P563" s="262"/>
      <c r="Q563" s="262" t="s">
        <v>44</v>
      </c>
      <c r="R563" s="262" t="s">
        <v>469</v>
      </c>
      <c r="S563" s="267" t="s">
        <v>469</v>
      </c>
      <c r="T563" s="268"/>
      <c r="U563" s="269">
        <v>20023727</v>
      </c>
      <c r="V563" s="269">
        <v>73094089</v>
      </c>
      <c r="W563" s="278">
        <v>17450000</v>
      </c>
      <c r="X563" s="270"/>
      <c r="Y563" s="262" t="s">
        <v>27</v>
      </c>
      <c r="Z563" s="271" t="s">
        <v>27</v>
      </c>
      <c r="AA563" s="287"/>
      <c r="AB563" s="287"/>
      <c r="AC563" s="272">
        <f t="shared" si="19"/>
        <v>22402273</v>
      </c>
      <c r="AD563" s="272">
        <v>22402273</v>
      </c>
      <c r="AE563" s="272">
        <f t="shared" si="20"/>
        <v>0</v>
      </c>
      <c r="AF563" s="273">
        <v>500000</v>
      </c>
      <c r="AG563" s="274">
        <v>6818</v>
      </c>
      <c r="AH563" s="273"/>
      <c r="AI563" s="273">
        <v>3000000</v>
      </c>
      <c r="AJ563" s="274">
        <v>3000000</v>
      </c>
      <c r="AK563" s="273"/>
      <c r="AL563" s="275">
        <v>250000</v>
      </c>
      <c r="AM563" s="290">
        <v>145455</v>
      </c>
      <c r="AN563" s="275"/>
      <c r="AO563" s="276">
        <v>250000</v>
      </c>
      <c r="AP563" s="275"/>
      <c r="AQ563" s="275">
        <v>250000</v>
      </c>
      <c r="AR563" s="275"/>
      <c r="AS563" s="275">
        <v>1750000</v>
      </c>
      <c r="AT563" s="275"/>
      <c r="AU563" s="275">
        <v>6000000</v>
      </c>
      <c r="AV563" s="275"/>
      <c r="AW563" s="275">
        <v>2000000</v>
      </c>
      <c r="AX563" s="275"/>
      <c r="AY563" s="275">
        <v>2000000</v>
      </c>
      <c r="AZ563" s="275"/>
      <c r="BA563" s="275">
        <v>2000000</v>
      </c>
      <c r="BB563" s="275"/>
      <c r="BC563" s="275">
        <v>2000000</v>
      </c>
      <c r="BD563" s="275"/>
      <c r="BE563" s="275">
        <v>3000000</v>
      </c>
      <c r="BF563" s="275"/>
      <c r="BH563" s="277"/>
    </row>
    <row r="564" spans="1:60" ht="16.5" customHeight="1">
      <c r="A564" s="260">
        <v>542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1025</v>
      </c>
      <c r="K564" s="262"/>
      <c r="L564" s="262"/>
      <c r="M564" s="262">
        <v>12286</v>
      </c>
      <c r="N564" s="262" t="s">
        <v>42</v>
      </c>
      <c r="O564" s="262" t="s">
        <v>56</v>
      </c>
      <c r="P564" s="262"/>
      <c r="Q564" s="262" t="s">
        <v>26</v>
      </c>
      <c r="R564" s="262" t="s">
        <v>469</v>
      </c>
      <c r="S564" s="267" t="s">
        <v>469</v>
      </c>
      <c r="T564" s="268"/>
      <c r="U564" s="269">
        <v>13000000</v>
      </c>
      <c r="V564" s="269">
        <v>0</v>
      </c>
      <c r="W564" s="278">
        <v>70200000</v>
      </c>
      <c r="X564" s="270"/>
      <c r="Y564" s="262" t="s">
        <v>27</v>
      </c>
      <c r="Z564" s="271" t="s">
        <v>27</v>
      </c>
      <c r="AA564" s="287"/>
      <c r="AB564" s="287"/>
      <c r="AC564" s="272">
        <f t="shared" si="19"/>
        <v>137300000</v>
      </c>
      <c r="AD564" s="272">
        <v>137300000</v>
      </c>
      <c r="AE564" s="272">
        <f t="shared" si="20"/>
        <v>0</v>
      </c>
      <c r="AF564" s="273"/>
      <c r="AG564" s="274"/>
      <c r="AH564" s="273"/>
      <c r="AI564" s="273">
        <v>44400000</v>
      </c>
      <c r="AJ564" s="274">
        <v>20400000</v>
      </c>
      <c r="AK564" s="273"/>
      <c r="AL564" s="275">
        <v>61400000</v>
      </c>
      <c r="AM564" s="290">
        <v>85400000</v>
      </c>
      <c r="AN564" s="275"/>
      <c r="AO564" s="276">
        <v>4500000</v>
      </c>
      <c r="AP564" s="275"/>
      <c r="AQ564" s="275">
        <v>4500000</v>
      </c>
      <c r="AR564" s="275"/>
      <c r="AS564" s="275">
        <v>4500000</v>
      </c>
      <c r="AT564" s="275"/>
      <c r="AU564" s="275">
        <v>4500000</v>
      </c>
      <c r="AV564" s="275"/>
      <c r="AW564" s="275">
        <v>4500000</v>
      </c>
      <c r="AX564" s="275"/>
      <c r="AY564" s="275">
        <v>4500000</v>
      </c>
      <c r="AZ564" s="275"/>
      <c r="BA564" s="275">
        <v>4500000</v>
      </c>
      <c r="BB564" s="275"/>
      <c r="BC564" s="275"/>
      <c r="BD564" s="275"/>
      <c r="BE564" s="275"/>
      <c r="BF564" s="275"/>
      <c r="BH564" s="277"/>
    </row>
    <row r="565" spans="1:60" ht="16.5" customHeight="1">
      <c r="A565" s="260">
        <v>543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598</v>
      </c>
      <c r="K565" s="262"/>
      <c r="L565" s="262"/>
      <c r="M565" s="262">
        <v>12286</v>
      </c>
      <c r="N565" s="262" t="s">
        <v>469</v>
      </c>
      <c r="O565" s="262" t="s">
        <v>56</v>
      </c>
      <c r="P565" s="262"/>
      <c r="Q565" s="262"/>
      <c r="R565" s="262" t="s">
        <v>469</v>
      </c>
      <c r="S565" s="267" t="s">
        <v>469</v>
      </c>
      <c r="T565" s="268"/>
      <c r="U565" s="269"/>
      <c r="V565" s="269"/>
      <c r="W565" s="278">
        <v>0</v>
      </c>
      <c r="X565" s="270"/>
      <c r="Y565" s="262"/>
      <c r="Z565" s="271" t="s">
        <v>24</v>
      </c>
      <c r="AA565" s="287"/>
      <c r="AB565" s="287"/>
      <c r="AC565" s="272">
        <f t="shared" si="19"/>
        <v>46000000</v>
      </c>
      <c r="AD565" s="272">
        <v>46000000</v>
      </c>
      <c r="AE565" s="272">
        <f t="shared" si="20"/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>
        <v>24000000</v>
      </c>
      <c r="AR565" s="275"/>
      <c r="AS565" s="275">
        <v>22000000</v>
      </c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customHeight="1">
      <c r="A566" s="260">
        <v>544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87</v>
      </c>
      <c r="K566" s="262"/>
      <c r="L566" s="262"/>
      <c r="M566" s="262">
        <v>52633</v>
      </c>
      <c r="N566" s="262" t="s">
        <v>22</v>
      </c>
      <c r="O566" s="262" t="s">
        <v>35</v>
      </c>
      <c r="P566" s="262"/>
      <c r="Q566" s="262" t="s">
        <v>18</v>
      </c>
      <c r="R566" s="262" t="s">
        <v>19</v>
      </c>
      <c r="S566" s="267" t="s">
        <v>19</v>
      </c>
      <c r="T566" s="268"/>
      <c r="U566" s="269"/>
      <c r="V566" s="269">
        <v>0</v>
      </c>
      <c r="W566" s="278">
        <v>0</v>
      </c>
      <c r="X566" s="270"/>
      <c r="Y566" s="262" t="s">
        <v>25</v>
      </c>
      <c r="Z566" s="271" t="s">
        <v>25</v>
      </c>
      <c r="AA566" s="287"/>
      <c r="AB566" s="287"/>
      <c r="AC566" s="272">
        <f t="shared" si="19"/>
        <v>10000000</v>
      </c>
      <c r="AD566" s="272">
        <v>10000000</v>
      </c>
      <c r="AE566" s="272">
        <f t="shared" si="20"/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>
        <v>10000000</v>
      </c>
      <c r="AT566" s="275"/>
      <c r="AU566" s="275"/>
      <c r="AV566" s="275"/>
      <c r="AW566" s="275"/>
      <c r="AX566" s="275"/>
      <c r="AY566" s="275"/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customHeight="1">
      <c r="A567" s="260">
        <v>545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87</v>
      </c>
      <c r="K567" s="262"/>
      <c r="L567" s="262"/>
      <c r="M567" s="262">
        <v>52633</v>
      </c>
      <c r="N567" s="262" t="s">
        <v>22</v>
      </c>
      <c r="O567" s="262" t="s">
        <v>35</v>
      </c>
      <c r="P567" s="262"/>
      <c r="Q567" s="262" t="s">
        <v>26</v>
      </c>
      <c r="R567" s="262" t="s">
        <v>468</v>
      </c>
      <c r="S567" s="267" t="s">
        <v>468</v>
      </c>
      <c r="T567" s="268"/>
      <c r="U567" s="269">
        <v>2000000</v>
      </c>
      <c r="V567" s="269">
        <v>0</v>
      </c>
      <c r="W567" s="278">
        <v>0</v>
      </c>
      <c r="X567" s="270"/>
      <c r="Y567" s="262" t="s">
        <v>24</v>
      </c>
      <c r="Z567" s="271" t="s">
        <v>25</v>
      </c>
      <c r="AA567" s="287"/>
      <c r="AB567" s="287"/>
      <c r="AC567" s="272">
        <f t="shared" si="19"/>
        <v>10000000</v>
      </c>
      <c r="AD567" s="272">
        <v>10000000</v>
      </c>
      <c r="AE567" s="272">
        <f t="shared" si="20"/>
        <v>0</v>
      </c>
      <c r="AF567" s="273"/>
      <c r="AG567" s="274"/>
      <c r="AH567" s="273"/>
      <c r="AI567" s="273"/>
      <c r="AJ567" s="274"/>
      <c r="AK567" s="273"/>
      <c r="AL567" s="275"/>
      <c r="AM567" s="290"/>
      <c r="AN567" s="275"/>
      <c r="AO567" s="276"/>
      <c r="AP567" s="275"/>
      <c r="AQ567" s="275"/>
      <c r="AR567" s="275"/>
      <c r="AS567" s="275">
        <v>10000000</v>
      </c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/>
      <c r="BF567" s="275"/>
      <c r="BH567" s="277"/>
    </row>
    <row r="568" spans="1:60" ht="16.5" customHeight="1">
      <c r="A568" s="260">
        <v>546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566</v>
      </c>
      <c r="K568" s="262"/>
      <c r="L568" s="262"/>
      <c r="M568" s="262">
        <v>8152</v>
      </c>
      <c r="N568" s="262" t="s">
        <v>42</v>
      </c>
      <c r="O568" s="262" t="s">
        <v>35</v>
      </c>
      <c r="P568" s="262"/>
      <c r="Q568" s="262" t="s">
        <v>30</v>
      </c>
      <c r="R568" s="262" t="s">
        <v>31</v>
      </c>
      <c r="S568" s="267" t="s">
        <v>31</v>
      </c>
      <c r="T568" s="268"/>
      <c r="U568" s="269">
        <v>21200000</v>
      </c>
      <c r="V568" s="269">
        <v>21200000</v>
      </c>
      <c r="W568" s="278">
        <v>0</v>
      </c>
      <c r="X568" s="270"/>
      <c r="Y568" s="262" t="s">
        <v>20</v>
      </c>
      <c r="Z568" s="271" t="s">
        <v>562</v>
      </c>
      <c r="AA568" s="287"/>
      <c r="AB568" s="287"/>
      <c r="AC568" s="272">
        <f t="shared" si="19"/>
        <v>0</v>
      </c>
      <c r="AD568" s="272">
        <v>0</v>
      </c>
      <c r="AE568" s="272">
        <f t="shared" si="20"/>
        <v>0</v>
      </c>
      <c r="AF568" s="273"/>
      <c r="AG568" s="274"/>
      <c r="AH568" s="273"/>
      <c r="AI568" s="273"/>
      <c r="AJ568" s="274"/>
      <c r="AK568" s="273"/>
      <c r="AL568" s="275"/>
      <c r="AM568" s="290"/>
      <c r="AN568" s="275"/>
      <c r="AO568" s="276"/>
      <c r="AP568" s="275"/>
      <c r="AQ568" s="275"/>
      <c r="AR568" s="275"/>
      <c r="AS568" s="275"/>
      <c r="AT568" s="275"/>
      <c r="AU568" s="275"/>
      <c r="AV568" s="275"/>
      <c r="AW568" s="275"/>
      <c r="AX568" s="275"/>
      <c r="AY568" s="275"/>
      <c r="AZ568" s="275"/>
      <c r="BA568" s="275"/>
      <c r="BB568" s="275"/>
      <c r="BC568" s="275"/>
      <c r="BD568" s="275"/>
      <c r="BE568" s="275"/>
      <c r="BF568" s="275"/>
      <c r="BH568" s="277"/>
    </row>
    <row r="569" spans="1:60" ht="16.5" customHeight="1">
      <c r="A569" s="260">
        <v>547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566</v>
      </c>
      <c r="K569" s="262"/>
      <c r="L569" s="262"/>
      <c r="M569" s="262">
        <v>8152</v>
      </c>
      <c r="N569" s="262" t="s">
        <v>42</v>
      </c>
      <c r="O569" s="262" t="s">
        <v>56</v>
      </c>
      <c r="P569" s="262"/>
      <c r="Q569" s="262" t="s">
        <v>44</v>
      </c>
      <c r="R569" s="262" t="s">
        <v>469</v>
      </c>
      <c r="S569" s="267" t="s">
        <v>469</v>
      </c>
      <c r="T569" s="268"/>
      <c r="U569" s="269"/>
      <c r="V569" s="269">
        <v>0</v>
      </c>
      <c r="W569" s="278">
        <v>21200000</v>
      </c>
      <c r="X569" s="270"/>
      <c r="Y569" s="262" t="s">
        <v>24</v>
      </c>
      <c r="Z569" s="271" t="s">
        <v>24</v>
      </c>
      <c r="AA569" s="287"/>
      <c r="AB569" s="287"/>
      <c r="AC569" s="272">
        <f t="shared" si="19"/>
        <v>20000000</v>
      </c>
      <c r="AD569" s="272">
        <v>20000000</v>
      </c>
      <c r="AE569" s="272">
        <f t="shared" si="20"/>
        <v>0</v>
      </c>
      <c r="AF569" s="273"/>
      <c r="AG569" s="274"/>
      <c r="AH569" s="273"/>
      <c r="AI569" s="273"/>
      <c r="AJ569" s="274"/>
      <c r="AK569" s="273"/>
      <c r="AL569" s="275"/>
      <c r="AM569" s="290"/>
      <c r="AN569" s="275"/>
      <c r="AO569" s="276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>
        <v>20000000</v>
      </c>
      <c r="AZ569" s="275"/>
      <c r="BA569" s="275"/>
      <c r="BB569" s="275"/>
      <c r="BC569" s="275"/>
      <c r="BD569" s="275"/>
      <c r="BE569" s="275"/>
      <c r="BF569" s="275"/>
      <c r="BH569" s="277"/>
    </row>
    <row r="570" spans="1:60" ht="16.5" customHeight="1">
      <c r="A570" s="260">
        <v>548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88</v>
      </c>
      <c r="K570" s="262"/>
      <c r="L570" s="262"/>
      <c r="M570" s="262">
        <v>46333</v>
      </c>
      <c r="N570" s="262" t="s">
        <v>32</v>
      </c>
      <c r="O570" s="262" t="s">
        <v>178</v>
      </c>
      <c r="P570" s="262"/>
      <c r="Q570" s="262" t="s">
        <v>54</v>
      </c>
      <c r="R570" s="262" t="s">
        <v>467</v>
      </c>
      <c r="S570" s="267" t="s">
        <v>831</v>
      </c>
      <c r="T570" s="268"/>
      <c r="U570" s="269">
        <v>105909090.90909091</v>
      </c>
      <c r="V570" s="269">
        <v>97500000</v>
      </c>
      <c r="W570" s="278">
        <v>0</v>
      </c>
      <c r="X570" s="270"/>
      <c r="Y570" s="262" t="s">
        <v>562</v>
      </c>
      <c r="Z570" s="271" t="s">
        <v>562</v>
      </c>
      <c r="AA570" s="287"/>
      <c r="AB570" s="287"/>
      <c r="AC570" s="272">
        <f t="shared" si="19"/>
        <v>0</v>
      </c>
      <c r="AD570" s="272">
        <v>0</v>
      </c>
      <c r="AE570" s="272">
        <f t="shared" si="20"/>
        <v>0</v>
      </c>
      <c r="AF570" s="273"/>
      <c r="AG570" s="274"/>
      <c r="AH570" s="273"/>
      <c r="AI570" s="273"/>
      <c r="AJ570" s="274"/>
      <c r="AK570" s="273"/>
      <c r="AL570" s="275">
        <v>100000000</v>
      </c>
      <c r="AM570" s="290">
        <v>0</v>
      </c>
      <c r="AN570" s="275"/>
      <c r="AO570" s="276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/>
      <c r="BB570" s="275"/>
      <c r="BC570" s="275"/>
      <c r="BD570" s="275"/>
      <c r="BE570" s="275">
        <v>0</v>
      </c>
      <c r="BF570" s="275"/>
      <c r="BH570" s="277"/>
    </row>
    <row r="571" spans="1:60" ht="16.5" customHeight="1">
      <c r="A571" s="260">
        <v>549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89</v>
      </c>
      <c r="K571" s="262"/>
      <c r="L571" s="262"/>
      <c r="M571" s="262">
        <v>13619</v>
      </c>
      <c r="N571" s="262" t="s">
        <v>32</v>
      </c>
      <c r="O571" s="262" t="s">
        <v>212</v>
      </c>
      <c r="P571" s="262"/>
      <c r="Q571" s="262" t="s">
        <v>63</v>
      </c>
      <c r="R571" s="262" t="s">
        <v>28</v>
      </c>
      <c r="S571" s="267" t="s">
        <v>28</v>
      </c>
      <c r="T571" s="268"/>
      <c r="U571" s="269">
        <v>120336000</v>
      </c>
      <c r="V571" s="269">
        <v>92076020</v>
      </c>
      <c r="W571" s="278">
        <v>121000000</v>
      </c>
      <c r="X571" s="270"/>
      <c r="Y571" s="262" t="s">
        <v>27</v>
      </c>
      <c r="Z571" s="271" t="s">
        <v>27</v>
      </c>
      <c r="AA571" s="287"/>
      <c r="AB571" s="287"/>
      <c r="AC571" s="272">
        <f t="shared" si="19"/>
        <v>100833000</v>
      </c>
      <c r="AD571" s="272">
        <v>100833000</v>
      </c>
      <c r="AE571" s="272">
        <f t="shared" si="20"/>
        <v>0</v>
      </c>
      <c r="AF571" s="273"/>
      <c r="AG571" s="274"/>
      <c r="AH571" s="273"/>
      <c r="AI571" s="273"/>
      <c r="AJ571" s="274"/>
      <c r="AK571" s="273"/>
      <c r="AL571" s="275">
        <v>18333000</v>
      </c>
      <c r="AM571" s="290"/>
      <c r="AN571" s="275" t="s">
        <v>1023</v>
      </c>
      <c r="AO571" s="276">
        <v>18333000</v>
      </c>
      <c r="AP571" s="275"/>
      <c r="AQ571" s="275"/>
      <c r="AR571" s="275"/>
      <c r="AS571" s="275">
        <v>27500000</v>
      </c>
      <c r="AT571" s="275"/>
      <c r="AU571" s="275"/>
      <c r="AV571" s="275"/>
      <c r="AW571" s="275"/>
      <c r="AX571" s="275"/>
      <c r="AY571" s="275">
        <v>27500000</v>
      </c>
      <c r="AZ571" s="275"/>
      <c r="BA571" s="275"/>
      <c r="BB571" s="275"/>
      <c r="BC571" s="275"/>
      <c r="BD571" s="275"/>
      <c r="BE571" s="275">
        <v>27500000</v>
      </c>
      <c r="BF571" s="275"/>
      <c r="BH571" s="277"/>
    </row>
    <row r="572" spans="1:60" ht="16.5" customHeight="1">
      <c r="A572" s="260">
        <v>550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 t="s">
        <v>22</v>
      </c>
      <c r="O572" s="262" t="s">
        <v>35</v>
      </c>
      <c r="P572" s="262"/>
      <c r="Q572" s="262" t="s">
        <v>18</v>
      </c>
      <c r="R572" s="262" t="s">
        <v>19</v>
      </c>
      <c r="S572" s="267" t="s">
        <v>19</v>
      </c>
      <c r="T572" s="268"/>
      <c r="U572" s="269"/>
      <c r="V572" s="269">
        <v>0</v>
      </c>
      <c r="W572" s="278">
        <v>0</v>
      </c>
      <c r="X572" s="270"/>
      <c r="Y572" s="262" t="s">
        <v>25</v>
      </c>
      <c r="Z572" s="271" t="s">
        <v>25</v>
      </c>
      <c r="AA572" s="287"/>
      <c r="AB572" s="287"/>
      <c r="AC572" s="272">
        <f t="shared" si="19"/>
        <v>20000000</v>
      </c>
      <c r="AD572" s="272">
        <v>20000000</v>
      </c>
      <c r="AE572" s="272">
        <f t="shared" si="20"/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75"/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>
        <v>20000000</v>
      </c>
      <c r="BB572" s="275"/>
      <c r="BC572" s="275"/>
      <c r="BD572" s="275"/>
      <c r="BE572" s="275"/>
      <c r="BF572" s="275"/>
      <c r="BH572" s="277"/>
    </row>
    <row r="573" spans="1:60" ht="16.5" customHeight="1">
      <c r="A573" s="260">
        <v>551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90</v>
      </c>
      <c r="K573" s="262"/>
      <c r="L573" s="262"/>
      <c r="M573" s="262">
        <v>16640</v>
      </c>
      <c r="N573" s="262" t="s">
        <v>22</v>
      </c>
      <c r="O573" s="262" t="s">
        <v>35</v>
      </c>
      <c r="P573" s="262"/>
      <c r="Q573" s="262" t="s">
        <v>30</v>
      </c>
      <c r="R573" s="262" t="s">
        <v>31</v>
      </c>
      <c r="S573" s="267" t="s">
        <v>31</v>
      </c>
      <c r="T573" s="268"/>
      <c r="U573" s="269">
        <v>14784000</v>
      </c>
      <c r="V573" s="269">
        <v>0</v>
      </c>
      <c r="W573" s="278">
        <v>0</v>
      </c>
      <c r="X573" s="270"/>
      <c r="Y573" s="262" t="s">
        <v>25</v>
      </c>
      <c r="Z573" s="271" t="s">
        <v>25</v>
      </c>
      <c r="AA573" s="287"/>
      <c r="AB573" s="287"/>
      <c r="AC573" s="272">
        <f t="shared" si="19"/>
        <v>15000000</v>
      </c>
      <c r="AD573" s="272">
        <v>15000000</v>
      </c>
      <c r="AE573" s="272">
        <f t="shared" si="20"/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75"/>
      <c r="AR573" s="275"/>
      <c r="AS573" s="275"/>
      <c r="AT573" s="275"/>
      <c r="AU573" s="275"/>
      <c r="AV573" s="275"/>
      <c r="AW573" s="275"/>
      <c r="AX573" s="275"/>
      <c r="AY573" s="275"/>
      <c r="AZ573" s="275"/>
      <c r="BA573" s="275">
        <v>15000000</v>
      </c>
      <c r="BB573" s="275"/>
      <c r="BC573" s="275"/>
      <c r="BD573" s="275"/>
      <c r="BE573" s="275"/>
      <c r="BF573" s="275"/>
      <c r="BH573" s="277"/>
    </row>
    <row r="574" spans="1:60" ht="16.5" customHeight="1">
      <c r="A574" s="260">
        <v>552</v>
      </c>
      <c r="B574" s="261"/>
      <c r="C574" s="261"/>
      <c r="D574" s="262" t="s">
        <v>15</v>
      </c>
      <c r="E574" s="262" t="s">
        <v>2</v>
      </c>
      <c r="F574" s="263" t="s">
        <v>15</v>
      </c>
      <c r="G574" s="264" t="s">
        <v>2</v>
      </c>
      <c r="H574" s="281"/>
      <c r="I574" s="265"/>
      <c r="J574" s="266" t="s">
        <v>90</v>
      </c>
      <c r="K574" s="262"/>
      <c r="L574" s="262"/>
      <c r="M574" s="262">
        <v>16640</v>
      </c>
      <c r="N574" s="262"/>
      <c r="O574" s="262" t="s">
        <v>35</v>
      </c>
      <c r="P574" s="262"/>
      <c r="Q574" s="262"/>
      <c r="R574" s="262"/>
      <c r="S574" s="267" t="s">
        <v>468</v>
      </c>
      <c r="T574" s="268"/>
      <c r="U574" s="269"/>
      <c r="V574" s="269"/>
      <c r="W574" s="278">
        <v>0</v>
      </c>
      <c r="X574" s="270"/>
      <c r="Y574" s="262"/>
      <c r="Z574" s="271" t="s">
        <v>25</v>
      </c>
      <c r="AA574" s="287"/>
      <c r="AB574" s="287"/>
      <c r="AC574" s="272">
        <f t="shared" si="19"/>
        <v>30000000</v>
      </c>
      <c r="AD574" s="272">
        <v>30000000</v>
      </c>
      <c r="AE574" s="272">
        <f t="shared" si="20"/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75"/>
      <c r="AR574" s="275"/>
      <c r="AS574" s="275">
        <v>30000000</v>
      </c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customHeight="1">
      <c r="A575" s="260">
        <v>553</v>
      </c>
      <c r="B575" s="261"/>
      <c r="C575" s="261"/>
      <c r="D575" s="262" t="s">
        <v>15</v>
      </c>
      <c r="E575" s="262" t="s">
        <v>2</v>
      </c>
      <c r="F575" s="263" t="s">
        <v>15</v>
      </c>
      <c r="G575" s="264" t="s">
        <v>2</v>
      </c>
      <c r="H575" s="281"/>
      <c r="I575" s="265"/>
      <c r="J575" s="266" t="s">
        <v>90</v>
      </c>
      <c r="K575" s="262"/>
      <c r="L575" s="262"/>
      <c r="M575" s="262">
        <v>16640</v>
      </c>
      <c r="N575" s="262" t="s">
        <v>22</v>
      </c>
      <c r="O575" s="262" t="s">
        <v>35</v>
      </c>
      <c r="P575" s="262"/>
      <c r="Q575" s="262" t="s">
        <v>23</v>
      </c>
      <c r="R575" s="262" t="s">
        <v>397</v>
      </c>
      <c r="S575" s="267" t="s">
        <v>823</v>
      </c>
      <c r="T575" s="268"/>
      <c r="U575" s="269">
        <v>34200000</v>
      </c>
      <c r="V575" s="269">
        <v>14550000</v>
      </c>
      <c r="W575" s="278">
        <v>0</v>
      </c>
      <c r="X575" s="270"/>
      <c r="Y575" s="262" t="s">
        <v>24</v>
      </c>
      <c r="Z575" s="271" t="s">
        <v>25</v>
      </c>
      <c r="AA575" s="287"/>
      <c r="AB575" s="287"/>
      <c r="AC575" s="272">
        <f t="shared" si="19"/>
        <v>20000000</v>
      </c>
      <c r="AD575" s="272">
        <v>20000000</v>
      </c>
      <c r="AE575" s="272">
        <f t="shared" si="20"/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>
        <v>20000000</v>
      </c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customHeight="1">
      <c r="A576" s="260">
        <v>554</v>
      </c>
      <c r="B576" s="261"/>
      <c r="C576" s="261"/>
      <c r="D576" s="262" t="s">
        <v>15</v>
      </c>
      <c r="E576" s="262" t="s">
        <v>2</v>
      </c>
      <c r="F576" s="263" t="s">
        <v>15</v>
      </c>
      <c r="G576" s="264" t="s">
        <v>2</v>
      </c>
      <c r="H576" s="281"/>
      <c r="I576" s="265"/>
      <c r="J576" s="266" t="s">
        <v>91</v>
      </c>
      <c r="K576" s="262"/>
      <c r="L576" s="262"/>
      <c r="M576" s="262">
        <v>28140</v>
      </c>
      <c r="N576" s="262" t="s">
        <v>22</v>
      </c>
      <c r="O576" s="262" t="s">
        <v>56</v>
      </c>
      <c r="P576" s="262"/>
      <c r="Q576" s="262" t="s">
        <v>18</v>
      </c>
      <c r="R576" s="262" t="s">
        <v>19</v>
      </c>
      <c r="S576" s="267" t="s">
        <v>19</v>
      </c>
      <c r="T576" s="268"/>
      <c r="U576" s="269">
        <v>1928000</v>
      </c>
      <c r="V576" s="269">
        <v>10752000</v>
      </c>
      <c r="W576" s="278">
        <v>1500000</v>
      </c>
      <c r="X576" s="270"/>
      <c r="Y576" s="262" t="s">
        <v>24</v>
      </c>
      <c r="Z576" s="271" t="s">
        <v>25</v>
      </c>
      <c r="AA576" s="287"/>
      <c r="AB576" s="287"/>
      <c r="AC576" s="272">
        <f t="shared" si="19"/>
        <v>10000000</v>
      </c>
      <c r="AD576" s="272">
        <v>10000000</v>
      </c>
      <c r="AE576" s="272">
        <f t="shared" si="20"/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>
        <v>10000000</v>
      </c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customHeight="1">
      <c r="A577" s="260">
        <v>555</v>
      </c>
      <c r="B577" s="261"/>
      <c r="C577" s="261"/>
      <c r="D577" s="262"/>
      <c r="E577" s="262"/>
      <c r="F577" s="263" t="s">
        <v>15</v>
      </c>
      <c r="G577" s="264" t="s">
        <v>2</v>
      </c>
      <c r="H577" s="281"/>
      <c r="I577" s="265"/>
      <c r="J577" s="266" t="s">
        <v>91</v>
      </c>
      <c r="K577" s="262"/>
      <c r="L577" s="262"/>
      <c r="M577" s="262">
        <v>28140</v>
      </c>
      <c r="N577" s="262"/>
      <c r="O577" s="262"/>
      <c r="P577" s="262"/>
      <c r="Q577" s="262"/>
      <c r="R577" s="262"/>
      <c r="S577" s="267" t="s">
        <v>31</v>
      </c>
      <c r="T577" s="268"/>
      <c r="U577" s="269"/>
      <c r="V577" s="269"/>
      <c r="W577" s="278">
        <v>1972000</v>
      </c>
      <c r="X577" s="270"/>
      <c r="Y577" s="262"/>
      <c r="Z577" s="271" t="s">
        <v>718</v>
      </c>
      <c r="AA577" s="287"/>
      <c r="AB577" s="287"/>
      <c r="AC577" s="272">
        <f t="shared" si="19"/>
        <v>0</v>
      </c>
      <c r="AD577" s="272">
        <v>0</v>
      </c>
      <c r="AE577" s="272">
        <f t="shared" si="20"/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/>
      <c r="BB577" s="275"/>
      <c r="BC577" s="275"/>
      <c r="BD577" s="275"/>
      <c r="BE577" s="275"/>
      <c r="BF577" s="275"/>
      <c r="BH577" s="277"/>
    </row>
    <row r="578" spans="1:60" ht="16.5" customHeight="1">
      <c r="A578" s="260">
        <v>556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91</v>
      </c>
      <c r="K578" s="262"/>
      <c r="L578" s="262"/>
      <c r="M578" s="262">
        <v>28140</v>
      </c>
      <c r="N578" s="262" t="s">
        <v>22</v>
      </c>
      <c r="O578" s="262" t="s">
        <v>178</v>
      </c>
      <c r="P578" s="262"/>
      <c r="Q578" s="262" t="s">
        <v>23</v>
      </c>
      <c r="R578" s="262" t="s">
        <v>397</v>
      </c>
      <c r="S578" s="267" t="s">
        <v>823</v>
      </c>
      <c r="T578" s="268"/>
      <c r="U578" s="269">
        <v>1600000</v>
      </c>
      <c r="V578" s="269">
        <v>250000</v>
      </c>
      <c r="W578" s="278">
        <v>3300000</v>
      </c>
      <c r="X578" s="270"/>
      <c r="Y578" s="262" t="s">
        <v>27</v>
      </c>
      <c r="Z578" s="271" t="s">
        <v>20</v>
      </c>
      <c r="AA578" s="287"/>
      <c r="AB578" s="287"/>
      <c r="AC578" s="272">
        <f t="shared" si="19"/>
        <v>0</v>
      </c>
      <c r="AD578" s="272">
        <v>0</v>
      </c>
      <c r="AE578" s="272">
        <f t="shared" si="20"/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H578" s="277"/>
    </row>
    <row r="579" spans="1:60" ht="16.5" customHeight="1">
      <c r="A579" s="260">
        <v>557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92</v>
      </c>
      <c r="K579" s="262"/>
      <c r="L579" s="262"/>
      <c r="M579" s="262">
        <v>41062</v>
      </c>
      <c r="N579" s="262" t="s">
        <v>53</v>
      </c>
      <c r="O579" s="262" t="s">
        <v>35</v>
      </c>
      <c r="P579" s="262"/>
      <c r="Q579" s="262" t="s">
        <v>18</v>
      </c>
      <c r="R579" s="262" t="s">
        <v>19</v>
      </c>
      <c r="S579" s="267" t="s">
        <v>19</v>
      </c>
      <c r="T579" s="268"/>
      <c r="U579" s="269">
        <v>1500000</v>
      </c>
      <c r="V579" s="269">
        <v>956000</v>
      </c>
      <c r="W579" s="278">
        <v>660000</v>
      </c>
      <c r="X579" s="270"/>
      <c r="Y579" s="262" t="s">
        <v>24</v>
      </c>
      <c r="Z579" s="271" t="s">
        <v>25</v>
      </c>
      <c r="AA579" s="287"/>
      <c r="AB579" s="287"/>
      <c r="AC579" s="272">
        <f t="shared" si="19"/>
        <v>10000000</v>
      </c>
      <c r="AD579" s="272">
        <v>10000000</v>
      </c>
      <c r="AE579" s="272">
        <f t="shared" si="20"/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>
        <v>10000000</v>
      </c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H579" s="277"/>
    </row>
    <row r="580" spans="1:60" ht="16.5" customHeight="1">
      <c r="A580" s="260">
        <v>558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92</v>
      </c>
      <c r="K580" s="262"/>
      <c r="L580" s="262"/>
      <c r="M580" s="262">
        <v>41062</v>
      </c>
      <c r="N580" s="262" t="s">
        <v>53</v>
      </c>
      <c r="O580" s="262" t="s">
        <v>35</v>
      </c>
      <c r="P580" s="262"/>
      <c r="Q580" s="262" t="s">
        <v>30</v>
      </c>
      <c r="R580" s="262" t="s">
        <v>31</v>
      </c>
      <c r="S580" s="267" t="s">
        <v>31</v>
      </c>
      <c r="T580" s="268"/>
      <c r="U580" s="269"/>
      <c r="V580" s="269">
        <v>0</v>
      </c>
      <c r="W580" s="278">
        <v>0</v>
      </c>
      <c r="X580" s="270"/>
      <c r="Y580" s="262" t="s">
        <v>25</v>
      </c>
      <c r="Z580" s="271" t="s">
        <v>24</v>
      </c>
      <c r="AA580" s="287"/>
      <c r="AB580" s="287"/>
      <c r="AC580" s="272">
        <f t="shared" si="19"/>
        <v>12000000</v>
      </c>
      <c r="AD580" s="272">
        <v>12000000</v>
      </c>
      <c r="AE580" s="272">
        <f t="shared" si="20"/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/>
      <c r="AZ580" s="275"/>
      <c r="BA580" s="275">
        <v>12000000</v>
      </c>
      <c r="BB580" s="275"/>
      <c r="BC580" s="275"/>
      <c r="BD580" s="275"/>
      <c r="BE580" s="275"/>
      <c r="BF580" s="275"/>
      <c r="BH580" s="277"/>
    </row>
    <row r="581" spans="1:60" ht="16.5" customHeight="1">
      <c r="A581" s="260">
        <v>559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92</v>
      </c>
      <c r="K581" s="262"/>
      <c r="L581" s="262"/>
      <c r="M581" s="262">
        <v>41062</v>
      </c>
      <c r="N581" s="262" t="s">
        <v>53</v>
      </c>
      <c r="O581" s="262" t="s">
        <v>35</v>
      </c>
      <c r="P581" s="262"/>
      <c r="Q581" s="262" t="s">
        <v>23</v>
      </c>
      <c r="R581" s="262" t="s">
        <v>397</v>
      </c>
      <c r="S581" s="267" t="s">
        <v>823</v>
      </c>
      <c r="T581" s="268"/>
      <c r="U581" s="269">
        <v>200000</v>
      </c>
      <c r="V581" s="269">
        <v>0</v>
      </c>
      <c r="W581" s="278">
        <v>0</v>
      </c>
      <c r="X581" s="270"/>
      <c r="Y581" s="262" t="s">
        <v>24</v>
      </c>
      <c r="Z581" s="271" t="s">
        <v>21</v>
      </c>
      <c r="AA581" s="287"/>
      <c r="AB581" s="287"/>
      <c r="AC581" s="272">
        <f t="shared" si="19"/>
        <v>0</v>
      </c>
      <c r="AD581" s="272">
        <v>0</v>
      </c>
      <c r="AE581" s="272">
        <f t="shared" si="20"/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/>
      <c r="AT581" s="275"/>
      <c r="AU581" s="275"/>
      <c r="AV581" s="275"/>
      <c r="AW581" s="275"/>
      <c r="AX581" s="275"/>
      <c r="AY581" s="275"/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customHeight="1">
      <c r="A582" s="260">
        <v>560</v>
      </c>
      <c r="B582" s="261"/>
      <c r="C582" s="261"/>
      <c r="D582" s="262" t="s">
        <v>15</v>
      </c>
      <c r="E582" s="262" t="s">
        <v>2</v>
      </c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/>
      <c r="O582" s="262" t="s">
        <v>35</v>
      </c>
      <c r="P582" s="262"/>
      <c r="Q582" s="262"/>
      <c r="R582" s="262"/>
      <c r="S582" s="267" t="s">
        <v>19</v>
      </c>
      <c r="T582" s="268"/>
      <c r="U582" s="269"/>
      <c r="V582" s="269"/>
      <c r="W582" s="278">
        <v>0</v>
      </c>
      <c r="X582" s="270"/>
      <c r="Y582" s="262"/>
      <c r="Z582" s="271" t="s">
        <v>25</v>
      </c>
      <c r="AA582" s="287"/>
      <c r="AB582" s="287"/>
      <c r="AC582" s="272">
        <f t="shared" si="19"/>
        <v>20000000</v>
      </c>
      <c r="AD582" s="272">
        <v>20000000</v>
      </c>
      <c r="AE582" s="272">
        <f t="shared" si="20"/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>
        <v>20000000</v>
      </c>
      <c r="AT582" s="275"/>
      <c r="AU582" s="275"/>
      <c r="AV582" s="275"/>
      <c r="AW582" s="275"/>
      <c r="AX582" s="275"/>
      <c r="AY582" s="275"/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customHeight="1">
      <c r="A583" s="260">
        <v>561</v>
      </c>
      <c r="B583" s="261"/>
      <c r="C583" s="261"/>
      <c r="D583" s="262" t="s">
        <v>15</v>
      </c>
      <c r="E583" s="262" t="s">
        <v>2</v>
      </c>
      <c r="F583" s="263" t="s">
        <v>15</v>
      </c>
      <c r="G583" s="264" t="s">
        <v>2</v>
      </c>
      <c r="H583" s="281"/>
      <c r="I583" s="265"/>
      <c r="J583" s="266" t="s">
        <v>93</v>
      </c>
      <c r="K583" s="262"/>
      <c r="L583" s="262"/>
      <c r="M583" s="262">
        <v>23495</v>
      </c>
      <c r="N583" s="262" t="s">
        <v>22</v>
      </c>
      <c r="O583" s="262" t="s">
        <v>56</v>
      </c>
      <c r="P583" s="262"/>
      <c r="Q583" s="262" t="s">
        <v>18</v>
      </c>
      <c r="R583" s="262" t="s">
        <v>31</v>
      </c>
      <c r="S583" s="267" t="s">
        <v>31</v>
      </c>
      <c r="T583" s="268"/>
      <c r="U583" s="269"/>
      <c r="V583" s="269">
        <v>11548000</v>
      </c>
      <c r="W583" s="278">
        <v>3342600</v>
      </c>
      <c r="X583" s="270"/>
      <c r="Y583" s="262" t="s">
        <v>27</v>
      </c>
      <c r="Z583" s="271" t="s">
        <v>24</v>
      </c>
      <c r="AA583" s="287"/>
      <c r="AB583" s="287"/>
      <c r="AC583" s="272">
        <f t="shared" si="19"/>
        <v>12000000</v>
      </c>
      <c r="AD583" s="272">
        <v>12000000</v>
      </c>
      <c r="AE583" s="272">
        <f t="shared" si="20"/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>
        <v>12000000</v>
      </c>
      <c r="AZ583" s="275"/>
      <c r="BA583" s="275"/>
      <c r="BB583" s="275"/>
      <c r="BC583" s="275"/>
      <c r="BD583" s="275"/>
      <c r="BE583" s="275"/>
      <c r="BF583" s="275"/>
      <c r="BH583" s="277"/>
    </row>
    <row r="584" spans="1:60" ht="16.5" customHeight="1">
      <c r="A584" s="260">
        <v>562</v>
      </c>
      <c r="B584" s="261"/>
      <c r="C584" s="261"/>
      <c r="D584" s="262" t="s">
        <v>15</v>
      </c>
      <c r="E584" s="262" t="s">
        <v>2</v>
      </c>
      <c r="F584" s="263" t="s">
        <v>15</v>
      </c>
      <c r="G584" s="264" t="s">
        <v>2</v>
      </c>
      <c r="H584" s="281"/>
      <c r="I584" s="265"/>
      <c r="J584" s="266" t="s">
        <v>93</v>
      </c>
      <c r="K584" s="262"/>
      <c r="L584" s="262"/>
      <c r="M584" s="262">
        <v>23495</v>
      </c>
      <c r="N584" s="262" t="s">
        <v>22</v>
      </c>
      <c r="O584" s="262" t="s">
        <v>56</v>
      </c>
      <c r="P584" s="262"/>
      <c r="Q584" s="262"/>
      <c r="R584" s="262" t="s">
        <v>478</v>
      </c>
      <c r="S584" s="267" t="s">
        <v>468</v>
      </c>
      <c r="T584" s="268"/>
      <c r="U584" s="269"/>
      <c r="V584" s="269"/>
      <c r="W584" s="278">
        <v>0</v>
      </c>
      <c r="X584" s="270"/>
      <c r="Y584" s="262" t="s">
        <v>27</v>
      </c>
      <c r="Z584" s="271" t="s">
        <v>25</v>
      </c>
      <c r="AA584" s="287"/>
      <c r="AB584" s="287"/>
      <c r="AC584" s="272">
        <f t="shared" si="19"/>
        <v>20000000</v>
      </c>
      <c r="AD584" s="272">
        <v>20000000</v>
      </c>
      <c r="AE584" s="272">
        <f t="shared" si="20"/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>
        <v>20000000</v>
      </c>
      <c r="AX584" s="275"/>
      <c r="AY584" s="275"/>
      <c r="AZ584" s="275"/>
      <c r="BA584" s="275"/>
      <c r="BB584" s="275"/>
      <c r="BC584" s="275"/>
      <c r="BD584" s="275"/>
      <c r="BE584" s="275"/>
      <c r="BF584" s="275"/>
      <c r="BH584" s="277"/>
    </row>
    <row r="585" spans="1:60" ht="16.5" customHeight="1">
      <c r="A585" s="260">
        <v>563</v>
      </c>
      <c r="B585" s="261"/>
      <c r="C585" s="261"/>
      <c r="D585" s="262"/>
      <c r="E585" s="262"/>
      <c r="F585" s="263" t="s">
        <v>15</v>
      </c>
      <c r="G585" s="264" t="s">
        <v>2</v>
      </c>
      <c r="H585" s="281"/>
      <c r="I585" s="265"/>
      <c r="J585" s="266" t="s">
        <v>93</v>
      </c>
      <c r="K585" s="262"/>
      <c r="L585" s="262"/>
      <c r="M585" s="262">
        <v>23495</v>
      </c>
      <c r="N585" s="262"/>
      <c r="O585" s="262"/>
      <c r="P585" s="262"/>
      <c r="Q585" s="262"/>
      <c r="R585" s="262"/>
      <c r="S585" s="267" t="s">
        <v>478</v>
      </c>
      <c r="T585" s="268"/>
      <c r="U585" s="269"/>
      <c r="V585" s="269"/>
      <c r="W585" s="278">
        <v>9375000</v>
      </c>
      <c r="X585" s="270"/>
      <c r="Y585" s="262"/>
      <c r="Z585" s="271" t="s">
        <v>718</v>
      </c>
      <c r="AA585" s="287"/>
      <c r="AB585" s="287"/>
      <c r="AC585" s="272">
        <f t="shared" si="19"/>
        <v>0</v>
      </c>
      <c r="AD585" s="272">
        <v>0</v>
      </c>
      <c r="AE585" s="272">
        <f t="shared" si="20"/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75"/>
      <c r="AR585" s="275"/>
      <c r="AS585" s="275"/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H585" s="277"/>
    </row>
    <row r="586" spans="1:60" ht="16.5" customHeight="1">
      <c r="A586" s="260">
        <v>564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/>
      <c r="O586" s="262" t="s">
        <v>35</v>
      </c>
      <c r="P586" s="262"/>
      <c r="Q586" s="262"/>
      <c r="R586" s="262"/>
      <c r="S586" s="267" t="s">
        <v>19</v>
      </c>
      <c r="T586" s="268"/>
      <c r="U586" s="269"/>
      <c r="V586" s="269"/>
      <c r="W586" s="278">
        <v>0</v>
      </c>
      <c r="X586" s="270"/>
      <c r="Y586" s="262"/>
      <c r="Z586" s="271" t="s">
        <v>25</v>
      </c>
      <c r="AA586" s="287"/>
      <c r="AB586" s="287"/>
      <c r="AC586" s="272">
        <f t="shared" si="19"/>
        <v>10000000</v>
      </c>
      <c r="AD586" s="272">
        <v>10000000</v>
      </c>
      <c r="AE586" s="272">
        <f t="shared" si="20"/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75"/>
      <c r="AR586" s="275"/>
      <c r="AS586" s="275"/>
      <c r="AT586" s="275"/>
      <c r="AU586" s="275"/>
      <c r="AV586" s="275"/>
      <c r="AW586" s="275"/>
      <c r="AX586" s="275"/>
      <c r="AY586" s="275"/>
      <c r="AZ586" s="275"/>
      <c r="BA586" s="275">
        <v>10000000</v>
      </c>
      <c r="BB586" s="275"/>
      <c r="BC586" s="275"/>
      <c r="BD586" s="275"/>
      <c r="BE586" s="275"/>
      <c r="BF586" s="275"/>
      <c r="BH586" s="277"/>
    </row>
    <row r="587" spans="1:60" ht="16.5" customHeight="1">
      <c r="A587" s="260">
        <v>565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 t="s">
        <v>22</v>
      </c>
      <c r="O587" s="262" t="s">
        <v>56</v>
      </c>
      <c r="P587" s="262"/>
      <c r="Q587" s="262" t="s">
        <v>30</v>
      </c>
      <c r="R587" s="262" t="s">
        <v>31</v>
      </c>
      <c r="S587" s="267" t="s">
        <v>31</v>
      </c>
      <c r="T587" s="268"/>
      <c r="U587" s="269">
        <v>33051000</v>
      </c>
      <c r="V587" s="269">
        <v>28513000</v>
      </c>
      <c r="W587" s="278">
        <v>24709500</v>
      </c>
      <c r="X587" s="270"/>
      <c r="Y587" s="262" t="s">
        <v>27</v>
      </c>
      <c r="Z587" s="271" t="s">
        <v>27</v>
      </c>
      <c r="AA587" s="287"/>
      <c r="AB587" s="287"/>
      <c r="AC587" s="272">
        <f t="shared" si="19"/>
        <v>25000000</v>
      </c>
      <c r="AD587" s="272">
        <v>25000000</v>
      </c>
      <c r="AE587" s="272">
        <f t="shared" si="20"/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75"/>
      <c r="AR587" s="275"/>
      <c r="AS587" s="275"/>
      <c r="AT587" s="275"/>
      <c r="AU587" s="275"/>
      <c r="AV587" s="275"/>
      <c r="AW587" s="275"/>
      <c r="AX587" s="275"/>
      <c r="AY587" s="275"/>
      <c r="AZ587" s="275"/>
      <c r="BA587" s="275">
        <v>25000000</v>
      </c>
      <c r="BB587" s="275"/>
      <c r="BC587" s="275"/>
      <c r="BD587" s="275"/>
      <c r="BE587" s="275"/>
      <c r="BF587" s="275"/>
      <c r="BH587" s="277"/>
    </row>
    <row r="588" spans="1:60" ht="16.5" customHeight="1">
      <c r="A588" s="260">
        <v>566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/>
      <c r="O588" s="262" t="s">
        <v>35</v>
      </c>
      <c r="P588" s="262"/>
      <c r="Q588" s="262"/>
      <c r="R588" s="262"/>
      <c r="S588" s="267" t="s">
        <v>468</v>
      </c>
      <c r="T588" s="268"/>
      <c r="U588" s="269"/>
      <c r="V588" s="269"/>
      <c r="W588" s="278">
        <v>0</v>
      </c>
      <c r="X588" s="270"/>
      <c r="Y588" s="262"/>
      <c r="Z588" s="271" t="s">
        <v>25</v>
      </c>
      <c r="AA588" s="287"/>
      <c r="AB588" s="287"/>
      <c r="AC588" s="272">
        <f t="shared" si="19"/>
        <v>11500000</v>
      </c>
      <c r="AD588" s="272">
        <v>11500000</v>
      </c>
      <c r="AE588" s="272">
        <f t="shared" si="20"/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>
        <v>1500000</v>
      </c>
      <c r="AR588" s="275"/>
      <c r="AS588" s="275">
        <v>10000000</v>
      </c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customHeight="1">
      <c r="A589" s="260">
        <v>567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94</v>
      </c>
      <c r="K589" s="262"/>
      <c r="L589" s="262"/>
      <c r="M589" s="262">
        <v>28832</v>
      </c>
      <c r="N589" s="262"/>
      <c r="O589" s="262" t="s">
        <v>35</v>
      </c>
      <c r="P589" s="262"/>
      <c r="Q589" s="262"/>
      <c r="R589" s="262"/>
      <c r="S589" s="267" t="s">
        <v>822</v>
      </c>
      <c r="T589" s="268"/>
      <c r="U589" s="269"/>
      <c r="V589" s="269"/>
      <c r="W589" s="278">
        <v>0</v>
      </c>
      <c r="X589" s="270"/>
      <c r="Y589" s="262"/>
      <c r="Z589" s="271" t="s">
        <v>25</v>
      </c>
      <c r="AA589" s="287"/>
      <c r="AB589" s="287"/>
      <c r="AC589" s="272">
        <f t="shared" si="19"/>
        <v>10000000</v>
      </c>
      <c r="AD589" s="272">
        <v>10000000</v>
      </c>
      <c r="AE589" s="272">
        <f t="shared" si="20"/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>
        <v>10000000</v>
      </c>
      <c r="AT589" s="275"/>
      <c r="AU589" s="275"/>
      <c r="AV589" s="275"/>
      <c r="AW589" s="275"/>
      <c r="AX589" s="275"/>
      <c r="AY589" s="275"/>
      <c r="AZ589" s="275"/>
      <c r="BA589" s="275"/>
      <c r="BB589" s="275"/>
      <c r="BC589" s="275"/>
      <c r="BD589" s="275"/>
      <c r="BE589" s="275"/>
      <c r="BF589" s="275"/>
      <c r="BH589" s="277"/>
    </row>
    <row r="590" spans="1:60" ht="16.5" customHeight="1">
      <c r="A590" s="260">
        <v>568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94</v>
      </c>
      <c r="K590" s="262"/>
      <c r="L590" s="262"/>
      <c r="M590" s="262">
        <v>28832</v>
      </c>
      <c r="N590" s="262"/>
      <c r="O590" s="262" t="s">
        <v>35</v>
      </c>
      <c r="P590" s="262"/>
      <c r="Q590" s="262"/>
      <c r="R590" s="262"/>
      <c r="S590" s="267" t="s">
        <v>834</v>
      </c>
      <c r="T590" s="268"/>
      <c r="U590" s="269"/>
      <c r="V590" s="269"/>
      <c r="W590" s="278">
        <v>0</v>
      </c>
      <c r="X590" s="270"/>
      <c r="Y590" s="262"/>
      <c r="Z590" s="271" t="s">
        <v>25</v>
      </c>
      <c r="AA590" s="287"/>
      <c r="AB590" s="287"/>
      <c r="AC590" s="272">
        <f t="shared" si="19"/>
        <v>10000000</v>
      </c>
      <c r="AD590" s="272">
        <v>10000000</v>
      </c>
      <c r="AE590" s="272">
        <f t="shared" si="20"/>
        <v>0</v>
      </c>
      <c r="AF590" s="273"/>
      <c r="AG590" s="274"/>
      <c r="AH590" s="273"/>
      <c r="AI590" s="273"/>
      <c r="AJ590" s="274"/>
      <c r="AK590" s="273"/>
      <c r="AL590" s="275"/>
      <c r="AM590" s="290"/>
      <c r="AN590" s="275"/>
      <c r="AO590" s="276"/>
      <c r="AP590" s="275"/>
      <c r="AQ590" s="275"/>
      <c r="AR590" s="275"/>
      <c r="AS590" s="275">
        <v>10000000</v>
      </c>
      <c r="AT590" s="275"/>
      <c r="AU590" s="275"/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/>
      <c r="BF590" s="275"/>
      <c r="BH590" s="277"/>
    </row>
    <row r="591" spans="1:60" ht="16.5" customHeight="1">
      <c r="A591" s="260">
        <v>569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94</v>
      </c>
      <c r="K591" s="262"/>
      <c r="L591" s="262"/>
      <c r="M591" s="262">
        <v>28832</v>
      </c>
      <c r="N591" s="262" t="s">
        <v>22</v>
      </c>
      <c r="O591" s="262" t="s">
        <v>35</v>
      </c>
      <c r="P591" s="262"/>
      <c r="Q591" s="262" t="s">
        <v>23</v>
      </c>
      <c r="R591" s="262" t="s">
        <v>397</v>
      </c>
      <c r="S591" s="267" t="s">
        <v>823</v>
      </c>
      <c r="T591" s="268"/>
      <c r="U591" s="269">
        <v>200000</v>
      </c>
      <c r="V591" s="269">
        <v>0</v>
      </c>
      <c r="W591" s="278">
        <v>0</v>
      </c>
      <c r="X591" s="270"/>
      <c r="Y591" s="262" t="s">
        <v>25</v>
      </c>
      <c r="Z591" s="271" t="s">
        <v>562</v>
      </c>
      <c r="AA591" s="287"/>
      <c r="AB591" s="287"/>
      <c r="AC591" s="272">
        <f t="shared" si="19"/>
        <v>0</v>
      </c>
      <c r="AD591" s="272">
        <v>0</v>
      </c>
      <c r="AE591" s="272">
        <f t="shared" si="20"/>
        <v>0</v>
      </c>
      <c r="AF591" s="273"/>
      <c r="AG591" s="274"/>
      <c r="AH591" s="273"/>
      <c r="AI591" s="273"/>
      <c r="AJ591" s="274"/>
      <c r="AK591" s="273"/>
      <c r="AL591" s="275"/>
      <c r="AM591" s="290"/>
      <c r="AN591" s="275"/>
      <c r="AO591" s="276"/>
      <c r="AP591" s="275"/>
      <c r="AQ591" s="275"/>
      <c r="AR591" s="275"/>
      <c r="AS591" s="275"/>
      <c r="AT591" s="275"/>
      <c r="AU591" s="275"/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/>
      <c r="BF591" s="275"/>
      <c r="BH591" s="277"/>
    </row>
    <row r="592" spans="1:60" ht="16.5" customHeight="1">
      <c r="A592" s="260">
        <v>570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726</v>
      </c>
      <c r="K592" s="262"/>
      <c r="L592" s="262"/>
      <c r="M592" s="262">
        <v>50686</v>
      </c>
      <c r="N592" s="262"/>
      <c r="O592" s="262" t="s">
        <v>56</v>
      </c>
      <c r="P592" s="262"/>
      <c r="Q592" s="262"/>
      <c r="R592" s="262"/>
      <c r="S592" s="267" t="s">
        <v>31</v>
      </c>
      <c r="T592" s="268"/>
      <c r="U592" s="269"/>
      <c r="V592" s="269"/>
      <c r="W592" s="278">
        <v>6977500</v>
      </c>
      <c r="X592" s="270"/>
      <c r="Y592" s="262"/>
      <c r="Z592" s="271" t="s">
        <v>24</v>
      </c>
      <c r="AA592" s="287"/>
      <c r="AB592" s="287"/>
      <c r="AC592" s="272">
        <f t="shared" si="19"/>
        <v>15000000</v>
      </c>
      <c r="AD592" s="272">
        <v>15000000</v>
      </c>
      <c r="AE592" s="272">
        <f t="shared" si="20"/>
        <v>0</v>
      </c>
      <c r="AF592" s="273"/>
      <c r="AG592" s="274"/>
      <c r="AH592" s="273"/>
      <c r="AI592" s="273"/>
      <c r="AJ592" s="274"/>
      <c r="AK592" s="273"/>
      <c r="AL592" s="275"/>
      <c r="AM592" s="290"/>
      <c r="AN592" s="275"/>
      <c r="AO592" s="276"/>
      <c r="AP592" s="275"/>
      <c r="AQ592" s="275"/>
      <c r="AR592" s="275"/>
      <c r="AS592" s="275"/>
      <c r="AT592" s="275"/>
      <c r="AU592" s="275"/>
      <c r="AV592" s="275"/>
      <c r="AW592" s="275"/>
      <c r="AX592" s="275"/>
      <c r="AY592" s="275"/>
      <c r="AZ592" s="275"/>
      <c r="BA592" s="275">
        <v>15000000</v>
      </c>
      <c r="BB592" s="275"/>
      <c r="BC592" s="275"/>
      <c r="BD592" s="275"/>
      <c r="BE592" s="275"/>
      <c r="BF592" s="275"/>
      <c r="BH592" s="277"/>
    </row>
    <row r="593" spans="1:60" ht="16.5" customHeight="1">
      <c r="A593" s="260">
        <v>571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 t="s">
        <v>23</v>
      </c>
      <c r="R593" s="262" t="s">
        <v>478</v>
      </c>
      <c r="S593" s="267" t="s">
        <v>478</v>
      </c>
      <c r="T593" s="268"/>
      <c r="U593" s="269"/>
      <c r="V593" s="269">
        <v>0</v>
      </c>
      <c r="W593" s="278">
        <v>515000000</v>
      </c>
      <c r="X593" s="270"/>
      <c r="Y593" s="262" t="s">
        <v>27</v>
      </c>
      <c r="Z593" s="271" t="s">
        <v>27</v>
      </c>
      <c r="AA593" s="287"/>
      <c r="AB593" s="287"/>
      <c r="AC593" s="272">
        <f t="shared" si="19"/>
        <v>394000000</v>
      </c>
      <c r="AD593" s="272">
        <v>394000000</v>
      </c>
      <c r="AE593" s="272">
        <f t="shared" si="20"/>
        <v>0</v>
      </c>
      <c r="AF593" s="273"/>
      <c r="AG593" s="274"/>
      <c r="AH593" s="273"/>
      <c r="AI593" s="273"/>
      <c r="AJ593" s="274">
        <v>322000000</v>
      </c>
      <c r="AK593" s="273"/>
      <c r="AL593" s="275"/>
      <c r="AM593" s="290"/>
      <c r="AN593" s="275"/>
      <c r="AO593" s="276"/>
      <c r="AP593" s="275"/>
      <c r="AQ593" s="275"/>
      <c r="AR593" s="275"/>
      <c r="AS593" s="275"/>
      <c r="AT593" s="275"/>
      <c r="AU593" s="275">
        <v>48000000</v>
      </c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24000000</v>
      </c>
      <c r="BF593" s="275"/>
      <c r="BH593" s="277"/>
    </row>
    <row r="594" spans="1:60" ht="16.5" customHeight="1">
      <c r="A594" s="260">
        <v>572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96</v>
      </c>
      <c r="K594" s="262"/>
      <c r="L594" s="262"/>
      <c r="M594" s="262">
        <v>53516</v>
      </c>
      <c r="N594" s="262" t="s">
        <v>22</v>
      </c>
      <c r="O594" s="262" t="s">
        <v>56</v>
      </c>
      <c r="P594" s="262"/>
      <c r="Q594" s="262" t="s">
        <v>23</v>
      </c>
      <c r="R594" s="262" t="s">
        <v>397</v>
      </c>
      <c r="S594" s="267" t="s">
        <v>823</v>
      </c>
      <c r="T594" s="268"/>
      <c r="U594" s="269">
        <v>1000000000</v>
      </c>
      <c r="V594" s="269">
        <v>500000000</v>
      </c>
      <c r="W594" s="278">
        <v>345000000</v>
      </c>
      <c r="X594" s="270"/>
      <c r="Y594" s="262" t="s">
        <v>27</v>
      </c>
      <c r="Z594" s="271" t="s">
        <v>27</v>
      </c>
      <c r="AA594" s="287"/>
      <c r="AB594" s="287"/>
      <c r="AC594" s="272">
        <f t="shared" si="19"/>
        <v>57000000</v>
      </c>
      <c r="AD594" s="272">
        <v>57000000</v>
      </c>
      <c r="AE594" s="272">
        <f t="shared" si="20"/>
        <v>0</v>
      </c>
      <c r="AF594" s="273"/>
      <c r="AG594" s="274"/>
      <c r="AH594" s="273"/>
      <c r="AI594" s="273"/>
      <c r="AJ594" s="274"/>
      <c r="AK594" s="273"/>
      <c r="AL594" s="275">
        <v>133000000</v>
      </c>
      <c r="AM594" s="290">
        <v>0</v>
      </c>
      <c r="AN594" s="275" t="s">
        <v>1024</v>
      </c>
      <c r="AO594" s="276"/>
      <c r="AP594" s="275"/>
      <c r="AQ594" s="275"/>
      <c r="AR594" s="275"/>
      <c r="AS594" s="275"/>
      <c r="AT594" s="275"/>
      <c r="AU594" s="275">
        <v>38000000</v>
      </c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>
        <v>19000000</v>
      </c>
      <c r="BF594" s="275"/>
      <c r="BH594" s="277"/>
    </row>
    <row r="595" spans="1:60" ht="16.5" customHeight="1">
      <c r="A595" s="260">
        <v>573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96</v>
      </c>
      <c r="K595" s="262"/>
      <c r="L595" s="262"/>
      <c r="M595" s="262">
        <v>53516</v>
      </c>
      <c r="N595" s="262" t="s">
        <v>22</v>
      </c>
      <c r="O595" s="262" t="s">
        <v>56</v>
      </c>
      <c r="P595" s="262"/>
      <c r="Q595" s="262"/>
      <c r="R595" s="262" t="s">
        <v>472</v>
      </c>
      <c r="S595" s="267" t="s">
        <v>824</v>
      </c>
      <c r="T595" s="268"/>
      <c r="U595" s="269"/>
      <c r="V595" s="269"/>
      <c r="W595" s="278">
        <v>42750000</v>
      </c>
      <c r="X595" s="270"/>
      <c r="Y595" s="262" t="s">
        <v>27</v>
      </c>
      <c r="Z595" s="271" t="s">
        <v>27</v>
      </c>
      <c r="AA595" s="287"/>
      <c r="AB595" s="287"/>
      <c r="AC595" s="272">
        <f t="shared" si="19"/>
        <v>47100000</v>
      </c>
      <c r="AD595" s="272">
        <v>47100000</v>
      </c>
      <c r="AE595" s="272">
        <f t="shared" si="20"/>
        <v>0</v>
      </c>
      <c r="AF595" s="273"/>
      <c r="AG595" s="274"/>
      <c r="AH595" s="273"/>
      <c r="AI595" s="273"/>
      <c r="AJ595" s="274">
        <v>33000000</v>
      </c>
      <c r="AK595" s="273"/>
      <c r="AL595" s="275"/>
      <c r="AM595" s="290"/>
      <c r="AN595" s="275"/>
      <c r="AO595" s="276"/>
      <c r="AP595" s="275"/>
      <c r="AQ595" s="275"/>
      <c r="AR595" s="275"/>
      <c r="AS595" s="275"/>
      <c r="AT595" s="275"/>
      <c r="AU595" s="275"/>
      <c r="AV595" s="275"/>
      <c r="AW595" s="275"/>
      <c r="AX595" s="275"/>
      <c r="AY595" s="275"/>
      <c r="AZ595" s="275"/>
      <c r="BA595" s="275"/>
      <c r="BB595" s="275"/>
      <c r="BC595" s="275"/>
      <c r="BD595" s="275"/>
      <c r="BE595" s="275">
        <v>14100000</v>
      </c>
      <c r="BF595" s="275"/>
      <c r="BH595" s="277"/>
    </row>
    <row r="596" spans="1:60" ht="16.5" customHeight="1">
      <c r="A596" s="260">
        <v>574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96</v>
      </c>
      <c r="K596" s="262"/>
      <c r="L596" s="262"/>
      <c r="M596" s="262">
        <v>53516</v>
      </c>
      <c r="N596" s="262" t="s">
        <v>22</v>
      </c>
      <c r="O596" s="262" t="s">
        <v>56</v>
      </c>
      <c r="P596" s="262"/>
      <c r="Q596" s="262" t="s">
        <v>23</v>
      </c>
      <c r="R596" s="262" t="s">
        <v>476</v>
      </c>
      <c r="S596" s="267" t="s">
        <v>825</v>
      </c>
      <c r="T596" s="268"/>
      <c r="U596" s="269"/>
      <c r="V596" s="269">
        <v>0</v>
      </c>
      <c r="W596" s="278">
        <v>30000000</v>
      </c>
      <c r="X596" s="270"/>
      <c r="Y596" s="262" t="s">
        <v>27</v>
      </c>
      <c r="Z596" s="271" t="s">
        <v>27</v>
      </c>
      <c r="AA596" s="287"/>
      <c r="AB596" s="287"/>
      <c r="AC596" s="272">
        <f t="shared" si="19"/>
        <v>9000000</v>
      </c>
      <c r="AD596" s="272">
        <v>9000000</v>
      </c>
      <c r="AE596" s="272">
        <f t="shared" si="20"/>
        <v>0</v>
      </c>
      <c r="AF596" s="273"/>
      <c r="AG596" s="274"/>
      <c r="AH596" s="273"/>
      <c r="AI596" s="273"/>
      <c r="AJ596" s="274"/>
      <c r="AK596" s="273"/>
      <c r="AL596" s="275">
        <v>21000000</v>
      </c>
      <c r="AM596" s="290">
        <v>0</v>
      </c>
      <c r="AN596" s="275" t="s">
        <v>1024</v>
      </c>
      <c r="AO596" s="276"/>
      <c r="AP596" s="275"/>
      <c r="AQ596" s="275"/>
      <c r="AR596" s="275"/>
      <c r="AS596" s="275"/>
      <c r="AT596" s="275"/>
      <c r="AU596" s="275">
        <v>6000000</v>
      </c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>
        <v>3000000</v>
      </c>
      <c r="BF596" s="275"/>
      <c r="BH596" s="277"/>
    </row>
    <row r="597" spans="1:60" ht="16.5" customHeight="1">
      <c r="A597" s="260">
        <v>575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/>
      <c r="O597" s="262" t="s">
        <v>35</v>
      </c>
      <c r="P597" s="262"/>
      <c r="Q597" s="262"/>
      <c r="R597" s="262"/>
      <c r="S597" s="267" t="s">
        <v>19</v>
      </c>
      <c r="T597" s="268"/>
      <c r="U597" s="269"/>
      <c r="V597" s="269"/>
      <c r="W597" s="278">
        <v>4535000</v>
      </c>
      <c r="X597" s="270"/>
      <c r="Y597" s="262"/>
      <c r="Z597" s="271" t="s">
        <v>25</v>
      </c>
      <c r="AA597" s="287"/>
      <c r="AB597" s="287"/>
      <c r="AC597" s="272">
        <f t="shared" si="19"/>
        <v>10000000</v>
      </c>
      <c r="AD597" s="272">
        <v>10000000</v>
      </c>
      <c r="AE597" s="272">
        <f t="shared" si="20"/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/>
      <c r="AR597" s="275"/>
      <c r="AS597" s="275">
        <v>10000000</v>
      </c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H597" s="277"/>
    </row>
    <row r="598" spans="1:60" ht="16.5" customHeight="1">
      <c r="A598" s="260">
        <v>576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 t="s">
        <v>53</v>
      </c>
      <c r="O598" s="262" t="s">
        <v>56</v>
      </c>
      <c r="P598" s="262"/>
      <c r="Q598" s="262" t="s">
        <v>18</v>
      </c>
      <c r="R598" s="262" t="s">
        <v>19</v>
      </c>
      <c r="S598" s="267" t="s">
        <v>31</v>
      </c>
      <c r="T598" s="268"/>
      <c r="U598" s="269"/>
      <c r="V598" s="269"/>
      <c r="W598" s="278">
        <v>26813000</v>
      </c>
      <c r="X598" s="270"/>
      <c r="Y598" s="262" t="s">
        <v>24</v>
      </c>
      <c r="Z598" s="271" t="s">
        <v>24</v>
      </c>
      <c r="AA598" s="287"/>
      <c r="AB598" s="287"/>
      <c r="AC598" s="272">
        <f t="shared" si="19"/>
        <v>18000000</v>
      </c>
      <c r="AD598" s="272">
        <v>18000000</v>
      </c>
      <c r="AE598" s="272">
        <f t="shared" si="20"/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75"/>
      <c r="AR598" s="275"/>
      <c r="AS598" s="275"/>
      <c r="AT598" s="275"/>
      <c r="AU598" s="275">
        <v>10000000</v>
      </c>
      <c r="AV598" s="275"/>
      <c r="AW598" s="275"/>
      <c r="AX598" s="275"/>
      <c r="AY598" s="275"/>
      <c r="AZ598" s="275"/>
      <c r="BA598" s="275">
        <v>8000000</v>
      </c>
      <c r="BB598" s="275"/>
      <c r="BC598" s="275"/>
      <c r="BD598" s="275"/>
      <c r="BE598" s="275"/>
      <c r="BF598" s="275"/>
      <c r="BH598" s="277"/>
    </row>
    <row r="599" spans="1:60" ht="16.5" customHeight="1">
      <c r="A599" s="260">
        <v>577</v>
      </c>
      <c r="B599" s="261"/>
      <c r="C599" s="261"/>
      <c r="D599" s="262" t="s">
        <v>15</v>
      </c>
      <c r="E599" s="262" t="s">
        <v>2</v>
      </c>
      <c r="F599" s="263" t="s">
        <v>15</v>
      </c>
      <c r="G599" s="264" t="s">
        <v>2</v>
      </c>
      <c r="H599" s="281"/>
      <c r="I599" s="265"/>
      <c r="J599" s="266" t="s">
        <v>97</v>
      </c>
      <c r="K599" s="262"/>
      <c r="L599" s="262"/>
      <c r="M599" s="262">
        <v>40018</v>
      </c>
      <c r="N599" s="262" t="s">
        <v>53</v>
      </c>
      <c r="O599" s="262" t="s">
        <v>56</v>
      </c>
      <c r="P599" s="262"/>
      <c r="Q599" s="262" t="s">
        <v>18</v>
      </c>
      <c r="R599" s="262" t="s">
        <v>19</v>
      </c>
      <c r="S599" s="267" t="s">
        <v>31</v>
      </c>
      <c r="T599" s="268"/>
      <c r="U599" s="269">
        <v>11012000</v>
      </c>
      <c r="V599" s="269">
        <v>32509000</v>
      </c>
      <c r="W599" s="278">
        <v>0</v>
      </c>
      <c r="X599" s="270"/>
      <c r="Y599" s="262" t="s">
        <v>27</v>
      </c>
      <c r="Z599" s="271" t="s">
        <v>25</v>
      </c>
      <c r="AA599" s="287"/>
      <c r="AB599" s="287"/>
      <c r="AC599" s="272">
        <f t="shared" ref="AC599:AC662" si="21">AG599+AJ599+AM599+AO599+AQ599+AS599+AU599+AW599+AY599+BA599+BC599+BE599</f>
        <v>10000000</v>
      </c>
      <c r="AD599" s="272">
        <v>10000000</v>
      </c>
      <c r="AE599" s="272">
        <f t="shared" ref="AE599:AE662" si="22">AC599-AD599</f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75">
        <v>10000000</v>
      </c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customHeight="1">
      <c r="A600" s="260">
        <v>578</v>
      </c>
      <c r="B600" s="261"/>
      <c r="C600" s="261"/>
      <c r="D600" s="262" t="s">
        <v>15</v>
      </c>
      <c r="E600" s="262" t="s">
        <v>2</v>
      </c>
      <c r="F600" s="263" t="s">
        <v>15</v>
      </c>
      <c r="G600" s="264" t="s">
        <v>2</v>
      </c>
      <c r="H600" s="281"/>
      <c r="I600" s="265"/>
      <c r="J600" s="266" t="s">
        <v>97</v>
      </c>
      <c r="K600" s="262"/>
      <c r="L600" s="262"/>
      <c r="M600" s="262">
        <v>40018</v>
      </c>
      <c r="N600" s="262"/>
      <c r="O600" s="262" t="s">
        <v>35</v>
      </c>
      <c r="P600" s="262"/>
      <c r="Q600" s="262"/>
      <c r="R600" s="262"/>
      <c r="S600" s="267" t="s">
        <v>822</v>
      </c>
      <c r="T600" s="268"/>
      <c r="U600" s="269"/>
      <c r="V600" s="269"/>
      <c r="W600" s="278">
        <v>0</v>
      </c>
      <c r="X600" s="270"/>
      <c r="Y600" s="262"/>
      <c r="Z600" s="271" t="s">
        <v>25</v>
      </c>
      <c r="AA600" s="287"/>
      <c r="AB600" s="287"/>
      <c r="AC600" s="272">
        <f t="shared" si="21"/>
        <v>10000000</v>
      </c>
      <c r="AD600" s="272">
        <v>10000000</v>
      </c>
      <c r="AE600" s="272">
        <f t="shared" si="22"/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75"/>
      <c r="AR600" s="275"/>
      <c r="AS600" s="275">
        <v>10000000</v>
      </c>
      <c r="AT600" s="275"/>
      <c r="AU600" s="275"/>
      <c r="AV600" s="275"/>
      <c r="AW600" s="275"/>
      <c r="AX600" s="275"/>
      <c r="AY600" s="275"/>
      <c r="AZ600" s="275"/>
      <c r="BA600" s="275"/>
      <c r="BB600" s="275"/>
      <c r="BC600" s="275"/>
      <c r="BD600" s="275"/>
      <c r="BE600" s="275"/>
      <c r="BF600" s="275"/>
      <c r="BH600" s="277"/>
    </row>
    <row r="601" spans="1:60" ht="16.5" customHeight="1">
      <c r="A601" s="260">
        <v>579</v>
      </c>
      <c r="B601" s="261"/>
      <c r="C601" s="261"/>
      <c r="D601" s="262" t="s">
        <v>15</v>
      </c>
      <c r="E601" s="262" t="s">
        <v>2</v>
      </c>
      <c r="F601" s="263" t="s">
        <v>15</v>
      </c>
      <c r="G601" s="264" t="s">
        <v>2</v>
      </c>
      <c r="H601" s="281"/>
      <c r="I601" s="265"/>
      <c r="J601" s="266" t="s">
        <v>97</v>
      </c>
      <c r="K601" s="262"/>
      <c r="L601" s="262"/>
      <c r="M601" s="262">
        <v>40018</v>
      </c>
      <c r="N601" s="262" t="s">
        <v>53</v>
      </c>
      <c r="O601" s="262" t="s">
        <v>56</v>
      </c>
      <c r="P601" s="262"/>
      <c r="Q601" s="262" t="s">
        <v>23</v>
      </c>
      <c r="R601" s="262" t="s">
        <v>397</v>
      </c>
      <c r="S601" s="267" t="s">
        <v>823</v>
      </c>
      <c r="T601" s="268"/>
      <c r="U601" s="269">
        <v>200000</v>
      </c>
      <c r="V601" s="269">
        <v>250000</v>
      </c>
      <c r="W601" s="278">
        <v>17800000</v>
      </c>
      <c r="X601" s="270"/>
      <c r="Y601" s="262" t="s">
        <v>27</v>
      </c>
      <c r="Z601" s="271" t="s">
        <v>25</v>
      </c>
      <c r="AA601" s="287"/>
      <c r="AB601" s="287"/>
      <c r="AC601" s="272">
        <f t="shared" si="21"/>
        <v>20000000</v>
      </c>
      <c r="AD601" s="272">
        <v>20000000</v>
      </c>
      <c r="AE601" s="272">
        <f t="shared" si="22"/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>
        <v>20000000</v>
      </c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H601" s="277"/>
    </row>
    <row r="602" spans="1:60" ht="16.5" customHeight="1">
      <c r="A602" s="260">
        <v>580</v>
      </c>
      <c r="B602" s="261"/>
      <c r="C602" s="261"/>
      <c r="D602" s="262"/>
      <c r="E602" s="262"/>
      <c r="F602" s="263" t="s">
        <v>15</v>
      </c>
      <c r="G602" s="264" t="s">
        <v>2</v>
      </c>
      <c r="H602" s="281"/>
      <c r="I602" s="265"/>
      <c r="J602" s="266" t="s">
        <v>918</v>
      </c>
      <c r="K602" s="262"/>
      <c r="L602" s="262"/>
      <c r="M602" s="262">
        <v>65663</v>
      </c>
      <c r="N602" s="262"/>
      <c r="O602" s="262"/>
      <c r="P602" s="262"/>
      <c r="Q602" s="262"/>
      <c r="R602" s="262"/>
      <c r="S602" s="267" t="s">
        <v>31</v>
      </c>
      <c r="T602" s="268"/>
      <c r="U602" s="269"/>
      <c r="V602" s="269"/>
      <c r="W602" s="278">
        <v>1014000</v>
      </c>
      <c r="X602" s="270"/>
      <c r="Y602" s="262"/>
      <c r="Z602" s="271" t="s">
        <v>718</v>
      </c>
      <c r="AA602" s="287"/>
      <c r="AB602" s="287"/>
      <c r="AC602" s="272">
        <f t="shared" si="21"/>
        <v>0</v>
      </c>
      <c r="AD602" s="272">
        <v>0</v>
      </c>
      <c r="AE602" s="272">
        <f t="shared" si="22"/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75"/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H602" s="277"/>
    </row>
    <row r="603" spans="1:60" ht="16.5" customHeight="1">
      <c r="A603" s="260">
        <v>581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98</v>
      </c>
      <c r="K603" s="262"/>
      <c r="L603" s="262"/>
      <c r="M603" s="262">
        <v>54422</v>
      </c>
      <c r="N603" s="262"/>
      <c r="O603" s="262" t="s">
        <v>35</v>
      </c>
      <c r="P603" s="262"/>
      <c r="Q603" s="262"/>
      <c r="R603" s="262"/>
      <c r="S603" s="267" t="s">
        <v>31</v>
      </c>
      <c r="T603" s="268"/>
      <c r="U603" s="269"/>
      <c r="V603" s="269"/>
      <c r="W603" s="278">
        <v>7506000</v>
      </c>
      <c r="X603" s="270"/>
      <c r="Y603" s="262"/>
      <c r="Z603" s="271" t="s">
        <v>25</v>
      </c>
      <c r="AA603" s="287"/>
      <c r="AB603" s="287"/>
      <c r="AC603" s="272">
        <f t="shared" si="21"/>
        <v>15000000</v>
      </c>
      <c r="AD603" s="272">
        <v>15000000</v>
      </c>
      <c r="AE603" s="272">
        <f t="shared" si="22"/>
        <v>0</v>
      </c>
      <c r="AF603" s="273"/>
      <c r="AG603" s="274"/>
      <c r="AH603" s="273"/>
      <c r="AI603" s="273"/>
      <c r="AJ603" s="274"/>
      <c r="AK603" s="273"/>
      <c r="AL603" s="275"/>
      <c r="AM603" s="290"/>
      <c r="AN603" s="275"/>
      <c r="AO603" s="276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>
        <v>15000000</v>
      </c>
      <c r="BB603" s="275"/>
      <c r="BC603" s="275"/>
      <c r="BD603" s="275"/>
      <c r="BE603" s="275"/>
      <c r="BF603" s="275"/>
      <c r="BH603" s="277"/>
    </row>
    <row r="604" spans="1:60" ht="16.5" customHeight="1">
      <c r="A604" s="260">
        <v>582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98</v>
      </c>
      <c r="K604" s="262"/>
      <c r="L604" s="262"/>
      <c r="M604" s="262">
        <v>54422</v>
      </c>
      <c r="N604" s="262" t="s">
        <v>17</v>
      </c>
      <c r="O604" s="262" t="s">
        <v>178</v>
      </c>
      <c r="P604" s="262"/>
      <c r="Q604" s="262" t="s">
        <v>23</v>
      </c>
      <c r="R604" s="262" t="s">
        <v>397</v>
      </c>
      <c r="S604" s="267" t="s">
        <v>823</v>
      </c>
      <c r="T604" s="268"/>
      <c r="U604" s="269">
        <v>200000</v>
      </c>
      <c r="V604" s="269">
        <v>250000</v>
      </c>
      <c r="W604" s="278">
        <v>0</v>
      </c>
      <c r="X604" s="270"/>
      <c r="Y604" s="262" t="s">
        <v>24</v>
      </c>
      <c r="Z604" s="271" t="s">
        <v>20</v>
      </c>
      <c r="AA604" s="287"/>
      <c r="AB604" s="287"/>
      <c r="AC604" s="272">
        <f t="shared" si="21"/>
        <v>0</v>
      </c>
      <c r="AD604" s="272">
        <v>0</v>
      </c>
      <c r="AE604" s="272">
        <f t="shared" si="22"/>
        <v>0</v>
      </c>
      <c r="AF604" s="273"/>
      <c r="AG604" s="274"/>
      <c r="AH604" s="273"/>
      <c r="AI604" s="273"/>
      <c r="AJ604" s="274"/>
      <c r="AK604" s="273"/>
      <c r="AL604" s="275"/>
      <c r="AM604" s="290"/>
      <c r="AN604" s="275"/>
      <c r="AO604" s="276"/>
      <c r="AP604" s="275"/>
      <c r="AQ604" s="275"/>
      <c r="AR604" s="275"/>
      <c r="AS604" s="275"/>
      <c r="AT604" s="275"/>
      <c r="AU604" s="275"/>
      <c r="AV604" s="275"/>
      <c r="AW604" s="275"/>
      <c r="AX604" s="275"/>
      <c r="AY604" s="275"/>
      <c r="AZ604" s="275"/>
      <c r="BA604" s="275"/>
      <c r="BB604" s="275"/>
      <c r="BC604" s="275"/>
      <c r="BD604" s="275"/>
      <c r="BE604" s="275"/>
      <c r="BF604" s="275"/>
      <c r="BH604" s="277"/>
    </row>
    <row r="605" spans="1:60" ht="16.5" customHeight="1">
      <c r="A605" s="260">
        <v>583</v>
      </c>
      <c r="B605" s="261"/>
      <c r="C605" s="261"/>
      <c r="D605" s="262" t="s">
        <v>15</v>
      </c>
      <c r="E605" s="262" t="s">
        <v>2</v>
      </c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 t="s">
        <v>22</v>
      </c>
      <c r="O605" s="262" t="s">
        <v>35</v>
      </c>
      <c r="P605" s="262"/>
      <c r="Q605" s="262" t="s">
        <v>18</v>
      </c>
      <c r="R605" s="262" t="s">
        <v>19</v>
      </c>
      <c r="S605" s="267" t="s">
        <v>19</v>
      </c>
      <c r="T605" s="268"/>
      <c r="U605" s="269"/>
      <c r="V605" s="269">
        <v>0</v>
      </c>
      <c r="W605" s="278">
        <v>0</v>
      </c>
      <c r="X605" s="270"/>
      <c r="Y605" s="262" t="s">
        <v>25</v>
      </c>
      <c r="Z605" s="271" t="s">
        <v>25</v>
      </c>
      <c r="AA605" s="287"/>
      <c r="AB605" s="287"/>
      <c r="AC605" s="272">
        <f t="shared" si="21"/>
        <v>10000000</v>
      </c>
      <c r="AD605" s="272">
        <v>10000000</v>
      </c>
      <c r="AE605" s="272">
        <f t="shared" si="22"/>
        <v>0</v>
      </c>
      <c r="AF605" s="273"/>
      <c r="AG605" s="274"/>
      <c r="AH605" s="273"/>
      <c r="AI605" s="273"/>
      <c r="AJ605" s="274"/>
      <c r="AK605" s="273"/>
      <c r="AL605" s="275"/>
      <c r="AM605" s="290"/>
      <c r="AN605" s="275"/>
      <c r="AO605" s="276"/>
      <c r="AP605" s="275"/>
      <c r="AQ605" s="275">
        <v>10000000</v>
      </c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H605" s="277"/>
    </row>
    <row r="606" spans="1:60" ht="16.5" customHeight="1">
      <c r="A606" s="260">
        <v>584</v>
      </c>
      <c r="B606" s="261"/>
      <c r="C606" s="261"/>
      <c r="D606" s="262" t="s">
        <v>15</v>
      </c>
      <c r="E606" s="262" t="s">
        <v>2</v>
      </c>
      <c r="F606" s="263" t="s">
        <v>15</v>
      </c>
      <c r="G606" s="264" t="s">
        <v>2</v>
      </c>
      <c r="H606" s="281"/>
      <c r="I606" s="265"/>
      <c r="J606" s="266" t="s">
        <v>99</v>
      </c>
      <c r="K606" s="262"/>
      <c r="L606" s="262"/>
      <c r="M606" s="262">
        <v>18282</v>
      </c>
      <c r="N606" s="262" t="s">
        <v>22</v>
      </c>
      <c r="O606" s="262" t="s">
        <v>56</v>
      </c>
      <c r="P606" s="262"/>
      <c r="Q606" s="262" t="s">
        <v>30</v>
      </c>
      <c r="R606" s="262" t="s">
        <v>31</v>
      </c>
      <c r="S606" s="267" t="s">
        <v>31</v>
      </c>
      <c r="T606" s="268"/>
      <c r="U606" s="269">
        <v>16000000</v>
      </c>
      <c r="V606" s="269">
        <v>20800000</v>
      </c>
      <c r="W606" s="278">
        <v>15593000</v>
      </c>
      <c r="X606" s="270"/>
      <c r="Y606" s="262" t="s">
        <v>27</v>
      </c>
      <c r="Z606" s="271" t="s">
        <v>27</v>
      </c>
      <c r="AA606" s="287"/>
      <c r="AB606" s="287"/>
      <c r="AC606" s="272">
        <f t="shared" si="21"/>
        <v>16040000</v>
      </c>
      <c r="AD606" s="272">
        <v>16040000</v>
      </c>
      <c r="AE606" s="272">
        <f t="shared" si="22"/>
        <v>0</v>
      </c>
      <c r="AF606" s="273"/>
      <c r="AG606" s="274"/>
      <c r="AH606" s="273"/>
      <c r="AI606" s="273"/>
      <c r="AJ606" s="274">
        <v>1040000</v>
      </c>
      <c r="AK606" s="273"/>
      <c r="AL606" s="275"/>
      <c r="AM606" s="290"/>
      <c r="AN606" s="275"/>
      <c r="AO606" s="276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>
        <v>15000000</v>
      </c>
      <c r="BB606" s="275"/>
      <c r="BC606" s="275"/>
      <c r="BD606" s="275"/>
      <c r="BE606" s="275"/>
      <c r="BF606" s="275"/>
      <c r="BH606" s="277"/>
    </row>
    <row r="607" spans="1:60" ht="16.5" customHeight="1">
      <c r="A607" s="260">
        <v>585</v>
      </c>
      <c r="B607" s="261"/>
      <c r="C607" s="261"/>
      <c r="D607" s="262" t="s">
        <v>15</v>
      </c>
      <c r="E607" s="262" t="s">
        <v>2</v>
      </c>
      <c r="F607" s="263" t="s">
        <v>15</v>
      </c>
      <c r="G607" s="264" t="s">
        <v>2</v>
      </c>
      <c r="H607" s="281"/>
      <c r="I607" s="265"/>
      <c r="J607" s="266" t="s">
        <v>99</v>
      </c>
      <c r="K607" s="262"/>
      <c r="L607" s="262"/>
      <c r="M607" s="262">
        <v>18282</v>
      </c>
      <c r="N607" s="262" t="s">
        <v>22</v>
      </c>
      <c r="O607" s="262" t="s">
        <v>56</v>
      </c>
      <c r="P607" s="262"/>
      <c r="Q607" s="262" t="s">
        <v>26</v>
      </c>
      <c r="R607" s="262" t="s">
        <v>468</v>
      </c>
      <c r="S607" s="267" t="s">
        <v>468</v>
      </c>
      <c r="T607" s="268"/>
      <c r="U607" s="269">
        <v>17708000</v>
      </c>
      <c r="V607" s="269">
        <v>0</v>
      </c>
      <c r="W607" s="278">
        <v>10000000</v>
      </c>
      <c r="X607" s="270"/>
      <c r="Y607" s="262" t="s">
        <v>27</v>
      </c>
      <c r="Z607" s="271" t="s">
        <v>24</v>
      </c>
      <c r="AA607" s="287"/>
      <c r="AB607" s="287"/>
      <c r="AC607" s="272">
        <f t="shared" si="21"/>
        <v>20000000</v>
      </c>
      <c r="AD607" s="272">
        <v>20000000</v>
      </c>
      <c r="AE607" s="272">
        <f t="shared" si="22"/>
        <v>0</v>
      </c>
      <c r="AF607" s="273"/>
      <c r="AG607" s="274"/>
      <c r="AH607" s="273"/>
      <c r="AI607" s="273"/>
      <c r="AJ607" s="274"/>
      <c r="AK607" s="273"/>
      <c r="AL607" s="275"/>
      <c r="AM607" s="290"/>
      <c r="AN607" s="275"/>
      <c r="AO607" s="276"/>
      <c r="AP607" s="275"/>
      <c r="AQ607" s="275">
        <v>10000000</v>
      </c>
      <c r="AR607" s="275"/>
      <c r="AS607" s="275"/>
      <c r="AT607" s="275"/>
      <c r="AU607" s="275"/>
      <c r="AV607" s="275"/>
      <c r="AW607" s="275">
        <v>10000000</v>
      </c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customHeight="1">
      <c r="A608" s="260">
        <v>586</v>
      </c>
      <c r="B608" s="261"/>
      <c r="C608" s="261"/>
      <c r="D608" s="262"/>
      <c r="E608" s="262"/>
      <c r="F608" s="263" t="s">
        <v>15</v>
      </c>
      <c r="G608" s="264" t="s">
        <v>2</v>
      </c>
      <c r="H608" s="281"/>
      <c r="I608" s="265"/>
      <c r="J608" s="266" t="s">
        <v>99</v>
      </c>
      <c r="K608" s="262"/>
      <c r="L608" s="262"/>
      <c r="M608" s="262">
        <v>18282</v>
      </c>
      <c r="N608" s="262"/>
      <c r="O608" s="262" t="s">
        <v>35</v>
      </c>
      <c r="P608" s="262"/>
      <c r="Q608" s="262"/>
      <c r="R608" s="262"/>
      <c r="S608" s="267" t="s">
        <v>823</v>
      </c>
      <c r="T608" s="268"/>
      <c r="U608" s="269"/>
      <c r="V608" s="269"/>
      <c r="W608" s="278">
        <v>0</v>
      </c>
      <c r="X608" s="270"/>
      <c r="Y608" s="262"/>
      <c r="Z608" s="271" t="s">
        <v>25</v>
      </c>
      <c r="AA608" s="287"/>
      <c r="AB608" s="287"/>
      <c r="AC608" s="272">
        <f t="shared" si="21"/>
        <v>10000000</v>
      </c>
      <c r="AD608" s="272">
        <v>10000000</v>
      </c>
      <c r="AE608" s="272">
        <f t="shared" si="22"/>
        <v>0</v>
      </c>
      <c r="AF608" s="273"/>
      <c r="AG608" s="274"/>
      <c r="AH608" s="273"/>
      <c r="AI608" s="273"/>
      <c r="AJ608" s="274"/>
      <c r="AK608" s="273"/>
      <c r="AL608" s="275"/>
      <c r="AM608" s="290"/>
      <c r="AN608" s="275"/>
      <c r="AO608" s="276"/>
      <c r="AP608" s="275"/>
      <c r="AQ608" s="275">
        <v>10000000</v>
      </c>
      <c r="AR608" s="275"/>
      <c r="AS608" s="275"/>
      <c r="AT608" s="275"/>
      <c r="AU608" s="275"/>
      <c r="AV608" s="275"/>
      <c r="AW608" s="275"/>
      <c r="AX608" s="275"/>
      <c r="AY608" s="275"/>
      <c r="AZ608" s="275"/>
      <c r="BA608" s="275"/>
      <c r="BB608" s="275"/>
      <c r="BC608" s="275"/>
      <c r="BD608" s="275"/>
      <c r="BE608" s="275"/>
      <c r="BF608" s="275"/>
      <c r="BH608" s="277"/>
    </row>
    <row r="609" spans="1:60" ht="16.5" customHeight="1">
      <c r="A609" s="260">
        <v>587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572</v>
      </c>
      <c r="K609" s="262"/>
      <c r="L609" s="262"/>
      <c r="M609" s="262">
        <v>60816</v>
      </c>
      <c r="N609" s="262" t="s">
        <v>22</v>
      </c>
      <c r="O609" s="262" t="s">
        <v>56</v>
      </c>
      <c r="P609" s="262"/>
      <c r="Q609" s="262"/>
      <c r="R609" s="262" t="s">
        <v>31</v>
      </c>
      <c r="S609" s="267" t="s">
        <v>31</v>
      </c>
      <c r="T609" s="268"/>
      <c r="U609" s="269"/>
      <c r="V609" s="269"/>
      <c r="W609" s="278">
        <v>1950000</v>
      </c>
      <c r="X609" s="270"/>
      <c r="Y609" s="262" t="s">
        <v>27</v>
      </c>
      <c r="Z609" s="271" t="s">
        <v>27</v>
      </c>
      <c r="AA609" s="287"/>
      <c r="AB609" s="287"/>
      <c r="AC609" s="272">
        <f t="shared" si="21"/>
        <v>395000</v>
      </c>
      <c r="AD609" s="272">
        <v>395000</v>
      </c>
      <c r="AE609" s="272">
        <f t="shared" si="22"/>
        <v>0</v>
      </c>
      <c r="AF609" s="273"/>
      <c r="AG609" s="274"/>
      <c r="AH609" s="273"/>
      <c r="AI609" s="273"/>
      <c r="AJ609" s="274">
        <v>395000</v>
      </c>
      <c r="AK609" s="273"/>
      <c r="AL609" s="275"/>
      <c r="AM609" s="290"/>
      <c r="AN609" s="275"/>
      <c r="AO609" s="276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/>
      <c r="BB609" s="275"/>
      <c r="BC609" s="275"/>
      <c r="BD609" s="275"/>
      <c r="BE609" s="275"/>
      <c r="BF609" s="275"/>
      <c r="BH609" s="277"/>
    </row>
    <row r="610" spans="1:60" ht="16.5" customHeight="1">
      <c r="A610" s="260">
        <v>588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572</v>
      </c>
      <c r="K610" s="262"/>
      <c r="L610" s="262"/>
      <c r="M610" s="262">
        <v>60816</v>
      </c>
      <c r="N610" s="262" t="s">
        <v>22</v>
      </c>
      <c r="O610" s="262" t="s">
        <v>56</v>
      </c>
      <c r="P610" s="262"/>
      <c r="Q610" s="262" t="s">
        <v>30</v>
      </c>
      <c r="R610" s="262" t="s">
        <v>31</v>
      </c>
      <c r="S610" s="267" t="s">
        <v>31</v>
      </c>
      <c r="T610" s="268"/>
      <c r="U610" s="269"/>
      <c r="V610" s="269">
        <v>1920000</v>
      </c>
      <c r="W610" s="278">
        <v>0</v>
      </c>
      <c r="X610" s="270"/>
      <c r="Y610" s="262" t="s">
        <v>24</v>
      </c>
      <c r="Z610" s="271" t="s">
        <v>562</v>
      </c>
      <c r="AA610" s="287"/>
      <c r="AB610" s="287"/>
      <c r="AC610" s="272">
        <f t="shared" si="21"/>
        <v>0</v>
      </c>
      <c r="AD610" s="272">
        <v>0</v>
      </c>
      <c r="AE610" s="272">
        <f t="shared" si="22"/>
        <v>0</v>
      </c>
      <c r="AF610" s="273"/>
      <c r="AG610" s="274"/>
      <c r="AH610" s="273"/>
      <c r="AI610" s="273"/>
      <c r="AJ610" s="274"/>
      <c r="AK610" s="273"/>
      <c r="AL610" s="275"/>
      <c r="AM610" s="290"/>
      <c r="AN610" s="275"/>
      <c r="AO610" s="276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/>
      <c r="BB610" s="275"/>
      <c r="BC610" s="275"/>
      <c r="BD610" s="275"/>
      <c r="BE610" s="275"/>
      <c r="BF610" s="275"/>
      <c r="BH610" s="277"/>
    </row>
    <row r="611" spans="1:60" ht="16.5" customHeight="1">
      <c r="A611" s="260">
        <v>589</v>
      </c>
      <c r="B611" s="261"/>
      <c r="C611" s="261"/>
      <c r="D611" s="262" t="s">
        <v>15</v>
      </c>
      <c r="E611" s="262" t="s">
        <v>2</v>
      </c>
      <c r="F611" s="263" t="s">
        <v>15</v>
      </c>
      <c r="G611" s="264" t="s">
        <v>2</v>
      </c>
      <c r="H611" s="281"/>
      <c r="I611" s="265"/>
      <c r="J611" s="266" t="s">
        <v>100</v>
      </c>
      <c r="K611" s="262"/>
      <c r="L611" s="262"/>
      <c r="M611" s="262">
        <v>42149</v>
      </c>
      <c r="N611" s="262" t="s">
        <v>17</v>
      </c>
      <c r="O611" s="262" t="s">
        <v>56</v>
      </c>
      <c r="P611" s="262"/>
      <c r="Q611" s="262" t="s">
        <v>63</v>
      </c>
      <c r="R611" s="262" t="s">
        <v>28</v>
      </c>
      <c r="S611" s="267" t="s">
        <v>28</v>
      </c>
      <c r="T611" s="268" t="s">
        <v>951</v>
      </c>
      <c r="U611" s="269">
        <v>24977500</v>
      </c>
      <c r="V611" s="269">
        <v>29283600</v>
      </c>
      <c r="W611" s="278">
        <v>28706800</v>
      </c>
      <c r="X611" s="270"/>
      <c r="Y611" s="262" t="s">
        <v>27</v>
      </c>
      <c r="Z611" s="271" t="s">
        <v>27</v>
      </c>
      <c r="AA611" s="287"/>
      <c r="AB611" s="287"/>
      <c r="AC611" s="272">
        <f t="shared" si="21"/>
        <v>23922000</v>
      </c>
      <c r="AD611" s="272">
        <v>23922000</v>
      </c>
      <c r="AE611" s="272">
        <f t="shared" si="22"/>
        <v>0</v>
      </c>
      <c r="AF611" s="273">
        <v>2000000</v>
      </c>
      <c r="AG611" s="274"/>
      <c r="AH611" s="273"/>
      <c r="AI611" s="273">
        <v>2000000</v>
      </c>
      <c r="AJ611" s="274">
        <v>3915000</v>
      </c>
      <c r="AK611" s="273"/>
      <c r="AL611" s="275">
        <v>2000000</v>
      </c>
      <c r="AM611" s="290">
        <v>1207000</v>
      </c>
      <c r="AN611" s="275"/>
      <c r="AO611" s="276">
        <v>2200000</v>
      </c>
      <c r="AP611" s="275"/>
      <c r="AQ611" s="275">
        <v>2200000</v>
      </c>
      <c r="AR611" s="275"/>
      <c r="AS611" s="275">
        <v>2200000</v>
      </c>
      <c r="AT611" s="275"/>
      <c r="AU611" s="275">
        <v>2200000</v>
      </c>
      <c r="AV611" s="275"/>
      <c r="AW611" s="275">
        <v>2000000</v>
      </c>
      <c r="AX611" s="275"/>
      <c r="AY611" s="275">
        <v>2000000</v>
      </c>
      <c r="AZ611" s="275"/>
      <c r="BA611" s="275">
        <v>2000000</v>
      </c>
      <c r="BB611" s="275"/>
      <c r="BC611" s="275">
        <v>2000000</v>
      </c>
      <c r="BD611" s="275"/>
      <c r="BE611" s="275">
        <v>2000000</v>
      </c>
      <c r="BF611" s="275"/>
      <c r="BH611" s="277"/>
    </row>
    <row r="612" spans="1:60" ht="16.5" customHeight="1">
      <c r="A612" s="260">
        <v>590</v>
      </c>
      <c r="B612" s="261"/>
      <c r="C612" s="261"/>
      <c r="D612" s="262" t="s">
        <v>15</v>
      </c>
      <c r="E612" s="262" t="s">
        <v>2</v>
      </c>
      <c r="F612" s="263" t="s">
        <v>15</v>
      </c>
      <c r="G612" s="264" t="s">
        <v>2</v>
      </c>
      <c r="H612" s="281"/>
      <c r="I612" s="265"/>
      <c r="J612" s="266" t="s">
        <v>100</v>
      </c>
      <c r="K612" s="262"/>
      <c r="L612" s="262"/>
      <c r="M612" s="262">
        <v>42149</v>
      </c>
      <c r="N612" s="262" t="s">
        <v>17</v>
      </c>
      <c r="O612" s="262" t="s">
        <v>56</v>
      </c>
      <c r="P612" s="262"/>
      <c r="Q612" s="262" t="s">
        <v>30</v>
      </c>
      <c r="R612" s="262" t="s">
        <v>31</v>
      </c>
      <c r="S612" s="267" t="s">
        <v>31</v>
      </c>
      <c r="T612" s="268"/>
      <c r="U612" s="269">
        <v>7245000</v>
      </c>
      <c r="V612" s="269">
        <v>0</v>
      </c>
      <c r="W612" s="278">
        <v>5028000</v>
      </c>
      <c r="X612" s="270"/>
      <c r="Y612" s="262" t="s">
        <v>27</v>
      </c>
      <c r="Z612" s="271" t="s">
        <v>27</v>
      </c>
      <c r="AA612" s="287"/>
      <c r="AB612" s="287"/>
      <c r="AC612" s="272">
        <f t="shared" si="21"/>
        <v>7000000</v>
      </c>
      <c r="AD612" s="272">
        <v>7000000</v>
      </c>
      <c r="AE612" s="272">
        <f t="shared" si="22"/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>
        <v>7000000</v>
      </c>
      <c r="BB612" s="275"/>
      <c r="BC612" s="275"/>
      <c r="BD612" s="275"/>
      <c r="BE612" s="275"/>
      <c r="BF612" s="275"/>
      <c r="BH612" s="277"/>
    </row>
    <row r="613" spans="1:60" ht="16.5" customHeight="1">
      <c r="A613" s="260">
        <v>591</v>
      </c>
      <c r="B613" s="261"/>
      <c r="C613" s="261"/>
      <c r="D613" s="262" t="s">
        <v>15</v>
      </c>
      <c r="E613" s="262" t="s">
        <v>2</v>
      </c>
      <c r="F613" s="263" t="s">
        <v>15</v>
      </c>
      <c r="G613" s="264" t="s">
        <v>2</v>
      </c>
      <c r="H613" s="281"/>
      <c r="I613" s="265"/>
      <c r="J613" s="266" t="s">
        <v>101</v>
      </c>
      <c r="K613" s="262"/>
      <c r="L613" s="262"/>
      <c r="M613" s="262">
        <v>60464</v>
      </c>
      <c r="N613" s="262" t="s">
        <v>22</v>
      </c>
      <c r="O613" s="262" t="s">
        <v>56</v>
      </c>
      <c r="P613" s="262"/>
      <c r="Q613" s="262" t="s">
        <v>62</v>
      </c>
      <c r="R613" s="262" t="s">
        <v>678</v>
      </c>
      <c r="S613" s="267" t="s">
        <v>832</v>
      </c>
      <c r="T613" s="268"/>
      <c r="U613" s="269"/>
      <c r="V613" s="269">
        <v>3640000</v>
      </c>
      <c r="W613" s="278">
        <v>0</v>
      </c>
      <c r="X613" s="270"/>
      <c r="Y613" s="262" t="s">
        <v>20</v>
      </c>
      <c r="Z613" s="271" t="s">
        <v>20</v>
      </c>
      <c r="AA613" s="287"/>
      <c r="AB613" s="287"/>
      <c r="AC613" s="272">
        <f t="shared" si="21"/>
        <v>0</v>
      </c>
      <c r="AD613" s="272">
        <v>0</v>
      </c>
      <c r="AE613" s="272">
        <f t="shared" si="22"/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/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/>
      <c r="BF613" s="275"/>
      <c r="BH613" s="277"/>
    </row>
    <row r="614" spans="1:60" ht="16.5" customHeight="1">
      <c r="A614" s="260">
        <v>592</v>
      </c>
      <c r="B614" s="261"/>
      <c r="C614" s="261"/>
      <c r="D614" s="262" t="s">
        <v>331</v>
      </c>
      <c r="E614" s="262" t="s">
        <v>1</v>
      </c>
      <c r="F614" s="263" t="s">
        <v>15</v>
      </c>
      <c r="G614" s="264" t="s">
        <v>2</v>
      </c>
      <c r="H614" s="281"/>
      <c r="I614" s="265"/>
      <c r="J614" s="266" t="s">
        <v>796</v>
      </c>
      <c r="K614" s="262"/>
      <c r="L614" s="262"/>
      <c r="M614" s="262">
        <v>3722</v>
      </c>
      <c r="N614" s="262" t="s">
        <v>22</v>
      </c>
      <c r="O614" s="262" t="s">
        <v>35</v>
      </c>
      <c r="P614" s="262"/>
      <c r="Q614" s="262" t="s">
        <v>26</v>
      </c>
      <c r="R614" s="262" t="s">
        <v>468</v>
      </c>
      <c r="S614" s="267" t="s">
        <v>468</v>
      </c>
      <c r="T614" s="268"/>
      <c r="U614" s="269"/>
      <c r="V614" s="269">
        <v>0</v>
      </c>
      <c r="W614" s="278">
        <v>0</v>
      </c>
      <c r="X614" s="270"/>
      <c r="Y614" s="262" t="s">
        <v>24</v>
      </c>
      <c r="Z614" s="271" t="s">
        <v>24</v>
      </c>
      <c r="AA614" s="287"/>
      <c r="AB614" s="287"/>
      <c r="AC614" s="272">
        <f t="shared" si="21"/>
        <v>10000000</v>
      </c>
      <c r="AD614" s="272">
        <v>10000000</v>
      </c>
      <c r="AE614" s="272">
        <f t="shared" si="22"/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75"/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/>
      <c r="BB614" s="275"/>
      <c r="BC614" s="275"/>
      <c r="BD614" s="275"/>
      <c r="BE614" s="275">
        <v>10000000</v>
      </c>
      <c r="BF614" s="275"/>
      <c r="BH614" s="277"/>
    </row>
    <row r="615" spans="1:60" ht="16.5" customHeight="1">
      <c r="A615" s="260">
        <v>593</v>
      </c>
      <c r="B615" s="261"/>
      <c r="C615" s="261"/>
      <c r="D615" s="262" t="s">
        <v>331</v>
      </c>
      <c r="E615" s="262" t="s">
        <v>1</v>
      </c>
      <c r="F615" s="263" t="s">
        <v>15</v>
      </c>
      <c r="G615" s="264" t="s">
        <v>2</v>
      </c>
      <c r="H615" s="281"/>
      <c r="I615" s="265"/>
      <c r="J615" s="266" t="s">
        <v>796</v>
      </c>
      <c r="K615" s="262"/>
      <c r="L615" s="262"/>
      <c r="M615" s="262">
        <v>3722</v>
      </c>
      <c r="N615" s="262" t="s">
        <v>22</v>
      </c>
      <c r="O615" s="262" t="s">
        <v>35</v>
      </c>
      <c r="P615" s="262"/>
      <c r="Q615" s="262"/>
      <c r="R615" s="262" t="s">
        <v>397</v>
      </c>
      <c r="S615" s="267" t="s">
        <v>823</v>
      </c>
      <c r="T615" s="268"/>
      <c r="U615" s="269">
        <v>0</v>
      </c>
      <c r="V615" s="269">
        <v>0</v>
      </c>
      <c r="W615" s="278">
        <v>0</v>
      </c>
      <c r="X615" s="270"/>
      <c r="Y615" s="262" t="s">
        <v>25</v>
      </c>
      <c r="Z615" s="271" t="s">
        <v>25</v>
      </c>
      <c r="AA615" s="287"/>
      <c r="AB615" s="287"/>
      <c r="AC615" s="272">
        <f t="shared" si="21"/>
        <v>10000000</v>
      </c>
      <c r="AD615" s="272">
        <v>10000000</v>
      </c>
      <c r="AE615" s="272">
        <f t="shared" si="22"/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75"/>
      <c r="AR615" s="275"/>
      <c r="AS615" s="275"/>
      <c r="AT615" s="275"/>
      <c r="AU615" s="275"/>
      <c r="AV615" s="275"/>
      <c r="AW615" s="275"/>
      <c r="AX615" s="275"/>
      <c r="AY615" s="275"/>
      <c r="AZ615" s="275"/>
      <c r="BA615" s="275"/>
      <c r="BB615" s="275"/>
      <c r="BC615" s="275"/>
      <c r="BD615" s="275"/>
      <c r="BE615" s="275">
        <v>10000000</v>
      </c>
      <c r="BF615" s="275"/>
      <c r="BH615" s="277"/>
    </row>
    <row r="616" spans="1:60" ht="16.5" customHeight="1">
      <c r="A616" s="260">
        <v>594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71</v>
      </c>
      <c r="K616" s="262"/>
      <c r="L616" s="262"/>
      <c r="M616" s="262">
        <v>44028</v>
      </c>
      <c r="N616" s="262" t="s">
        <v>22</v>
      </c>
      <c r="O616" s="262" t="s">
        <v>35</v>
      </c>
      <c r="P616" s="262"/>
      <c r="Q616" s="262" t="s">
        <v>18</v>
      </c>
      <c r="R616" s="262" t="s">
        <v>19</v>
      </c>
      <c r="S616" s="267" t="s">
        <v>19</v>
      </c>
      <c r="T616" s="268"/>
      <c r="U616" s="269">
        <v>340000</v>
      </c>
      <c r="V616" s="269">
        <v>0</v>
      </c>
      <c r="W616" s="278">
        <v>0</v>
      </c>
      <c r="X616" s="270"/>
      <c r="Y616" s="262" t="s">
        <v>21</v>
      </c>
      <c r="Z616" s="271" t="s">
        <v>25</v>
      </c>
      <c r="AA616" s="287"/>
      <c r="AB616" s="287"/>
      <c r="AC616" s="272">
        <f t="shared" si="21"/>
        <v>20000000</v>
      </c>
      <c r="AD616" s="272">
        <v>20000000</v>
      </c>
      <c r="AE616" s="272">
        <f t="shared" si="22"/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75"/>
      <c r="AR616" s="275"/>
      <c r="AS616" s="275">
        <v>20000000</v>
      </c>
      <c r="AT616" s="275"/>
      <c r="AU616" s="275"/>
      <c r="AV616" s="275"/>
      <c r="AW616" s="275"/>
      <c r="AX616" s="275"/>
      <c r="AY616" s="275"/>
      <c r="AZ616" s="275"/>
      <c r="BA616" s="275"/>
      <c r="BB616" s="275"/>
      <c r="BC616" s="275"/>
      <c r="BD616" s="275"/>
      <c r="BE616" s="275"/>
      <c r="BF616" s="275"/>
      <c r="BH616" s="277"/>
    </row>
    <row r="617" spans="1:60" ht="16.5" customHeight="1">
      <c r="A617" s="260">
        <v>595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71</v>
      </c>
      <c r="K617" s="262"/>
      <c r="L617" s="262"/>
      <c r="M617" s="262">
        <v>8464</v>
      </c>
      <c r="N617" s="262" t="s">
        <v>22</v>
      </c>
      <c r="O617" s="262" t="s">
        <v>178</v>
      </c>
      <c r="P617" s="262"/>
      <c r="Q617" s="262" t="s">
        <v>26</v>
      </c>
      <c r="R617" s="262" t="s">
        <v>468</v>
      </c>
      <c r="S617" s="267" t="s">
        <v>468</v>
      </c>
      <c r="T617" s="268"/>
      <c r="U617" s="269"/>
      <c r="V617" s="269">
        <v>20000000</v>
      </c>
      <c r="W617" s="278">
        <v>0</v>
      </c>
      <c r="X617" s="270"/>
      <c r="Y617" s="262" t="s">
        <v>562</v>
      </c>
      <c r="Z617" s="271" t="s">
        <v>24</v>
      </c>
      <c r="AA617" s="287"/>
      <c r="AB617" s="287"/>
      <c r="AC617" s="272">
        <f t="shared" si="21"/>
        <v>50000000</v>
      </c>
      <c r="AD617" s="272">
        <v>50000000</v>
      </c>
      <c r="AE617" s="272">
        <f t="shared" si="22"/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>
        <v>25000000</v>
      </c>
      <c r="AR617" s="275"/>
      <c r="AS617" s="275"/>
      <c r="AT617" s="275"/>
      <c r="AU617" s="275"/>
      <c r="AV617" s="275"/>
      <c r="AW617" s="275"/>
      <c r="AX617" s="275"/>
      <c r="AY617" s="275"/>
      <c r="AZ617" s="275"/>
      <c r="BA617" s="275">
        <v>25000000</v>
      </c>
      <c r="BB617" s="275"/>
      <c r="BC617" s="275"/>
      <c r="BD617" s="275"/>
      <c r="BE617" s="275"/>
      <c r="BF617" s="275"/>
      <c r="BH617" s="277"/>
    </row>
    <row r="618" spans="1:60" ht="16.5" customHeight="1">
      <c r="A618" s="260">
        <v>596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590</v>
      </c>
      <c r="K618" s="262"/>
      <c r="L618" s="262"/>
      <c r="M618" s="262">
        <v>52089</v>
      </c>
      <c r="N618" s="262" t="s">
        <v>17</v>
      </c>
      <c r="O618" s="262" t="s">
        <v>56</v>
      </c>
      <c r="P618" s="262" t="s">
        <v>57</v>
      </c>
      <c r="Q618" s="262" t="s">
        <v>30</v>
      </c>
      <c r="R618" s="262" t="s">
        <v>31</v>
      </c>
      <c r="S618" s="267" t="s">
        <v>31</v>
      </c>
      <c r="T618" s="268"/>
      <c r="U618" s="269">
        <v>3250000</v>
      </c>
      <c r="V618" s="269">
        <v>4210000</v>
      </c>
      <c r="W618" s="278">
        <v>5690000</v>
      </c>
      <c r="X618" s="270"/>
      <c r="Y618" s="262" t="s">
        <v>24</v>
      </c>
      <c r="Z618" s="271" t="s">
        <v>27</v>
      </c>
      <c r="AA618" s="287"/>
      <c r="AB618" s="287"/>
      <c r="AC618" s="272">
        <f t="shared" si="21"/>
        <v>5000000</v>
      </c>
      <c r="AD618" s="272">
        <v>5000000</v>
      </c>
      <c r="AE618" s="272">
        <f t="shared" si="22"/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>
        <v>2000000</v>
      </c>
      <c r="AT618" s="275"/>
      <c r="AU618" s="275"/>
      <c r="AV618" s="275"/>
      <c r="AW618" s="275"/>
      <c r="AX618" s="275"/>
      <c r="AY618" s="275"/>
      <c r="AZ618" s="275"/>
      <c r="BA618" s="275">
        <v>3000000</v>
      </c>
      <c r="BB618" s="275"/>
      <c r="BC618" s="275"/>
      <c r="BD618" s="275"/>
      <c r="BE618" s="275"/>
      <c r="BF618" s="275"/>
      <c r="BH618" s="277"/>
    </row>
    <row r="619" spans="1:60" ht="16.5" customHeight="1">
      <c r="A619" s="260">
        <v>597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592</v>
      </c>
      <c r="K619" s="262"/>
      <c r="L619" s="262"/>
      <c r="M619" s="262">
        <v>58632</v>
      </c>
      <c r="N619" s="262" t="s">
        <v>17</v>
      </c>
      <c r="O619" s="262" t="s">
        <v>178</v>
      </c>
      <c r="P619" s="262" t="s">
        <v>57</v>
      </c>
      <c r="Q619" s="262" t="s">
        <v>26</v>
      </c>
      <c r="R619" s="262" t="s">
        <v>468</v>
      </c>
      <c r="S619" s="267" t="s">
        <v>468</v>
      </c>
      <c r="T619" s="268"/>
      <c r="U619" s="269">
        <v>197000000</v>
      </c>
      <c r="V619" s="269">
        <v>233636364</v>
      </c>
      <c r="W619" s="278">
        <v>0</v>
      </c>
      <c r="X619" s="270"/>
      <c r="Y619" s="262" t="s">
        <v>24</v>
      </c>
      <c r="Z619" s="271" t="s">
        <v>24</v>
      </c>
      <c r="AA619" s="287"/>
      <c r="AB619" s="287"/>
      <c r="AC619" s="272">
        <f t="shared" si="21"/>
        <v>210000000</v>
      </c>
      <c r="AD619" s="272">
        <v>210000000</v>
      </c>
      <c r="AE619" s="272">
        <f t="shared" si="22"/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>
        <v>70000000</v>
      </c>
      <c r="AV619" s="275"/>
      <c r="AW619" s="275"/>
      <c r="AX619" s="275"/>
      <c r="AY619" s="275"/>
      <c r="AZ619" s="275"/>
      <c r="BA619" s="275">
        <v>140000000</v>
      </c>
      <c r="BB619" s="275"/>
      <c r="BC619" s="275"/>
      <c r="BD619" s="275"/>
      <c r="BE619" s="275"/>
      <c r="BF619" s="275"/>
      <c r="BH619" s="277"/>
    </row>
    <row r="620" spans="1:60" ht="16.5" customHeight="1">
      <c r="A620" s="260">
        <v>598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102</v>
      </c>
      <c r="K620" s="262"/>
      <c r="L620" s="262"/>
      <c r="M620" s="262">
        <v>60486</v>
      </c>
      <c r="N620" s="262" t="s">
        <v>22</v>
      </c>
      <c r="O620" s="262" t="s">
        <v>178</v>
      </c>
      <c r="P620" s="262"/>
      <c r="Q620" s="262" t="s">
        <v>62</v>
      </c>
      <c r="R620" s="262" t="s">
        <v>678</v>
      </c>
      <c r="S620" s="267" t="s">
        <v>832</v>
      </c>
      <c r="T620" s="268"/>
      <c r="U620" s="269"/>
      <c r="V620" s="269">
        <v>3220000</v>
      </c>
      <c r="W620" s="278">
        <v>0</v>
      </c>
      <c r="X620" s="270"/>
      <c r="Y620" s="262" t="s">
        <v>20</v>
      </c>
      <c r="Z620" s="271" t="s">
        <v>20</v>
      </c>
      <c r="AA620" s="287"/>
      <c r="AB620" s="287"/>
      <c r="AC620" s="272">
        <f t="shared" si="21"/>
        <v>0</v>
      </c>
      <c r="AD620" s="272">
        <v>0</v>
      </c>
      <c r="AE620" s="272">
        <f t="shared" si="22"/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/>
      <c r="AR620" s="275"/>
      <c r="AS620" s="275"/>
      <c r="AT620" s="275"/>
      <c r="AU620" s="275"/>
      <c r="AV620" s="275"/>
      <c r="AW620" s="275"/>
      <c r="AX620" s="275"/>
      <c r="AY620" s="275"/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customHeight="1">
      <c r="A621" s="260">
        <v>599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103</v>
      </c>
      <c r="K621" s="262"/>
      <c r="L621" s="262"/>
      <c r="M621" s="262">
        <v>54521</v>
      </c>
      <c r="N621" s="262" t="s">
        <v>17</v>
      </c>
      <c r="O621" s="262" t="s">
        <v>56</v>
      </c>
      <c r="P621" s="262"/>
      <c r="Q621" s="262" t="s">
        <v>62</v>
      </c>
      <c r="R621" s="262" t="s">
        <v>678</v>
      </c>
      <c r="S621" s="267" t="s">
        <v>832</v>
      </c>
      <c r="T621" s="268"/>
      <c r="U621" s="269">
        <v>560000</v>
      </c>
      <c r="V621" s="269">
        <v>0</v>
      </c>
      <c r="W621" s="278">
        <v>0</v>
      </c>
      <c r="X621" s="270"/>
      <c r="Y621" s="262" t="s">
        <v>21</v>
      </c>
      <c r="Z621" s="271" t="s">
        <v>21</v>
      </c>
      <c r="AA621" s="287"/>
      <c r="AB621" s="287"/>
      <c r="AC621" s="272">
        <f t="shared" si="21"/>
        <v>0</v>
      </c>
      <c r="AD621" s="272">
        <v>0</v>
      </c>
      <c r="AE621" s="272">
        <f t="shared" si="22"/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/>
      <c r="AR621" s="275"/>
      <c r="AS621" s="275"/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customHeight="1">
      <c r="A622" s="260">
        <v>600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104</v>
      </c>
      <c r="K622" s="262"/>
      <c r="L622" s="262"/>
      <c r="M622" s="262">
        <v>60472</v>
      </c>
      <c r="N622" s="262" t="s">
        <v>22</v>
      </c>
      <c r="O622" s="262" t="s">
        <v>56</v>
      </c>
      <c r="P622" s="262"/>
      <c r="Q622" s="262" t="s">
        <v>62</v>
      </c>
      <c r="R622" s="262" t="s">
        <v>678</v>
      </c>
      <c r="S622" s="267" t="s">
        <v>832</v>
      </c>
      <c r="T622" s="268"/>
      <c r="U622" s="269"/>
      <c r="V622" s="269">
        <v>980000</v>
      </c>
      <c r="W622" s="278">
        <v>0</v>
      </c>
      <c r="X622" s="270"/>
      <c r="Y622" s="262" t="s">
        <v>20</v>
      </c>
      <c r="Z622" s="271" t="s">
        <v>20</v>
      </c>
      <c r="AA622" s="287"/>
      <c r="AB622" s="287"/>
      <c r="AC622" s="272">
        <f t="shared" si="21"/>
        <v>0</v>
      </c>
      <c r="AD622" s="272">
        <v>0</v>
      </c>
      <c r="AE622" s="272">
        <f t="shared" si="22"/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/>
      <c r="AR622" s="275"/>
      <c r="AS622" s="275"/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customHeight="1">
      <c r="A623" s="260">
        <v>601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648</v>
      </c>
      <c r="K623" s="262"/>
      <c r="L623" s="262"/>
      <c r="M623" s="262">
        <v>17455</v>
      </c>
      <c r="N623" s="262" t="s">
        <v>22</v>
      </c>
      <c r="O623" s="262" t="s">
        <v>56</v>
      </c>
      <c r="P623" s="262"/>
      <c r="Q623" s="262"/>
      <c r="R623" s="262" t="s">
        <v>633</v>
      </c>
      <c r="S623" s="267" t="s">
        <v>833</v>
      </c>
      <c r="T623" s="268"/>
      <c r="U623" s="269"/>
      <c r="V623" s="269">
        <v>0</v>
      </c>
      <c r="W623" s="278">
        <v>8316000</v>
      </c>
      <c r="X623" s="270"/>
      <c r="Y623" s="262" t="s">
        <v>27</v>
      </c>
      <c r="Z623" s="271" t="s">
        <v>27</v>
      </c>
      <c r="AA623" s="287"/>
      <c r="AB623" s="287"/>
      <c r="AC623" s="272">
        <f t="shared" si="21"/>
        <v>12000000</v>
      </c>
      <c r="AD623" s="272">
        <v>12000000</v>
      </c>
      <c r="AE623" s="272">
        <f t="shared" si="22"/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>
        <v>2400000</v>
      </c>
      <c r="AR623" s="275"/>
      <c r="AS623" s="275"/>
      <c r="AT623" s="275"/>
      <c r="AU623" s="275"/>
      <c r="AV623" s="275"/>
      <c r="AW623" s="275"/>
      <c r="AX623" s="275"/>
      <c r="AY623" s="275">
        <v>9600000</v>
      </c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customHeight="1">
      <c r="A624" s="260">
        <v>602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648</v>
      </c>
      <c r="K624" s="262"/>
      <c r="L624" s="262"/>
      <c r="M624" s="262">
        <v>17455</v>
      </c>
      <c r="N624" s="262" t="s">
        <v>22</v>
      </c>
      <c r="O624" s="262" t="s">
        <v>56</v>
      </c>
      <c r="P624" s="262"/>
      <c r="Q624" s="262"/>
      <c r="R624" s="262" t="s">
        <v>468</v>
      </c>
      <c r="S624" s="267" t="s">
        <v>468</v>
      </c>
      <c r="T624" s="268"/>
      <c r="U624" s="269"/>
      <c r="V624" s="269"/>
      <c r="W624" s="278">
        <v>3600000</v>
      </c>
      <c r="X624" s="270"/>
      <c r="Y624" s="262" t="s">
        <v>27</v>
      </c>
      <c r="Z624" s="271" t="s">
        <v>25</v>
      </c>
      <c r="AA624" s="287"/>
      <c r="AB624" s="287"/>
      <c r="AC624" s="272">
        <f t="shared" si="21"/>
        <v>10000000</v>
      </c>
      <c r="AD624" s="272">
        <v>10000000</v>
      </c>
      <c r="AE624" s="272">
        <f t="shared" si="22"/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/>
      <c r="AR624" s="275"/>
      <c r="AS624" s="275">
        <v>10000000</v>
      </c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customHeight="1">
      <c r="A625" s="260">
        <v>603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648</v>
      </c>
      <c r="K625" s="262"/>
      <c r="L625" s="262"/>
      <c r="M625" s="262">
        <v>17455</v>
      </c>
      <c r="N625" s="262" t="s">
        <v>22</v>
      </c>
      <c r="O625" s="262" t="s">
        <v>35</v>
      </c>
      <c r="P625" s="262"/>
      <c r="Q625" s="262"/>
      <c r="R625" s="262"/>
      <c r="S625" s="267" t="s">
        <v>835</v>
      </c>
      <c r="T625" s="268"/>
      <c r="U625" s="269"/>
      <c r="V625" s="269"/>
      <c r="W625" s="278">
        <v>0</v>
      </c>
      <c r="X625" s="270"/>
      <c r="Y625" s="262"/>
      <c r="Z625" s="271" t="s">
        <v>25</v>
      </c>
      <c r="AA625" s="287"/>
      <c r="AB625" s="287"/>
      <c r="AC625" s="272">
        <f t="shared" si="21"/>
        <v>10000000</v>
      </c>
      <c r="AD625" s="272">
        <v>10000000</v>
      </c>
      <c r="AE625" s="272">
        <f t="shared" si="22"/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>
        <v>10000000</v>
      </c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customHeight="1">
      <c r="A626" s="260">
        <v>604</v>
      </c>
      <c r="B626" s="261"/>
      <c r="C626" s="261"/>
      <c r="D626" s="262" t="s">
        <v>15</v>
      </c>
      <c r="E626" s="262" t="s">
        <v>2</v>
      </c>
      <c r="F626" s="263" t="s">
        <v>15</v>
      </c>
      <c r="G626" s="264" t="s">
        <v>2</v>
      </c>
      <c r="H626" s="281"/>
      <c r="I626" s="265"/>
      <c r="J626" s="266" t="s">
        <v>105</v>
      </c>
      <c r="K626" s="262"/>
      <c r="L626" s="262"/>
      <c r="M626" s="262">
        <v>54522</v>
      </c>
      <c r="N626" s="262" t="s">
        <v>17</v>
      </c>
      <c r="O626" s="262" t="s">
        <v>56</v>
      </c>
      <c r="P626" s="262"/>
      <c r="Q626" s="262" t="s">
        <v>62</v>
      </c>
      <c r="R626" s="262" t="s">
        <v>678</v>
      </c>
      <c r="S626" s="267" t="s">
        <v>832</v>
      </c>
      <c r="T626" s="268"/>
      <c r="U626" s="269">
        <v>11060000</v>
      </c>
      <c r="V626" s="269">
        <v>0</v>
      </c>
      <c r="W626" s="278">
        <v>0</v>
      </c>
      <c r="X626" s="270"/>
      <c r="Y626" s="262" t="s">
        <v>21</v>
      </c>
      <c r="Z626" s="271" t="s">
        <v>21</v>
      </c>
      <c r="AA626" s="287"/>
      <c r="AB626" s="287"/>
      <c r="AC626" s="272">
        <f t="shared" si="21"/>
        <v>0</v>
      </c>
      <c r="AD626" s="272">
        <v>0</v>
      </c>
      <c r="AE626" s="272">
        <f t="shared" si="22"/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/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customHeight="1">
      <c r="A627" s="260">
        <v>605</v>
      </c>
      <c r="B627" s="261"/>
      <c r="C627" s="261"/>
      <c r="D627" s="262" t="s">
        <v>15</v>
      </c>
      <c r="E627" s="262" t="s">
        <v>2</v>
      </c>
      <c r="F627" s="263" t="s">
        <v>15</v>
      </c>
      <c r="G627" s="264" t="s">
        <v>2</v>
      </c>
      <c r="H627" s="281"/>
      <c r="I627" s="265"/>
      <c r="J627" s="266" t="s">
        <v>106</v>
      </c>
      <c r="K627" s="262"/>
      <c r="L627" s="262"/>
      <c r="M627" s="262">
        <v>60474</v>
      </c>
      <c r="N627" s="262" t="s">
        <v>22</v>
      </c>
      <c r="O627" s="262" t="s">
        <v>56</v>
      </c>
      <c r="P627" s="262"/>
      <c r="Q627" s="262" t="s">
        <v>62</v>
      </c>
      <c r="R627" s="262" t="s">
        <v>678</v>
      </c>
      <c r="S627" s="267" t="s">
        <v>832</v>
      </c>
      <c r="T627" s="268"/>
      <c r="U627" s="269"/>
      <c r="V627" s="269">
        <v>8680000</v>
      </c>
      <c r="W627" s="278">
        <v>0</v>
      </c>
      <c r="X627" s="270"/>
      <c r="Y627" s="262" t="s">
        <v>20</v>
      </c>
      <c r="Z627" s="271" t="s">
        <v>20</v>
      </c>
      <c r="AA627" s="287"/>
      <c r="AB627" s="287"/>
      <c r="AC627" s="272">
        <f t="shared" si="21"/>
        <v>0</v>
      </c>
      <c r="AD627" s="272">
        <v>0</v>
      </c>
      <c r="AE627" s="272">
        <f t="shared" si="22"/>
        <v>0</v>
      </c>
      <c r="AF627" s="273"/>
      <c r="AG627" s="274"/>
      <c r="AH627" s="273"/>
      <c r="AI627" s="273"/>
      <c r="AJ627" s="274"/>
      <c r="AK627" s="273"/>
      <c r="AL627" s="275"/>
      <c r="AM627" s="290"/>
      <c r="AN627" s="275"/>
      <c r="AO627" s="276"/>
      <c r="AP627" s="275"/>
      <c r="AQ627" s="275"/>
      <c r="AR627" s="275"/>
      <c r="AS627" s="275"/>
      <c r="AT627" s="275"/>
      <c r="AU627" s="275"/>
      <c r="AV627" s="275"/>
      <c r="AW627" s="275"/>
      <c r="AX627" s="275"/>
      <c r="AY627" s="275"/>
      <c r="AZ627" s="275"/>
      <c r="BA627" s="275"/>
      <c r="BB627" s="275"/>
      <c r="BC627" s="275"/>
      <c r="BD627" s="275"/>
      <c r="BE627" s="275"/>
      <c r="BF627" s="275"/>
      <c r="BH627" s="277"/>
    </row>
    <row r="628" spans="1:60" ht="16.5" customHeight="1">
      <c r="A628" s="260">
        <v>606</v>
      </c>
      <c r="B628" s="261"/>
      <c r="C628" s="261"/>
      <c r="D628" s="262" t="s">
        <v>15</v>
      </c>
      <c r="E628" s="262" t="s">
        <v>2</v>
      </c>
      <c r="F628" s="263" t="s">
        <v>15</v>
      </c>
      <c r="G628" s="264" t="s">
        <v>2</v>
      </c>
      <c r="H628" s="281"/>
      <c r="I628" s="265"/>
      <c r="J628" s="266" t="s">
        <v>107</v>
      </c>
      <c r="K628" s="262"/>
      <c r="L628" s="262"/>
      <c r="M628" s="262">
        <v>54477</v>
      </c>
      <c r="N628" s="262" t="s">
        <v>17</v>
      </c>
      <c r="O628" s="262" t="s">
        <v>56</v>
      </c>
      <c r="P628" s="262"/>
      <c r="Q628" s="262" t="s">
        <v>62</v>
      </c>
      <c r="R628" s="262" t="s">
        <v>678</v>
      </c>
      <c r="S628" s="267" t="s">
        <v>832</v>
      </c>
      <c r="T628" s="268"/>
      <c r="U628" s="269">
        <v>280000</v>
      </c>
      <c r="V628" s="269">
        <v>0</v>
      </c>
      <c r="W628" s="278">
        <v>0</v>
      </c>
      <c r="X628" s="270"/>
      <c r="Y628" s="262" t="s">
        <v>21</v>
      </c>
      <c r="Z628" s="271" t="s">
        <v>21</v>
      </c>
      <c r="AA628" s="287"/>
      <c r="AB628" s="287"/>
      <c r="AC628" s="272">
        <f t="shared" si="21"/>
        <v>0</v>
      </c>
      <c r="AD628" s="272">
        <v>0</v>
      </c>
      <c r="AE628" s="272">
        <f t="shared" si="22"/>
        <v>0</v>
      </c>
      <c r="AF628" s="273"/>
      <c r="AG628" s="274"/>
      <c r="AH628" s="273"/>
      <c r="AI628" s="273"/>
      <c r="AJ628" s="274"/>
      <c r="AK628" s="273"/>
      <c r="AL628" s="275"/>
      <c r="AM628" s="290"/>
      <c r="AN628" s="275"/>
      <c r="AO628" s="276"/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H628" s="277"/>
    </row>
    <row r="629" spans="1:60" ht="16.5" customHeight="1">
      <c r="A629" s="260">
        <v>607</v>
      </c>
      <c r="B629" s="261"/>
      <c r="C629" s="261"/>
      <c r="D629" s="262"/>
      <c r="E629" s="262"/>
      <c r="F629" s="263" t="s">
        <v>15</v>
      </c>
      <c r="G629" s="264" t="s">
        <v>2</v>
      </c>
      <c r="H629" s="281"/>
      <c r="I629" s="265"/>
      <c r="J629" s="266" t="s">
        <v>965</v>
      </c>
      <c r="K629" s="262"/>
      <c r="L629" s="262"/>
      <c r="M629" s="262">
        <v>66764</v>
      </c>
      <c r="N629" s="262"/>
      <c r="O629" s="262"/>
      <c r="P629" s="262"/>
      <c r="Q629" s="262"/>
      <c r="R629" s="262"/>
      <c r="S629" s="267" t="s">
        <v>469</v>
      </c>
      <c r="T629" s="268"/>
      <c r="U629" s="269"/>
      <c r="V629" s="269"/>
      <c r="W629" s="278">
        <v>0</v>
      </c>
      <c r="X629" s="270"/>
      <c r="Y629" s="262"/>
      <c r="Z629" s="271" t="s">
        <v>27</v>
      </c>
      <c r="AA629" s="287"/>
      <c r="AB629" s="287"/>
      <c r="AC629" s="272">
        <f t="shared" si="21"/>
        <v>5000000</v>
      </c>
      <c r="AD629" s="272">
        <v>5000000</v>
      </c>
      <c r="AE629" s="272">
        <f t="shared" si="22"/>
        <v>0</v>
      </c>
      <c r="AF629" s="273"/>
      <c r="AG629" s="274"/>
      <c r="AH629" s="273"/>
      <c r="AI629" s="273"/>
      <c r="AJ629" s="274"/>
      <c r="AK629" s="273"/>
      <c r="AL629" s="275"/>
      <c r="AM629" s="290"/>
      <c r="AN629" s="275"/>
      <c r="AO629" s="276">
        <v>5000000</v>
      </c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H629" s="277"/>
    </row>
    <row r="630" spans="1:60" ht="16.5" customHeight="1">
      <c r="A630" s="260">
        <v>608</v>
      </c>
      <c r="B630" s="261"/>
      <c r="C630" s="261"/>
      <c r="D630" s="262" t="s">
        <v>15</v>
      </c>
      <c r="E630" s="262" t="s">
        <v>2</v>
      </c>
      <c r="F630" s="263" t="s">
        <v>15</v>
      </c>
      <c r="G630" s="264" t="s">
        <v>2</v>
      </c>
      <c r="H630" s="281"/>
      <c r="I630" s="265"/>
      <c r="J630" s="266" t="s">
        <v>605</v>
      </c>
      <c r="K630" s="262"/>
      <c r="L630" s="262"/>
      <c r="M630" s="262">
        <v>53734</v>
      </c>
      <c r="N630" s="262" t="s">
        <v>22</v>
      </c>
      <c r="O630" s="262" t="s">
        <v>56</v>
      </c>
      <c r="P630" s="262"/>
      <c r="Q630" s="262"/>
      <c r="R630" s="262" t="s">
        <v>19</v>
      </c>
      <c r="S630" s="267" t="s">
        <v>19</v>
      </c>
      <c r="T630" s="268"/>
      <c r="U630" s="269"/>
      <c r="V630" s="269">
        <v>0</v>
      </c>
      <c r="W630" s="278">
        <v>5830000</v>
      </c>
      <c r="X630" s="270"/>
      <c r="Y630" s="262" t="s">
        <v>27</v>
      </c>
      <c r="Z630" s="271" t="s">
        <v>27</v>
      </c>
      <c r="AA630" s="287"/>
      <c r="AB630" s="287"/>
      <c r="AC630" s="272">
        <f t="shared" si="21"/>
        <v>6050000</v>
      </c>
      <c r="AD630" s="272">
        <v>6050000</v>
      </c>
      <c r="AE630" s="272">
        <f t="shared" si="22"/>
        <v>0</v>
      </c>
      <c r="AF630" s="273"/>
      <c r="AG630" s="274"/>
      <c r="AH630" s="273"/>
      <c r="AI630" s="273">
        <v>500000</v>
      </c>
      <c r="AJ630" s="274">
        <v>500000</v>
      </c>
      <c r="AK630" s="273"/>
      <c r="AL630" s="275">
        <v>500000</v>
      </c>
      <c r="AM630" s="290">
        <v>150000</v>
      </c>
      <c r="AN630" s="275"/>
      <c r="AO630" s="276">
        <v>600000</v>
      </c>
      <c r="AP630" s="275"/>
      <c r="AQ630" s="275">
        <v>600000</v>
      </c>
      <c r="AR630" s="275"/>
      <c r="AS630" s="275">
        <v>600000</v>
      </c>
      <c r="AT630" s="275"/>
      <c r="AU630" s="275">
        <v>600000</v>
      </c>
      <c r="AV630" s="275"/>
      <c r="AW630" s="275">
        <v>500000</v>
      </c>
      <c r="AX630" s="275"/>
      <c r="AY630" s="275">
        <v>500000</v>
      </c>
      <c r="AZ630" s="275"/>
      <c r="BA630" s="275">
        <v>500000</v>
      </c>
      <c r="BB630" s="275"/>
      <c r="BC630" s="275">
        <v>500000</v>
      </c>
      <c r="BD630" s="275"/>
      <c r="BE630" s="275">
        <v>1000000</v>
      </c>
      <c r="BF630" s="275"/>
      <c r="BH630" s="277"/>
    </row>
    <row r="631" spans="1:60" ht="16.5" customHeight="1">
      <c r="A631" s="260">
        <v>609</v>
      </c>
      <c r="B631" s="261"/>
      <c r="C631" s="261"/>
      <c r="D631" s="262" t="s">
        <v>15</v>
      </c>
      <c r="E631" s="262" t="s">
        <v>237</v>
      </c>
      <c r="F631" s="263" t="s">
        <v>15</v>
      </c>
      <c r="G631" s="264" t="s">
        <v>237</v>
      </c>
      <c r="H631" s="281"/>
      <c r="I631" s="265"/>
      <c r="J631" s="266" t="s">
        <v>626</v>
      </c>
      <c r="K631" s="262"/>
      <c r="L631" s="262"/>
      <c r="M631" s="262">
        <v>61792</v>
      </c>
      <c r="N631" s="262" t="s">
        <v>22</v>
      </c>
      <c r="O631" s="262" t="s">
        <v>56</v>
      </c>
      <c r="P631" s="262"/>
      <c r="Q631" s="262" t="s">
        <v>30</v>
      </c>
      <c r="R631" s="262" t="s">
        <v>31</v>
      </c>
      <c r="S631" s="267" t="s">
        <v>31</v>
      </c>
      <c r="T631" s="268"/>
      <c r="U631" s="269"/>
      <c r="V631" s="269">
        <v>3350000</v>
      </c>
      <c r="W631" s="278">
        <v>3550000</v>
      </c>
      <c r="X631" s="270"/>
      <c r="Y631" s="262" t="s">
        <v>20</v>
      </c>
      <c r="Z631" s="271" t="s">
        <v>20</v>
      </c>
      <c r="AA631" s="287"/>
      <c r="AB631" s="287"/>
      <c r="AC631" s="272">
        <f t="shared" si="21"/>
        <v>0</v>
      </c>
      <c r="AD631" s="272">
        <v>0</v>
      </c>
      <c r="AE631" s="272">
        <f t="shared" si="22"/>
        <v>0</v>
      </c>
      <c r="AF631" s="273"/>
      <c r="AG631" s="274"/>
      <c r="AH631" s="273"/>
      <c r="AI631" s="273"/>
      <c r="AJ631" s="274"/>
      <c r="AK631" s="273"/>
      <c r="AL631" s="275"/>
      <c r="AM631" s="290"/>
      <c r="AN631" s="275"/>
      <c r="AO631" s="276"/>
      <c r="AP631" s="275"/>
      <c r="AQ631" s="275"/>
      <c r="AR631" s="275"/>
      <c r="AS631" s="275"/>
      <c r="AT631" s="275"/>
      <c r="AU631" s="275"/>
      <c r="AV631" s="275"/>
      <c r="AW631" s="275"/>
      <c r="AX631" s="275"/>
      <c r="AY631" s="275"/>
      <c r="AZ631" s="275"/>
      <c r="BA631" s="275"/>
      <c r="BB631" s="275"/>
      <c r="BC631" s="275"/>
      <c r="BD631" s="275"/>
      <c r="BE631" s="275"/>
      <c r="BF631" s="275"/>
      <c r="BH631" s="277"/>
    </row>
    <row r="632" spans="1:60" ht="16.5" customHeight="1">
      <c r="A632" s="260">
        <v>610</v>
      </c>
      <c r="B632" s="261"/>
      <c r="C632" s="261"/>
      <c r="D632" s="262" t="s">
        <v>15</v>
      </c>
      <c r="E632" s="262" t="s">
        <v>237</v>
      </c>
      <c r="F632" s="263" t="s">
        <v>15</v>
      </c>
      <c r="G632" s="264" t="s">
        <v>237</v>
      </c>
      <c r="H632" s="281"/>
      <c r="I632" s="265"/>
      <c r="J632" s="266" t="s">
        <v>239</v>
      </c>
      <c r="K632" s="262"/>
      <c r="L632" s="262"/>
      <c r="M632" s="262">
        <v>61353</v>
      </c>
      <c r="N632" s="262" t="s">
        <v>22</v>
      </c>
      <c r="O632" s="262" t="s">
        <v>56</v>
      </c>
      <c r="P632" s="262" t="s">
        <v>57</v>
      </c>
      <c r="Q632" s="262" t="s">
        <v>30</v>
      </c>
      <c r="R632" s="262" t="s">
        <v>31</v>
      </c>
      <c r="S632" s="267" t="s">
        <v>31</v>
      </c>
      <c r="T632" s="268"/>
      <c r="U632" s="269"/>
      <c r="V632" s="269">
        <v>6167000</v>
      </c>
      <c r="W632" s="278">
        <v>5256000</v>
      </c>
      <c r="X632" s="270"/>
      <c r="Y632" s="262" t="s">
        <v>27</v>
      </c>
      <c r="Z632" s="271" t="s">
        <v>24</v>
      </c>
      <c r="AA632" s="287"/>
      <c r="AB632" s="287"/>
      <c r="AC632" s="272">
        <f t="shared" si="21"/>
        <v>6000000</v>
      </c>
      <c r="AD632" s="272">
        <v>6000000</v>
      </c>
      <c r="AE632" s="272">
        <f t="shared" si="22"/>
        <v>0</v>
      </c>
      <c r="AF632" s="273"/>
      <c r="AG632" s="274"/>
      <c r="AH632" s="273"/>
      <c r="AI632" s="273"/>
      <c r="AJ632" s="274"/>
      <c r="AK632" s="273"/>
      <c r="AL632" s="275"/>
      <c r="AM632" s="290"/>
      <c r="AN632" s="275"/>
      <c r="AO632" s="276"/>
      <c r="AP632" s="275"/>
      <c r="AQ632" s="275"/>
      <c r="AR632" s="275"/>
      <c r="AS632" s="275"/>
      <c r="AT632" s="275"/>
      <c r="AU632" s="275"/>
      <c r="AV632" s="275"/>
      <c r="AW632" s="275"/>
      <c r="AX632" s="275"/>
      <c r="AY632" s="275"/>
      <c r="AZ632" s="275"/>
      <c r="BA632" s="275">
        <v>6000000</v>
      </c>
      <c r="BB632" s="275"/>
      <c r="BC632" s="275"/>
      <c r="BD632" s="275"/>
      <c r="BE632" s="275"/>
      <c r="BF632" s="275"/>
      <c r="BH632" s="277"/>
    </row>
    <row r="633" spans="1:60" ht="16.5" customHeight="1">
      <c r="A633" s="260">
        <v>611</v>
      </c>
      <c r="B633" s="261"/>
      <c r="C633" s="261"/>
      <c r="D633" s="262" t="s">
        <v>15</v>
      </c>
      <c r="E633" s="262" t="s">
        <v>237</v>
      </c>
      <c r="F633" s="263" t="s">
        <v>15</v>
      </c>
      <c r="G633" s="264" t="s">
        <v>237</v>
      </c>
      <c r="H633" s="281"/>
      <c r="I633" s="265"/>
      <c r="J633" s="266" t="s">
        <v>239</v>
      </c>
      <c r="K633" s="262"/>
      <c r="L633" s="262"/>
      <c r="M633" s="262">
        <v>61353</v>
      </c>
      <c r="N633" s="262" t="s">
        <v>22</v>
      </c>
      <c r="O633" s="262" t="s">
        <v>35</v>
      </c>
      <c r="P633" s="262" t="s">
        <v>57</v>
      </c>
      <c r="Q633" s="262"/>
      <c r="R633" s="262"/>
      <c r="S633" s="267" t="s">
        <v>828</v>
      </c>
      <c r="T633" s="268"/>
      <c r="U633" s="269"/>
      <c r="V633" s="269"/>
      <c r="W633" s="278">
        <v>0</v>
      </c>
      <c r="X633" s="270"/>
      <c r="Y633" s="262"/>
      <c r="Z633" s="271" t="s">
        <v>25</v>
      </c>
      <c r="AA633" s="287"/>
      <c r="AB633" s="287"/>
      <c r="AC633" s="272">
        <f t="shared" si="21"/>
        <v>10000000</v>
      </c>
      <c r="AD633" s="272">
        <v>10000000</v>
      </c>
      <c r="AE633" s="272">
        <f t="shared" si="22"/>
        <v>0</v>
      </c>
      <c r="AF633" s="273"/>
      <c r="AG633" s="274"/>
      <c r="AH633" s="273"/>
      <c r="AI633" s="273"/>
      <c r="AJ633" s="274"/>
      <c r="AK633" s="273"/>
      <c r="AL633" s="275"/>
      <c r="AM633" s="290"/>
      <c r="AN633" s="275"/>
      <c r="AO633" s="276"/>
      <c r="AP633" s="275"/>
      <c r="AQ633" s="275">
        <v>10000000</v>
      </c>
      <c r="AR633" s="275"/>
      <c r="AS633" s="275"/>
      <c r="AT633" s="275"/>
      <c r="AU633" s="275"/>
      <c r="AV633" s="275"/>
      <c r="AW633" s="275"/>
      <c r="AX633" s="275"/>
      <c r="AY633" s="275"/>
      <c r="AZ633" s="275"/>
      <c r="BA633" s="275"/>
      <c r="BB633" s="275"/>
      <c r="BC633" s="275"/>
      <c r="BD633" s="275"/>
      <c r="BE633" s="275"/>
      <c r="BF633" s="275"/>
      <c r="BH633" s="277"/>
    </row>
    <row r="634" spans="1:60" ht="16.5" customHeight="1">
      <c r="A634" s="260">
        <v>612</v>
      </c>
      <c r="B634" s="261"/>
      <c r="C634" s="261"/>
      <c r="D634" s="262" t="s">
        <v>15</v>
      </c>
      <c r="E634" s="262" t="s">
        <v>237</v>
      </c>
      <c r="F634" s="263" t="s">
        <v>15</v>
      </c>
      <c r="G634" s="264" t="s">
        <v>237</v>
      </c>
      <c r="H634" s="281"/>
      <c r="I634" s="265"/>
      <c r="J634" s="266" t="s">
        <v>239</v>
      </c>
      <c r="K634" s="262"/>
      <c r="L634" s="262"/>
      <c r="M634" s="262">
        <v>61353</v>
      </c>
      <c r="N634" s="262" t="s">
        <v>22</v>
      </c>
      <c r="O634" s="262" t="s">
        <v>35</v>
      </c>
      <c r="P634" s="262" t="s">
        <v>57</v>
      </c>
      <c r="Q634" s="262"/>
      <c r="R634" s="262"/>
      <c r="S634" s="267" t="s">
        <v>830</v>
      </c>
      <c r="T634" s="268"/>
      <c r="U634" s="269"/>
      <c r="V634" s="269"/>
      <c r="W634" s="278">
        <v>0</v>
      </c>
      <c r="X634" s="270"/>
      <c r="Y634" s="262"/>
      <c r="Z634" s="271" t="s">
        <v>25</v>
      </c>
      <c r="AA634" s="287"/>
      <c r="AB634" s="287"/>
      <c r="AC634" s="272">
        <f t="shared" si="21"/>
        <v>6000000</v>
      </c>
      <c r="AD634" s="272">
        <v>6000000</v>
      </c>
      <c r="AE634" s="272">
        <f t="shared" si="22"/>
        <v>0</v>
      </c>
      <c r="AF634" s="273"/>
      <c r="AG634" s="274"/>
      <c r="AH634" s="273"/>
      <c r="AI634" s="273"/>
      <c r="AJ634" s="274"/>
      <c r="AK634" s="273"/>
      <c r="AL634" s="275"/>
      <c r="AM634" s="290"/>
      <c r="AN634" s="275"/>
      <c r="AO634" s="276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>
        <v>6000000</v>
      </c>
      <c r="AZ634" s="275"/>
      <c r="BA634" s="275"/>
      <c r="BB634" s="275"/>
      <c r="BC634" s="275"/>
      <c r="BD634" s="275"/>
      <c r="BE634" s="275"/>
      <c r="BF634" s="275"/>
      <c r="BH634" s="277"/>
    </row>
    <row r="635" spans="1:60" ht="16.5" customHeight="1">
      <c r="A635" s="260">
        <v>613</v>
      </c>
      <c r="B635" s="261"/>
      <c r="C635" s="261"/>
      <c r="D635" s="262" t="s">
        <v>15</v>
      </c>
      <c r="E635" s="262" t="s">
        <v>237</v>
      </c>
      <c r="F635" s="263" t="s">
        <v>15</v>
      </c>
      <c r="G635" s="264" t="s">
        <v>237</v>
      </c>
      <c r="H635" s="281"/>
      <c r="I635" s="265"/>
      <c r="J635" s="266" t="s">
        <v>240</v>
      </c>
      <c r="K635" s="262"/>
      <c r="L635" s="262"/>
      <c r="M635" s="262">
        <v>3864</v>
      </c>
      <c r="N635" s="262" t="s">
        <v>22</v>
      </c>
      <c r="O635" s="262" t="s">
        <v>212</v>
      </c>
      <c r="P635" s="262" t="s">
        <v>57</v>
      </c>
      <c r="Q635" s="262" t="s">
        <v>63</v>
      </c>
      <c r="R635" s="262" t="s">
        <v>28</v>
      </c>
      <c r="S635" s="267" t="s">
        <v>28</v>
      </c>
      <c r="T635" s="268" t="s">
        <v>951</v>
      </c>
      <c r="U635" s="269">
        <v>65070380</v>
      </c>
      <c r="V635" s="269">
        <v>33831666</v>
      </c>
      <c r="W635" s="278">
        <v>32602320</v>
      </c>
      <c r="X635" s="270"/>
      <c r="Y635" s="262" t="s">
        <v>27</v>
      </c>
      <c r="Z635" s="271" t="s">
        <v>27</v>
      </c>
      <c r="AA635" s="287"/>
      <c r="AB635" s="287"/>
      <c r="AC635" s="272">
        <f t="shared" si="21"/>
        <v>35242600</v>
      </c>
      <c r="AD635" s="272">
        <v>35242600</v>
      </c>
      <c r="AE635" s="272">
        <f t="shared" si="22"/>
        <v>0</v>
      </c>
      <c r="AF635" s="273">
        <v>3500000</v>
      </c>
      <c r="AG635" s="274">
        <v>363000</v>
      </c>
      <c r="AH635" s="273"/>
      <c r="AI635" s="273">
        <v>3500000</v>
      </c>
      <c r="AJ635" s="274">
        <v>1456400</v>
      </c>
      <c r="AK635" s="273" t="s">
        <v>928</v>
      </c>
      <c r="AL635" s="275">
        <v>3500000</v>
      </c>
      <c r="AM635" s="290">
        <v>1923200</v>
      </c>
      <c r="AN635" s="275"/>
      <c r="AO635" s="276">
        <v>3500000</v>
      </c>
      <c r="AP635" s="275"/>
      <c r="AQ635" s="275">
        <v>3500000</v>
      </c>
      <c r="AR635" s="275"/>
      <c r="AS635" s="275">
        <v>3500000</v>
      </c>
      <c r="AT635" s="275"/>
      <c r="AU635" s="275">
        <v>3500000</v>
      </c>
      <c r="AV635" s="275"/>
      <c r="AW635" s="275">
        <v>3500000</v>
      </c>
      <c r="AX635" s="275"/>
      <c r="AY635" s="275">
        <v>3500000</v>
      </c>
      <c r="AZ635" s="275"/>
      <c r="BA635" s="275">
        <v>3500000</v>
      </c>
      <c r="BB635" s="275"/>
      <c r="BC635" s="275">
        <v>3500000</v>
      </c>
      <c r="BD635" s="275"/>
      <c r="BE635" s="275">
        <v>3500000</v>
      </c>
      <c r="BF635" s="275"/>
      <c r="BH635" s="277"/>
    </row>
    <row r="636" spans="1:60" ht="16.5" customHeight="1">
      <c r="A636" s="260">
        <v>614</v>
      </c>
      <c r="B636" s="261"/>
      <c r="C636" s="261"/>
      <c r="D636" s="262" t="s">
        <v>15</v>
      </c>
      <c r="E636" s="262" t="s">
        <v>237</v>
      </c>
      <c r="F636" s="263" t="s">
        <v>15</v>
      </c>
      <c r="G636" s="264" t="s">
        <v>237</v>
      </c>
      <c r="H636" s="281"/>
      <c r="I636" s="265"/>
      <c r="J636" s="266" t="s">
        <v>240</v>
      </c>
      <c r="K636" s="262"/>
      <c r="L636" s="262"/>
      <c r="M636" s="262">
        <v>3864</v>
      </c>
      <c r="N636" s="262"/>
      <c r="O636" s="262"/>
      <c r="P636" s="262"/>
      <c r="Q636" s="262"/>
      <c r="R636" s="262"/>
      <c r="S636" s="267" t="s">
        <v>478</v>
      </c>
      <c r="T636" s="268"/>
      <c r="U636" s="269"/>
      <c r="V636" s="269"/>
      <c r="W636" s="278">
        <v>2500000</v>
      </c>
      <c r="X636" s="270"/>
      <c r="Y636" s="262"/>
      <c r="Z636" s="271" t="s">
        <v>718</v>
      </c>
      <c r="AA636" s="287"/>
      <c r="AB636" s="287"/>
      <c r="AC636" s="272">
        <f t="shared" si="21"/>
        <v>0</v>
      </c>
      <c r="AD636" s="272">
        <v>0</v>
      </c>
      <c r="AE636" s="272">
        <f t="shared" si="22"/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75"/>
      <c r="AR636" s="275"/>
      <c r="AS636" s="275"/>
      <c r="AT636" s="275"/>
      <c r="AU636" s="275"/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customHeight="1">
      <c r="A637" s="260">
        <v>615</v>
      </c>
      <c r="B637" s="261"/>
      <c r="C637" s="261"/>
      <c r="D637" s="262" t="s">
        <v>15</v>
      </c>
      <c r="E637" s="262" t="s">
        <v>237</v>
      </c>
      <c r="F637" s="263" t="s">
        <v>15</v>
      </c>
      <c r="G637" s="264" t="s">
        <v>237</v>
      </c>
      <c r="H637" s="281"/>
      <c r="I637" s="265"/>
      <c r="J637" s="266" t="s">
        <v>240</v>
      </c>
      <c r="K637" s="262"/>
      <c r="L637" s="262"/>
      <c r="M637" s="262">
        <v>3864</v>
      </c>
      <c r="N637" s="262" t="s">
        <v>22</v>
      </c>
      <c r="O637" s="262" t="s">
        <v>56</v>
      </c>
      <c r="P637" s="262" t="s">
        <v>57</v>
      </c>
      <c r="Q637" s="262" t="s">
        <v>23</v>
      </c>
      <c r="R637" s="262" t="s">
        <v>397</v>
      </c>
      <c r="S637" s="267" t="s">
        <v>823</v>
      </c>
      <c r="T637" s="268"/>
      <c r="U637" s="269"/>
      <c r="V637" s="269">
        <v>1700000</v>
      </c>
      <c r="W637" s="278">
        <v>0</v>
      </c>
      <c r="X637" s="270"/>
      <c r="Y637" s="262" t="s">
        <v>25</v>
      </c>
      <c r="Z637" s="271" t="s">
        <v>20</v>
      </c>
      <c r="AA637" s="287"/>
      <c r="AB637" s="287"/>
      <c r="AC637" s="272">
        <f t="shared" si="21"/>
        <v>0</v>
      </c>
      <c r="AD637" s="272">
        <v>0</v>
      </c>
      <c r="AE637" s="272">
        <f t="shared" si="22"/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/>
      <c r="AP637" s="275"/>
      <c r="AQ637" s="275"/>
      <c r="AR637" s="275"/>
      <c r="AS637" s="275"/>
      <c r="AT637" s="275"/>
      <c r="AU637" s="275"/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customHeight="1">
      <c r="A638" s="260">
        <v>616</v>
      </c>
      <c r="B638" s="261"/>
      <c r="C638" s="261"/>
      <c r="D638" s="262"/>
      <c r="E638" s="262"/>
      <c r="F638" s="263" t="s">
        <v>15</v>
      </c>
      <c r="G638" s="264" t="s">
        <v>237</v>
      </c>
      <c r="H638" s="281"/>
      <c r="I638" s="265"/>
      <c r="J638" s="266" t="s">
        <v>240</v>
      </c>
      <c r="K638" s="262"/>
      <c r="L638" s="262"/>
      <c r="M638" s="262">
        <v>3864</v>
      </c>
      <c r="N638" s="262" t="s">
        <v>22</v>
      </c>
      <c r="O638" s="262" t="s">
        <v>35</v>
      </c>
      <c r="P638" s="262" t="s">
        <v>57</v>
      </c>
      <c r="Q638" s="262"/>
      <c r="R638" s="262" t="s">
        <v>479</v>
      </c>
      <c r="S638" s="267" t="s">
        <v>829</v>
      </c>
      <c r="T638" s="268"/>
      <c r="U638" s="269"/>
      <c r="V638" s="269"/>
      <c r="W638" s="278">
        <v>0</v>
      </c>
      <c r="X638" s="270"/>
      <c r="Y638" s="262" t="s">
        <v>25</v>
      </c>
      <c r="Z638" s="271" t="s">
        <v>25</v>
      </c>
      <c r="AA638" s="287"/>
      <c r="AB638" s="287"/>
      <c r="AC638" s="272">
        <f t="shared" si="21"/>
        <v>20000000</v>
      </c>
      <c r="AD638" s="272">
        <v>20000000</v>
      </c>
      <c r="AE638" s="272">
        <f t="shared" si="22"/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/>
      <c r="AP638" s="275"/>
      <c r="AQ638" s="275">
        <v>20000000</v>
      </c>
      <c r="AR638" s="275"/>
      <c r="AS638" s="275"/>
      <c r="AT638" s="275"/>
      <c r="AU638" s="275"/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/>
      <c r="BF638" s="275"/>
      <c r="BH638" s="277"/>
    </row>
    <row r="639" spans="1:60" ht="16.5" customHeight="1">
      <c r="A639" s="260">
        <v>617</v>
      </c>
      <c r="B639" s="261"/>
      <c r="C639" s="261"/>
      <c r="D639" s="262" t="s">
        <v>15</v>
      </c>
      <c r="E639" s="262" t="s">
        <v>237</v>
      </c>
      <c r="F639" s="263" t="s">
        <v>15</v>
      </c>
      <c r="G639" s="264" t="s">
        <v>237</v>
      </c>
      <c r="H639" s="281"/>
      <c r="I639" s="265"/>
      <c r="J639" s="266" t="s">
        <v>241</v>
      </c>
      <c r="K639" s="262"/>
      <c r="L639" s="262"/>
      <c r="M639" s="262">
        <v>3864</v>
      </c>
      <c r="N639" s="262"/>
      <c r="O639" s="262"/>
      <c r="P639" s="262"/>
      <c r="Q639" s="262"/>
      <c r="R639" s="262"/>
      <c r="S639" s="267" t="s">
        <v>31</v>
      </c>
      <c r="T639" s="268"/>
      <c r="U639" s="269"/>
      <c r="V639" s="269"/>
      <c r="W639" s="278">
        <v>0</v>
      </c>
      <c r="X639" s="270"/>
      <c r="Y639" s="262"/>
      <c r="Z639" s="271" t="s">
        <v>27</v>
      </c>
      <c r="AA639" s="287"/>
      <c r="AB639" s="287"/>
      <c r="AC639" s="272">
        <f t="shared" si="21"/>
        <v>5000000</v>
      </c>
      <c r="AD639" s="272">
        <v>5000000</v>
      </c>
      <c r="AE639" s="272">
        <f t="shared" si="22"/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/>
      <c r="AP639" s="275"/>
      <c r="AQ639" s="275"/>
      <c r="AR639" s="275"/>
      <c r="AS639" s="275"/>
      <c r="AT639" s="275"/>
      <c r="AU639" s="275"/>
      <c r="AV639" s="275"/>
      <c r="AW639" s="275"/>
      <c r="AX639" s="275"/>
      <c r="AY639" s="275"/>
      <c r="AZ639" s="275"/>
      <c r="BA639" s="275"/>
      <c r="BB639" s="275"/>
      <c r="BC639" s="275">
        <v>5000000</v>
      </c>
      <c r="BD639" s="275"/>
      <c r="BE639" s="275"/>
      <c r="BF639" s="275"/>
      <c r="BH639" s="277"/>
    </row>
    <row r="640" spans="1:60" ht="16.5" customHeight="1">
      <c r="A640" s="260">
        <v>618</v>
      </c>
      <c r="B640" s="261"/>
      <c r="C640" s="261"/>
      <c r="D640" s="262" t="s">
        <v>15</v>
      </c>
      <c r="E640" s="262" t="s">
        <v>237</v>
      </c>
      <c r="F640" s="263" t="s">
        <v>15</v>
      </c>
      <c r="G640" s="264" t="s">
        <v>237</v>
      </c>
      <c r="H640" s="281"/>
      <c r="I640" s="265"/>
      <c r="J640" s="266" t="s">
        <v>241</v>
      </c>
      <c r="K640" s="262"/>
      <c r="L640" s="262"/>
      <c r="M640" s="262">
        <v>3864</v>
      </c>
      <c r="N640" s="262" t="s">
        <v>22</v>
      </c>
      <c r="O640" s="262" t="s">
        <v>56</v>
      </c>
      <c r="P640" s="262" t="s">
        <v>57</v>
      </c>
      <c r="Q640" s="262" t="s">
        <v>30</v>
      </c>
      <c r="R640" s="262" t="s">
        <v>31</v>
      </c>
      <c r="S640" s="267" t="s">
        <v>31</v>
      </c>
      <c r="T640" s="268"/>
      <c r="U640" s="269" t="s">
        <v>154</v>
      </c>
      <c r="V640" s="269">
        <v>24924000</v>
      </c>
      <c r="W640" s="278">
        <v>17699000</v>
      </c>
      <c r="X640" s="270"/>
      <c r="Y640" s="262" t="s">
        <v>24</v>
      </c>
      <c r="Z640" s="271" t="s">
        <v>24</v>
      </c>
      <c r="AA640" s="287"/>
      <c r="AB640" s="287"/>
      <c r="AC640" s="272">
        <f t="shared" si="21"/>
        <v>9000000</v>
      </c>
      <c r="AD640" s="272">
        <v>9000000</v>
      </c>
      <c r="AE640" s="272">
        <f t="shared" si="22"/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/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>
        <v>9000000</v>
      </c>
      <c r="BF640" s="275"/>
      <c r="BH640" s="277"/>
    </row>
    <row r="641" spans="1:60" ht="16.5" customHeight="1">
      <c r="A641" s="260">
        <v>619</v>
      </c>
      <c r="B641" s="261"/>
      <c r="C641" s="261"/>
      <c r="D641" s="262" t="s">
        <v>15</v>
      </c>
      <c r="E641" s="262" t="s">
        <v>237</v>
      </c>
      <c r="F641" s="263" t="s">
        <v>15</v>
      </c>
      <c r="G641" s="264" t="s">
        <v>237</v>
      </c>
      <c r="H641" s="281"/>
      <c r="I641" s="265"/>
      <c r="J641" s="266" t="s">
        <v>763</v>
      </c>
      <c r="K641" s="262"/>
      <c r="L641" s="262"/>
      <c r="M641" s="262">
        <v>3864</v>
      </c>
      <c r="N641" s="262" t="s">
        <v>22</v>
      </c>
      <c r="O641" s="262" t="s">
        <v>35</v>
      </c>
      <c r="P641" s="262" t="s">
        <v>57</v>
      </c>
      <c r="Q641" s="262"/>
      <c r="R641" s="262"/>
      <c r="S641" s="267" t="s">
        <v>468</v>
      </c>
      <c r="T641" s="268"/>
      <c r="U641" s="269"/>
      <c r="V641" s="269"/>
      <c r="W641" s="278">
        <v>0</v>
      </c>
      <c r="X641" s="270"/>
      <c r="Y641" s="262"/>
      <c r="Z641" s="271" t="s">
        <v>25</v>
      </c>
      <c r="AA641" s="287"/>
      <c r="AB641" s="287"/>
      <c r="AC641" s="272">
        <f t="shared" si="21"/>
        <v>20000000</v>
      </c>
      <c r="AD641" s="272">
        <v>20000000</v>
      </c>
      <c r="AE641" s="272">
        <f t="shared" si="22"/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>
        <v>20000000</v>
      </c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H641" s="277"/>
    </row>
    <row r="642" spans="1:60" ht="16.5" customHeight="1">
      <c r="A642" s="260">
        <v>620</v>
      </c>
      <c r="B642" s="261"/>
      <c r="C642" s="261"/>
      <c r="D642" s="262" t="s">
        <v>15</v>
      </c>
      <c r="E642" s="262" t="s">
        <v>237</v>
      </c>
      <c r="F642" s="263" t="s">
        <v>15</v>
      </c>
      <c r="G642" s="264" t="s">
        <v>237</v>
      </c>
      <c r="H642" s="281"/>
      <c r="I642" s="265"/>
      <c r="J642" s="266" t="s">
        <v>763</v>
      </c>
      <c r="K642" s="262"/>
      <c r="L642" s="262"/>
      <c r="M642" s="262">
        <v>3864</v>
      </c>
      <c r="N642" s="262" t="s">
        <v>22</v>
      </c>
      <c r="O642" s="262" t="s">
        <v>35</v>
      </c>
      <c r="P642" s="262" t="s">
        <v>57</v>
      </c>
      <c r="Q642" s="262"/>
      <c r="R642" s="262"/>
      <c r="S642" s="267" t="s">
        <v>822</v>
      </c>
      <c r="T642" s="268"/>
      <c r="U642" s="269"/>
      <c r="V642" s="269"/>
      <c r="W642" s="278">
        <v>0</v>
      </c>
      <c r="X642" s="270"/>
      <c r="Y642" s="262"/>
      <c r="Z642" s="271" t="s">
        <v>25</v>
      </c>
      <c r="AA642" s="287"/>
      <c r="AB642" s="287"/>
      <c r="AC642" s="272">
        <f t="shared" si="21"/>
        <v>20000000</v>
      </c>
      <c r="AD642" s="272">
        <v>20000000</v>
      </c>
      <c r="AE642" s="272">
        <f t="shared" si="22"/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>
        <v>20000000</v>
      </c>
      <c r="AR642" s="275"/>
      <c r="AS642" s="275"/>
      <c r="AT642" s="275"/>
      <c r="AU642" s="275"/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customHeight="1">
      <c r="A643" s="260">
        <v>621</v>
      </c>
      <c r="B643" s="261"/>
      <c r="C643" s="261"/>
      <c r="D643" s="262" t="s">
        <v>15</v>
      </c>
      <c r="E643" s="262" t="s">
        <v>237</v>
      </c>
      <c r="F643" s="263" t="s">
        <v>15</v>
      </c>
      <c r="G643" s="264" t="s">
        <v>237</v>
      </c>
      <c r="H643" s="281"/>
      <c r="I643" s="265"/>
      <c r="J643" s="266" t="s">
        <v>763</v>
      </c>
      <c r="K643" s="262"/>
      <c r="L643" s="262"/>
      <c r="M643" s="262">
        <v>3864</v>
      </c>
      <c r="N643" s="262" t="s">
        <v>22</v>
      </c>
      <c r="O643" s="262" t="s">
        <v>35</v>
      </c>
      <c r="P643" s="262" t="s">
        <v>57</v>
      </c>
      <c r="Q643" s="262"/>
      <c r="R643" s="262"/>
      <c r="S643" s="267" t="s">
        <v>830</v>
      </c>
      <c r="T643" s="268"/>
      <c r="U643" s="269"/>
      <c r="V643" s="269"/>
      <c r="W643" s="278">
        <v>0</v>
      </c>
      <c r="X643" s="270"/>
      <c r="Y643" s="262"/>
      <c r="Z643" s="271" t="s">
        <v>25</v>
      </c>
      <c r="AA643" s="287"/>
      <c r="AB643" s="287"/>
      <c r="AC643" s="272">
        <f t="shared" si="21"/>
        <v>10000000</v>
      </c>
      <c r="AD643" s="272">
        <v>10000000</v>
      </c>
      <c r="AE643" s="272">
        <f t="shared" si="22"/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>
        <v>10000000</v>
      </c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customHeight="1">
      <c r="A644" s="260">
        <v>622</v>
      </c>
      <c r="B644" s="261"/>
      <c r="C644" s="261"/>
      <c r="D644" s="262" t="s">
        <v>15</v>
      </c>
      <c r="E644" s="262" t="s">
        <v>237</v>
      </c>
      <c r="F644" s="263" t="s">
        <v>15</v>
      </c>
      <c r="G644" s="264" t="s">
        <v>237</v>
      </c>
      <c r="H644" s="281"/>
      <c r="I644" s="265"/>
      <c r="J644" s="266" t="s">
        <v>764</v>
      </c>
      <c r="K644" s="262"/>
      <c r="L644" s="262"/>
      <c r="M644" s="262">
        <v>3864</v>
      </c>
      <c r="N644" s="262" t="s">
        <v>22</v>
      </c>
      <c r="O644" s="262" t="s">
        <v>35</v>
      </c>
      <c r="P644" s="262" t="s">
        <v>57</v>
      </c>
      <c r="Q644" s="262"/>
      <c r="R644" s="262"/>
      <c r="S644" s="267" t="s">
        <v>468</v>
      </c>
      <c r="T644" s="268"/>
      <c r="U644" s="269"/>
      <c r="V644" s="269"/>
      <c r="W644" s="278">
        <v>0</v>
      </c>
      <c r="X644" s="270"/>
      <c r="Y644" s="262"/>
      <c r="Z644" s="271" t="s">
        <v>25</v>
      </c>
      <c r="AA644" s="287"/>
      <c r="AB644" s="287"/>
      <c r="AC644" s="272">
        <f t="shared" si="21"/>
        <v>15000000</v>
      </c>
      <c r="AD644" s="272">
        <v>15000000</v>
      </c>
      <c r="AE644" s="272">
        <f t="shared" si="22"/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>
        <v>15000000</v>
      </c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customHeight="1">
      <c r="A645" s="260">
        <v>623</v>
      </c>
      <c r="B645" s="261"/>
      <c r="C645" s="261"/>
      <c r="D645" s="262" t="s">
        <v>15</v>
      </c>
      <c r="E645" s="262" t="s">
        <v>237</v>
      </c>
      <c r="F645" s="263" t="s">
        <v>15</v>
      </c>
      <c r="G645" s="264" t="s">
        <v>237</v>
      </c>
      <c r="H645" s="281"/>
      <c r="I645" s="265"/>
      <c r="J645" s="266" t="s">
        <v>242</v>
      </c>
      <c r="K645" s="262"/>
      <c r="L645" s="262"/>
      <c r="M645" s="262">
        <v>6191</v>
      </c>
      <c r="N645" s="262" t="s">
        <v>22</v>
      </c>
      <c r="O645" s="262" t="s">
        <v>35</v>
      </c>
      <c r="P645" s="262" t="s">
        <v>57</v>
      </c>
      <c r="Q645" s="262"/>
      <c r="R645" s="262" t="s">
        <v>19</v>
      </c>
      <c r="S645" s="267" t="s">
        <v>19</v>
      </c>
      <c r="T645" s="268"/>
      <c r="U645" s="269"/>
      <c r="V645" s="269"/>
      <c r="W645" s="278">
        <v>760000</v>
      </c>
      <c r="X645" s="270"/>
      <c r="Y645" s="262" t="s">
        <v>27</v>
      </c>
      <c r="Z645" s="271" t="s">
        <v>24</v>
      </c>
      <c r="AA645" s="287"/>
      <c r="AB645" s="287"/>
      <c r="AC645" s="272">
        <f t="shared" si="21"/>
        <v>1000000</v>
      </c>
      <c r="AD645" s="272">
        <v>1000000</v>
      </c>
      <c r="AE645" s="272">
        <f t="shared" si="22"/>
        <v>0</v>
      </c>
      <c r="AF645" s="273"/>
      <c r="AG645" s="274"/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>
        <v>1000000</v>
      </c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customHeight="1">
      <c r="A646" s="260">
        <v>624</v>
      </c>
      <c r="B646" s="261"/>
      <c r="C646" s="261"/>
      <c r="D646" s="262" t="s">
        <v>15</v>
      </c>
      <c r="E646" s="262" t="s">
        <v>237</v>
      </c>
      <c r="F646" s="263" t="s">
        <v>15</v>
      </c>
      <c r="G646" s="264" t="s">
        <v>237</v>
      </c>
      <c r="H646" s="281"/>
      <c r="I646" s="265"/>
      <c r="J646" s="266" t="s">
        <v>242</v>
      </c>
      <c r="K646" s="262"/>
      <c r="L646" s="262"/>
      <c r="M646" s="262">
        <v>6191</v>
      </c>
      <c r="N646" s="262" t="s">
        <v>22</v>
      </c>
      <c r="O646" s="262" t="s">
        <v>56</v>
      </c>
      <c r="P646" s="262" t="s">
        <v>57</v>
      </c>
      <c r="Q646" s="262" t="s">
        <v>30</v>
      </c>
      <c r="R646" s="262" t="s">
        <v>31</v>
      </c>
      <c r="S646" s="267" t="s">
        <v>31</v>
      </c>
      <c r="T646" s="268"/>
      <c r="U646" s="269"/>
      <c r="V646" s="269">
        <v>1870000</v>
      </c>
      <c r="W646" s="278">
        <v>2880000</v>
      </c>
      <c r="X646" s="270"/>
      <c r="Y646" s="262" t="s">
        <v>24</v>
      </c>
      <c r="Z646" s="271" t="s">
        <v>24</v>
      </c>
      <c r="AA646" s="287"/>
      <c r="AB646" s="287"/>
      <c r="AC646" s="272">
        <f t="shared" si="21"/>
        <v>2000000</v>
      </c>
      <c r="AD646" s="272">
        <v>2000000</v>
      </c>
      <c r="AE646" s="272">
        <f t="shared" si="22"/>
        <v>0</v>
      </c>
      <c r="AF646" s="273"/>
      <c r="AG646" s="274"/>
      <c r="AH646" s="273"/>
      <c r="AI646" s="273"/>
      <c r="AJ646" s="274"/>
      <c r="AK646" s="273"/>
      <c r="AL646" s="275"/>
      <c r="AM646" s="290"/>
      <c r="AN646" s="275"/>
      <c r="AO646" s="276"/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>
        <v>2000000</v>
      </c>
      <c r="BF646" s="275"/>
      <c r="BH646" s="277"/>
    </row>
    <row r="647" spans="1:60" ht="16.5" customHeight="1">
      <c r="A647" s="260">
        <v>625</v>
      </c>
      <c r="B647" s="261"/>
      <c r="C647" s="261"/>
      <c r="D647" s="262" t="s">
        <v>15</v>
      </c>
      <c r="E647" s="262" t="s">
        <v>237</v>
      </c>
      <c r="F647" s="263" t="s">
        <v>15</v>
      </c>
      <c r="G647" s="264" t="s">
        <v>237</v>
      </c>
      <c r="H647" s="281"/>
      <c r="I647" s="265"/>
      <c r="J647" s="266" t="s">
        <v>242</v>
      </c>
      <c r="K647" s="262"/>
      <c r="L647" s="262"/>
      <c r="M647" s="262">
        <v>6191</v>
      </c>
      <c r="N647" s="262" t="s">
        <v>22</v>
      </c>
      <c r="O647" s="262" t="s">
        <v>35</v>
      </c>
      <c r="P647" s="262" t="s">
        <v>57</v>
      </c>
      <c r="Q647" s="262"/>
      <c r="R647" s="262"/>
      <c r="S647" s="267" t="s">
        <v>830</v>
      </c>
      <c r="T647" s="268"/>
      <c r="U647" s="269"/>
      <c r="V647" s="269"/>
      <c r="W647" s="278">
        <v>0</v>
      </c>
      <c r="X647" s="270"/>
      <c r="Y647" s="262"/>
      <c r="Z647" s="271" t="s">
        <v>25</v>
      </c>
      <c r="AA647" s="287"/>
      <c r="AB647" s="287"/>
      <c r="AC647" s="272">
        <f t="shared" si="21"/>
        <v>10000000</v>
      </c>
      <c r="AD647" s="272">
        <v>10000000</v>
      </c>
      <c r="AE647" s="272">
        <f t="shared" si="22"/>
        <v>0</v>
      </c>
      <c r="AF647" s="273"/>
      <c r="AG647" s="274"/>
      <c r="AH647" s="273"/>
      <c r="AI647" s="273"/>
      <c r="AJ647" s="274"/>
      <c r="AK647" s="273"/>
      <c r="AL647" s="275"/>
      <c r="AM647" s="290"/>
      <c r="AN647" s="275"/>
      <c r="AO647" s="276"/>
      <c r="AP647" s="275"/>
      <c r="AQ647" s="275"/>
      <c r="AR647" s="275"/>
      <c r="AS647" s="275"/>
      <c r="AT647" s="275"/>
      <c r="AU647" s="275"/>
      <c r="AV647" s="275"/>
      <c r="AW647" s="275"/>
      <c r="AX647" s="275"/>
      <c r="AY647" s="275">
        <v>10000000</v>
      </c>
      <c r="AZ647" s="275"/>
      <c r="BA647" s="275"/>
      <c r="BB647" s="275"/>
      <c r="BC647" s="275"/>
      <c r="BD647" s="275"/>
      <c r="BE647" s="275"/>
      <c r="BF647" s="275"/>
      <c r="BH647" s="277"/>
    </row>
    <row r="648" spans="1:60" ht="16.5" customHeight="1">
      <c r="A648" s="260">
        <v>626</v>
      </c>
      <c r="B648" s="261"/>
      <c r="C648" s="261"/>
      <c r="D648" s="262" t="s">
        <v>15</v>
      </c>
      <c r="E648" s="262" t="s">
        <v>237</v>
      </c>
      <c r="F648" s="263" t="s">
        <v>15</v>
      </c>
      <c r="G648" s="264" t="s">
        <v>237</v>
      </c>
      <c r="H648" s="281"/>
      <c r="I648" s="265"/>
      <c r="J648" s="266" t="s">
        <v>242</v>
      </c>
      <c r="K648" s="262"/>
      <c r="L648" s="262"/>
      <c r="M648" s="262">
        <v>6191</v>
      </c>
      <c r="N648" s="262" t="s">
        <v>22</v>
      </c>
      <c r="O648" s="262" t="s">
        <v>56</v>
      </c>
      <c r="P648" s="262"/>
      <c r="Q648" s="262" t="s">
        <v>55</v>
      </c>
      <c r="R648" s="262" t="s">
        <v>466</v>
      </c>
      <c r="S648" s="267" t="s">
        <v>829</v>
      </c>
      <c r="T648" s="268"/>
      <c r="U648" s="269"/>
      <c r="V648" s="269">
        <v>2000000</v>
      </c>
      <c r="W648" s="278">
        <v>0</v>
      </c>
      <c r="X648" s="270"/>
      <c r="Y648" s="262" t="s">
        <v>20</v>
      </c>
      <c r="Z648" s="271" t="s">
        <v>20</v>
      </c>
      <c r="AA648" s="287"/>
      <c r="AB648" s="287"/>
      <c r="AC648" s="272">
        <f t="shared" si="21"/>
        <v>0</v>
      </c>
      <c r="AD648" s="272">
        <v>0</v>
      </c>
      <c r="AE648" s="272">
        <f t="shared" si="22"/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/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/>
      <c r="BB648" s="275"/>
      <c r="BC648" s="275"/>
      <c r="BD648" s="275"/>
      <c r="BE648" s="275"/>
      <c r="BF648" s="275"/>
      <c r="BH648" s="277"/>
    </row>
    <row r="649" spans="1:60" ht="16.5" customHeight="1">
      <c r="A649" s="260">
        <v>627</v>
      </c>
      <c r="B649" s="261"/>
      <c r="C649" s="261"/>
      <c r="D649" s="262" t="s">
        <v>15</v>
      </c>
      <c r="E649" s="262" t="s">
        <v>237</v>
      </c>
      <c r="F649" s="263" t="s">
        <v>15</v>
      </c>
      <c r="G649" s="264" t="s">
        <v>237</v>
      </c>
      <c r="H649" s="281"/>
      <c r="I649" s="265"/>
      <c r="J649" s="266" t="s">
        <v>765</v>
      </c>
      <c r="K649" s="262"/>
      <c r="L649" s="262"/>
      <c r="M649" s="262">
        <v>20729</v>
      </c>
      <c r="N649" s="262" t="s">
        <v>22</v>
      </c>
      <c r="O649" s="262" t="s">
        <v>35</v>
      </c>
      <c r="P649" s="262" t="s">
        <v>57</v>
      </c>
      <c r="Q649" s="262"/>
      <c r="R649" s="262"/>
      <c r="S649" s="267" t="s">
        <v>822</v>
      </c>
      <c r="T649" s="268"/>
      <c r="U649" s="269"/>
      <c r="V649" s="269"/>
      <c r="W649" s="278">
        <v>0</v>
      </c>
      <c r="X649" s="270"/>
      <c r="Y649" s="262"/>
      <c r="Z649" s="271" t="s">
        <v>25</v>
      </c>
      <c r="AA649" s="287"/>
      <c r="AB649" s="287"/>
      <c r="AC649" s="272">
        <f t="shared" si="21"/>
        <v>10000000</v>
      </c>
      <c r="AD649" s="272">
        <v>10000000</v>
      </c>
      <c r="AE649" s="272">
        <f t="shared" si="22"/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>
        <v>10000000</v>
      </c>
      <c r="AR649" s="275"/>
      <c r="AS649" s="275"/>
      <c r="AT649" s="275"/>
      <c r="AU649" s="275"/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H649" s="277"/>
    </row>
    <row r="650" spans="1:60" ht="16.5" customHeight="1">
      <c r="A650" s="260">
        <v>628</v>
      </c>
      <c r="B650" s="261"/>
      <c r="C650" s="261"/>
      <c r="D650" s="262" t="s">
        <v>15</v>
      </c>
      <c r="E650" s="262" t="s">
        <v>237</v>
      </c>
      <c r="F650" s="263" t="s">
        <v>15</v>
      </c>
      <c r="G650" s="264" t="s">
        <v>237</v>
      </c>
      <c r="H650" s="281"/>
      <c r="I650" s="265"/>
      <c r="J650" s="266" t="s">
        <v>765</v>
      </c>
      <c r="K650" s="262"/>
      <c r="L650" s="262"/>
      <c r="M650" s="262">
        <v>20729</v>
      </c>
      <c r="N650" s="262" t="s">
        <v>22</v>
      </c>
      <c r="O650" s="262" t="s">
        <v>35</v>
      </c>
      <c r="P650" s="262" t="s">
        <v>57</v>
      </c>
      <c r="Q650" s="262"/>
      <c r="R650" s="262"/>
      <c r="S650" s="267" t="s">
        <v>830</v>
      </c>
      <c r="T650" s="268"/>
      <c r="U650" s="269"/>
      <c r="V650" s="269"/>
      <c r="W650" s="278">
        <v>0</v>
      </c>
      <c r="X650" s="270"/>
      <c r="Y650" s="262"/>
      <c r="Z650" s="271" t="s">
        <v>25</v>
      </c>
      <c r="AA650" s="287"/>
      <c r="AB650" s="287"/>
      <c r="AC650" s="272">
        <f t="shared" si="21"/>
        <v>10000000</v>
      </c>
      <c r="AD650" s="272">
        <v>10000000</v>
      </c>
      <c r="AE650" s="272">
        <f t="shared" si="22"/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/>
      <c r="AR650" s="275"/>
      <c r="AS650" s="275"/>
      <c r="AT650" s="275"/>
      <c r="AU650" s="275"/>
      <c r="AV650" s="275"/>
      <c r="AW650" s="275"/>
      <c r="AX650" s="275"/>
      <c r="AY650" s="275">
        <v>10000000</v>
      </c>
      <c r="AZ650" s="275"/>
      <c r="BA650" s="275"/>
      <c r="BB650" s="275"/>
      <c r="BC650" s="275"/>
      <c r="BD650" s="275"/>
      <c r="BE650" s="275"/>
      <c r="BF650" s="275"/>
      <c r="BH650" s="277"/>
    </row>
    <row r="651" spans="1:60" ht="16.5" customHeight="1">
      <c r="A651" s="260">
        <v>629</v>
      </c>
      <c r="B651" s="261"/>
      <c r="C651" s="261"/>
      <c r="D651" s="262" t="s">
        <v>15</v>
      </c>
      <c r="E651" s="262" t="s">
        <v>237</v>
      </c>
      <c r="F651" s="263" t="s">
        <v>15</v>
      </c>
      <c r="G651" s="264" t="s">
        <v>237</v>
      </c>
      <c r="H651" s="281"/>
      <c r="I651" s="265"/>
      <c r="J651" s="266" t="s">
        <v>243</v>
      </c>
      <c r="K651" s="262"/>
      <c r="L651" s="262"/>
      <c r="M651" s="262">
        <v>20729</v>
      </c>
      <c r="N651" s="262" t="s">
        <v>22</v>
      </c>
      <c r="O651" s="262" t="s">
        <v>56</v>
      </c>
      <c r="P651" s="262" t="s">
        <v>57</v>
      </c>
      <c r="Q651" s="262" t="s">
        <v>55</v>
      </c>
      <c r="R651" s="262" t="s">
        <v>466</v>
      </c>
      <c r="S651" s="267" t="s">
        <v>829</v>
      </c>
      <c r="T651" s="268"/>
      <c r="U651" s="269"/>
      <c r="V651" s="269">
        <v>8500000</v>
      </c>
      <c r="W651" s="278">
        <v>0</v>
      </c>
      <c r="X651" s="270"/>
      <c r="Y651" s="262" t="s">
        <v>562</v>
      </c>
      <c r="Z651" s="271" t="s">
        <v>562</v>
      </c>
      <c r="AA651" s="287"/>
      <c r="AB651" s="287"/>
      <c r="AC651" s="272">
        <f t="shared" si="21"/>
        <v>0</v>
      </c>
      <c r="AD651" s="272">
        <v>0</v>
      </c>
      <c r="AE651" s="272">
        <f t="shared" si="22"/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/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H651" s="277"/>
    </row>
    <row r="652" spans="1:60" ht="16.5" customHeight="1">
      <c r="A652" s="260">
        <v>630</v>
      </c>
      <c r="B652" s="261"/>
      <c r="C652" s="261"/>
      <c r="D652" s="262" t="s">
        <v>15</v>
      </c>
      <c r="E652" s="262" t="s">
        <v>237</v>
      </c>
      <c r="F652" s="263" t="s">
        <v>15</v>
      </c>
      <c r="G652" s="264" t="s">
        <v>237</v>
      </c>
      <c r="H652" s="281"/>
      <c r="I652" s="265"/>
      <c r="J652" s="266" t="s">
        <v>967</v>
      </c>
      <c r="K652" s="262"/>
      <c r="L652" s="262"/>
      <c r="M652" s="262">
        <v>20729</v>
      </c>
      <c r="N652" s="262" t="s">
        <v>22</v>
      </c>
      <c r="O652" s="262" t="s">
        <v>35</v>
      </c>
      <c r="P652" s="262" t="s">
        <v>57</v>
      </c>
      <c r="Q652" s="262" t="s">
        <v>54</v>
      </c>
      <c r="R652" s="262"/>
      <c r="S652" s="267" t="s">
        <v>19</v>
      </c>
      <c r="T652" s="268"/>
      <c r="U652" s="269"/>
      <c r="V652" s="269"/>
      <c r="W652" s="278">
        <v>0</v>
      </c>
      <c r="X652" s="270"/>
      <c r="Y652" s="262"/>
      <c r="Z652" s="271" t="s">
        <v>27</v>
      </c>
      <c r="AA652" s="287"/>
      <c r="AB652" s="287"/>
      <c r="AC652" s="272">
        <f t="shared" si="21"/>
        <v>12000000</v>
      </c>
      <c r="AD652" s="272">
        <v>12000000</v>
      </c>
      <c r="AE652" s="272">
        <f t="shared" si="22"/>
        <v>0</v>
      </c>
      <c r="AF652" s="273"/>
      <c r="AG652" s="274"/>
      <c r="AH652" s="273"/>
      <c r="AI652" s="273"/>
      <c r="AJ652" s="274"/>
      <c r="AK652" s="273"/>
      <c r="AL652" s="275"/>
      <c r="AM652" s="290"/>
      <c r="AN652" s="275" t="s">
        <v>988</v>
      </c>
      <c r="AO652" s="276">
        <v>12000000</v>
      </c>
      <c r="AP652" s="275"/>
      <c r="AQ652" s="275"/>
      <c r="AR652" s="275"/>
      <c r="AS652" s="275"/>
      <c r="AT652" s="275"/>
      <c r="AU652" s="275"/>
      <c r="AV652" s="275"/>
      <c r="AW652" s="275"/>
      <c r="AX652" s="275"/>
      <c r="AY652" s="275"/>
      <c r="AZ652" s="275"/>
      <c r="BA652" s="275"/>
      <c r="BB652" s="275"/>
      <c r="BC652" s="275"/>
      <c r="BD652" s="275"/>
      <c r="BE652" s="275"/>
      <c r="BF652" s="275"/>
      <c r="BH652" s="277"/>
    </row>
    <row r="653" spans="1:60" ht="16.5" customHeight="1">
      <c r="A653" s="260">
        <v>631</v>
      </c>
      <c r="B653" s="261"/>
      <c r="C653" s="261"/>
      <c r="D653" s="262" t="s">
        <v>15</v>
      </c>
      <c r="E653" s="262" t="s">
        <v>237</v>
      </c>
      <c r="F653" s="263" t="s">
        <v>15</v>
      </c>
      <c r="G653" s="264" t="s">
        <v>237</v>
      </c>
      <c r="H653" s="281"/>
      <c r="I653" s="265"/>
      <c r="J653" s="266" t="s">
        <v>244</v>
      </c>
      <c r="K653" s="262"/>
      <c r="L653" s="262"/>
      <c r="M653" s="262">
        <v>236</v>
      </c>
      <c r="N653" s="262" t="s">
        <v>22</v>
      </c>
      <c r="O653" s="262" t="s">
        <v>212</v>
      </c>
      <c r="P653" s="262" t="s">
        <v>57</v>
      </c>
      <c r="Q653" s="262" t="s">
        <v>54</v>
      </c>
      <c r="R653" s="262" t="s">
        <v>467</v>
      </c>
      <c r="S653" s="267" t="s">
        <v>826</v>
      </c>
      <c r="T653" s="268"/>
      <c r="U653" s="269">
        <v>19320000</v>
      </c>
      <c r="V653" s="269">
        <v>19935000</v>
      </c>
      <c r="W653" s="278">
        <v>19045000</v>
      </c>
      <c r="X653" s="270"/>
      <c r="Y653" s="262" t="s">
        <v>27</v>
      </c>
      <c r="Z653" s="271" t="s">
        <v>27</v>
      </c>
      <c r="AA653" s="287"/>
      <c r="AB653" s="287"/>
      <c r="AC653" s="272">
        <f t="shared" si="21"/>
        <v>19000000</v>
      </c>
      <c r="AD653" s="272">
        <v>19000000</v>
      </c>
      <c r="AE653" s="272">
        <f t="shared" si="22"/>
        <v>0</v>
      </c>
      <c r="AF653" s="273"/>
      <c r="AG653" s="274"/>
      <c r="AH653" s="273"/>
      <c r="AI653" s="273"/>
      <c r="AJ653" s="274"/>
      <c r="AK653" s="273"/>
      <c r="AL653" s="275">
        <v>19000000</v>
      </c>
      <c r="AM653" s="290">
        <v>19000000</v>
      </c>
      <c r="AN653" s="275"/>
      <c r="AO653" s="276"/>
      <c r="AP653" s="275"/>
      <c r="AQ653" s="275"/>
      <c r="AR653" s="275"/>
      <c r="AS653" s="275"/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/>
      <c r="BF653" s="275"/>
      <c r="BH653" s="277"/>
    </row>
    <row r="654" spans="1:60" ht="16.5" customHeight="1">
      <c r="A654" s="260">
        <v>632</v>
      </c>
      <c r="B654" s="261"/>
      <c r="C654" s="261"/>
      <c r="D654" s="262" t="s">
        <v>15</v>
      </c>
      <c r="E654" s="262" t="s">
        <v>237</v>
      </c>
      <c r="F654" s="263" t="s">
        <v>15</v>
      </c>
      <c r="G654" s="264" t="s">
        <v>237</v>
      </c>
      <c r="H654" s="281"/>
      <c r="I654" s="265"/>
      <c r="J654" s="266" t="s">
        <v>245</v>
      </c>
      <c r="K654" s="262"/>
      <c r="L654" s="262"/>
      <c r="M654" s="262">
        <v>20729</v>
      </c>
      <c r="N654" s="262" t="s">
        <v>22</v>
      </c>
      <c r="O654" s="262" t="s">
        <v>212</v>
      </c>
      <c r="P654" s="262" t="s">
        <v>57</v>
      </c>
      <c r="Q654" s="262" t="s">
        <v>63</v>
      </c>
      <c r="R654" s="262" t="s">
        <v>28</v>
      </c>
      <c r="S654" s="267" t="s">
        <v>28</v>
      </c>
      <c r="T654" s="268" t="s">
        <v>951</v>
      </c>
      <c r="U654" s="269">
        <v>176206520</v>
      </c>
      <c r="V654" s="269">
        <v>166379200</v>
      </c>
      <c r="W654" s="278">
        <v>147825700</v>
      </c>
      <c r="X654" s="270"/>
      <c r="Y654" s="262" t="s">
        <v>27</v>
      </c>
      <c r="Z654" s="271" t="s">
        <v>27</v>
      </c>
      <c r="AA654" s="287"/>
      <c r="AB654" s="287"/>
      <c r="AC654" s="272">
        <f t="shared" si="21"/>
        <v>159821300</v>
      </c>
      <c r="AD654" s="272">
        <v>159821300</v>
      </c>
      <c r="AE654" s="272">
        <f t="shared" si="22"/>
        <v>0</v>
      </c>
      <c r="AF654" s="273"/>
      <c r="AG654" s="274"/>
      <c r="AH654" s="273" t="s">
        <v>849</v>
      </c>
      <c r="AI654" s="273">
        <v>54000000</v>
      </c>
      <c r="AJ654" s="274">
        <v>13821300</v>
      </c>
      <c r="AK654" s="273" t="s">
        <v>929</v>
      </c>
      <c r="AL654" s="275"/>
      <c r="AM654" s="290"/>
      <c r="AN654" s="275" t="s">
        <v>1000</v>
      </c>
      <c r="AO654" s="276">
        <v>24000000</v>
      </c>
      <c r="AP654" s="275" t="s">
        <v>1039</v>
      </c>
      <c r="AQ654" s="275">
        <v>30000000</v>
      </c>
      <c r="AR654" s="275"/>
      <c r="AS654" s="275">
        <v>23000000</v>
      </c>
      <c r="AT654" s="275"/>
      <c r="AU654" s="275"/>
      <c r="AV654" s="275"/>
      <c r="AW654" s="275">
        <v>23000000</v>
      </c>
      <c r="AX654" s="275"/>
      <c r="AY654" s="275"/>
      <c r="AZ654" s="275"/>
      <c r="BA654" s="275">
        <v>23000000</v>
      </c>
      <c r="BB654" s="275"/>
      <c r="BC654" s="275"/>
      <c r="BD654" s="275"/>
      <c r="BE654" s="275">
        <v>23000000</v>
      </c>
      <c r="BF654" s="275"/>
      <c r="BH654" s="277"/>
    </row>
    <row r="655" spans="1:60" ht="16.5" customHeight="1">
      <c r="A655" s="260">
        <v>633</v>
      </c>
      <c r="B655" s="261"/>
      <c r="C655" s="261"/>
      <c r="D655" s="262"/>
      <c r="E655" s="262"/>
      <c r="F655" s="263" t="s">
        <v>15</v>
      </c>
      <c r="G655" s="264" t="s">
        <v>237</v>
      </c>
      <c r="H655" s="281"/>
      <c r="I655" s="265"/>
      <c r="J655" s="266" t="s">
        <v>245</v>
      </c>
      <c r="K655" s="262"/>
      <c r="L655" s="262"/>
      <c r="M655" s="262">
        <v>20729</v>
      </c>
      <c r="N655" s="262" t="s">
        <v>22</v>
      </c>
      <c r="O655" s="262" t="s">
        <v>56</v>
      </c>
      <c r="P655" s="262" t="s">
        <v>57</v>
      </c>
      <c r="Q655" s="262" t="s">
        <v>61</v>
      </c>
      <c r="R655" s="262" t="s">
        <v>468</v>
      </c>
      <c r="S655" s="267" t="s">
        <v>468</v>
      </c>
      <c r="T655" s="268"/>
      <c r="U655" s="269">
        <v>3520000</v>
      </c>
      <c r="V655" s="269">
        <v>13440000</v>
      </c>
      <c r="W655" s="278">
        <v>0</v>
      </c>
      <c r="X655" s="270"/>
      <c r="Y655" s="262" t="s">
        <v>562</v>
      </c>
      <c r="Z655" s="271" t="s">
        <v>25</v>
      </c>
      <c r="AA655" s="287"/>
      <c r="AB655" s="287"/>
      <c r="AC655" s="272">
        <f t="shared" si="21"/>
        <v>0</v>
      </c>
      <c r="AD655" s="272">
        <v>0</v>
      </c>
      <c r="AE655" s="272">
        <f t="shared" si="22"/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75"/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/>
      <c r="BF655" s="275"/>
      <c r="BH655" s="277"/>
    </row>
    <row r="656" spans="1:60" ht="16.5" customHeight="1">
      <c r="A656" s="260">
        <v>634</v>
      </c>
      <c r="B656" s="261"/>
      <c r="C656" s="261"/>
      <c r="D656" s="262" t="s">
        <v>15</v>
      </c>
      <c r="E656" s="262" t="s">
        <v>237</v>
      </c>
      <c r="F656" s="263" t="s">
        <v>15</v>
      </c>
      <c r="G656" s="264" t="s">
        <v>237</v>
      </c>
      <c r="H656" s="281"/>
      <c r="I656" s="265"/>
      <c r="J656" s="266" t="s">
        <v>997</v>
      </c>
      <c r="K656" s="262"/>
      <c r="L656" s="262"/>
      <c r="M656" s="262">
        <v>46242</v>
      </c>
      <c r="N656" s="262"/>
      <c r="O656" s="262"/>
      <c r="P656" s="262"/>
      <c r="Q656" s="262"/>
      <c r="R656" s="262"/>
      <c r="S656" s="267" t="s">
        <v>826</v>
      </c>
      <c r="T656" s="268"/>
      <c r="U656" s="269"/>
      <c r="V656" s="269"/>
      <c r="W656" s="278">
        <v>7925393</v>
      </c>
      <c r="X656" s="270"/>
      <c r="Y656" s="262"/>
      <c r="Z656" s="271" t="s">
        <v>27</v>
      </c>
      <c r="AA656" s="287"/>
      <c r="AB656" s="287"/>
      <c r="AC656" s="272">
        <f t="shared" si="21"/>
        <v>6999999</v>
      </c>
      <c r="AD656" s="272">
        <v>6999999</v>
      </c>
      <c r="AE656" s="272">
        <f t="shared" si="22"/>
        <v>0</v>
      </c>
      <c r="AF656" s="273"/>
      <c r="AG656" s="274"/>
      <c r="AH656" s="273"/>
      <c r="AI656" s="273"/>
      <c r="AJ656" s="274"/>
      <c r="AK656" s="273"/>
      <c r="AL656" s="275">
        <v>6999999</v>
      </c>
      <c r="AM656" s="290">
        <v>6999999</v>
      </c>
      <c r="AN656" s="275"/>
      <c r="AO656" s="276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/>
      <c r="AZ656" s="275"/>
      <c r="BA656" s="275"/>
      <c r="BB656" s="275"/>
      <c r="BC656" s="275"/>
      <c r="BD656" s="275"/>
      <c r="BE656" s="275"/>
      <c r="BF656" s="275"/>
      <c r="BH656" s="277"/>
    </row>
    <row r="657" spans="1:60" ht="16.5" customHeight="1">
      <c r="A657" s="260">
        <v>635</v>
      </c>
      <c r="B657" s="261"/>
      <c r="C657" s="261"/>
      <c r="D657" s="262" t="s">
        <v>15</v>
      </c>
      <c r="E657" s="262" t="s">
        <v>237</v>
      </c>
      <c r="F657" s="263" t="s">
        <v>15</v>
      </c>
      <c r="G657" s="264" t="s">
        <v>237</v>
      </c>
      <c r="H657" s="281"/>
      <c r="I657" s="265"/>
      <c r="J657" s="266" t="s">
        <v>246</v>
      </c>
      <c r="K657" s="262"/>
      <c r="L657" s="262"/>
      <c r="M657" s="262">
        <v>7747</v>
      </c>
      <c r="N657" s="262" t="s">
        <v>22</v>
      </c>
      <c r="O657" s="262" t="s">
        <v>56</v>
      </c>
      <c r="P657" s="262" t="s">
        <v>124</v>
      </c>
      <c r="Q657" s="262" t="s">
        <v>44</v>
      </c>
      <c r="R657" s="262" t="s">
        <v>469</v>
      </c>
      <c r="S657" s="267" t="s">
        <v>469</v>
      </c>
      <c r="T657" s="268"/>
      <c r="U657" s="269"/>
      <c r="V657" s="269">
        <v>0</v>
      </c>
      <c r="W657" s="278">
        <v>58400000</v>
      </c>
      <c r="X657" s="270"/>
      <c r="Y657" s="262" t="s">
        <v>24</v>
      </c>
      <c r="Z657" s="271" t="s">
        <v>24</v>
      </c>
      <c r="AA657" s="287"/>
      <c r="AB657" s="287"/>
      <c r="AC657" s="272">
        <f t="shared" si="21"/>
        <v>60000000</v>
      </c>
      <c r="AD657" s="272">
        <v>60000000</v>
      </c>
      <c r="AE657" s="272">
        <f t="shared" si="22"/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>
        <v>60000000</v>
      </c>
      <c r="BF657" s="275"/>
      <c r="BH657" s="277"/>
    </row>
    <row r="658" spans="1:60" ht="16.5" customHeight="1">
      <c r="A658" s="260">
        <v>636</v>
      </c>
      <c r="B658" s="261"/>
      <c r="C658" s="261"/>
      <c r="D658" s="262" t="s">
        <v>15</v>
      </c>
      <c r="E658" s="262" t="s">
        <v>237</v>
      </c>
      <c r="F658" s="263" t="s">
        <v>15</v>
      </c>
      <c r="G658" s="264" t="s">
        <v>237</v>
      </c>
      <c r="H658" s="281"/>
      <c r="I658" s="265"/>
      <c r="J658" s="266" t="s">
        <v>766</v>
      </c>
      <c r="K658" s="262"/>
      <c r="L658" s="262"/>
      <c r="M658" s="262">
        <v>7747</v>
      </c>
      <c r="N658" s="262" t="s">
        <v>22</v>
      </c>
      <c r="O658" s="262" t="s">
        <v>35</v>
      </c>
      <c r="P658" s="262" t="s">
        <v>124</v>
      </c>
      <c r="Q658" s="262"/>
      <c r="R658" s="262"/>
      <c r="S658" s="267" t="s">
        <v>830</v>
      </c>
      <c r="T658" s="268"/>
      <c r="U658" s="269"/>
      <c r="V658" s="269"/>
      <c r="W658" s="278">
        <v>0</v>
      </c>
      <c r="X658" s="270"/>
      <c r="Y658" s="262"/>
      <c r="Z658" s="271" t="s">
        <v>25</v>
      </c>
      <c r="AA658" s="287"/>
      <c r="AB658" s="287"/>
      <c r="AC658" s="272">
        <f t="shared" si="21"/>
        <v>10000000</v>
      </c>
      <c r="AD658" s="272">
        <v>10000000</v>
      </c>
      <c r="AE658" s="272">
        <f t="shared" si="22"/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>
        <v>10000000</v>
      </c>
      <c r="AZ658" s="275"/>
      <c r="BA658" s="275"/>
      <c r="BB658" s="275"/>
      <c r="BC658" s="275"/>
      <c r="BD658" s="275"/>
      <c r="BE658" s="275"/>
      <c r="BF658" s="275"/>
      <c r="BH658" s="277"/>
    </row>
    <row r="659" spans="1:60" ht="16.5" customHeight="1">
      <c r="A659" s="260">
        <v>637</v>
      </c>
      <c r="B659" s="261"/>
      <c r="C659" s="261"/>
      <c r="D659" s="262" t="s">
        <v>15</v>
      </c>
      <c r="E659" s="262" t="s">
        <v>237</v>
      </c>
      <c r="F659" s="263" t="s">
        <v>15</v>
      </c>
      <c r="G659" s="264" t="s">
        <v>237</v>
      </c>
      <c r="H659" s="281"/>
      <c r="I659" s="265"/>
      <c r="J659" s="266" t="s">
        <v>247</v>
      </c>
      <c r="K659" s="262"/>
      <c r="L659" s="262"/>
      <c r="M659" s="262">
        <v>7747</v>
      </c>
      <c r="N659" s="262" t="s">
        <v>22</v>
      </c>
      <c r="O659" s="262" t="s">
        <v>212</v>
      </c>
      <c r="P659" s="262" t="s">
        <v>124</v>
      </c>
      <c r="Q659" s="262" t="s">
        <v>44</v>
      </c>
      <c r="R659" s="262" t="s">
        <v>469</v>
      </c>
      <c r="S659" s="267" t="s">
        <v>469</v>
      </c>
      <c r="T659" s="268"/>
      <c r="U659" s="269">
        <v>127420000</v>
      </c>
      <c r="V659" s="269">
        <v>91400000</v>
      </c>
      <c r="W659" s="278">
        <v>60400000</v>
      </c>
      <c r="X659" s="270"/>
      <c r="Y659" s="262" t="s">
        <v>27</v>
      </c>
      <c r="Z659" s="271" t="s">
        <v>562</v>
      </c>
      <c r="AA659" s="287"/>
      <c r="AB659" s="287"/>
      <c r="AC659" s="272">
        <f t="shared" si="21"/>
        <v>0</v>
      </c>
      <c r="AD659" s="272">
        <v>0</v>
      </c>
      <c r="AE659" s="272">
        <f t="shared" si="22"/>
        <v>0</v>
      </c>
      <c r="AF659" s="273">
        <v>60000000</v>
      </c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H659" s="277"/>
    </row>
    <row r="660" spans="1:60" ht="16.5" customHeight="1">
      <c r="A660" s="260">
        <v>638</v>
      </c>
      <c r="B660" s="261"/>
      <c r="C660" s="261"/>
      <c r="D660" s="262" t="s">
        <v>15</v>
      </c>
      <c r="E660" s="262" t="s">
        <v>237</v>
      </c>
      <c r="F660" s="263" t="s">
        <v>15</v>
      </c>
      <c r="G660" s="264" t="s">
        <v>237</v>
      </c>
      <c r="H660" s="281"/>
      <c r="I660" s="265"/>
      <c r="J660" s="266" t="s">
        <v>248</v>
      </c>
      <c r="K660" s="262"/>
      <c r="L660" s="262"/>
      <c r="M660" s="262">
        <v>7747</v>
      </c>
      <c r="N660" s="262" t="s">
        <v>22</v>
      </c>
      <c r="O660" s="262" t="s">
        <v>56</v>
      </c>
      <c r="P660" s="262" t="s">
        <v>124</v>
      </c>
      <c r="Q660" s="262" t="s">
        <v>44</v>
      </c>
      <c r="R660" s="262" t="s">
        <v>469</v>
      </c>
      <c r="S660" s="267" t="s">
        <v>469</v>
      </c>
      <c r="T660" s="268"/>
      <c r="U660" s="269"/>
      <c r="V660" s="269">
        <v>0</v>
      </c>
      <c r="W660" s="278">
        <v>1875000</v>
      </c>
      <c r="X660" s="270"/>
      <c r="Y660" s="262" t="s">
        <v>27</v>
      </c>
      <c r="Z660" s="271" t="s">
        <v>24</v>
      </c>
      <c r="AA660" s="287"/>
      <c r="AB660" s="287"/>
      <c r="AC660" s="272">
        <f t="shared" si="21"/>
        <v>2000000</v>
      </c>
      <c r="AD660" s="272">
        <v>2000000</v>
      </c>
      <c r="AE660" s="272">
        <f t="shared" si="22"/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>
        <v>2000000</v>
      </c>
      <c r="BD660" s="275"/>
      <c r="BE660" s="275"/>
      <c r="BF660" s="275"/>
      <c r="BH660" s="277"/>
    </row>
    <row r="661" spans="1:60" ht="16.5" customHeight="1">
      <c r="A661" s="260">
        <v>639</v>
      </c>
      <c r="B661" s="261"/>
      <c r="C661" s="261"/>
      <c r="D661" s="262" t="s">
        <v>15</v>
      </c>
      <c r="E661" s="262" t="s">
        <v>237</v>
      </c>
      <c r="F661" s="263" t="s">
        <v>15</v>
      </c>
      <c r="G661" s="264" t="s">
        <v>237</v>
      </c>
      <c r="H661" s="281"/>
      <c r="I661" s="265"/>
      <c r="J661" s="266" t="s">
        <v>767</v>
      </c>
      <c r="K661" s="262"/>
      <c r="L661" s="262"/>
      <c r="M661" s="262">
        <v>7747</v>
      </c>
      <c r="N661" s="262" t="s">
        <v>22</v>
      </c>
      <c r="O661" s="262" t="s">
        <v>35</v>
      </c>
      <c r="P661" s="262" t="s">
        <v>124</v>
      </c>
      <c r="Q661" s="262"/>
      <c r="R661" s="262"/>
      <c r="S661" s="267" t="s">
        <v>469</v>
      </c>
      <c r="T661" s="268"/>
      <c r="U661" s="269"/>
      <c r="V661" s="269"/>
      <c r="W661" s="278">
        <v>0</v>
      </c>
      <c r="X661" s="270"/>
      <c r="Y661" s="262"/>
      <c r="Z661" s="271" t="s">
        <v>25</v>
      </c>
      <c r="AA661" s="287"/>
      <c r="AB661" s="287"/>
      <c r="AC661" s="272">
        <f t="shared" si="21"/>
        <v>30000000</v>
      </c>
      <c r="AD661" s="272">
        <v>30000000</v>
      </c>
      <c r="AE661" s="272">
        <f t="shared" si="22"/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>
        <v>30000000</v>
      </c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customHeight="1">
      <c r="A662" s="260">
        <v>640</v>
      </c>
      <c r="B662" s="261"/>
      <c r="C662" s="261"/>
      <c r="D662" s="262" t="s">
        <v>15</v>
      </c>
      <c r="E662" s="262" t="s">
        <v>237</v>
      </c>
      <c r="F662" s="263" t="s">
        <v>15</v>
      </c>
      <c r="G662" s="264" t="s">
        <v>237</v>
      </c>
      <c r="H662" s="281"/>
      <c r="I662" s="265"/>
      <c r="J662" s="266" t="s">
        <v>249</v>
      </c>
      <c r="K662" s="262"/>
      <c r="L662" s="262"/>
      <c r="M662" s="262">
        <v>7747</v>
      </c>
      <c r="N662" s="262" t="s">
        <v>22</v>
      </c>
      <c r="O662" s="262" t="s">
        <v>35</v>
      </c>
      <c r="P662" s="262" t="s">
        <v>124</v>
      </c>
      <c r="Q662" s="262" t="s">
        <v>26</v>
      </c>
      <c r="R662" s="262" t="s">
        <v>468</v>
      </c>
      <c r="S662" s="267" t="s">
        <v>468</v>
      </c>
      <c r="T662" s="268"/>
      <c r="U662" s="269"/>
      <c r="V662" s="269">
        <v>18263000</v>
      </c>
      <c r="W662" s="278">
        <v>0</v>
      </c>
      <c r="X662" s="270"/>
      <c r="Y662" s="262" t="s">
        <v>25</v>
      </c>
      <c r="Z662" s="271" t="s">
        <v>25</v>
      </c>
      <c r="AA662" s="287"/>
      <c r="AB662" s="287"/>
      <c r="AC662" s="272">
        <f t="shared" si="21"/>
        <v>10000000</v>
      </c>
      <c r="AD662" s="272">
        <v>10000000</v>
      </c>
      <c r="AE662" s="272">
        <f t="shared" si="22"/>
        <v>0</v>
      </c>
      <c r="AF662" s="273"/>
      <c r="AG662" s="274"/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>
        <v>10000000</v>
      </c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customHeight="1">
      <c r="A663" s="260">
        <v>641</v>
      </c>
      <c r="B663" s="261"/>
      <c r="C663" s="261"/>
      <c r="D663" s="262" t="s">
        <v>15</v>
      </c>
      <c r="E663" s="262" t="s">
        <v>237</v>
      </c>
      <c r="F663" s="263" t="s">
        <v>15</v>
      </c>
      <c r="G663" s="264" t="s">
        <v>237</v>
      </c>
      <c r="H663" s="281"/>
      <c r="I663" s="265"/>
      <c r="J663" s="266" t="s">
        <v>768</v>
      </c>
      <c r="K663" s="262"/>
      <c r="L663" s="262"/>
      <c r="M663" s="262">
        <v>342</v>
      </c>
      <c r="N663" s="262" t="s">
        <v>22</v>
      </c>
      <c r="O663" s="262" t="s">
        <v>35</v>
      </c>
      <c r="P663" s="262" t="s">
        <v>124</v>
      </c>
      <c r="Q663" s="262"/>
      <c r="R663" s="262"/>
      <c r="S663" s="267" t="s">
        <v>830</v>
      </c>
      <c r="T663" s="268"/>
      <c r="U663" s="269"/>
      <c r="V663" s="269"/>
      <c r="W663" s="278">
        <v>0</v>
      </c>
      <c r="X663" s="270"/>
      <c r="Y663" s="262"/>
      <c r="Z663" s="271" t="s">
        <v>25</v>
      </c>
      <c r="AA663" s="287"/>
      <c r="AB663" s="287"/>
      <c r="AC663" s="272">
        <f t="shared" ref="AC663:AC726" si="23">AG663+AJ663+AM663+AO663+AQ663+AS663+AU663+AW663+AY663+BA663+BC663+BE663</f>
        <v>30000000</v>
      </c>
      <c r="AD663" s="272">
        <v>30000000</v>
      </c>
      <c r="AE663" s="272">
        <f t="shared" ref="AE663:AE726" si="24">AC663-AD663</f>
        <v>0</v>
      </c>
      <c r="AF663" s="273"/>
      <c r="AG663" s="274"/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/>
      <c r="AT663" s="275"/>
      <c r="AU663" s="275"/>
      <c r="AV663" s="275"/>
      <c r="AW663" s="275"/>
      <c r="AX663" s="275"/>
      <c r="AY663" s="275">
        <v>30000000</v>
      </c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customHeight="1">
      <c r="A664" s="260">
        <v>642</v>
      </c>
      <c r="B664" s="261"/>
      <c r="C664" s="261"/>
      <c r="D664" s="262" t="s">
        <v>15</v>
      </c>
      <c r="E664" s="262" t="s">
        <v>237</v>
      </c>
      <c r="F664" s="263" t="s">
        <v>15</v>
      </c>
      <c r="G664" s="264" t="s">
        <v>237</v>
      </c>
      <c r="H664" s="281"/>
      <c r="I664" s="265"/>
      <c r="J664" s="266" t="s">
        <v>769</v>
      </c>
      <c r="K664" s="262"/>
      <c r="L664" s="262"/>
      <c r="M664" s="262">
        <v>342</v>
      </c>
      <c r="N664" s="262" t="s">
        <v>22</v>
      </c>
      <c r="O664" s="262" t="s">
        <v>35</v>
      </c>
      <c r="P664" s="262" t="s">
        <v>124</v>
      </c>
      <c r="Q664" s="262"/>
      <c r="R664" s="262"/>
      <c r="S664" s="267" t="s">
        <v>468</v>
      </c>
      <c r="T664" s="268"/>
      <c r="U664" s="269"/>
      <c r="V664" s="269"/>
      <c r="W664" s="278">
        <v>0</v>
      </c>
      <c r="X664" s="270"/>
      <c r="Y664" s="262"/>
      <c r="Z664" s="271" t="s">
        <v>25</v>
      </c>
      <c r="AA664" s="287"/>
      <c r="AB664" s="287"/>
      <c r="AC664" s="272">
        <f t="shared" si="23"/>
        <v>10000000</v>
      </c>
      <c r="AD664" s="272">
        <v>10000000</v>
      </c>
      <c r="AE664" s="272">
        <f t="shared" si="24"/>
        <v>0</v>
      </c>
      <c r="AF664" s="273"/>
      <c r="AG664" s="274"/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>
        <v>10000000</v>
      </c>
      <c r="AR664" s="275"/>
      <c r="AS664" s="275"/>
      <c r="AT664" s="275"/>
      <c r="AU664" s="275"/>
      <c r="AV664" s="275"/>
      <c r="AW664" s="275"/>
      <c r="AX664" s="275"/>
      <c r="AY664" s="275"/>
      <c r="AZ664" s="275"/>
      <c r="BA664" s="275"/>
      <c r="BB664" s="275"/>
      <c r="BC664" s="275"/>
      <c r="BD664" s="275"/>
      <c r="BE664" s="275"/>
      <c r="BF664" s="275"/>
      <c r="BH664" s="277"/>
    </row>
    <row r="665" spans="1:60" ht="16.5" customHeight="1">
      <c r="A665" s="260">
        <v>643</v>
      </c>
      <c r="B665" s="261"/>
      <c r="C665" s="261"/>
      <c r="D665" s="262" t="s">
        <v>15</v>
      </c>
      <c r="E665" s="262" t="s">
        <v>237</v>
      </c>
      <c r="F665" s="263" t="s">
        <v>15</v>
      </c>
      <c r="G665" s="264" t="s">
        <v>237</v>
      </c>
      <c r="H665" s="281"/>
      <c r="I665" s="265"/>
      <c r="J665" s="266" t="s">
        <v>769</v>
      </c>
      <c r="K665" s="262"/>
      <c r="L665" s="262"/>
      <c r="M665" s="262">
        <v>342</v>
      </c>
      <c r="N665" s="262" t="s">
        <v>22</v>
      </c>
      <c r="O665" s="262" t="s">
        <v>35</v>
      </c>
      <c r="P665" s="262" t="s">
        <v>124</v>
      </c>
      <c r="Q665" s="262"/>
      <c r="R665" s="262"/>
      <c r="S665" s="267" t="s">
        <v>822</v>
      </c>
      <c r="T665" s="268"/>
      <c r="U665" s="269"/>
      <c r="V665" s="269"/>
      <c r="W665" s="278">
        <v>0</v>
      </c>
      <c r="X665" s="270"/>
      <c r="Y665" s="262"/>
      <c r="Z665" s="271" t="s">
        <v>25</v>
      </c>
      <c r="AA665" s="287"/>
      <c r="AB665" s="287"/>
      <c r="AC665" s="272">
        <f t="shared" si="23"/>
        <v>10000000</v>
      </c>
      <c r="AD665" s="272">
        <v>10000000</v>
      </c>
      <c r="AE665" s="272">
        <f t="shared" si="24"/>
        <v>0</v>
      </c>
      <c r="AF665" s="273"/>
      <c r="AG665" s="274"/>
      <c r="AH665" s="273"/>
      <c r="AI665" s="273"/>
      <c r="AJ665" s="274"/>
      <c r="AK665" s="273"/>
      <c r="AL665" s="275"/>
      <c r="AM665" s="290"/>
      <c r="AN665" s="275"/>
      <c r="AO665" s="276"/>
      <c r="AP665" s="275"/>
      <c r="AQ665" s="275">
        <v>10000000</v>
      </c>
      <c r="AR665" s="275"/>
      <c r="AS665" s="275"/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/>
      <c r="BF665" s="275"/>
      <c r="BH665" s="277"/>
    </row>
    <row r="666" spans="1:60" ht="16.5" customHeight="1">
      <c r="A666" s="260">
        <v>644</v>
      </c>
      <c r="B666" s="261"/>
      <c r="C666" s="261"/>
      <c r="D666" s="262" t="s">
        <v>15</v>
      </c>
      <c r="E666" s="262" t="s">
        <v>237</v>
      </c>
      <c r="F666" s="263" t="s">
        <v>15</v>
      </c>
      <c r="G666" s="264" t="s">
        <v>237</v>
      </c>
      <c r="H666" s="281"/>
      <c r="I666" s="265"/>
      <c r="J666" s="266" t="s">
        <v>770</v>
      </c>
      <c r="K666" s="262"/>
      <c r="L666" s="262"/>
      <c r="M666" s="262">
        <v>342</v>
      </c>
      <c r="N666" s="262" t="s">
        <v>22</v>
      </c>
      <c r="O666" s="262" t="s">
        <v>35</v>
      </c>
      <c r="P666" s="262" t="s">
        <v>124</v>
      </c>
      <c r="Q666" s="262"/>
      <c r="R666" s="262"/>
      <c r="S666" s="267" t="s">
        <v>468</v>
      </c>
      <c r="T666" s="268"/>
      <c r="U666" s="269"/>
      <c r="V666" s="269"/>
      <c r="W666" s="278">
        <v>5390000</v>
      </c>
      <c r="X666" s="270"/>
      <c r="Y666" s="262"/>
      <c r="Z666" s="271" t="s">
        <v>25</v>
      </c>
      <c r="AA666" s="287"/>
      <c r="AB666" s="287"/>
      <c r="AC666" s="272">
        <f t="shared" si="23"/>
        <v>20000000</v>
      </c>
      <c r="AD666" s="272">
        <v>20000000</v>
      </c>
      <c r="AE666" s="272">
        <f t="shared" si="24"/>
        <v>0</v>
      </c>
      <c r="AF666" s="273"/>
      <c r="AG666" s="274"/>
      <c r="AH666" s="273"/>
      <c r="AI666" s="273"/>
      <c r="AJ666" s="274"/>
      <c r="AK666" s="273"/>
      <c r="AL666" s="275"/>
      <c r="AM666" s="290"/>
      <c r="AN666" s="275"/>
      <c r="AO666" s="276"/>
      <c r="AP666" s="275"/>
      <c r="AQ666" s="275"/>
      <c r="AR666" s="275"/>
      <c r="AS666" s="275">
        <v>20000000</v>
      </c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/>
      <c r="BF666" s="275"/>
      <c r="BH666" s="277"/>
    </row>
    <row r="667" spans="1:60" ht="16.5" customHeight="1">
      <c r="A667" s="260">
        <v>645</v>
      </c>
      <c r="B667" s="261"/>
      <c r="C667" s="261"/>
      <c r="D667" s="262" t="s">
        <v>15</v>
      </c>
      <c r="E667" s="262" t="s">
        <v>237</v>
      </c>
      <c r="F667" s="263" t="s">
        <v>15</v>
      </c>
      <c r="G667" s="264" t="s">
        <v>237</v>
      </c>
      <c r="H667" s="281"/>
      <c r="I667" s="265"/>
      <c r="J667" s="266" t="s">
        <v>686</v>
      </c>
      <c r="K667" s="262"/>
      <c r="L667" s="262"/>
      <c r="M667" s="262">
        <v>342</v>
      </c>
      <c r="N667" s="262" t="s">
        <v>22</v>
      </c>
      <c r="O667" s="262" t="s">
        <v>35</v>
      </c>
      <c r="P667" s="262"/>
      <c r="Q667" s="262"/>
      <c r="R667" s="262" t="s">
        <v>480</v>
      </c>
      <c r="S667" s="267" t="s">
        <v>480</v>
      </c>
      <c r="T667" s="268"/>
      <c r="U667" s="269"/>
      <c r="V667" s="269"/>
      <c r="W667" s="278">
        <v>0</v>
      </c>
      <c r="X667" s="270"/>
      <c r="Y667" s="262" t="s">
        <v>25</v>
      </c>
      <c r="Z667" s="271" t="s">
        <v>599</v>
      </c>
      <c r="AA667" s="287"/>
      <c r="AB667" s="287"/>
      <c r="AC667" s="272">
        <f t="shared" si="23"/>
        <v>0</v>
      </c>
      <c r="AD667" s="272">
        <v>0</v>
      </c>
      <c r="AE667" s="272">
        <f t="shared" si="24"/>
        <v>0</v>
      </c>
      <c r="AF667" s="273"/>
      <c r="AG667" s="274"/>
      <c r="AH667" s="273"/>
      <c r="AI667" s="273"/>
      <c r="AJ667" s="274"/>
      <c r="AK667" s="273"/>
      <c r="AL667" s="275"/>
      <c r="AM667" s="290"/>
      <c r="AN667" s="275"/>
      <c r="AO667" s="276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H667" s="277"/>
    </row>
    <row r="668" spans="1:60" ht="16.5" customHeight="1">
      <c r="A668" s="260">
        <v>646</v>
      </c>
      <c r="B668" s="261"/>
      <c r="C668" s="261"/>
      <c r="D668" s="262" t="s">
        <v>15</v>
      </c>
      <c r="E668" s="262" t="s">
        <v>237</v>
      </c>
      <c r="F668" s="263" t="s">
        <v>15</v>
      </c>
      <c r="G668" s="264" t="s">
        <v>237</v>
      </c>
      <c r="H668" s="281"/>
      <c r="I668" s="265"/>
      <c r="J668" s="266" t="s">
        <v>998</v>
      </c>
      <c r="K668" s="262"/>
      <c r="L668" s="262"/>
      <c r="M668" s="262">
        <v>342</v>
      </c>
      <c r="N668" s="262" t="s">
        <v>22</v>
      </c>
      <c r="O668" s="262" t="s">
        <v>35</v>
      </c>
      <c r="P668" s="262" t="s">
        <v>124</v>
      </c>
      <c r="Q668" s="262"/>
      <c r="R668" s="262" t="s">
        <v>469</v>
      </c>
      <c r="S668" s="267" t="s">
        <v>469</v>
      </c>
      <c r="T668" s="268"/>
      <c r="U668" s="269"/>
      <c r="V668" s="269"/>
      <c r="W668" s="278">
        <v>4000000</v>
      </c>
      <c r="X668" s="270"/>
      <c r="Y668" s="262" t="s">
        <v>27</v>
      </c>
      <c r="Z668" s="271" t="s">
        <v>27</v>
      </c>
      <c r="AA668" s="287"/>
      <c r="AB668" s="287"/>
      <c r="AC668" s="272">
        <f t="shared" si="23"/>
        <v>2000000</v>
      </c>
      <c r="AD668" s="272">
        <v>2000000</v>
      </c>
      <c r="AE668" s="272">
        <f t="shared" si="24"/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75">
        <v>2000000</v>
      </c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/>
      <c r="BF668" s="275"/>
      <c r="BH668" s="277"/>
    </row>
    <row r="669" spans="1:60" ht="16.5" customHeight="1">
      <c r="A669" s="260">
        <v>647</v>
      </c>
      <c r="B669" s="261"/>
      <c r="C669" s="261"/>
      <c r="D669" s="262" t="s">
        <v>15</v>
      </c>
      <c r="E669" s="262" t="s">
        <v>237</v>
      </c>
      <c r="F669" s="263" t="s">
        <v>15</v>
      </c>
      <c r="G669" s="264" t="s">
        <v>237</v>
      </c>
      <c r="H669" s="281"/>
      <c r="I669" s="265"/>
      <c r="J669" s="266" t="s">
        <v>250</v>
      </c>
      <c r="K669" s="262"/>
      <c r="L669" s="262"/>
      <c r="M669" s="262">
        <v>342</v>
      </c>
      <c r="N669" s="262" t="s">
        <v>22</v>
      </c>
      <c r="O669" s="262" t="s">
        <v>56</v>
      </c>
      <c r="P669" s="262" t="s">
        <v>124</v>
      </c>
      <c r="Q669" s="262" t="s">
        <v>44</v>
      </c>
      <c r="R669" s="262" t="s">
        <v>469</v>
      </c>
      <c r="S669" s="267" t="s">
        <v>469</v>
      </c>
      <c r="T669" s="268"/>
      <c r="U669" s="269">
        <v>6000000</v>
      </c>
      <c r="V669" s="269">
        <v>79000000</v>
      </c>
      <c r="W669" s="278">
        <v>0</v>
      </c>
      <c r="X669" s="270"/>
      <c r="Y669" s="262" t="s">
        <v>74</v>
      </c>
      <c r="Z669" s="271" t="s">
        <v>74</v>
      </c>
      <c r="AA669" s="287"/>
      <c r="AB669" s="287"/>
      <c r="AC669" s="272">
        <f t="shared" si="23"/>
        <v>0</v>
      </c>
      <c r="AD669" s="272">
        <v>0</v>
      </c>
      <c r="AE669" s="272">
        <f t="shared" si="24"/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/>
      <c r="BB669" s="275"/>
      <c r="BC669" s="275"/>
      <c r="BD669" s="275"/>
      <c r="BE669" s="275"/>
      <c r="BF669" s="275"/>
      <c r="BH669" s="277"/>
    </row>
    <row r="670" spans="1:60" ht="16.5" customHeight="1">
      <c r="A670" s="260">
        <v>648</v>
      </c>
      <c r="B670" s="261"/>
      <c r="C670" s="261"/>
      <c r="D670" s="262" t="s">
        <v>15</v>
      </c>
      <c r="E670" s="262" t="s">
        <v>237</v>
      </c>
      <c r="F670" s="263" t="s">
        <v>15</v>
      </c>
      <c r="G670" s="264" t="s">
        <v>237</v>
      </c>
      <c r="H670" s="281"/>
      <c r="I670" s="265"/>
      <c r="J670" s="266" t="s">
        <v>250</v>
      </c>
      <c r="K670" s="262"/>
      <c r="L670" s="262"/>
      <c r="M670" s="262">
        <v>342</v>
      </c>
      <c r="N670" s="262" t="s">
        <v>22</v>
      </c>
      <c r="O670" s="262" t="s">
        <v>56</v>
      </c>
      <c r="P670" s="262" t="s">
        <v>124</v>
      </c>
      <c r="Q670" s="262"/>
      <c r="R670" s="262" t="s">
        <v>468</v>
      </c>
      <c r="S670" s="267" t="s">
        <v>468</v>
      </c>
      <c r="T670" s="268"/>
      <c r="U670" s="269"/>
      <c r="V670" s="269">
        <v>0</v>
      </c>
      <c r="W670" s="278"/>
      <c r="X670" s="270"/>
      <c r="Y670" s="262" t="s">
        <v>74</v>
      </c>
      <c r="Z670" s="271" t="s">
        <v>25</v>
      </c>
      <c r="AA670" s="287"/>
      <c r="AB670" s="287"/>
      <c r="AC670" s="272">
        <f t="shared" si="23"/>
        <v>30000000</v>
      </c>
      <c r="AD670" s="272">
        <v>30000000</v>
      </c>
      <c r="AE670" s="272">
        <f t="shared" si="24"/>
        <v>0</v>
      </c>
      <c r="AF670" s="273"/>
      <c r="AG670" s="274"/>
      <c r="AH670" s="273"/>
      <c r="AI670" s="273"/>
      <c r="AJ670" s="274"/>
      <c r="AK670" s="273"/>
      <c r="AL670" s="275"/>
      <c r="AM670" s="290"/>
      <c r="AN670" s="275"/>
      <c r="AO670" s="276"/>
      <c r="AP670" s="275"/>
      <c r="AQ670" s="275"/>
      <c r="AR670" s="275"/>
      <c r="AS670" s="275"/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>
        <v>30000000</v>
      </c>
      <c r="BD670" s="275"/>
      <c r="BE670" s="275"/>
      <c r="BF670" s="275"/>
      <c r="BH670" s="277"/>
    </row>
    <row r="671" spans="1:60" ht="16.5" customHeight="1">
      <c r="A671" s="260">
        <v>649</v>
      </c>
      <c r="B671" s="261"/>
      <c r="C671" s="261"/>
      <c r="D671" s="262" t="s">
        <v>15</v>
      </c>
      <c r="E671" s="262" t="s">
        <v>237</v>
      </c>
      <c r="F671" s="263" t="s">
        <v>15</v>
      </c>
      <c r="G671" s="264" t="s">
        <v>237</v>
      </c>
      <c r="H671" s="281"/>
      <c r="I671" s="265"/>
      <c r="J671" s="266" t="s">
        <v>771</v>
      </c>
      <c r="K671" s="262"/>
      <c r="L671" s="262"/>
      <c r="M671" s="262">
        <v>342</v>
      </c>
      <c r="N671" s="262" t="s">
        <v>22</v>
      </c>
      <c r="O671" s="262" t="s">
        <v>35</v>
      </c>
      <c r="P671" s="262" t="s">
        <v>124</v>
      </c>
      <c r="Q671" s="262"/>
      <c r="R671" s="262"/>
      <c r="S671" s="267" t="s">
        <v>822</v>
      </c>
      <c r="T671" s="268"/>
      <c r="U671" s="269"/>
      <c r="V671" s="269"/>
      <c r="W671" s="278">
        <v>0</v>
      </c>
      <c r="X671" s="270"/>
      <c r="Y671" s="262"/>
      <c r="Z671" s="271" t="s">
        <v>25</v>
      </c>
      <c r="AA671" s="287"/>
      <c r="AB671" s="287"/>
      <c r="AC671" s="272">
        <f t="shared" si="23"/>
        <v>10000000</v>
      </c>
      <c r="AD671" s="272">
        <v>10000000</v>
      </c>
      <c r="AE671" s="272">
        <f t="shared" si="24"/>
        <v>0</v>
      </c>
      <c r="AF671" s="273"/>
      <c r="AG671" s="274"/>
      <c r="AH671" s="273"/>
      <c r="AI671" s="273"/>
      <c r="AJ671" s="274"/>
      <c r="AK671" s="273"/>
      <c r="AL671" s="275"/>
      <c r="AM671" s="290"/>
      <c r="AN671" s="275"/>
      <c r="AO671" s="276"/>
      <c r="AP671" s="275"/>
      <c r="AQ671" s="275">
        <v>10000000</v>
      </c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/>
      <c r="BF671" s="275"/>
      <c r="BH671" s="277"/>
    </row>
    <row r="672" spans="1:60" ht="16.5" customHeight="1">
      <c r="A672" s="260">
        <v>650</v>
      </c>
      <c r="B672" s="261"/>
      <c r="C672" s="261"/>
      <c r="D672" s="262" t="s">
        <v>15</v>
      </c>
      <c r="E672" s="262" t="s">
        <v>237</v>
      </c>
      <c r="F672" s="263" t="s">
        <v>15</v>
      </c>
      <c r="G672" s="264" t="s">
        <v>237</v>
      </c>
      <c r="H672" s="281"/>
      <c r="I672" s="265"/>
      <c r="J672" s="266" t="s">
        <v>771</v>
      </c>
      <c r="K672" s="262"/>
      <c r="L672" s="262"/>
      <c r="M672" s="262">
        <v>342</v>
      </c>
      <c r="N672" s="262" t="s">
        <v>22</v>
      </c>
      <c r="O672" s="262" t="s">
        <v>35</v>
      </c>
      <c r="P672" s="262" t="s">
        <v>124</v>
      </c>
      <c r="Q672" s="262"/>
      <c r="R672" s="262"/>
      <c r="S672" s="267" t="s">
        <v>828</v>
      </c>
      <c r="T672" s="268"/>
      <c r="U672" s="269"/>
      <c r="V672" s="269"/>
      <c r="W672" s="278">
        <v>0</v>
      </c>
      <c r="X672" s="270"/>
      <c r="Y672" s="262"/>
      <c r="Z672" s="271" t="s">
        <v>25</v>
      </c>
      <c r="AA672" s="287"/>
      <c r="AB672" s="287"/>
      <c r="AC672" s="272">
        <f t="shared" si="23"/>
        <v>30000000</v>
      </c>
      <c r="AD672" s="272">
        <v>30000000</v>
      </c>
      <c r="AE672" s="272">
        <f t="shared" si="24"/>
        <v>0</v>
      </c>
      <c r="AF672" s="273"/>
      <c r="AG672" s="274"/>
      <c r="AH672" s="273"/>
      <c r="AI672" s="273"/>
      <c r="AJ672" s="274"/>
      <c r="AK672" s="273"/>
      <c r="AL672" s="275"/>
      <c r="AM672" s="290"/>
      <c r="AN672" s="275"/>
      <c r="AO672" s="276"/>
      <c r="AP672" s="275"/>
      <c r="AQ672" s="275">
        <v>30000000</v>
      </c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/>
      <c r="BF672" s="275"/>
      <c r="BH672" s="277"/>
    </row>
    <row r="673" spans="1:60" ht="16.5" customHeight="1">
      <c r="A673" s="260">
        <v>651</v>
      </c>
      <c r="B673" s="261"/>
      <c r="C673" s="261"/>
      <c r="D673" s="262" t="s">
        <v>15</v>
      </c>
      <c r="E673" s="262" t="s">
        <v>237</v>
      </c>
      <c r="F673" s="263" t="s">
        <v>15</v>
      </c>
      <c r="G673" s="264" t="s">
        <v>237</v>
      </c>
      <c r="H673" s="281"/>
      <c r="I673" s="265"/>
      <c r="J673" s="266" t="s">
        <v>968</v>
      </c>
      <c r="K673" s="262"/>
      <c r="L673" s="262"/>
      <c r="M673" s="262">
        <v>342</v>
      </c>
      <c r="N673" s="262" t="s">
        <v>22</v>
      </c>
      <c r="O673" s="262" t="s">
        <v>56</v>
      </c>
      <c r="P673" s="262" t="s">
        <v>124</v>
      </c>
      <c r="Q673" s="262"/>
      <c r="R673" s="262" t="s">
        <v>468</v>
      </c>
      <c r="S673" s="267" t="s">
        <v>468</v>
      </c>
      <c r="T673" s="268"/>
      <c r="U673" s="269"/>
      <c r="V673" s="269">
        <v>0</v>
      </c>
      <c r="W673" s="278">
        <v>35600000</v>
      </c>
      <c r="X673" s="270"/>
      <c r="Y673" s="262" t="s">
        <v>27</v>
      </c>
      <c r="Z673" s="271" t="s">
        <v>27</v>
      </c>
      <c r="AA673" s="287"/>
      <c r="AB673" s="287"/>
      <c r="AC673" s="272">
        <f t="shared" si="23"/>
        <v>22000000</v>
      </c>
      <c r="AD673" s="272">
        <v>22000000</v>
      </c>
      <c r="AE673" s="272">
        <f t="shared" si="24"/>
        <v>0</v>
      </c>
      <c r="AF673" s="273"/>
      <c r="AG673" s="274"/>
      <c r="AH673" s="273"/>
      <c r="AI673" s="273">
        <v>2800000</v>
      </c>
      <c r="AJ673" s="274"/>
      <c r="AK673" s="273" t="s">
        <v>930</v>
      </c>
      <c r="AL673" s="275">
        <v>2800000</v>
      </c>
      <c r="AM673" s="290">
        <v>2800000</v>
      </c>
      <c r="AN673" s="275"/>
      <c r="AO673" s="276">
        <v>4800000</v>
      </c>
      <c r="AP673" s="275"/>
      <c r="AQ673" s="275"/>
      <c r="AR673" s="275"/>
      <c r="AS673" s="275">
        <v>4800000</v>
      </c>
      <c r="AT673" s="275"/>
      <c r="AU673" s="275"/>
      <c r="AV673" s="275"/>
      <c r="AW673" s="275">
        <v>4800000</v>
      </c>
      <c r="AX673" s="275"/>
      <c r="AY673" s="275"/>
      <c r="AZ673" s="275"/>
      <c r="BA673" s="275">
        <v>4800000</v>
      </c>
      <c r="BB673" s="275"/>
      <c r="BC673" s="275"/>
      <c r="BD673" s="275"/>
      <c r="BE673" s="275"/>
      <c r="BF673" s="275"/>
      <c r="BH673" s="277"/>
    </row>
    <row r="674" spans="1:60" ht="16.5" customHeight="1">
      <c r="A674" s="260">
        <v>652</v>
      </c>
      <c r="B674" s="261"/>
      <c r="C674" s="261"/>
      <c r="D674" s="262" t="s">
        <v>15</v>
      </c>
      <c r="E674" s="262" t="s">
        <v>237</v>
      </c>
      <c r="F674" s="263" t="s">
        <v>15</v>
      </c>
      <c r="G674" s="264" t="s">
        <v>237</v>
      </c>
      <c r="H674" s="281"/>
      <c r="I674" s="265"/>
      <c r="J674" s="266" t="s">
        <v>968</v>
      </c>
      <c r="K674" s="262"/>
      <c r="L674" s="262"/>
      <c r="M674" s="262">
        <v>342</v>
      </c>
      <c r="N674" s="262" t="s">
        <v>22</v>
      </c>
      <c r="O674" s="262" t="s">
        <v>56</v>
      </c>
      <c r="P674" s="262" t="s">
        <v>124</v>
      </c>
      <c r="Q674" s="262"/>
      <c r="R674" s="262" t="s">
        <v>468</v>
      </c>
      <c r="S674" s="267" t="s">
        <v>468</v>
      </c>
      <c r="T674" s="268"/>
      <c r="U674" s="269"/>
      <c r="V674" s="269">
        <v>0</v>
      </c>
      <c r="W674" s="278">
        <v>0</v>
      </c>
      <c r="X674" s="270"/>
      <c r="Y674" s="262" t="s">
        <v>27</v>
      </c>
      <c r="Z674" s="271" t="s">
        <v>24</v>
      </c>
      <c r="AA674" s="287"/>
      <c r="AB674" s="287"/>
      <c r="AC674" s="272">
        <f t="shared" si="23"/>
        <v>12000000</v>
      </c>
      <c r="AD674" s="272">
        <v>12000000</v>
      </c>
      <c r="AE674" s="272">
        <f t="shared" si="24"/>
        <v>0</v>
      </c>
      <c r="AF674" s="273"/>
      <c r="AG674" s="274"/>
      <c r="AH674" s="273"/>
      <c r="AI674" s="273"/>
      <c r="AJ674" s="274"/>
      <c r="AK674" s="273"/>
      <c r="AL674" s="275"/>
      <c r="AM674" s="290"/>
      <c r="AN674" s="275"/>
      <c r="AO674" s="276"/>
      <c r="AP674" s="275"/>
      <c r="AQ674" s="275"/>
      <c r="AR674" s="275"/>
      <c r="AS674" s="275"/>
      <c r="AT674" s="275"/>
      <c r="AU674" s="275"/>
      <c r="AV674" s="275"/>
      <c r="AW674" s="275"/>
      <c r="AX674" s="275"/>
      <c r="AY674" s="275"/>
      <c r="AZ674" s="275"/>
      <c r="BA674" s="275"/>
      <c r="BB674" s="275"/>
      <c r="BC674" s="275">
        <v>12000000</v>
      </c>
      <c r="BD674" s="275"/>
      <c r="BE674" s="275"/>
      <c r="BF674" s="275"/>
      <c r="BH674" s="277"/>
    </row>
    <row r="675" spans="1:60" ht="16.5" customHeight="1">
      <c r="A675" s="260">
        <v>653</v>
      </c>
      <c r="B675" s="261"/>
      <c r="C675" s="261"/>
      <c r="D675" s="262" t="s">
        <v>15</v>
      </c>
      <c r="E675" s="262" t="s">
        <v>237</v>
      </c>
      <c r="F675" s="263" t="s">
        <v>15</v>
      </c>
      <c r="G675" s="264" t="s">
        <v>237</v>
      </c>
      <c r="H675" s="281"/>
      <c r="I675" s="265"/>
      <c r="J675" s="266" t="s">
        <v>251</v>
      </c>
      <c r="K675" s="262"/>
      <c r="L675" s="262"/>
      <c r="M675" s="262">
        <v>342</v>
      </c>
      <c r="N675" s="262" t="s">
        <v>22</v>
      </c>
      <c r="O675" s="262" t="s">
        <v>35</v>
      </c>
      <c r="P675" s="262" t="s">
        <v>124</v>
      </c>
      <c r="Q675" s="262" t="s">
        <v>26</v>
      </c>
      <c r="R675" s="262" t="s">
        <v>468</v>
      </c>
      <c r="S675" s="267" t="s">
        <v>468</v>
      </c>
      <c r="T675" s="268"/>
      <c r="U675" s="269">
        <v>4200000</v>
      </c>
      <c r="V675" s="269">
        <v>1600000</v>
      </c>
      <c r="W675" s="278">
        <v>0</v>
      </c>
      <c r="X675" s="270"/>
      <c r="Y675" s="262" t="s">
        <v>24</v>
      </c>
      <c r="Z675" s="271" t="s">
        <v>25</v>
      </c>
      <c r="AA675" s="287"/>
      <c r="AB675" s="287"/>
      <c r="AC675" s="272">
        <f t="shared" si="23"/>
        <v>10000000</v>
      </c>
      <c r="AD675" s="272">
        <v>10000000</v>
      </c>
      <c r="AE675" s="272">
        <f t="shared" si="24"/>
        <v>0</v>
      </c>
      <c r="AF675" s="273"/>
      <c r="AG675" s="274"/>
      <c r="AH675" s="273"/>
      <c r="AI675" s="273"/>
      <c r="AJ675" s="274"/>
      <c r="AK675" s="273"/>
      <c r="AL675" s="275"/>
      <c r="AM675" s="290"/>
      <c r="AN675" s="275"/>
      <c r="AO675" s="276"/>
      <c r="AP675" s="275"/>
      <c r="AQ675" s="275">
        <v>10000000</v>
      </c>
      <c r="AR675" s="275"/>
      <c r="AS675" s="275"/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/>
      <c r="BD675" s="275"/>
      <c r="BE675" s="275"/>
      <c r="BF675" s="275"/>
      <c r="BH675" s="277"/>
    </row>
    <row r="676" spans="1:60" ht="16.5" customHeight="1">
      <c r="A676" s="260">
        <v>654</v>
      </c>
      <c r="B676" s="261"/>
      <c r="C676" s="261"/>
      <c r="D676" s="262" t="s">
        <v>15</v>
      </c>
      <c r="E676" s="262" t="s">
        <v>237</v>
      </c>
      <c r="F676" s="263" t="s">
        <v>15</v>
      </c>
      <c r="G676" s="264" t="s">
        <v>237</v>
      </c>
      <c r="H676" s="281"/>
      <c r="I676" s="265"/>
      <c r="J676" s="266" t="s">
        <v>251</v>
      </c>
      <c r="K676" s="262"/>
      <c r="L676" s="262"/>
      <c r="M676" s="262">
        <v>342</v>
      </c>
      <c r="N676" s="262" t="s">
        <v>22</v>
      </c>
      <c r="O676" s="262" t="s">
        <v>35</v>
      </c>
      <c r="P676" s="262" t="s">
        <v>124</v>
      </c>
      <c r="Q676" s="262"/>
      <c r="R676" s="262" t="s">
        <v>468</v>
      </c>
      <c r="S676" s="267" t="s">
        <v>468</v>
      </c>
      <c r="T676" s="268"/>
      <c r="U676" s="269"/>
      <c r="V676" s="269">
        <v>0</v>
      </c>
      <c r="W676" s="278">
        <v>0</v>
      </c>
      <c r="X676" s="270"/>
      <c r="Y676" s="262" t="s">
        <v>25</v>
      </c>
      <c r="Z676" s="271" t="s">
        <v>25</v>
      </c>
      <c r="AA676" s="287"/>
      <c r="AB676" s="287"/>
      <c r="AC676" s="272">
        <f t="shared" si="23"/>
        <v>20000000</v>
      </c>
      <c r="AD676" s="272">
        <v>20000000</v>
      </c>
      <c r="AE676" s="272">
        <f t="shared" si="24"/>
        <v>0</v>
      </c>
      <c r="AF676" s="273"/>
      <c r="AG676" s="274"/>
      <c r="AH676" s="273"/>
      <c r="AI676" s="273"/>
      <c r="AJ676" s="274"/>
      <c r="AK676" s="273"/>
      <c r="AL676" s="275"/>
      <c r="AM676" s="290"/>
      <c r="AN676" s="275"/>
      <c r="AO676" s="276"/>
      <c r="AP676" s="275"/>
      <c r="AQ676" s="275"/>
      <c r="AR676" s="275"/>
      <c r="AS676" s="275"/>
      <c r="AT676" s="275"/>
      <c r="AU676" s="275">
        <v>20000000</v>
      </c>
      <c r="AV676" s="275"/>
      <c r="AW676" s="275"/>
      <c r="AX676" s="275"/>
      <c r="AY676" s="275"/>
      <c r="AZ676" s="275"/>
      <c r="BA676" s="275"/>
      <c r="BB676" s="275"/>
      <c r="BC676" s="275"/>
      <c r="BD676" s="275"/>
      <c r="BE676" s="275"/>
      <c r="BF676" s="275"/>
      <c r="BH676" s="277"/>
    </row>
    <row r="677" spans="1:60" ht="16.5" customHeight="1">
      <c r="A677" s="260">
        <v>655</v>
      </c>
      <c r="B677" s="261"/>
      <c r="C677" s="261"/>
      <c r="D677" s="262" t="s">
        <v>15</v>
      </c>
      <c r="E677" s="262" t="s">
        <v>237</v>
      </c>
      <c r="F677" s="263" t="s">
        <v>15</v>
      </c>
      <c r="G677" s="264" t="s">
        <v>237</v>
      </c>
      <c r="H677" s="281"/>
      <c r="I677" s="265"/>
      <c r="J677" s="266" t="s">
        <v>60</v>
      </c>
      <c r="K677" s="262"/>
      <c r="L677" s="262"/>
      <c r="M677" s="262">
        <v>3868</v>
      </c>
      <c r="N677" s="262" t="s">
        <v>22</v>
      </c>
      <c r="O677" s="262" t="s">
        <v>35</v>
      </c>
      <c r="P677" s="262" t="s">
        <v>156</v>
      </c>
      <c r="Q677" s="262"/>
      <c r="R677" s="262"/>
      <c r="S677" s="267" t="s">
        <v>822</v>
      </c>
      <c r="T677" s="268"/>
      <c r="U677" s="269"/>
      <c r="V677" s="269"/>
      <c r="W677" s="278">
        <v>0</v>
      </c>
      <c r="X677" s="270"/>
      <c r="Y677" s="262"/>
      <c r="Z677" s="271" t="s">
        <v>25</v>
      </c>
      <c r="AA677" s="287"/>
      <c r="AB677" s="287"/>
      <c r="AC677" s="272">
        <f t="shared" si="23"/>
        <v>20000000</v>
      </c>
      <c r="AD677" s="272">
        <v>20000000</v>
      </c>
      <c r="AE677" s="272">
        <f t="shared" si="24"/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75"/>
      <c r="AR677" s="275"/>
      <c r="AS677" s="275">
        <v>20000000</v>
      </c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H677" s="277"/>
    </row>
    <row r="678" spans="1:60" ht="16.5" customHeight="1">
      <c r="A678" s="260">
        <v>656</v>
      </c>
      <c r="B678" s="261"/>
      <c r="C678" s="261"/>
      <c r="D678" s="262" t="s">
        <v>15</v>
      </c>
      <c r="E678" s="262" t="s">
        <v>237</v>
      </c>
      <c r="F678" s="263" t="s">
        <v>15</v>
      </c>
      <c r="G678" s="264" t="s">
        <v>237</v>
      </c>
      <c r="H678" s="281"/>
      <c r="I678" s="265"/>
      <c r="J678" s="266" t="s">
        <v>60</v>
      </c>
      <c r="K678" s="262"/>
      <c r="L678" s="262"/>
      <c r="M678" s="262">
        <v>3868</v>
      </c>
      <c r="N678" s="262" t="s">
        <v>22</v>
      </c>
      <c r="O678" s="262" t="s">
        <v>56</v>
      </c>
      <c r="P678" s="262"/>
      <c r="Q678" s="262" t="s">
        <v>58</v>
      </c>
      <c r="R678" s="262" t="s">
        <v>470</v>
      </c>
      <c r="S678" s="267" t="s">
        <v>822</v>
      </c>
      <c r="T678" s="268"/>
      <c r="U678" s="269"/>
      <c r="V678" s="269">
        <v>1500000</v>
      </c>
      <c r="W678" s="278">
        <v>0</v>
      </c>
      <c r="X678" s="270"/>
      <c r="Y678" s="262" t="s">
        <v>27</v>
      </c>
      <c r="Z678" s="271" t="s">
        <v>20</v>
      </c>
      <c r="AA678" s="287"/>
      <c r="AB678" s="287"/>
      <c r="AC678" s="272">
        <f t="shared" si="23"/>
        <v>0</v>
      </c>
      <c r="AD678" s="272">
        <v>0</v>
      </c>
      <c r="AE678" s="272">
        <f t="shared" si="24"/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75"/>
      <c r="AR678" s="275"/>
      <c r="AS678" s="275"/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customHeight="1">
      <c r="A679" s="260">
        <v>657</v>
      </c>
      <c r="B679" s="261"/>
      <c r="C679" s="261"/>
      <c r="D679" s="262" t="s">
        <v>15</v>
      </c>
      <c r="E679" s="262" t="s">
        <v>237</v>
      </c>
      <c r="F679" s="263" t="s">
        <v>15</v>
      </c>
      <c r="G679" s="264" t="s">
        <v>237</v>
      </c>
      <c r="H679" s="281"/>
      <c r="I679" s="265"/>
      <c r="J679" s="266" t="s">
        <v>60</v>
      </c>
      <c r="K679" s="262"/>
      <c r="L679" s="262"/>
      <c r="M679" s="262">
        <v>3868</v>
      </c>
      <c r="N679" s="262" t="s">
        <v>22</v>
      </c>
      <c r="O679" s="262" t="s">
        <v>35</v>
      </c>
      <c r="P679" s="262" t="s">
        <v>156</v>
      </c>
      <c r="Q679" s="262"/>
      <c r="R679" s="262"/>
      <c r="S679" s="267" t="s">
        <v>830</v>
      </c>
      <c r="T679" s="268"/>
      <c r="U679" s="269"/>
      <c r="V679" s="269"/>
      <c r="W679" s="278">
        <v>0</v>
      </c>
      <c r="X679" s="270"/>
      <c r="Y679" s="262"/>
      <c r="Z679" s="271" t="s">
        <v>25</v>
      </c>
      <c r="AA679" s="287"/>
      <c r="AB679" s="287"/>
      <c r="AC679" s="272">
        <f t="shared" si="23"/>
        <v>10000000</v>
      </c>
      <c r="AD679" s="272">
        <v>10000000</v>
      </c>
      <c r="AE679" s="272">
        <f t="shared" si="24"/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75"/>
      <c r="AR679" s="275"/>
      <c r="AS679" s="275"/>
      <c r="AT679" s="275"/>
      <c r="AU679" s="275"/>
      <c r="AV679" s="275"/>
      <c r="AW679" s="275"/>
      <c r="AX679" s="275"/>
      <c r="AY679" s="275">
        <v>10000000</v>
      </c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customHeight="1">
      <c r="A680" s="260">
        <v>658</v>
      </c>
      <c r="B680" s="261"/>
      <c r="C680" s="261"/>
      <c r="D680" s="262" t="s">
        <v>15</v>
      </c>
      <c r="E680" s="262" t="s">
        <v>237</v>
      </c>
      <c r="F680" s="263" t="s">
        <v>15</v>
      </c>
      <c r="G680" s="264" t="s">
        <v>237</v>
      </c>
      <c r="H680" s="281"/>
      <c r="I680" s="265"/>
      <c r="J680" s="266" t="s">
        <v>772</v>
      </c>
      <c r="K680" s="262"/>
      <c r="L680" s="262"/>
      <c r="M680" s="262">
        <v>3868</v>
      </c>
      <c r="N680" s="262" t="s">
        <v>22</v>
      </c>
      <c r="O680" s="262" t="s">
        <v>35</v>
      </c>
      <c r="P680" s="262" t="s">
        <v>156</v>
      </c>
      <c r="Q680" s="262"/>
      <c r="R680" s="262"/>
      <c r="S680" s="267" t="s">
        <v>468</v>
      </c>
      <c r="T680" s="268"/>
      <c r="U680" s="269"/>
      <c r="V680" s="269"/>
      <c r="W680" s="278">
        <v>0</v>
      </c>
      <c r="X680" s="270"/>
      <c r="Y680" s="262"/>
      <c r="Z680" s="271" t="s">
        <v>562</v>
      </c>
      <c r="AA680" s="287"/>
      <c r="AB680" s="287"/>
      <c r="AC680" s="272">
        <f t="shared" si="23"/>
        <v>0</v>
      </c>
      <c r="AD680" s="272">
        <v>0</v>
      </c>
      <c r="AE680" s="272">
        <f t="shared" si="24"/>
        <v>0</v>
      </c>
      <c r="AF680" s="273"/>
      <c r="AG680" s="274"/>
      <c r="AH680" s="273"/>
      <c r="AI680" s="273">
        <v>50000000</v>
      </c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/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customHeight="1">
      <c r="A681" s="260">
        <v>659</v>
      </c>
      <c r="B681" s="261"/>
      <c r="C681" s="261"/>
      <c r="D681" s="262" t="s">
        <v>15</v>
      </c>
      <c r="E681" s="262" t="s">
        <v>237</v>
      </c>
      <c r="F681" s="263" t="s">
        <v>15</v>
      </c>
      <c r="G681" s="264" t="s">
        <v>237</v>
      </c>
      <c r="H681" s="281"/>
      <c r="I681" s="265"/>
      <c r="J681" s="266" t="s">
        <v>481</v>
      </c>
      <c r="K681" s="262"/>
      <c r="L681" s="262"/>
      <c r="M681" s="262">
        <v>3786</v>
      </c>
      <c r="N681" s="262" t="s">
        <v>22</v>
      </c>
      <c r="O681" s="262" t="s">
        <v>35</v>
      </c>
      <c r="P681" s="262" t="s">
        <v>156</v>
      </c>
      <c r="Q681" s="262" t="s">
        <v>30</v>
      </c>
      <c r="R681" s="262" t="s">
        <v>31</v>
      </c>
      <c r="S681" s="267" t="s">
        <v>31</v>
      </c>
      <c r="T681" s="268"/>
      <c r="U681" s="269" t="s">
        <v>154</v>
      </c>
      <c r="V681" s="269">
        <v>0</v>
      </c>
      <c r="W681" s="278">
        <v>0</v>
      </c>
      <c r="X681" s="270"/>
      <c r="Y681" s="262" t="s">
        <v>25</v>
      </c>
      <c r="Z681" s="271" t="s">
        <v>25</v>
      </c>
      <c r="AA681" s="287"/>
      <c r="AB681" s="287"/>
      <c r="AC681" s="272">
        <f t="shared" si="23"/>
        <v>9000000</v>
      </c>
      <c r="AD681" s="272">
        <v>9000000</v>
      </c>
      <c r="AE681" s="272">
        <f t="shared" si="24"/>
        <v>0</v>
      </c>
      <c r="AF681" s="273"/>
      <c r="AG681" s="274"/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/>
      <c r="AT681" s="275"/>
      <c r="AU681" s="275"/>
      <c r="AV681" s="275"/>
      <c r="AW681" s="275"/>
      <c r="AX681" s="275"/>
      <c r="AY681" s="275">
        <v>9000000</v>
      </c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customHeight="1">
      <c r="A682" s="260">
        <v>660</v>
      </c>
      <c r="B682" s="261"/>
      <c r="C682" s="261"/>
      <c r="D682" s="262" t="s">
        <v>15</v>
      </c>
      <c r="E682" s="262" t="s">
        <v>237</v>
      </c>
      <c r="F682" s="263" t="s">
        <v>15</v>
      </c>
      <c r="G682" s="264" t="s">
        <v>237</v>
      </c>
      <c r="H682" s="281"/>
      <c r="I682" s="265"/>
      <c r="J682" s="266" t="s">
        <v>481</v>
      </c>
      <c r="K682" s="262"/>
      <c r="L682" s="262"/>
      <c r="M682" s="262">
        <v>3786</v>
      </c>
      <c r="N682" s="262" t="s">
        <v>22</v>
      </c>
      <c r="O682" s="262" t="s">
        <v>35</v>
      </c>
      <c r="P682" s="262" t="s">
        <v>156</v>
      </c>
      <c r="Q682" s="262"/>
      <c r="R682" s="262" t="s">
        <v>47</v>
      </c>
      <c r="S682" s="267" t="s">
        <v>47</v>
      </c>
      <c r="T682" s="268"/>
      <c r="U682" s="269" t="s">
        <v>154</v>
      </c>
      <c r="V682" s="269">
        <v>0</v>
      </c>
      <c r="W682" s="278">
        <v>0</v>
      </c>
      <c r="X682" s="270"/>
      <c r="Y682" s="262" t="s">
        <v>25</v>
      </c>
      <c r="Z682" s="271" t="s">
        <v>25</v>
      </c>
      <c r="AA682" s="287"/>
      <c r="AB682" s="287"/>
      <c r="AC682" s="272">
        <f t="shared" si="23"/>
        <v>30000000</v>
      </c>
      <c r="AD682" s="272">
        <v>30000000</v>
      </c>
      <c r="AE682" s="272">
        <f t="shared" si="24"/>
        <v>0</v>
      </c>
      <c r="AF682" s="273"/>
      <c r="AG682" s="274"/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75"/>
      <c r="AR682" s="275"/>
      <c r="AS682" s="275"/>
      <c r="AT682" s="275"/>
      <c r="AU682" s="275"/>
      <c r="AV682" s="275"/>
      <c r="AW682" s="275"/>
      <c r="AX682" s="275"/>
      <c r="AY682" s="275">
        <v>30000000</v>
      </c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customHeight="1">
      <c r="A683" s="260">
        <v>661</v>
      </c>
      <c r="B683" s="261"/>
      <c r="C683" s="261"/>
      <c r="D683" s="262" t="s">
        <v>15</v>
      </c>
      <c r="E683" s="262" t="s">
        <v>237</v>
      </c>
      <c r="F683" s="263" t="s">
        <v>15</v>
      </c>
      <c r="G683" s="264" t="s">
        <v>237</v>
      </c>
      <c r="H683" s="281"/>
      <c r="I683" s="265"/>
      <c r="J683" s="266" t="s">
        <v>481</v>
      </c>
      <c r="K683" s="262"/>
      <c r="L683" s="262"/>
      <c r="M683" s="262">
        <v>3786</v>
      </c>
      <c r="N683" s="262" t="s">
        <v>22</v>
      </c>
      <c r="O683" s="262" t="s">
        <v>35</v>
      </c>
      <c r="P683" s="262" t="s">
        <v>156</v>
      </c>
      <c r="Q683" s="262"/>
      <c r="R683" s="262"/>
      <c r="S683" s="267" t="s">
        <v>822</v>
      </c>
      <c r="T683" s="268"/>
      <c r="U683" s="269"/>
      <c r="V683" s="269"/>
      <c r="W683" s="278">
        <v>0</v>
      </c>
      <c r="X683" s="270"/>
      <c r="Y683" s="262"/>
      <c r="Z683" s="271" t="s">
        <v>25</v>
      </c>
      <c r="AA683" s="287"/>
      <c r="AB683" s="287"/>
      <c r="AC683" s="272">
        <f t="shared" si="23"/>
        <v>20000000</v>
      </c>
      <c r="AD683" s="272">
        <v>20000000</v>
      </c>
      <c r="AE683" s="272">
        <f t="shared" si="24"/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75"/>
      <c r="AR683" s="275"/>
      <c r="AS683" s="275">
        <v>20000000</v>
      </c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/>
      <c r="BF683" s="275"/>
      <c r="BH683" s="277"/>
    </row>
    <row r="684" spans="1:60" ht="16.5" customHeight="1">
      <c r="A684" s="260">
        <v>662</v>
      </c>
      <c r="B684" s="261"/>
      <c r="C684" s="261"/>
      <c r="D684" s="262" t="s">
        <v>15</v>
      </c>
      <c r="E684" s="262" t="s">
        <v>237</v>
      </c>
      <c r="F684" s="263" t="s">
        <v>15</v>
      </c>
      <c r="G684" s="264" t="s">
        <v>237</v>
      </c>
      <c r="H684" s="281"/>
      <c r="I684" s="265"/>
      <c r="J684" s="266" t="s">
        <v>481</v>
      </c>
      <c r="K684" s="262"/>
      <c r="L684" s="262"/>
      <c r="M684" s="262">
        <v>3786</v>
      </c>
      <c r="N684" s="262" t="s">
        <v>22</v>
      </c>
      <c r="O684" s="262" t="s">
        <v>35</v>
      </c>
      <c r="P684" s="262" t="s">
        <v>156</v>
      </c>
      <c r="Q684" s="262"/>
      <c r="R684" s="262"/>
      <c r="S684" s="267" t="s">
        <v>830</v>
      </c>
      <c r="T684" s="268"/>
      <c r="U684" s="269"/>
      <c r="V684" s="269"/>
      <c r="W684" s="278">
        <v>0</v>
      </c>
      <c r="X684" s="270"/>
      <c r="Y684" s="262"/>
      <c r="Z684" s="271" t="s">
        <v>25</v>
      </c>
      <c r="AA684" s="287"/>
      <c r="AB684" s="287"/>
      <c r="AC684" s="272">
        <f t="shared" si="23"/>
        <v>10000000</v>
      </c>
      <c r="AD684" s="272">
        <v>10000000</v>
      </c>
      <c r="AE684" s="272">
        <f t="shared" si="24"/>
        <v>0</v>
      </c>
      <c r="AF684" s="273"/>
      <c r="AG684" s="274"/>
      <c r="AH684" s="273"/>
      <c r="AI684" s="273"/>
      <c r="AJ684" s="274"/>
      <c r="AK684" s="273"/>
      <c r="AL684" s="275"/>
      <c r="AM684" s="290"/>
      <c r="AN684" s="275"/>
      <c r="AO684" s="276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>
        <v>10000000</v>
      </c>
      <c r="AZ684" s="275"/>
      <c r="BA684" s="275"/>
      <c r="BB684" s="275"/>
      <c r="BC684" s="275"/>
      <c r="BD684" s="275"/>
      <c r="BE684" s="275"/>
      <c r="BF684" s="275"/>
      <c r="BH684" s="277"/>
    </row>
    <row r="685" spans="1:60" ht="16.5" customHeight="1">
      <c r="A685" s="260">
        <v>663</v>
      </c>
      <c r="B685" s="261"/>
      <c r="C685" s="261"/>
      <c r="D685" s="262" t="s">
        <v>15</v>
      </c>
      <c r="E685" s="262" t="s">
        <v>237</v>
      </c>
      <c r="F685" s="263" t="s">
        <v>15</v>
      </c>
      <c r="G685" s="264" t="s">
        <v>237</v>
      </c>
      <c r="H685" s="281"/>
      <c r="I685" s="265"/>
      <c r="J685" s="266" t="s">
        <v>252</v>
      </c>
      <c r="K685" s="262"/>
      <c r="L685" s="262"/>
      <c r="M685" s="262">
        <v>979</v>
      </c>
      <c r="N685" s="262" t="s">
        <v>22</v>
      </c>
      <c r="O685" s="262" t="s">
        <v>56</v>
      </c>
      <c r="P685" s="262" t="s">
        <v>57</v>
      </c>
      <c r="Q685" s="262" t="s">
        <v>30</v>
      </c>
      <c r="R685" s="262" t="s">
        <v>31</v>
      </c>
      <c r="S685" s="267" t="s">
        <v>31</v>
      </c>
      <c r="T685" s="268"/>
      <c r="U685" s="269"/>
      <c r="V685" s="269">
        <v>11920000</v>
      </c>
      <c r="W685" s="278">
        <v>11180000</v>
      </c>
      <c r="X685" s="270"/>
      <c r="Y685" s="262" t="s">
        <v>27</v>
      </c>
      <c r="Z685" s="271" t="s">
        <v>24</v>
      </c>
      <c r="AA685" s="287"/>
      <c r="AB685" s="287"/>
      <c r="AC685" s="272">
        <f t="shared" si="23"/>
        <v>10000000</v>
      </c>
      <c r="AD685" s="272">
        <v>10000000</v>
      </c>
      <c r="AE685" s="272">
        <f t="shared" si="24"/>
        <v>0</v>
      </c>
      <c r="AF685" s="273"/>
      <c r="AG685" s="274"/>
      <c r="AH685" s="273"/>
      <c r="AI685" s="273"/>
      <c r="AJ685" s="274"/>
      <c r="AK685" s="273"/>
      <c r="AL685" s="275"/>
      <c r="AM685" s="290"/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>
        <v>10000000</v>
      </c>
      <c r="AX685" s="275"/>
      <c r="AY685" s="275"/>
      <c r="AZ685" s="275"/>
      <c r="BA685" s="275"/>
      <c r="BB685" s="275"/>
      <c r="BC685" s="275"/>
      <c r="BD685" s="275"/>
      <c r="BE685" s="275"/>
      <c r="BF685" s="275"/>
      <c r="BH685" s="277"/>
    </row>
    <row r="686" spans="1:60" ht="16.5" customHeight="1">
      <c r="A686" s="260">
        <v>664</v>
      </c>
      <c r="B686" s="261"/>
      <c r="C686" s="261"/>
      <c r="D686" s="262" t="s">
        <v>15</v>
      </c>
      <c r="E686" s="262" t="s">
        <v>237</v>
      </c>
      <c r="F686" s="263" t="s">
        <v>15</v>
      </c>
      <c r="G686" s="264" t="s">
        <v>237</v>
      </c>
      <c r="H686" s="281"/>
      <c r="I686" s="265"/>
      <c r="J686" s="266" t="s">
        <v>252</v>
      </c>
      <c r="K686" s="262"/>
      <c r="L686" s="262"/>
      <c r="M686" s="262">
        <v>979</v>
      </c>
      <c r="N686" s="262" t="s">
        <v>22</v>
      </c>
      <c r="O686" s="262" t="s">
        <v>56</v>
      </c>
      <c r="P686" s="262" t="s">
        <v>57</v>
      </c>
      <c r="Q686" s="262" t="s">
        <v>26</v>
      </c>
      <c r="R686" s="262" t="s">
        <v>468</v>
      </c>
      <c r="S686" s="267" t="s">
        <v>468</v>
      </c>
      <c r="T686" s="268"/>
      <c r="U686" s="269"/>
      <c r="V686" s="269">
        <v>6252000</v>
      </c>
      <c r="W686" s="278">
        <v>4380000</v>
      </c>
      <c r="X686" s="270"/>
      <c r="Y686" s="262" t="s">
        <v>27</v>
      </c>
      <c r="Z686" s="271" t="s">
        <v>24</v>
      </c>
      <c r="AA686" s="287"/>
      <c r="AB686" s="287"/>
      <c r="AC686" s="272">
        <f t="shared" si="23"/>
        <v>0</v>
      </c>
      <c r="AD686" s="272">
        <v>0</v>
      </c>
      <c r="AE686" s="272">
        <f t="shared" si="24"/>
        <v>0</v>
      </c>
      <c r="AF686" s="273"/>
      <c r="AG686" s="274"/>
      <c r="AH686" s="273"/>
      <c r="AI686" s="273"/>
      <c r="AJ686" s="274"/>
      <c r="AK686" s="273"/>
      <c r="AL686" s="275"/>
      <c r="AM686" s="290"/>
      <c r="AN686" s="275"/>
      <c r="AO686" s="276"/>
      <c r="AP686" s="275"/>
      <c r="AQ686" s="275"/>
      <c r="AR686" s="275"/>
      <c r="AS686" s="275"/>
      <c r="AT686" s="275"/>
      <c r="AU686" s="275"/>
      <c r="AV686" s="275"/>
      <c r="AW686" s="275"/>
      <c r="AX686" s="275"/>
      <c r="AY686" s="275"/>
      <c r="AZ686" s="275"/>
      <c r="BA686" s="275"/>
      <c r="BB686" s="275"/>
      <c r="BC686" s="275"/>
      <c r="BD686" s="275"/>
      <c r="BE686" s="275"/>
      <c r="BF686" s="275"/>
      <c r="BH686" s="277"/>
    </row>
    <row r="687" spans="1:60" ht="16.5" customHeight="1">
      <c r="A687" s="260">
        <v>665</v>
      </c>
      <c r="B687" s="261"/>
      <c r="C687" s="261"/>
      <c r="D687" s="262" t="s">
        <v>15</v>
      </c>
      <c r="E687" s="262" t="s">
        <v>237</v>
      </c>
      <c r="F687" s="263" t="s">
        <v>15</v>
      </c>
      <c r="G687" s="264" t="s">
        <v>237</v>
      </c>
      <c r="H687" s="281"/>
      <c r="I687" s="265"/>
      <c r="J687" s="266" t="s">
        <v>252</v>
      </c>
      <c r="K687" s="262"/>
      <c r="L687" s="262"/>
      <c r="M687" s="262">
        <v>979</v>
      </c>
      <c r="N687" s="262" t="s">
        <v>22</v>
      </c>
      <c r="O687" s="262" t="s">
        <v>35</v>
      </c>
      <c r="P687" s="262" t="s">
        <v>57</v>
      </c>
      <c r="Q687" s="262" t="s">
        <v>26</v>
      </c>
      <c r="R687" s="262" t="s">
        <v>468</v>
      </c>
      <c r="S687" s="267" t="s">
        <v>468</v>
      </c>
      <c r="T687" s="268"/>
      <c r="U687" s="269"/>
      <c r="V687" s="269">
        <v>0</v>
      </c>
      <c r="W687" s="278">
        <v>0</v>
      </c>
      <c r="X687" s="270"/>
      <c r="Y687" s="262" t="s">
        <v>562</v>
      </c>
      <c r="Z687" s="271" t="s">
        <v>562</v>
      </c>
      <c r="AA687" s="287"/>
      <c r="AB687" s="287"/>
      <c r="AC687" s="272">
        <f t="shared" si="23"/>
        <v>0</v>
      </c>
      <c r="AD687" s="272">
        <v>0</v>
      </c>
      <c r="AE687" s="272">
        <f t="shared" si="24"/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/>
      <c r="AT687" s="275"/>
      <c r="AU687" s="275"/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H687" s="277"/>
    </row>
    <row r="688" spans="1:60" ht="16.5" customHeight="1">
      <c r="A688" s="260">
        <v>666</v>
      </c>
      <c r="B688" s="261"/>
      <c r="C688" s="261"/>
      <c r="D688" s="262" t="s">
        <v>15</v>
      </c>
      <c r="E688" s="262" t="s">
        <v>237</v>
      </c>
      <c r="F688" s="263" t="s">
        <v>15</v>
      </c>
      <c r="G688" s="264" t="s">
        <v>237</v>
      </c>
      <c r="H688" s="281"/>
      <c r="I688" s="265"/>
      <c r="J688" s="266" t="s">
        <v>252</v>
      </c>
      <c r="K688" s="262"/>
      <c r="L688" s="262"/>
      <c r="M688" s="262">
        <v>979</v>
      </c>
      <c r="N688" s="262" t="s">
        <v>22</v>
      </c>
      <c r="O688" s="262" t="s">
        <v>35</v>
      </c>
      <c r="P688" s="262" t="s">
        <v>57</v>
      </c>
      <c r="Q688" s="262"/>
      <c r="R688" s="262"/>
      <c r="S688" s="267" t="s">
        <v>830</v>
      </c>
      <c r="T688" s="268"/>
      <c r="U688" s="269"/>
      <c r="V688" s="269"/>
      <c r="W688" s="278">
        <v>0</v>
      </c>
      <c r="X688" s="270"/>
      <c r="Y688" s="262"/>
      <c r="Z688" s="271" t="s">
        <v>25</v>
      </c>
      <c r="AA688" s="287"/>
      <c r="AB688" s="287"/>
      <c r="AC688" s="272">
        <f t="shared" si="23"/>
        <v>10000000</v>
      </c>
      <c r="AD688" s="272">
        <v>10000000</v>
      </c>
      <c r="AE688" s="272">
        <f t="shared" si="24"/>
        <v>0</v>
      </c>
      <c r="AF688" s="273"/>
      <c r="AG688" s="274"/>
      <c r="AH688" s="273"/>
      <c r="AI688" s="273"/>
      <c r="AJ688" s="274"/>
      <c r="AK688" s="273"/>
      <c r="AL688" s="275"/>
      <c r="AM688" s="290"/>
      <c r="AN688" s="275"/>
      <c r="AO688" s="276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>
        <v>10000000</v>
      </c>
      <c r="AZ688" s="275"/>
      <c r="BA688" s="275"/>
      <c r="BB688" s="275"/>
      <c r="BC688" s="275"/>
      <c r="BD688" s="275"/>
      <c r="BE688" s="275"/>
      <c r="BF688" s="275"/>
      <c r="BH688" s="277"/>
    </row>
    <row r="689" spans="1:60" ht="16.5" customHeight="1">
      <c r="A689" s="260">
        <v>667</v>
      </c>
      <c r="B689" s="261"/>
      <c r="C689" s="261"/>
      <c r="D689" s="262" t="s">
        <v>15</v>
      </c>
      <c r="E689" s="262" t="s">
        <v>237</v>
      </c>
      <c r="F689" s="263" t="s">
        <v>15</v>
      </c>
      <c r="G689" s="264" t="s">
        <v>237</v>
      </c>
      <c r="H689" s="281"/>
      <c r="I689" s="265"/>
      <c r="J689" s="266" t="s">
        <v>254</v>
      </c>
      <c r="K689" s="262"/>
      <c r="L689" s="262"/>
      <c r="M689" s="262">
        <v>52052</v>
      </c>
      <c r="N689" s="262" t="s">
        <v>17</v>
      </c>
      <c r="O689" s="262" t="s">
        <v>56</v>
      </c>
      <c r="P689" s="262" t="s">
        <v>156</v>
      </c>
      <c r="Q689" s="262" t="s">
        <v>30</v>
      </c>
      <c r="R689" s="262" t="s">
        <v>31</v>
      </c>
      <c r="S689" s="267" t="s">
        <v>31</v>
      </c>
      <c r="T689" s="268"/>
      <c r="U689" s="269">
        <v>2436000</v>
      </c>
      <c r="V689" s="269">
        <v>0</v>
      </c>
      <c r="W689" s="278">
        <v>0</v>
      </c>
      <c r="X689" s="270"/>
      <c r="Y689" s="262" t="s">
        <v>24</v>
      </c>
      <c r="Z689" s="271" t="s">
        <v>24</v>
      </c>
      <c r="AA689" s="287"/>
      <c r="AB689" s="287"/>
      <c r="AC689" s="272">
        <f t="shared" si="23"/>
        <v>1000000</v>
      </c>
      <c r="AD689" s="272">
        <v>1000000</v>
      </c>
      <c r="AE689" s="272">
        <f t="shared" si="24"/>
        <v>0</v>
      </c>
      <c r="AF689" s="273"/>
      <c r="AG689" s="274"/>
      <c r="AH689" s="273"/>
      <c r="AI689" s="273"/>
      <c r="AJ689" s="274"/>
      <c r="AK689" s="273"/>
      <c r="AL689" s="275"/>
      <c r="AM689" s="290"/>
      <c r="AN689" s="275"/>
      <c r="AO689" s="276"/>
      <c r="AP689" s="275"/>
      <c r="AQ689" s="275"/>
      <c r="AR689" s="275"/>
      <c r="AS689" s="275">
        <v>500000</v>
      </c>
      <c r="AT689" s="275"/>
      <c r="AU689" s="275"/>
      <c r="AV689" s="275"/>
      <c r="AW689" s="275"/>
      <c r="AX689" s="275"/>
      <c r="AY689" s="275"/>
      <c r="AZ689" s="275"/>
      <c r="BA689" s="275"/>
      <c r="BB689" s="275"/>
      <c r="BC689" s="275"/>
      <c r="BD689" s="275"/>
      <c r="BE689" s="275">
        <v>500000</v>
      </c>
      <c r="BF689" s="275"/>
      <c r="BH689" s="277"/>
    </row>
    <row r="690" spans="1:60" ht="16.5" customHeight="1">
      <c r="A690" s="260">
        <v>668</v>
      </c>
      <c r="B690" s="261"/>
      <c r="C690" s="261"/>
      <c r="D690" s="262" t="s">
        <v>15</v>
      </c>
      <c r="E690" s="262" t="s">
        <v>237</v>
      </c>
      <c r="F690" s="263" t="s">
        <v>15</v>
      </c>
      <c r="G690" s="264" t="s">
        <v>237</v>
      </c>
      <c r="H690" s="281"/>
      <c r="I690" s="265"/>
      <c r="J690" s="266" t="s">
        <v>773</v>
      </c>
      <c r="K690" s="262"/>
      <c r="L690" s="262"/>
      <c r="M690" s="262">
        <v>16661</v>
      </c>
      <c r="N690" s="262" t="s">
        <v>32</v>
      </c>
      <c r="O690" s="262" t="s">
        <v>35</v>
      </c>
      <c r="P690" s="262"/>
      <c r="Q690" s="262"/>
      <c r="R690" s="262"/>
      <c r="S690" s="267" t="s">
        <v>28</v>
      </c>
      <c r="T690" s="268"/>
      <c r="U690" s="269"/>
      <c r="V690" s="269"/>
      <c r="W690" s="278">
        <v>0</v>
      </c>
      <c r="X690" s="270"/>
      <c r="Y690" s="262"/>
      <c r="Z690" s="271" t="s">
        <v>74</v>
      </c>
      <c r="AA690" s="287"/>
      <c r="AB690" s="287"/>
      <c r="AC690" s="272">
        <f t="shared" si="23"/>
        <v>0</v>
      </c>
      <c r="AD690" s="272">
        <v>0</v>
      </c>
      <c r="AE690" s="272">
        <f t="shared" si="24"/>
        <v>0</v>
      </c>
      <c r="AF690" s="273"/>
      <c r="AG690" s="274"/>
      <c r="AH690" s="273"/>
      <c r="AI690" s="273"/>
      <c r="AJ690" s="274"/>
      <c r="AK690" s="273"/>
      <c r="AL690" s="275"/>
      <c r="AM690" s="290"/>
      <c r="AN690" s="275"/>
      <c r="AO690" s="276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/>
      <c r="BD690" s="275"/>
      <c r="BE690" s="275"/>
      <c r="BF690" s="275"/>
      <c r="BH690" s="277"/>
    </row>
    <row r="691" spans="1:60" ht="16.5" customHeight="1">
      <c r="A691" s="260">
        <v>669</v>
      </c>
      <c r="B691" s="261"/>
      <c r="C691" s="261"/>
      <c r="D691" s="262" t="s">
        <v>15</v>
      </c>
      <c r="E691" s="262" t="s">
        <v>237</v>
      </c>
      <c r="F691" s="263" t="s">
        <v>15</v>
      </c>
      <c r="G691" s="264" t="s">
        <v>237</v>
      </c>
      <c r="H691" s="281"/>
      <c r="I691" s="265"/>
      <c r="J691" s="266" t="s">
        <v>255</v>
      </c>
      <c r="K691" s="262"/>
      <c r="L691" s="262"/>
      <c r="M691" s="262">
        <v>49750</v>
      </c>
      <c r="N691" s="262" t="s">
        <v>32</v>
      </c>
      <c r="O691" s="262" t="s">
        <v>35</v>
      </c>
      <c r="P691" s="262" t="s">
        <v>124</v>
      </c>
      <c r="Q691" s="262" t="s">
        <v>63</v>
      </c>
      <c r="R691" s="262" t="s">
        <v>28</v>
      </c>
      <c r="S691" s="267" t="s">
        <v>28</v>
      </c>
      <c r="T691" s="268"/>
      <c r="U691" s="269" t="s">
        <v>154</v>
      </c>
      <c r="V691" s="269">
        <v>0</v>
      </c>
      <c r="W691" s="278">
        <v>84000000</v>
      </c>
      <c r="X691" s="270"/>
      <c r="Y691" s="262" t="s">
        <v>27</v>
      </c>
      <c r="Z691" s="271" t="s">
        <v>74</v>
      </c>
      <c r="AA691" s="287"/>
      <c r="AB691" s="287"/>
      <c r="AC691" s="272">
        <f t="shared" si="23"/>
        <v>90000000</v>
      </c>
      <c r="AD691" s="272">
        <v>90000000</v>
      </c>
      <c r="AE691" s="272">
        <f t="shared" si="24"/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75"/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>
        <v>90000000</v>
      </c>
      <c r="BF691" s="275"/>
      <c r="BH691" s="277"/>
    </row>
    <row r="692" spans="1:60" ht="16.5" customHeight="1">
      <c r="A692" s="260">
        <v>670</v>
      </c>
      <c r="B692" s="261"/>
      <c r="C692" s="261"/>
      <c r="D692" s="262" t="s">
        <v>15</v>
      </c>
      <c r="E692" s="262" t="s">
        <v>237</v>
      </c>
      <c r="F692" s="263" t="s">
        <v>15</v>
      </c>
      <c r="G692" s="264" t="s">
        <v>237</v>
      </c>
      <c r="H692" s="281"/>
      <c r="I692" s="265"/>
      <c r="J692" s="266" t="s">
        <v>256</v>
      </c>
      <c r="K692" s="262"/>
      <c r="L692" s="262"/>
      <c r="M692" s="262">
        <v>1728</v>
      </c>
      <c r="N692" s="262" t="s">
        <v>22</v>
      </c>
      <c r="O692" s="262" t="s">
        <v>56</v>
      </c>
      <c r="P692" s="262"/>
      <c r="Q692" s="262" t="s">
        <v>18</v>
      </c>
      <c r="R692" s="262" t="s">
        <v>19</v>
      </c>
      <c r="S692" s="267" t="s">
        <v>19</v>
      </c>
      <c r="T692" s="268"/>
      <c r="U692" s="269" t="s">
        <v>154</v>
      </c>
      <c r="V692" s="269">
        <v>1680000</v>
      </c>
      <c r="W692" s="278">
        <v>140000</v>
      </c>
      <c r="X692" s="270"/>
      <c r="Y692" s="262" t="s">
        <v>24</v>
      </c>
      <c r="Z692" s="271" t="s">
        <v>27</v>
      </c>
      <c r="AA692" s="287"/>
      <c r="AB692" s="287"/>
      <c r="AC692" s="272">
        <f t="shared" si="23"/>
        <v>490000</v>
      </c>
      <c r="AD692" s="272">
        <v>490000</v>
      </c>
      <c r="AE692" s="272">
        <f t="shared" si="24"/>
        <v>0</v>
      </c>
      <c r="AF692" s="273"/>
      <c r="AG692" s="274"/>
      <c r="AH692" s="273"/>
      <c r="AI692" s="273"/>
      <c r="AJ692" s="274"/>
      <c r="AK692" s="273"/>
      <c r="AL692" s="275">
        <v>490000</v>
      </c>
      <c r="AM692" s="290">
        <v>490000</v>
      </c>
      <c r="AN692" s="275"/>
      <c r="AO692" s="276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/>
      <c r="BF692" s="275"/>
      <c r="BH692" s="277"/>
    </row>
    <row r="693" spans="1:60" ht="16.5" customHeight="1">
      <c r="A693" s="260">
        <v>671</v>
      </c>
      <c r="B693" s="261"/>
      <c r="C693" s="261"/>
      <c r="D693" s="262" t="s">
        <v>15</v>
      </c>
      <c r="E693" s="262" t="s">
        <v>237</v>
      </c>
      <c r="F693" s="263" t="s">
        <v>15</v>
      </c>
      <c r="G693" s="264" t="s">
        <v>237</v>
      </c>
      <c r="H693" s="281"/>
      <c r="I693" s="265"/>
      <c r="J693" s="266" t="s">
        <v>256</v>
      </c>
      <c r="K693" s="262"/>
      <c r="L693" s="262"/>
      <c r="M693" s="262">
        <v>1728</v>
      </c>
      <c r="N693" s="262" t="s">
        <v>22</v>
      </c>
      <c r="O693" s="262" t="s">
        <v>35</v>
      </c>
      <c r="P693" s="262"/>
      <c r="Q693" s="262" t="s">
        <v>18</v>
      </c>
      <c r="R693" s="262" t="s">
        <v>19</v>
      </c>
      <c r="S693" s="267" t="s">
        <v>19</v>
      </c>
      <c r="T693" s="268"/>
      <c r="U693" s="269"/>
      <c r="V693" s="269">
        <v>0</v>
      </c>
      <c r="W693" s="278">
        <v>0</v>
      </c>
      <c r="X693" s="270"/>
      <c r="Y693" s="262" t="s">
        <v>25</v>
      </c>
      <c r="Z693" s="271" t="s">
        <v>25</v>
      </c>
      <c r="AA693" s="287"/>
      <c r="AB693" s="287"/>
      <c r="AC693" s="272">
        <f t="shared" si="23"/>
        <v>5000000</v>
      </c>
      <c r="AD693" s="272">
        <v>5000000</v>
      </c>
      <c r="AE693" s="272">
        <f t="shared" si="24"/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75"/>
      <c r="AR693" s="275"/>
      <c r="AS693" s="275">
        <v>5000000</v>
      </c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H693" s="277"/>
    </row>
    <row r="694" spans="1:60" ht="16.5" customHeight="1">
      <c r="A694" s="260">
        <v>672</v>
      </c>
      <c r="B694" s="261"/>
      <c r="C694" s="261"/>
      <c r="D694" s="262" t="s">
        <v>15</v>
      </c>
      <c r="E694" s="262" t="s">
        <v>237</v>
      </c>
      <c r="F694" s="263" t="s">
        <v>15</v>
      </c>
      <c r="G694" s="264" t="s">
        <v>237</v>
      </c>
      <c r="H694" s="281"/>
      <c r="I694" s="265"/>
      <c r="J694" s="266" t="s">
        <v>257</v>
      </c>
      <c r="K694" s="262"/>
      <c r="L694" s="262"/>
      <c r="M694" s="262">
        <v>44010</v>
      </c>
      <c r="N694" s="262" t="s">
        <v>53</v>
      </c>
      <c r="O694" s="262" t="s">
        <v>56</v>
      </c>
      <c r="P694" s="262" t="s">
        <v>124</v>
      </c>
      <c r="Q694" s="262" t="s">
        <v>30</v>
      </c>
      <c r="R694" s="262" t="s">
        <v>31</v>
      </c>
      <c r="S694" s="267" t="s">
        <v>31</v>
      </c>
      <c r="T694" s="268"/>
      <c r="U694" s="269"/>
      <c r="V694" s="269">
        <v>1534000</v>
      </c>
      <c r="W694" s="278">
        <v>0</v>
      </c>
      <c r="X694" s="270"/>
      <c r="Y694" s="262" t="s">
        <v>24</v>
      </c>
      <c r="Z694" s="271" t="s">
        <v>24</v>
      </c>
      <c r="AA694" s="287"/>
      <c r="AB694" s="287"/>
      <c r="AC694" s="272">
        <f t="shared" si="23"/>
        <v>1000000</v>
      </c>
      <c r="AD694" s="272">
        <v>1000000</v>
      </c>
      <c r="AE694" s="272">
        <f t="shared" si="24"/>
        <v>0</v>
      </c>
      <c r="AF694" s="273"/>
      <c r="AG694" s="274"/>
      <c r="AH694" s="273"/>
      <c r="AI694" s="273"/>
      <c r="AJ694" s="274"/>
      <c r="AK694" s="273"/>
      <c r="AL694" s="275"/>
      <c r="AM694" s="290"/>
      <c r="AN694" s="275"/>
      <c r="AO694" s="276"/>
      <c r="AP694" s="275"/>
      <c r="AQ694" s="275"/>
      <c r="AR694" s="275"/>
      <c r="AS694" s="275"/>
      <c r="AT694" s="275"/>
      <c r="AU694" s="275">
        <v>1000000</v>
      </c>
      <c r="AV694" s="275"/>
      <c r="AW694" s="275"/>
      <c r="AX694" s="275"/>
      <c r="AY694" s="275"/>
      <c r="AZ694" s="275"/>
      <c r="BA694" s="275"/>
      <c r="BB694" s="275"/>
      <c r="BC694" s="275"/>
      <c r="BD694" s="275"/>
      <c r="BE694" s="275"/>
      <c r="BF694" s="275"/>
      <c r="BH694" s="277"/>
    </row>
    <row r="695" spans="1:60" ht="16.5" customHeight="1">
      <c r="A695" s="260">
        <v>673</v>
      </c>
      <c r="B695" s="261"/>
      <c r="C695" s="261"/>
      <c r="D695" s="262" t="s">
        <v>15</v>
      </c>
      <c r="E695" s="262" t="s">
        <v>237</v>
      </c>
      <c r="F695" s="263" t="s">
        <v>15</v>
      </c>
      <c r="G695" s="264" t="s">
        <v>237</v>
      </c>
      <c r="H695" s="281"/>
      <c r="I695" s="265"/>
      <c r="J695" s="266" t="s">
        <v>257</v>
      </c>
      <c r="K695" s="262"/>
      <c r="L695" s="262"/>
      <c r="M695" s="262">
        <v>44010</v>
      </c>
      <c r="N695" s="262" t="s">
        <v>53</v>
      </c>
      <c r="O695" s="262" t="s">
        <v>56</v>
      </c>
      <c r="P695" s="262" t="s">
        <v>124</v>
      </c>
      <c r="Q695" s="262" t="s">
        <v>26</v>
      </c>
      <c r="R695" s="262" t="s">
        <v>468</v>
      </c>
      <c r="S695" s="267" t="s">
        <v>468</v>
      </c>
      <c r="T695" s="268"/>
      <c r="U695" s="269"/>
      <c r="V695" s="269">
        <v>1200000</v>
      </c>
      <c r="W695" s="278">
        <v>2800000</v>
      </c>
      <c r="X695" s="270"/>
      <c r="Y695" s="262" t="s">
        <v>27</v>
      </c>
      <c r="Z695" s="271" t="s">
        <v>24</v>
      </c>
      <c r="AA695" s="287"/>
      <c r="AB695" s="287"/>
      <c r="AC695" s="272">
        <f t="shared" si="23"/>
        <v>5000000</v>
      </c>
      <c r="AD695" s="272">
        <v>5000000</v>
      </c>
      <c r="AE695" s="272">
        <f t="shared" si="24"/>
        <v>0</v>
      </c>
      <c r="AF695" s="273"/>
      <c r="AG695" s="274"/>
      <c r="AH695" s="273"/>
      <c r="AI695" s="273"/>
      <c r="AJ695" s="274"/>
      <c r="AK695" s="273"/>
      <c r="AL695" s="275"/>
      <c r="AM695" s="290"/>
      <c r="AN695" s="275"/>
      <c r="AO695" s="276"/>
      <c r="AP695" s="275"/>
      <c r="AQ695" s="275">
        <v>1500000</v>
      </c>
      <c r="AR695" s="275"/>
      <c r="AS695" s="275"/>
      <c r="AT695" s="275"/>
      <c r="AU695" s="275"/>
      <c r="AV695" s="275"/>
      <c r="AW695" s="275">
        <v>1500000</v>
      </c>
      <c r="AX695" s="275"/>
      <c r="AY695" s="275"/>
      <c r="AZ695" s="275"/>
      <c r="BA695" s="275">
        <v>2000000</v>
      </c>
      <c r="BB695" s="275"/>
      <c r="BC695" s="275"/>
      <c r="BD695" s="275"/>
      <c r="BE695" s="275"/>
      <c r="BF695" s="275"/>
      <c r="BH695" s="277"/>
    </row>
    <row r="696" spans="1:60" ht="16.5" customHeight="1">
      <c r="A696" s="260">
        <v>674</v>
      </c>
      <c r="B696" s="261"/>
      <c r="C696" s="261"/>
      <c r="D696" s="262" t="s">
        <v>15</v>
      </c>
      <c r="E696" s="262" t="s">
        <v>237</v>
      </c>
      <c r="F696" s="263" t="s">
        <v>15</v>
      </c>
      <c r="G696" s="264" t="s">
        <v>237</v>
      </c>
      <c r="H696" s="281"/>
      <c r="I696" s="265"/>
      <c r="J696" s="266" t="s">
        <v>258</v>
      </c>
      <c r="K696" s="262"/>
      <c r="L696" s="262"/>
      <c r="M696" s="262">
        <v>4834</v>
      </c>
      <c r="N696" s="262" t="s">
        <v>22</v>
      </c>
      <c r="O696" s="262" t="s">
        <v>178</v>
      </c>
      <c r="P696" s="262" t="s">
        <v>124</v>
      </c>
      <c r="Q696" s="262" t="s">
        <v>30</v>
      </c>
      <c r="R696" s="262" t="s">
        <v>31</v>
      </c>
      <c r="S696" s="267" t="s">
        <v>31</v>
      </c>
      <c r="T696" s="268"/>
      <c r="U696" s="269">
        <v>47104000</v>
      </c>
      <c r="V696" s="269">
        <v>0</v>
      </c>
      <c r="W696" s="278">
        <v>0</v>
      </c>
      <c r="X696" s="270"/>
      <c r="Y696" s="262" t="s">
        <v>24</v>
      </c>
      <c r="Z696" s="271" t="s">
        <v>24</v>
      </c>
      <c r="AA696" s="287"/>
      <c r="AB696" s="287"/>
      <c r="AC696" s="272">
        <f t="shared" si="23"/>
        <v>50000000</v>
      </c>
      <c r="AD696" s="272">
        <v>50000000</v>
      </c>
      <c r="AE696" s="272">
        <f t="shared" si="24"/>
        <v>0</v>
      </c>
      <c r="AF696" s="273"/>
      <c r="AG696" s="274"/>
      <c r="AH696" s="273"/>
      <c r="AI696" s="273"/>
      <c r="AJ696" s="274"/>
      <c r="AK696" s="273"/>
      <c r="AL696" s="275"/>
      <c r="AM696" s="290"/>
      <c r="AN696" s="275"/>
      <c r="AO696" s="276"/>
      <c r="AP696" s="275"/>
      <c r="AQ696" s="275"/>
      <c r="AR696" s="275"/>
      <c r="AS696" s="275"/>
      <c r="AT696" s="275"/>
      <c r="AU696" s="275">
        <v>50000000</v>
      </c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H696" s="277"/>
    </row>
    <row r="697" spans="1:60" ht="16.5" customHeight="1">
      <c r="A697" s="260">
        <v>675</v>
      </c>
      <c r="B697" s="261"/>
      <c r="C697" s="261"/>
      <c r="D697" s="262" t="s">
        <v>15</v>
      </c>
      <c r="E697" s="262" t="s">
        <v>237</v>
      </c>
      <c r="F697" s="263" t="s">
        <v>15</v>
      </c>
      <c r="G697" s="264" t="s">
        <v>237</v>
      </c>
      <c r="H697" s="281"/>
      <c r="I697" s="265"/>
      <c r="J697" s="266" t="s">
        <v>258</v>
      </c>
      <c r="K697" s="262"/>
      <c r="L697" s="262"/>
      <c r="M697" s="262">
        <v>4834</v>
      </c>
      <c r="N697" s="262" t="s">
        <v>22</v>
      </c>
      <c r="O697" s="262" t="s">
        <v>35</v>
      </c>
      <c r="P697" s="262" t="s">
        <v>124</v>
      </c>
      <c r="Q697" s="262" t="s">
        <v>44</v>
      </c>
      <c r="R697" s="262" t="s">
        <v>469</v>
      </c>
      <c r="S697" s="267" t="s">
        <v>469</v>
      </c>
      <c r="T697" s="268"/>
      <c r="U697" s="269"/>
      <c r="V697" s="269">
        <v>0</v>
      </c>
      <c r="W697" s="278">
        <v>9200000</v>
      </c>
      <c r="X697" s="270"/>
      <c r="Y697" s="262" t="s">
        <v>27</v>
      </c>
      <c r="Z697" s="271" t="s">
        <v>24</v>
      </c>
      <c r="AA697" s="287"/>
      <c r="AB697" s="287"/>
      <c r="AC697" s="272">
        <f t="shared" si="23"/>
        <v>30000000</v>
      </c>
      <c r="AD697" s="272">
        <v>30000000</v>
      </c>
      <c r="AE697" s="272">
        <f t="shared" si="24"/>
        <v>0</v>
      </c>
      <c r="AF697" s="273"/>
      <c r="AG697" s="274"/>
      <c r="AH697" s="273"/>
      <c r="AI697" s="273"/>
      <c r="AJ697" s="274"/>
      <c r="AK697" s="273"/>
      <c r="AL697" s="275"/>
      <c r="AM697" s="290"/>
      <c r="AN697" s="275"/>
      <c r="AO697" s="276"/>
      <c r="AP697" s="275"/>
      <c r="AQ697" s="275">
        <v>30000000</v>
      </c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customHeight="1">
      <c r="A698" s="260">
        <v>676</v>
      </c>
      <c r="B698" s="261"/>
      <c r="C698" s="261"/>
      <c r="D698" s="262" t="s">
        <v>15</v>
      </c>
      <c r="E698" s="262" t="s">
        <v>237</v>
      </c>
      <c r="F698" s="263" t="s">
        <v>15</v>
      </c>
      <c r="G698" s="264" t="s">
        <v>237</v>
      </c>
      <c r="H698" s="281"/>
      <c r="I698" s="265"/>
      <c r="J698" s="266" t="s">
        <v>258</v>
      </c>
      <c r="K698" s="262"/>
      <c r="L698" s="262"/>
      <c r="M698" s="262">
        <v>4834</v>
      </c>
      <c r="N698" s="262" t="s">
        <v>22</v>
      </c>
      <c r="O698" s="262" t="s">
        <v>35</v>
      </c>
      <c r="P698" s="262" t="s">
        <v>124</v>
      </c>
      <c r="Q698" s="262"/>
      <c r="R698" s="262"/>
      <c r="S698" s="267" t="s">
        <v>828</v>
      </c>
      <c r="T698" s="268"/>
      <c r="U698" s="269"/>
      <c r="V698" s="269"/>
      <c r="W698" s="278">
        <v>0</v>
      </c>
      <c r="X698" s="270"/>
      <c r="Y698" s="262"/>
      <c r="Z698" s="271" t="s">
        <v>25</v>
      </c>
      <c r="AA698" s="287"/>
      <c r="AB698" s="287"/>
      <c r="AC698" s="272">
        <f t="shared" si="23"/>
        <v>10000000</v>
      </c>
      <c r="AD698" s="272">
        <v>10000000</v>
      </c>
      <c r="AE698" s="272">
        <f t="shared" si="24"/>
        <v>0</v>
      </c>
      <c r="AF698" s="273"/>
      <c r="AG698" s="274"/>
      <c r="AH698" s="273"/>
      <c r="AI698" s="273"/>
      <c r="AJ698" s="274"/>
      <c r="AK698" s="273"/>
      <c r="AL698" s="275"/>
      <c r="AM698" s="290"/>
      <c r="AN698" s="275"/>
      <c r="AO698" s="276"/>
      <c r="AP698" s="275"/>
      <c r="AQ698" s="275">
        <v>10000000</v>
      </c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customHeight="1">
      <c r="A699" s="260">
        <v>677</v>
      </c>
      <c r="B699" s="261"/>
      <c r="C699" s="261"/>
      <c r="D699" s="262"/>
      <c r="E699" s="262"/>
      <c r="F699" s="263" t="s">
        <v>15</v>
      </c>
      <c r="G699" s="264" t="s">
        <v>237</v>
      </c>
      <c r="H699" s="281"/>
      <c r="I699" s="265"/>
      <c r="J699" s="266" t="s">
        <v>258</v>
      </c>
      <c r="K699" s="262"/>
      <c r="L699" s="262"/>
      <c r="M699" s="262">
        <v>4834</v>
      </c>
      <c r="N699" s="262" t="s">
        <v>22</v>
      </c>
      <c r="O699" s="262" t="s">
        <v>35</v>
      </c>
      <c r="P699" s="262" t="s">
        <v>124</v>
      </c>
      <c r="Q699" s="262"/>
      <c r="R699" s="262"/>
      <c r="S699" s="267" t="s">
        <v>830</v>
      </c>
      <c r="T699" s="268"/>
      <c r="U699" s="269"/>
      <c r="V699" s="269"/>
      <c r="W699" s="278">
        <v>0</v>
      </c>
      <c r="X699" s="270"/>
      <c r="Y699" s="262"/>
      <c r="Z699" s="271" t="s">
        <v>25</v>
      </c>
      <c r="AA699" s="287"/>
      <c r="AB699" s="287"/>
      <c r="AC699" s="272">
        <f t="shared" si="23"/>
        <v>10000000</v>
      </c>
      <c r="AD699" s="272">
        <v>10000000</v>
      </c>
      <c r="AE699" s="272">
        <f t="shared" si="24"/>
        <v>0</v>
      </c>
      <c r="AF699" s="273"/>
      <c r="AG699" s="274"/>
      <c r="AH699" s="273"/>
      <c r="AI699" s="273"/>
      <c r="AJ699" s="274"/>
      <c r="AK699" s="273"/>
      <c r="AL699" s="275"/>
      <c r="AM699" s="290"/>
      <c r="AN699" s="275"/>
      <c r="AO699" s="276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>
        <v>10000000</v>
      </c>
      <c r="AZ699" s="275"/>
      <c r="BA699" s="275"/>
      <c r="BB699" s="275"/>
      <c r="BC699" s="275"/>
      <c r="BD699" s="275"/>
      <c r="BE699" s="275"/>
      <c r="BF699" s="275"/>
      <c r="BH699" s="277"/>
    </row>
    <row r="700" spans="1:60" ht="16.5" customHeight="1">
      <c r="A700" s="260">
        <v>678</v>
      </c>
      <c r="B700" s="261"/>
      <c r="C700" s="261"/>
      <c r="D700" s="262" t="s">
        <v>15</v>
      </c>
      <c r="E700" s="262" t="s">
        <v>237</v>
      </c>
      <c r="F700" s="263" t="s">
        <v>15</v>
      </c>
      <c r="G700" s="264" t="s">
        <v>237</v>
      </c>
      <c r="H700" s="281"/>
      <c r="I700" s="265"/>
      <c r="J700" s="266" t="s">
        <v>258</v>
      </c>
      <c r="K700" s="262"/>
      <c r="L700" s="262"/>
      <c r="M700" s="262">
        <v>4834</v>
      </c>
      <c r="N700" s="262" t="s">
        <v>22</v>
      </c>
      <c r="O700" s="262" t="s">
        <v>35</v>
      </c>
      <c r="P700" s="262" t="s">
        <v>124</v>
      </c>
      <c r="Q700" s="262"/>
      <c r="R700" s="262"/>
      <c r="S700" s="267" t="s">
        <v>829</v>
      </c>
      <c r="T700" s="268"/>
      <c r="U700" s="269"/>
      <c r="V700" s="269"/>
      <c r="W700" s="278">
        <v>0</v>
      </c>
      <c r="X700" s="270"/>
      <c r="Y700" s="262"/>
      <c r="Z700" s="271" t="s">
        <v>27</v>
      </c>
      <c r="AA700" s="287"/>
      <c r="AB700" s="287"/>
      <c r="AC700" s="272">
        <f t="shared" si="23"/>
        <v>290000</v>
      </c>
      <c r="AD700" s="272">
        <v>290000</v>
      </c>
      <c r="AE700" s="272">
        <f t="shared" si="24"/>
        <v>0</v>
      </c>
      <c r="AF700" s="273"/>
      <c r="AG700" s="274"/>
      <c r="AH700" s="273"/>
      <c r="AI700" s="273"/>
      <c r="AJ700" s="274">
        <v>290000</v>
      </c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H700" s="277"/>
    </row>
    <row r="701" spans="1:60" ht="16.5" customHeight="1">
      <c r="A701" s="260">
        <v>679</v>
      </c>
      <c r="B701" s="261"/>
      <c r="C701" s="261"/>
      <c r="D701" s="262" t="s">
        <v>15</v>
      </c>
      <c r="E701" s="262" t="s">
        <v>237</v>
      </c>
      <c r="F701" s="263" t="s">
        <v>15</v>
      </c>
      <c r="G701" s="264" t="s">
        <v>237</v>
      </c>
      <c r="H701" s="281"/>
      <c r="I701" s="265"/>
      <c r="J701" s="266" t="s">
        <v>719</v>
      </c>
      <c r="K701" s="262"/>
      <c r="L701" s="262"/>
      <c r="M701" s="262">
        <v>4834</v>
      </c>
      <c r="N701" s="262" t="s">
        <v>22</v>
      </c>
      <c r="O701" s="262" t="s">
        <v>35</v>
      </c>
      <c r="P701" s="262" t="s">
        <v>124</v>
      </c>
      <c r="Q701" s="262"/>
      <c r="R701" s="262" t="s">
        <v>397</v>
      </c>
      <c r="S701" s="267" t="s">
        <v>823</v>
      </c>
      <c r="T701" s="268"/>
      <c r="U701" s="269"/>
      <c r="V701" s="269"/>
      <c r="W701" s="278">
        <v>0</v>
      </c>
      <c r="X701" s="270"/>
      <c r="Y701" s="262" t="s">
        <v>25</v>
      </c>
      <c r="Z701" s="271" t="s">
        <v>25</v>
      </c>
      <c r="AA701" s="287"/>
      <c r="AB701" s="287"/>
      <c r="AC701" s="272">
        <f t="shared" si="23"/>
        <v>70000000</v>
      </c>
      <c r="AD701" s="272">
        <v>70000000</v>
      </c>
      <c r="AE701" s="272">
        <f t="shared" si="24"/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>
        <v>70000000</v>
      </c>
      <c r="AR701" s="275"/>
      <c r="AS701" s="275"/>
      <c r="AT701" s="275"/>
      <c r="AU701" s="275"/>
      <c r="AV701" s="275"/>
      <c r="AW701" s="275"/>
      <c r="AX701" s="275"/>
      <c r="AY701" s="275"/>
      <c r="AZ701" s="275"/>
      <c r="BA701" s="275"/>
      <c r="BB701" s="275"/>
      <c r="BC701" s="275"/>
      <c r="BD701" s="275"/>
      <c r="BE701" s="275"/>
      <c r="BF701" s="275"/>
      <c r="BH701" s="277"/>
    </row>
    <row r="702" spans="1:60" ht="16.5" customHeight="1">
      <c r="A702" s="260">
        <v>680</v>
      </c>
      <c r="B702" s="261"/>
      <c r="C702" s="261"/>
      <c r="D702" s="262" t="s">
        <v>15</v>
      </c>
      <c r="E702" s="262" t="s">
        <v>237</v>
      </c>
      <c r="F702" s="263" t="s">
        <v>15</v>
      </c>
      <c r="G702" s="264" t="s">
        <v>237</v>
      </c>
      <c r="H702" s="281"/>
      <c r="I702" s="265"/>
      <c r="J702" s="266" t="s">
        <v>259</v>
      </c>
      <c r="K702" s="262"/>
      <c r="L702" s="262"/>
      <c r="M702" s="262">
        <v>13683</v>
      </c>
      <c r="N702" s="262" t="s">
        <v>22</v>
      </c>
      <c r="O702" s="262" t="s">
        <v>35</v>
      </c>
      <c r="P702" s="262" t="s">
        <v>57</v>
      </c>
      <c r="Q702" s="262" t="s">
        <v>63</v>
      </c>
      <c r="R702" s="262" t="s">
        <v>28</v>
      </c>
      <c r="S702" s="267" t="s">
        <v>28</v>
      </c>
      <c r="T702" s="268"/>
      <c r="U702" s="269">
        <v>29602854</v>
      </c>
      <c r="V702" s="269">
        <v>24191700</v>
      </c>
      <c r="W702" s="278">
        <v>0</v>
      </c>
      <c r="X702" s="270"/>
      <c r="Y702" s="262" t="s">
        <v>562</v>
      </c>
      <c r="Z702" s="271" t="s">
        <v>25</v>
      </c>
      <c r="AA702" s="287"/>
      <c r="AB702" s="287"/>
      <c r="AC702" s="272">
        <f t="shared" si="23"/>
        <v>25000000</v>
      </c>
      <c r="AD702" s="272">
        <v>25000000</v>
      </c>
      <c r="AE702" s="272">
        <f t="shared" si="24"/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>
        <v>25000000</v>
      </c>
      <c r="BF702" s="275"/>
      <c r="BH702" s="277"/>
    </row>
    <row r="703" spans="1:60" ht="16.5" customHeight="1">
      <c r="A703" s="260">
        <v>681</v>
      </c>
      <c r="B703" s="261"/>
      <c r="C703" s="261"/>
      <c r="D703" s="262" t="s">
        <v>15</v>
      </c>
      <c r="E703" s="262" t="s">
        <v>237</v>
      </c>
      <c r="F703" s="263" t="s">
        <v>15</v>
      </c>
      <c r="G703" s="264" t="s">
        <v>237</v>
      </c>
      <c r="H703" s="281"/>
      <c r="I703" s="265"/>
      <c r="J703" s="266" t="s">
        <v>259</v>
      </c>
      <c r="K703" s="262"/>
      <c r="L703" s="262"/>
      <c r="M703" s="262">
        <v>13683</v>
      </c>
      <c r="N703" s="262" t="s">
        <v>22</v>
      </c>
      <c r="O703" s="262" t="s">
        <v>56</v>
      </c>
      <c r="P703" s="262" t="s">
        <v>57</v>
      </c>
      <c r="Q703" s="262" t="s">
        <v>46</v>
      </c>
      <c r="R703" s="262" t="s">
        <v>47</v>
      </c>
      <c r="S703" s="267" t="s">
        <v>47</v>
      </c>
      <c r="T703" s="268"/>
      <c r="U703" s="269">
        <v>4400000</v>
      </c>
      <c r="V703" s="269">
        <v>9000000</v>
      </c>
      <c r="W703" s="278">
        <v>0</v>
      </c>
      <c r="X703" s="270"/>
      <c r="Y703" s="262" t="s">
        <v>27</v>
      </c>
      <c r="Z703" s="271" t="s">
        <v>24</v>
      </c>
      <c r="AA703" s="287"/>
      <c r="AB703" s="287"/>
      <c r="AC703" s="272">
        <f t="shared" si="23"/>
        <v>0</v>
      </c>
      <c r="AD703" s="272">
        <v>0</v>
      </c>
      <c r="AE703" s="272">
        <f t="shared" si="24"/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/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/>
      <c r="BF703" s="275"/>
      <c r="BH703" s="277"/>
    </row>
    <row r="704" spans="1:60" ht="16.5" customHeight="1">
      <c r="A704" s="260">
        <v>682</v>
      </c>
      <c r="B704" s="261"/>
      <c r="C704" s="261"/>
      <c r="D704" s="262"/>
      <c r="E704" s="262"/>
      <c r="F704" s="263" t="s">
        <v>15</v>
      </c>
      <c r="G704" s="264" t="s">
        <v>237</v>
      </c>
      <c r="H704" s="281"/>
      <c r="I704" s="265"/>
      <c r="J704" s="266" t="s">
        <v>259</v>
      </c>
      <c r="K704" s="262"/>
      <c r="L704" s="262"/>
      <c r="M704" s="262">
        <v>13683</v>
      </c>
      <c r="N704" s="262" t="s">
        <v>22</v>
      </c>
      <c r="O704" s="262" t="s">
        <v>56</v>
      </c>
      <c r="P704" s="262" t="s">
        <v>57</v>
      </c>
      <c r="Q704" s="262" t="s">
        <v>46</v>
      </c>
      <c r="R704" s="262"/>
      <c r="S704" s="267" t="s">
        <v>822</v>
      </c>
      <c r="T704" s="268"/>
      <c r="U704" s="269"/>
      <c r="V704" s="269"/>
      <c r="W704" s="278">
        <v>6939727</v>
      </c>
      <c r="X704" s="270"/>
      <c r="Y704" s="262"/>
      <c r="Z704" s="271" t="s">
        <v>27</v>
      </c>
      <c r="AA704" s="287"/>
      <c r="AB704" s="287"/>
      <c r="AC704" s="272">
        <f t="shared" si="23"/>
        <v>7872727</v>
      </c>
      <c r="AD704" s="272">
        <v>7872727</v>
      </c>
      <c r="AE704" s="272">
        <f t="shared" si="24"/>
        <v>0</v>
      </c>
      <c r="AF704" s="273"/>
      <c r="AG704" s="274"/>
      <c r="AH704" s="273"/>
      <c r="AI704" s="273">
        <v>7900000</v>
      </c>
      <c r="AJ704" s="274">
        <v>7872727</v>
      </c>
      <c r="AK704" s="273"/>
      <c r="AL704" s="275"/>
      <c r="AM704" s="290"/>
      <c r="AN704" s="275"/>
      <c r="AO704" s="276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H704" s="277"/>
    </row>
    <row r="705" spans="1:60" ht="16.5" customHeight="1">
      <c r="A705" s="260">
        <v>683</v>
      </c>
      <c r="B705" s="261"/>
      <c r="C705" s="261"/>
      <c r="D705" s="262" t="s">
        <v>15</v>
      </c>
      <c r="E705" s="262" t="s">
        <v>237</v>
      </c>
      <c r="F705" s="263" t="s">
        <v>15</v>
      </c>
      <c r="G705" s="264" t="s">
        <v>237</v>
      </c>
      <c r="H705" s="281"/>
      <c r="I705" s="265"/>
      <c r="J705" s="266" t="s">
        <v>259</v>
      </c>
      <c r="K705" s="262"/>
      <c r="L705" s="262"/>
      <c r="M705" s="262">
        <v>13683</v>
      </c>
      <c r="N705" s="262"/>
      <c r="O705" s="262"/>
      <c r="P705" s="262"/>
      <c r="Q705" s="262"/>
      <c r="R705" s="262"/>
      <c r="S705" s="267" t="s">
        <v>830</v>
      </c>
      <c r="T705" s="268"/>
      <c r="U705" s="269"/>
      <c r="V705" s="269"/>
      <c r="W705" s="278">
        <v>3600000</v>
      </c>
      <c r="X705" s="270"/>
      <c r="Y705" s="262"/>
      <c r="Z705" s="271" t="s">
        <v>718</v>
      </c>
      <c r="AA705" s="287"/>
      <c r="AB705" s="287"/>
      <c r="AC705" s="272">
        <f t="shared" si="23"/>
        <v>0</v>
      </c>
      <c r="AD705" s="272">
        <v>0</v>
      </c>
      <c r="AE705" s="272">
        <f t="shared" si="24"/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/>
      <c r="AR705" s="275"/>
      <c r="AS705" s="275"/>
      <c r="AT705" s="275"/>
      <c r="AU705" s="275"/>
      <c r="AV705" s="275"/>
      <c r="AW705" s="275"/>
      <c r="AX705" s="275"/>
      <c r="AY705" s="275"/>
      <c r="AZ705" s="275"/>
      <c r="BA705" s="275"/>
      <c r="BB705" s="275"/>
      <c r="BC705" s="275"/>
      <c r="BD705" s="275"/>
      <c r="BE705" s="275"/>
      <c r="BF705" s="275"/>
      <c r="BH705" s="277"/>
    </row>
    <row r="706" spans="1:60" ht="16.5" customHeight="1">
      <c r="A706" s="260">
        <v>684</v>
      </c>
      <c r="B706" s="261"/>
      <c r="C706" s="261"/>
      <c r="D706" s="262" t="s">
        <v>15</v>
      </c>
      <c r="E706" s="262" t="s">
        <v>237</v>
      </c>
      <c r="F706" s="263" t="s">
        <v>15</v>
      </c>
      <c r="G706" s="264" t="s">
        <v>237</v>
      </c>
      <c r="H706" s="281"/>
      <c r="I706" s="265"/>
      <c r="J706" s="266" t="s">
        <v>617</v>
      </c>
      <c r="K706" s="262"/>
      <c r="L706" s="262"/>
      <c r="M706" s="262">
        <v>2017</v>
      </c>
      <c r="N706" s="262" t="s">
        <v>22</v>
      </c>
      <c r="O706" s="262" t="s">
        <v>35</v>
      </c>
      <c r="P706" s="262" t="s">
        <v>156</v>
      </c>
      <c r="Q706" s="262"/>
      <c r="R706" s="262" t="s">
        <v>478</v>
      </c>
      <c r="S706" s="267" t="s">
        <v>478</v>
      </c>
      <c r="T706" s="268"/>
      <c r="U706" s="269"/>
      <c r="V706" s="269">
        <v>0</v>
      </c>
      <c r="W706" s="278">
        <v>0</v>
      </c>
      <c r="X706" s="270"/>
      <c r="Y706" s="262" t="s">
        <v>25</v>
      </c>
      <c r="Z706" s="271" t="s">
        <v>25</v>
      </c>
      <c r="AA706" s="287"/>
      <c r="AB706" s="287"/>
      <c r="AC706" s="272">
        <f t="shared" si="23"/>
        <v>10000000</v>
      </c>
      <c r="AD706" s="272">
        <v>10000000</v>
      </c>
      <c r="AE706" s="272">
        <f t="shared" si="24"/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>
        <v>10000000</v>
      </c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H706" s="277"/>
    </row>
    <row r="707" spans="1:60" ht="16.5" customHeight="1">
      <c r="A707" s="260">
        <v>685</v>
      </c>
      <c r="B707" s="261"/>
      <c r="C707" s="261"/>
      <c r="D707" s="262" t="s">
        <v>15</v>
      </c>
      <c r="E707" s="262" t="s">
        <v>237</v>
      </c>
      <c r="F707" s="263" t="s">
        <v>15</v>
      </c>
      <c r="G707" s="264" t="s">
        <v>237</v>
      </c>
      <c r="H707" s="281"/>
      <c r="I707" s="265"/>
      <c r="J707" s="266" t="s">
        <v>260</v>
      </c>
      <c r="K707" s="262"/>
      <c r="L707" s="262"/>
      <c r="M707" s="262">
        <v>44282</v>
      </c>
      <c r="N707" s="262" t="s">
        <v>22</v>
      </c>
      <c r="O707" s="262" t="s">
        <v>212</v>
      </c>
      <c r="P707" s="262" t="s">
        <v>57</v>
      </c>
      <c r="Q707" s="262"/>
      <c r="R707" s="262" t="s">
        <v>28</v>
      </c>
      <c r="S707" s="267" t="s">
        <v>28</v>
      </c>
      <c r="T707" s="268" t="s">
        <v>951</v>
      </c>
      <c r="U707" s="269"/>
      <c r="V707" s="269"/>
      <c r="W707" s="278">
        <v>0</v>
      </c>
      <c r="X707" s="270"/>
      <c r="Y707" s="262"/>
      <c r="Z707" s="271" t="s">
        <v>27</v>
      </c>
      <c r="AA707" s="287"/>
      <c r="AB707" s="287"/>
      <c r="AC707" s="272">
        <f t="shared" si="23"/>
        <v>74000000</v>
      </c>
      <c r="AD707" s="272">
        <v>74000000</v>
      </c>
      <c r="AE707" s="272">
        <f t="shared" si="24"/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>
        <v>8000000</v>
      </c>
      <c r="AP707" s="275"/>
      <c r="AQ707" s="275">
        <v>8000000</v>
      </c>
      <c r="AR707" s="275"/>
      <c r="AS707" s="275">
        <v>8000000</v>
      </c>
      <c r="AT707" s="275"/>
      <c r="AU707" s="275">
        <v>8000000</v>
      </c>
      <c r="AV707" s="275"/>
      <c r="AW707" s="275">
        <v>8000000</v>
      </c>
      <c r="AX707" s="275"/>
      <c r="AY707" s="275">
        <v>8000000</v>
      </c>
      <c r="AZ707" s="275"/>
      <c r="BA707" s="275">
        <v>8000000</v>
      </c>
      <c r="BB707" s="275"/>
      <c r="BC707" s="275">
        <v>8000000</v>
      </c>
      <c r="BD707" s="275"/>
      <c r="BE707" s="275">
        <v>10000000</v>
      </c>
      <c r="BF707" s="275"/>
      <c r="BH707" s="277"/>
    </row>
    <row r="708" spans="1:60" ht="16.5" customHeight="1">
      <c r="A708" s="260">
        <v>686</v>
      </c>
      <c r="B708" s="261"/>
      <c r="C708" s="261"/>
      <c r="D708" s="262" t="s">
        <v>15</v>
      </c>
      <c r="E708" s="262" t="s">
        <v>237</v>
      </c>
      <c r="F708" s="263" t="s">
        <v>15</v>
      </c>
      <c r="G708" s="264" t="s">
        <v>237</v>
      </c>
      <c r="H708" s="281"/>
      <c r="I708" s="265"/>
      <c r="J708" s="266" t="s">
        <v>260</v>
      </c>
      <c r="K708" s="262"/>
      <c r="L708" s="262"/>
      <c r="M708" s="262">
        <v>44282</v>
      </c>
      <c r="N708" s="262" t="s">
        <v>22</v>
      </c>
      <c r="O708" s="262" t="s">
        <v>212</v>
      </c>
      <c r="P708" s="262" t="s">
        <v>57</v>
      </c>
      <c r="Q708" s="262" t="s">
        <v>63</v>
      </c>
      <c r="R708" s="262" t="s">
        <v>28</v>
      </c>
      <c r="S708" s="267" t="s">
        <v>28</v>
      </c>
      <c r="T708" s="268"/>
      <c r="U708" s="269">
        <v>125849260</v>
      </c>
      <c r="V708" s="269">
        <v>90808820</v>
      </c>
      <c r="W708" s="278">
        <v>107369260</v>
      </c>
      <c r="X708" s="270"/>
      <c r="Y708" s="262" t="s">
        <v>27</v>
      </c>
      <c r="Z708" s="271" t="s">
        <v>27</v>
      </c>
      <c r="AA708" s="287"/>
      <c r="AB708" s="287"/>
      <c r="AC708" s="272">
        <f t="shared" si="23"/>
        <v>18742540</v>
      </c>
      <c r="AD708" s="272">
        <v>18742540</v>
      </c>
      <c r="AE708" s="272">
        <f t="shared" si="24"/>
        <v>0</v>
      </c>
      <c r="AF708" s="273">
        <v>6233100</v>
      </c>
      <c r="AG708" s="274">
        <v>6233100</v>
      </c>
      <c r="AH708" s="273"/>
      <c r="AI708" s="273">
        <v>8000000</v>
      </c>
      <c r="AJ708" s="274">
        <v>6880040</v>
      </c>
      <c r="AK708" s="273" t="s">
        <v>928</v>
      </c>
      <c r="AL708" s="275">
        <v>5629400</v>
      </c>
      <c r="AM708" s="290">
        <v>5629400</v>
      </c>
      <c r="AN708" s="275"/>
      <c r="AO708" s="276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customHeight="1">
      <c r="A709" s="260">
        <v>687</v>
      </c>
      <c r="B709" s="261"/>
      <c r="C709" s="261"/>
      <c r="D709" s="262" t="s">
        <v>15</v>
      </c>
      <c r="E709" s="262" t="s">
        <v>237</v>
      </c>
      <c r="F709" s="263" t="s">
        <v>15</v>
      </c>
      <c r="G709" s="264" t="s">
        <v>237</v>
      </c>
      <c r="H709" s="281"/>
      <c r="I709" s="265"/>
      <c r="J709" s="266" t="s">
        <v>260</v>
      </c>
      <c r="K709" s="262"/>
      <c r="L709" s="262"/>
      <c r="M709" s="262">
        <v>44282</v>
      </c>
      <c r="N709" s="262" t="s">
        <v>22</v>
      </c>
      <c r="O709" s="262" t="s">
        <v>56</v>
      </c>
      <c r="P709" s="262"/>
      <c r="Q709" s="262" t="s">
        <v>30</v>
      </c>
      <c r="R709" s="262" t="s">
        <v>31</v>
      </c>
      <c r="S709" s="267" t="s">
        <v>31</v>
      </c>
      <c r="T709" s="268"/>
      <c r="U709" s="269">
        <v>12135000</v>
      </c>
      <c r="V709" s="269">
        <v>0</v>
      </c>
      <c r="W709" s="278">
        <v>0</v>
      </c>
      <c r="X709" s="270"/>
      <c r="Y709" s="262" t="s">
        <v>21</v>
      </c>
      <c r="Z709" s="271" t="s">
        <v>20</v>
      </c>
      <c r="AA709" s="287"/>
      <c r="AB709" s="287"/>
      <c r="AC709" s="272">
        <f t="shared" si="23"/>
        <v>0</v>
      </c>
      <c r="AD709" s="272">
        <v>0</v>
      </c>
      <c r="AE709" s="272">
        <f t="shared" si="24"/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/>
      <c r="BB709" s="275"/>
      <c r="BC709" s="275"/>
      <c r="BD709" s="275"/>
      <c r="BE709" s="275"/>
      <c r="BF709" s="275"/>
      <c r="BH709" s="277"/>
    </row>
    <row r="710" spans="1:60" ht="16.5" customHeight="1">
      <c r="A710" s="260">
        <v>688</v>
      </c>
      <c r="B710" s="261"/>
      <c r="C710" s="261"/>
      <c r="D710" s="262" t="s">
        <v>15</v>
      </c>
      <c r="E710" s="262" t="s">
        <v>237</v>
      </c>
      <c r="F710" s="263" t="s">
        <v>15</v>
      </c>
      <c r="G710" s="264" t="s">
        <v>237</v>
      </c>
      <c r="H710" s="281"/>
      <c r="I710" s="265"/>
      <c r="J710" s="266" t="s">
        <v>260</v>
      </c>
      <c r="K710" s="262"/>
      <c r="L710" s="262"/>
      <c r="M710" s="262">
        <v>44282</v>
      </c>
      <c r="N710" s="262" t="s">
        <v>22</v>
      </c>
      <c r="O710" s="262" t="s">
        <v>35</v>
      </c>
      <c r="P710" s="262" t="s">
        <v>57</v>
      </c>
      <c r="Q710" s="262"/>
      <c r="R710" s="262"/>
      <c r="S710" s="267" t="s">
        <v>828</v>
      </c>
      <c r="T710" s="268"/>
      <c r="U710" s="269"/>
      <c r="V710" s="269"/>
      <c r="W710" s="278">
        <v>0</v>
      </c>
      <c r="X710" s="270"/>
      <c r="Y710" s="262"/>
      <c r="Z710" s="271" t="s">
        <v>25</v>
      </c>
      <c r="AA710" s="287"/>
      <c r="AB710" s="287"/>
      <c r="AC710" s="272">
        <f t="shared" si="23"/>
        <v>0</v>
      </c>
      <c r="AD710" s="272">
        <v>0</v>
      </c>
      <c r="AE710" s="272">
        <f t="shared" si="24"/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/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H710" s="277"/>
    </row>
    <row r="711" spans="1:60" ht="16.5" customHeight="1">
      <c r="A711" s="260">
        <v>689</v>
      </c>
      <c r="B711" s="261"/>
      <c r="C711" s="261"/>
      <c r="D711" s="262" t="s">
        <v>15</v>
      </c>
      <c r="E711" s="262" t="s">
        <v>237</v>
      </c>
      <c r="F711" s="263" t="s">
        <v>15</v>
      </c>
      <c r="G711" s="264" t="s">
        <v>237</v>
      </c>
      <c r="H711" s="281"/>
      <c r="I711" s="265"/>
      <c r="J711" s="266" t="s">
        <v>260</v>
      </c>
      <c r="K711" s="262"/>
      <c r="L711" s="262"/>
      <c r="M711" s="262">
        <v>44282</v>
      </c>
      <c r="N711" s="262" t="s">
        <v>22</v>
      </c>
      <c r="O711" s="262" t="s">
        <v>56</v>
      </c>
      <c r="P711" s="262" t="s">
        <v>57</v>
      </c>
      <c r="Q711" s="262" t="s">
        <v>23</v>
      </c>
      <c r="R711" s="262" t="s">
        <v>397</v>
      </c>
      <c r="S711" s="267" t="s">
        <v>823</v>
      </c>
      <c r="T711" s="268"/>
      <c r="U711" s="269">
        <v>250000</v>
      </c>
      <c r="V711" s="269">
        <v>0</v>
      </c>
      <c r="W711" s="278">
        <v>6500000</v>
      </c>
      <c r="X711" s="270"/>
      <c r="Y711" s="262" t="s">
        <v>21</v>
      </c>
      <c r="Z711" s="271" t="s">
        <v>27</v>
      </c>
      <c r="AA711" s="287"/>
      <c r="AB711" s="287"/>
      <c r="AC711" s="272">
        <f t="shared" si="23"/>
        <v>6560000</v>
      </c>
      <c r="AD711" s="272">
        <v>6560000</v>
      </c>
      <c r="AE711" s="272">
        <f t="shared" si="24"/>
        <v>0</v>
      </c>
      <c r="AF711" s="273"/>
      <c r="AG711" s="274"/>
      <c r="AH711" s="273"/>
      <c r="AI711" s="273">
        <v>6560000</v>
      </c>
      <c r="AJ711" s="274">
        <v>1800000</v>
      </c>
      <c r="AK711" s="273" t="s">
        <v>931</v>
      </c>
      <c r="AL711" s="275">
        <v>4760000</v>
      </c>
      <c r="AM711" s="290"/>
      <c r="AN711" s="275"/>
      <c r="AO711" s="276">
        <v>4760000</v>
      </c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/>
      <c r="BB711" s="275"/>
      <c r="BC711" s="275"/>
      <c r="BD711" s="275"/>
      <c r="BE711" s="275"/>
      <c r="BF711" s="275"/>
      <c r="BH711" s="277"/>
    </row>
    <row r="712" spans="1:60" ht="16.5" customHeight="1">
      <c r="A712" s="260">
        <v>690</v>
      </c>
      <c r="B712" s="261"/>
      <c r="C712" s="261"/>
      <c r="D712" s="262" t="s">
        <v>15</v>
      </c>
      <c r="E712" s="262" t="s">
        <v>237</v>
      </c>
      <c r="F712" s="263" t="s">
        <v>15</v>
      </c>
      <c r="G712" s="264" t="s">
        <v>237</v>
      </c>
      <c r="H712" s="281"/>
      <c r="I712" s="265"/>
      <c r="J712" s="266" t="s">
        <v>260</v>
      </c>
      <c r="K712" s="262"/>
      <c r="L712" s="262"/>
      <c r="M712" s="262">
        <v>44282</v>
      </c>
      <c r="N712" s="262" t="s">
        <v>22</v>
      </c>
      <c r="O712" s="262" t="s">
        <v>56</v>
      </c>
      <c r="P712" s="262" t="s">
        <v>57</v>
      </c>
      <c r="Q712" s="262" t="s">
        <v>261</v>
      </c>
      <c r="R712" s="262" t="s">
        <v>471</v>
      </c>
      <c r="S712" s="267" t="s">
        <v>831</v>
      </c>
      <c r="T712" s="268"/>
      <c r="U712" s="269">
        <v>970000</v>
      </c>
      <c r="V712" s="269">
        <v>4300000</v>
      </c>
      <c r="W712" s="278">
        <v>0</v>
      </c>
      <c r="X712" s="270"/>
      <c r="Y712" s="262" t="s">
        <v>24</v>
      </c>
      <c r="Z712" s="271" t="s">
        <v>24</v>
      </c>
      <c r="AA712" s="287"/>
      <c r="AB712" s="287"/>
      <c r="AC712" s="272">
        <f t="shared" si="23"/>
        <v>2000000</v>
      </c>
      <c r="AD712" s="272">
        <v>2000000</v>
      </c>
      <c r="AE712" s="272">
        <f t="shared" si="24"/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/>
      <c r="AT712" s="275"/>
      <c r="AU712" s="275"/>
      <c r="AV712" s="275"/>
      <c r="AW712" s="275"/>
      <c r="AX712" s="275"/>
      <c r="AY712" s="275">
        <v>2000000</v>
      </c>
      <c r="AZ712" s="275"/>
      <c r="BA712" s="275"/>
      <c r="BB712" s="275"/>
      <c r="BC712" s="275"/>
      <c r="BD712" s="275"/>
      <c r="BE712" s="275"/>
      <c r="BF712" s="275"/>
      <c r="BH712" s="277"/>
    </row>
    <row r="713" spans="1:60" ht="16.5" customHeight="1">
      <c r="A713" s="260">
        <v>691</v>
      </c>
      <c r="B713" s="261"/>
      <c r="C713" s="261"/>
      <c r="D713" s="262" t="s">
        <v>15</v>
      </c>
      <c r="E713" s="262" t="s">
        <v>237</v>
      </c>
      <c r="F713" s="263" t="s">
        <v>15</v>
      </c>
      <c r="G713" s="264" t="s">
        <v>237</v>
      </c>
      <c r="H713" s="281"/>
      <c r="I713" s="265"/>
      <c r="J713" s="266" t="s">
        <v>260</v>
      </c>
      <c r="K713" s="262"/>
      <c r="L713" s="262"/>
      <c r="M713" s="262">
        <v>44282</v>
      </c>
      <c r="N713" s="262" t="s">
        <v>22</v>
      </c>
      <c r="O713" s="262" t="s">
        <v>212</v>
      </c>
      <c r="P713" s="262" t="s">
        <v>57</v>
      </c>
      <c r="Q713" s="262" t="s">
        <v>111</v>
      </c>
      <c r="R713" s="262" t="s">
        <v>472</v>
      </c>
      <c r="S713" s="267" t="s">
        <v>824</v>
      </c>
      <c r="T713" s="268"/>
      <c r="U713" s="269"/>
      <c r="V713" s="269">
        <v>18000000</v>
      </c>
      <c r="W713" s="278">
        <v>18000000</v>
      </c>
      <c r="X713" s="270"/>
      <c r="Y713" s="262" t="s">
        <v>27</v>
      </c>
      <c r="Z713" s="271" t="s">
        <v>27</v>
      </c>
      <c r="AA713" s="287"/>
      <c r="AB713" s="287"/>
      <c r="AC713" s="272">
        <f t="shared" si="23"/>
        <v>18000000</v>
      </c>
      <c r="AD713" s="272">
        <v>18000000</v>
      </c>
      <c r="AE713" s="272">
        <f t="shared" si="24"/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>
        <v>18000000</v>
      </c>
      <c r="AP713" s="275"/>
      <c r="AQ713" s="275"/>
      <c r="AR713" s="275"/>
      <c r="AS713" s="275"/>
      <c r="AT713" s="275"/>
      <c r="AU713" s="275"/>
      <c r="AV713" s="275"/>
      <c r="AW713" s="275"/>
      <c r="AX713" s="275"/>
      <c r="AY713" s="275"/>
      <c r="AZ713" s="275"/>
      <c r="BA713" s="275"/>
      <c r="BB713" s="275"/>
      <c r="BC713" s="275"/>
      <c r="BD713" s="275"/>
      <c r="BE713" s="275"/>
      <c r="BF713" s="275"/>
      <c r="BH713" s="277"/>
    </row>
    <row r="714" spans="1:60" ht="16.5" customHeight="1">
      <c r="A714" s="260">
        <v>692</v>
      </c>
      <c r="B714" s="261"/>
      <c r="C714" s="261"/>
      <c r="D714" s="262" t="s">
        <v>15</v>
      </c>
      <c r="E714" s="262" t="s">
        <v>237</v>
      </c>
      <c r="F714" s="263" t="s">
        <v>15</v>
      </c>
      <c r="G714" s="264" t="s">
        <v>237</v>
      </c>
      <c r="H714" s="281"/>
      <c r="I714" s="265"/>
      <c r="J714" s="266" t="s">
        <v>260</v>
      </c>
      <c r="K714" s="262"/>
      <c r="L714" s="262"/>
      <c r="M714" s="262">
        <v>44282</v>
      </c>
      <c r="N714" s="262" t="s">
        <v>22</v>
      </c>
      <c r="O714" s="262" t="s">
        <v>35</v>
      </c>
      <c r="P714" s="262" t="s">
        <v>57</v>
      </c>
      <c r="Q714" s="262"/>
      <c r="R714" s="262"/>
      <c r="S714" s="267" t="s">
        <v>830</v>
      </c>
      <c r="T714" s="268"/>
      <c r="U714" s="269"/>
      <c r="V714" s="269"/>
      <c r="W714" s="278">
        <v>0</v>
      </c>
      <c r="X714" s="270"/>
      <c r="Y714" s="262"/>
      <c r="Z714" s="271" t="s">
        <v>25</v>
      </c>
      <c r="AA714" s="287"/>
      <c r="AB714" s="287"/>
      <c r="AC714" s="272">
        <f t="shared" si="23"/>
        <v>20000000</v>
      </c>
      <c r="AD714" s="272">
        <v>20000000</v>
      </c>
      <c r="AE714" s="272">
        <f t="shared" si="24"/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/>
      <c r="AV714" s="275"/>
      <c r="AW714" s="275"/>
      <c r="AX714" s="275"/>
      <c r="AY714" s="275">
        <v>20000000</v>
      </c>
      <c r="AZ714" s="275"/>
      <c r="BA714" s="275"/>
      <c r="BB714" s="275"/>
      <c r="BC714" s="275"/>
      <c r="BD714" s="275"/>
      <c r="BE714" s="275"/>
      <c r="BF714" s="275"/>
      <c r="BH714" s="277"/>
    </row>
    <row r="715" spans="1:60" ht="16.5" customHeight="1">
      <c r="A715" s="260">
        <v>693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237</v>
      </c>
      <c r="H715" s="281"/>
      <c r="I715" s="265"/>
      <c r="J715" s="266" t="s">
        <v>970</v>
      </c>
      <c r="K715" s="262"/>
      <c r="L715" s="262"/>
      <c r="M715" s="262">
        <v>44282</v>
      </c>
      <c r="N715" s="262" t="s">
        <v>22</v>
      </c>
      <c r="O715" s="262" t="s">
        <v>35</v>
      </c>
      <c r="P715" s="262" t="s">
        <v>57</v>
      </c>
      <c r="Q715" s="262"/>
      <c r="R715" s="262" t="s">
        <v>478</v>
      </c>
      <c r="S715" s="267" t="s">
        <v>478</v>
      </c>
      <c r="T715" s="268"/>
      <c r="U715" s="269"/>
      <c r="V715" s="269"/>
      <c r="W715" s="278">
        <v>0</v>
      </c>
      <c r="X715" s="270"/>
      <c r="Y715" s="262" t="s">
        <v>25</v>
      </c>
      <c r="Z715" s="271" t="s">
        <v>25</v>
      </c>
      <c r="AA715" s="287"/>
      <c r="AB715" s="287"/>
      <c r="AC715" s="272">
        <f t="shared" si="23"/>
        <v>80000000</v>
      </c>
      <c r="AD715" s="272">
        <v>80000000</v>
      </c>
      <c r="AE715" s="272">
        <f t="shared" si="24"/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>
        <v>80000000</v>
      </c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/>
      <c r="BB715" s="275"/>
      <c r="BC715" s="275"/>
      <c r="BD715" s="275"/>
      <c r="BE715" s="275"/>
      <c r="BF715" s="275"/>
      <c r="BH715" s="277"/>
    </row>
    <row r="716" spans="1:60" ht="16.5" customHeight="1">
      <c r="A716" s="260">
        <v>694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262</v>
      </c>
      <c r="K716" s="262"/>
      <c r="L716" s="262"/>
      <c r="M716" s="262">
        <v>28736</v>
      </c>
      <c r="N716" s="262" t="s">
        <v>17</v>
      </c>
      <c r="O716" s="262" t="s">
        <v>56</v>
      </c>
      <c r="P716" s="262" t="s">
        <v>57</v>
      </c>
      <c r="Q716" s="262" t="s">
        <v>30</v>
      </c>
      <c r="R716" s="262" t="s">
        <v>31</v>
      </c>
      <c r="S716" s="267" t="s">
        <v>31</v>
      </c>
      <c r="T716" s="268"/>
      <c r="U716" s="269">
        <v>2728000</v>
      </c>
      <c r="V716" s="269">
        <v>2144000</v>
      </c>
      <c r="W716" s="278">
        <v>2408000</v>
      </c>
      <c r="X716" s="270"/>
      <c r="Y716" s="262" t="s">
        <v>27</v>
      </c>
      <c r="Z716" s="271" t="s">
        <v>24</v>
      </c>
      <c r="AA716" s="287"/>
      <c r="AB716" s="287"/>
      <c r="AC716" s="272">
        <f t="shared" si="23"/>
        <v>3000000</v>
      </c>
      <c r="AD716" s="272">
        <v>3000000</v>
      </c>
      <c r="AE716" s="272">
        <f t="shared" si="24"/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/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>
        <v>3000000</v>
      </c>
      <c r="BF716" s="275"/>
      <c r="BH716" s="277"/>
    </row>
    <row r="717" spans="1:60" ht="16.5" customHeight="1">
      <c r="A717" s="260">
        <v>695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774</v>
      </c>
      <c r="K717" s="262"/>
      <c r="L717" s="262"/>
      <c r="M717" s="262">
        <v>41692</v>
      </c>
      <c r="N717" s="262" t="s">
        <v>22</v>
      </c>
      <c r="O717" s="262" t="s">
        <v>56</v>
      </c>
      <c r="P717" s="262" t="s">
        <v>57</v>
      </c>
      <c r="Q717" s="262" t="s">
        <v>30</v>
      </c>
      <c r="R717" s="262" t="s">
        <v>31</v>
      </c>
      <c r="S717" s="267" t="s">
        <v>31</v>
      </c>
      <c r="T717" s="268"/>
      <c r="U717" s="269"/>
      <c r="V717" s="269">
        <v>400000</v>
      </c>
      <c r="W717" s="278">
        <v>664000</v>
      </c>
      <c r="X717" s="270"/>
      <c r="Y717" s="262" t="s">
        <v>27</v>
      </c>
      <c r="Z717" s="271" t="s">
        <v>24</v>
      </c>
      <c r="AA717" s="287"/>
      <c r="AB717" s="287"/>
      <c r="AC717" s="272">
        <f t="shared" si="23"/>
        <v>0</v>
      </c>
      <c r="AD717" s="272">
        <v>0</v>
      </c>
      <c r="AE717" s="272">
        <f t="shared" si="24"/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/>
      <c r="AZ717" s="275"/>
      <c r="BA717" s="275"/>
      <c r="BB717" s="275"/>
      <c r="BC717" s="275"/>
      <c r="BD717" s="275"/>
      <c r="BE717" s="275"/>
      <c r="BF717" s="275"/>
      <c r="BH717" s="277"/>
    </row>
    <row r="718" spans="1:60" ht="16.5" customHeight="1">
      <c r="A718" s="260">
        <v>696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196</v>
      </c>
      <c r="K718" s="262"/>
      <c r="L718" s="262"/>
      <c r="M718" s="262">
        <v>13636</v>
      </c>
      <c r="N718" s="262" t="s">
        <v>22</v>
      </c>
      <c r="O718" s="262" t="s">
        <v>212</v>
      </c>
      <c r="P718" s="262" t="s">
        <v>57</v>
      </c>
      <c r="Q718" s="262" t="s">
        <v>63</v>
      </c>
      <c r="R718" s="262" t="s">
        <v>28</v>
      </c>
      <c r="S718" s="267" t="s">
        <v>28</v>
      </c>
      <c r="T718" s="268" t="s">
        <v>951</v>
      </c>
      <c r="U718" s="269">
        <v>129235720</v>
      </c>
      <c r="V718" s="269">
        <v>164994800</v>
      </c>
      <c r="W718" s="278">
        <v>152739000</v>
      </c>
      <c r="X718" s="270"/>
      <c r="Y718" s="262" t="s">
        <v>27</v>
      </c>
      <c r="Z718" s="271" t="s">
        <v>27</v>
      </c>
      <c r="AA718" s="287"/>
      <c r="AB718" s="287"/>
      <c r="AC718" s="272">
        <f t="shared" si="23"/>
        <v>148623200</v>
      </c>
      <c r="AD718" s="272">
        <v>142094700</v>
      </c>
      <c r="AE718" s="272">
        <f t="shared" si="24"/>
        <v>6528500</v>
      </c>
      <c r="AF718" s="273"/>
      <c r="AG718" s="274"/>
      <c r="AH718" s="273"/>
      <c r="AI718" s="273"/>
      <c r="AJ718" s="274"/>
      <c r="AK718" s="273"/>
      <c r="AL718" s="275">
        <v>13994700</v>
      </c>
      <c r="AM718" s="290">
        <v>13994700</v>
      </c>
      <c r="AN718" s="275"/>
      <c r="AO718" s="276">
        <v>11558600</v>
      </c>
      <c r="AP718" s="275"/>
      <c r="AQ718" s="275">
        <v>12336100</v>
      </c>
      <c r="AR718" s="275"/>
      <c r="AS718" s="275">
        <v>17633800</v>
      </c>
      <c r="AT718" s="275"/>
      <c r="AU718" s="275">
        <v>13100000</v>
      </c>
      <c r="AV718" s="275"/>
      <c r="AW718" s="275">
        <v>14000000</v>
      </c>
      <c r="AX718" s="275"/>
      <c r="AY718" s="275">
        <v>14000000</v>
      </c>
      <c r="AZ718" s="275"/>
      <c r="BA718" s="275">
        <v>14000000</v>
      </c>
      <c r="BB718" s="275"/>
      <c r="BC718" s="275">
        <v>14000000</v>
      </c>
      <c r="BD718" s="275"/>
      <c r="BE718" s="275">
        <v>24000000</v>
      </c>
      <c r="BF718" s="275"/>
      <c r="BH718" s="277"/>
    </row>
    <row r="719" spans="1:60" ht="16.5" customHeight="1">
      <c r="A719" s="260">
        <v>697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196</v>
      </c>
      <c r="K719" s="262"/>
      <c r="L719" s="262"/>
      <c r="M719" s="262">
        <v>13636</v>
      </c>
      <c r="N719" s="262" t="s">
        <v>22</v>
      </c>
      <c r="O719" s="262" t="s">
        <v>35</v>
      </c>
      <c r="P719" s="262" t="s">
        <v>57</v>
      </c>
      <c r="Q719" s="262"/>
      <c r="R719" s="262"/>
      <c r="S719" s="267" t="s">
        <v>830</v>
      </c>
      <c r="T719" s="268"/>
      <c r="U719" s="269"/>
      <c r="V719" s="269"/>
      <c r="W719" s="278">
        <v>0</v>
      </c>
      <c r="X719" s="270"/>
      <c r="Y719" s="262"/>
      <c r="Z719" s="271" t="s">
        <v>25</v>
      </c>
      <c r="AA719" s="287"/>
      <c r="AB719" s="287"/>
      <c r="AC719" s="272">
        <f t="shared" si="23"/>
        <v>10000000</v>
      </c>
      <c r="AD719" s="272">
        <v>10000000</v>
      </c>
      <c r="AE719" s="272">
        <f t="shared" si="24"/>
        <v>0</v>
      </c>
      <c r="AF719" s="273"/>
      <c r="AG719" s="274"/>
      <c r="AH719" s="273"/>
      <c r="AI719" s="273"/>
      <c r="AJ719" s="274"/>
      <c r="AK719" s="273"/>
      <c r="AL719" s="275"/>
      <c r="AM719" s="290"/>
      <c r="AN719" s="275"/>
      <c r="AO719" s="276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>
        <v>10000000</v>
      </c>
      <c r="AZ719" s="275"/>
      <c r="BA719" s="275"/>
      <c r="BB719" s="275"/>
      <c r="BC719" s="275"/>
      <c r="BD719" s="275"/>
      <c r="BE719" s="275"/>
      <c r="BF719" s="275"/>
      <c r="BH719" s="277"/>
    </row>
    <row r="720" spans="1:60" ht="16.5" customHeight="1">
      <c r="A720" s="260">
        <v>698</v>
      </c>
      <c r="B720" s="261"/>
      <c r="C720" s="261"/>
      <c r="D720" s="262" t="s">
        <v>112</v>
      </c>
      <c r="E720" s="262" t="s">
        <v>701</v>
      </c>
      <c r="F720" s="263" t="s">
        <v>15</v>
      </c>
      <c r="G720" s="264" t="s">
        <v>237</v>
      </c>
      <c r="H720" s="281"/>
      <c r="I720" s="265"/>
      <c r="J720" s="266" t="s">
        <v>775</v>
      </c>
      <c r="K720" s="262"/>
      <c r="L720" s="262"/>
      <c r="M720" s="262">
        <v>13636</v>
      </c>
      <c r="N720" s="262" t="s">
        <v>22</v>
      </c>
      <c r="O720" s="262" t="s">
        <v>35</v>
      </c>
      <c r="P720" s="262" t="s">
        <v>57</v>
      </c>
      <c r="Q720" s="262"/>
      <c r="R720" s="262"/>
      <c r="S720" s="267" t="s">
        <v>468</v>
      </c>
      <c r="T720" s="268"/>
      <c r="U720" s="269"/>
      <c r="V720" s="269"/>
      <c r="W720" s="278">
        <v>0</v>
      </c>
      <c r="X720" s="270"/>
      <c r="Y720" s="262"/>
      <c r="Z720" s="271" t="s">
        <v>25</v>
      </c>
      <c r="AA720" s="287"/>
      <c r="AB720" s="287"/>
      <c r="AC720" s="272">
        <f t="shared" si="23"/>
        <v>30000000</v>
      </c>
      <c r="AD720" s="272">
        <v>30000000</v>
      </c>
      <c r="AE720" s="272">
        <f t="shared" si="24"/>
        <v>0</v>
      </c>
      <c r="AF720" s="273"/>
      <c r="AG720" s="274"/>
      <c r="AH720" s="273"/>
      <c r="AI720" s="273"/>
      <c r="AJ720" s="274"/>
      <c r="AK720" s="273"/>
      <c r="AL720" s="275"/>
      <c r="AM720" s="290"/>
      <c r="AN720" s="275"/>
      <c r="AO720" s="276"/>
      <c r="AP720" s="275"/>
      <c r="AQ720" s="275">
        <v>30000000</v>
      </c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H720" s="277"/>
    </row>
    <row r="721" spans="1:60" ht="16.5" customHeight="1">
      <c r="A721" s="260">
        <v>699</v>
      </c>
      <c r="B721" s="261"/>
      <c r="C721" s="261"/>
      <c r="D721" s="262" t="s">
        <v>15</v>
      </c>
      <c r="E721" s="262" t="s">
        <v>237</v>
      </c>
      <c r="F721" s="263" t="s">
        <v>15</v>
      </c>
      <c r="G721" s="264" t="s">
        <v>237</v>
      </c>
      <c r="H721" s="281"/>
      <c r="I721" s="265"/>
      <c r="J721" s="266" t="s">
        <v>794</v>
      </c>
      <c r="K721" s="262"/>
      <c r="L721" s="262"/>
      <c r="M721" s="262">
        <v>16143</v>
      </c>
      <c r="N721" s="262" t="s">
        <v>22</v>
      </c>
      <c r="O721" s="262"/>
      <c r="P721" s="262" t="s">
        <v>124</v>
      </c>
      <c r="Q721" s="262" t="s">
        <v>30</v>
      </c>
      <c r="R721" s="262" t="s">
        <v>31</v>
      </c>
      <c r="S721" s="267" t="s">
        <v>31</v>
      </c>
      <c r="T721" s="268"/>
      <c r="U721" s="269">
        <v>6750000</v>
      </c>
      <c r="V721" s="269">
        <v>6720000</v>
      </c>
      <c r="W721" s="278">
        <v>4000000</v>
      </c>
      <c r="X721" s="270"/>
      <c r="Y721" s="262" t="s">
        <v>24</v>
      </c>
      <c r="Z721" s="271" t="s">
        <v>24</v>
      </c>
      <c r="AA721" s="287"/>
      <c r="AB721" s="287"/>
      <c r="AC721" s="272">
        <f t="shared" si="23"/>
        <v>7000000</v>
      </c>
      <c r="AD721" s="272">
        <v>7000000</v>
      </c>
      <c r="AE721" s="272">
        <f t="shared" si="24"/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/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>
        <v>7000000</v>
      </c>
      <c r="BD721" s="275"/>
      <c r="BE721" s="275"/>
      <c r="BF721" s="275"/>
      <c r="BH721" s="277"/>
    </row>
    <row r="722" spans="1:60" ht="16.5" customHeight="1">
      <c r="A722" s="260">
        <v>700</v>
      </c>
      <c r="B722" s="261"/>
      <c r="C722" s="261"/>
      <c r="D722" s="262" t="s">
        <v>15</v>
      </c>
      <c r="E722" s="262" t="s">
        <v>237</v>
      </c>
      <c r="F722" s="263" t="s">
        <v>15</v>
      </c>
      <c r="G722" s="264" t="s">
        <v>237</v>
      </c>
      <c r="H722" s="281"/>
      <c r="I722" s="265"/>
      <c r="J722" s="266" t="s">
        <v>263</v>
      </c>
      <c r="K722" s="262"/>
      <c r="L722" s="262"/>
      <c r="M722" s="262">
        <v>55032</v>
      </c>
      <c r="N722" s="262" t="s">
        <v>22</v>
      </c>
      <c r="O722" s="262" t="s">
        <v>56</v>
      </c>
      <c r="P722" s="262" t="s">
        <v>57</v>
      </c>
      <c r="Q722" s="262" t="s">
        <v>30</v>
      </c>
      <c r="R722" s="262" t="s">
        <v>31</v>
      </c>
      <c r="S722" s="267" t="s">
        <v>31</v>
      </c>
      <c r="T722" s="268"/>
      <c r="U722" s="269">
        <v>3728000</v>
      </c>
      <c r="V722" s="269">
        <v>3579000</v>
      </c>
      <c r="W722" s="278">
        <v>0</v>
      </c>
      <c r="X722" s="270"/>
      <c r="Y722" s="262" t="s">
        <v>21</v>
      </c>
      <c r="Z722" s="271" t="s">
        <v>25</v>
      </c>
      <c r="AA722" s="287"/>
      <c r="AB722" s="287"/>
      <c r="AC722" s="272">
        <f t="shared" si="23"/>
        <v>4000000</v>
      </c>
      <c r="AD722" s="272">
        <v>4000000</v>
      </c>
      <c r="AE722" s="272">
        <f t="shared" si="24"/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>
        <v>4000000</v>
      </c>
      <c r="AZ722" s="275"/>
      <c r="BA722" s="275"/>
      <c r="BB722" s="275"/>
      <c r="BC722" s="275"/>
      <c r="BD722" s="275"/>
      <c r="BE722" s="275"/>
      <c r="BF722" s="275"/>
      <c r="BH722" s="277"/>
    </row>
    <row r="723" spans="1:60" ht="16.5" customHeight="1">
      <c r="A723" s="260">
        <v>701</v>
      </c>
      <c r="B723" s="261"/>
      <c r="C723" s="261"/>
      <c r="D723" s="262" t="s">
        <v>15</v>
      </c>
      <c r="E723" s="262" t="s">
        <v>237</v>
      </c>
      <c r="F723" s="263" t="s">
        <v>15</v>
      </c>
      <c r="G723" s="264" t="s">
        <v>237</v>
      </c>
      <c r="H723" s="281"/>
      <c r="I723" s="265"/>
      <c r="J723" s="266" t="s">
        <v>264</v>
      </c>
      <c r="K723" s="262"/>
      <c r="L723" s="262"/>
      <c r="M723" s="262">
        <v>20729</v>
      </c>
      <c r="N723" s="262" t="s">
        <v>22</v>
      </c>
      <c r="O723" s="262" t="s">
        <v>56</v>
      </c>
      <c r="P723" s="262"/>
      <c r="Q723" s="262" t="s">
        <v>44</v>
      </c>
      <c r="R723" s="262" t="s">
        <v>469</v>
      </c>
      <c r="S723" s="267" t="s">
        <v>469</v>
      </c>
      <c r="T723" s="268"/>
      <c r="U723" s="269">
        <v>5000000</v>
      </c>
      <c r="V723" s="269">
        <v>0</v>
      </c>
      <c r="W723" s="278">
        <v>0</v>
      </c>
      <c r="X723" s="270"/>
      <c r="Y723" s="262" t="s">
        <v>21</v>
      </c>
      <c r="Z723" s="271" t="s">
        <v>21</v>
      </c>
      <c r="AA723" s="287"/>
      <c r="AB723" s="287"/>
      <c r="AC723" s="272">
        <f t="shared" si="23"/>
        <v>0</v>
      </c>
      <c r="AD723" s="272">
        <v>0</v>
      </c>
      <c r="AE723" s="272">
        <f t="shared" si="24"/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/>
      <c r="BF723" s="275"/>
      <c r="BH723" s="277"/>
    </row>
    <row r="724" spans="1:60" ht="16.5" customHeight="1">
      <c r="A724" s="260">
        <v>702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264</v>
      </c>
      <c r="K724" s="262"/>
      <c r="L724" s="262"/>
      <c r="M724" s="262">
        <v>20729</v>
      </c>
      <c r="N724" s="262" t="s">
        <v>22</v>
      </c>
      <c r="O724" s="262" t="s">
        <v>56</v>
      </c>
      <c r="P724" s="262"/>
      <c r="Q724" s="262" t="s">
        <v>26</v>
      </c>
      <c r="R724" s="262" t="s">
        <v>468</v>
      </c>
      <c r="S724" s="267" t="s">
        <v>468</v>
      </c>
      <c r="T724" s="268"/>
      <c r="U724" s="269"/>
      <c r="V724" s="269">
        <v>181818</v>
      </c>
      <c r="W724" s="278">
        <v>0</v>
      </c>
      <c r="X724" s="270"/>
      <c r="Y724" s="262" t="s">
        <v>20</v>
      </c>
      <c r="Z724" s="271" t="s">
        <v>20</v>
      </c>
      <c r="AA724" s="287"/>
      <c r="AB724" s="287"/>
      <c r="AC724" s="272">
        <f t="shared" si="23"/>
        <v>0</v>
      </c>
      <c r="AD724" s="272">
        <v>0</v>
      </c>
      <c r="AE724" s="272">
        <f t="shared" si="24"/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/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/>
      <c r="BF724" s="275"/>
      <c r="BH724" s="277"/>
    </row>
    <row r="725" spans="1:60" ht="16.5" customHeight="1">
      <c r="A725" s="260">
        <v>703</v>
      </c>
      <c r="B725" s="261"/>
      <c r="C725" s="261"/>
      <c r="D725" s="262" t="s">
        <v>15</v>
      </c>
      <c r="E725" s="262" t="s">
        <v>153</v>
      </c>
      <c r="F725" s="263" t="s">
        <v>15</v>
      </c>
      <c r="G725" s="264" t="s">
        <v>237</v>
      </c>
      <c r="H725" s="281"/>
      <c r="I725" s="265"/>
      <c r="J725" s="266" t="s">
        <v>265</v>
      </c>
      <c r="K725" s="262"/>
      <c r="L725" s="262"/>
      <c r="M725" s="262">
        <v>342</v>
      </c>
      <c r="N725" s="262" t="s">
        <v>22</v>
      </c>
      <c r="O725" s="262" t="s">
        <v>56</v>
      </c>
      <c r="P725" s="262" t="s">
        <v>124</v>
      </c>
      <c r="Q725" s="262" t="s">
        <v>18</v>
      </c>
      <c r="R725" s="262" t="s">
        <v>19</v>
      </c>
      <c r="S725" s="267" t="s">
        <v>19</v>
      </c>
      <c r="T725" s="268"/>
      <c r="U725" s="269"/>
      <c r="V725" s="269">
        <v>2040000</v>
      </c>
      <c r="W725" s="278">
        <v>0</v>
      </c>
      <c r="X725" s="270"/>
      <c r="Y725" s="262" t="s">
        <v>20</v>
      </c>
      <c r="Z725" s="271" t="s">
        <v>20</v>
      </c>
      <c r="AA725" s="287"/>
      <c r="AB725" s="287"/>
      <c r="AC725" s="272">
        <f t="shared" si="23"/>
        <v>0</v>
      </c>
      <c r="AD725" s="272">
        <v>0</v>
      </c>
      <c r="AE725" s="272">
        <f t="shared" si="24"/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/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H725" s="277"/>
    </row>
    <row r="726" spans="1:60" ht="16.5" customHeight="1">
      <c r="A726" s="260">
        <v>704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721</v>
      </c>
      <c r="K726" s="262"/>
      <c r="L726" s="262"/>
      <c r="M726" s="262">
        <v>23009</v>
      </c>
      <c r="N726" s="262" t="s">
        <v>32</v>
      </c>
      <c r="O726" s="262" t="s">
        <v>35</v>
      </c>
      <c r="P726" s="262" t="s">
        <v>57</v>
      </c>
      <c r="Q726" s="262"/>
      <c r="R726" s="262" t="s">
        <v>28</v>
      </c>
      <c r="S726" s="267" t="s">
        <v>28</v>
      </c>
      <c r="T726" s="268"/>
      <c r="U726" s="269"/>
      <c r="V726" s="269"/>
      <c r="W726" s="278">
        <v>0</v>
      </c>
      <c r="X726" s="270"/>
      <c r="Y726" s="262"/>
      <c r="Z726" s="271" t="s">
        <v>27</v>
      </c>
      <c r="AA726" s="287"/>
      <c r="AB726" s="287"/>
      <c r="AC726" s="272">
        <f t="shared" si="23"/>
        <v>149500000</v>
      </c>
      <c r="AD726" s="272">
        <v>149500000</v>
      </c>
      <c r="AE726" s="272">
        <f t="shared" si="24"/>
        <v>0</v>
      </c>
      <c r="AF726" s="273"/>
      <c r="AG726" s="274"/>
      <c r="AH726" s="273" t="s">
        <v>848</v>
      </c>
      <c r="AI726" s="273">
        <v>37375000</v>
      </c>
      <c r="AJ726" s="274"/>
      <c r="AK726" s="273" t="s">
        <v>932</v>
      </c>
      <c r="AL726" s="275"/>
      <c r="AM726" s="290"/>
      <c r="AN726" s="275"/>
      <c r="AO726" s="276"/>
      <c r="AP726" s="275" t="s">
        <v>1040</v>
      </c>
      <c r="AQ726" s="275">
        <v>37375000</v>
      </c>
      <c r="AR726" s="275"/>
      <c r="AS726" s="275"/>
      <c r="AT726" s="275"/>
      <c r="AU726" s="275">
        <v>37375000</v>
      </c>
      <c r="AV726" s="275"/>
      <c r="AW726" s="275"/>
      <c r="AX726" s="275"/>
      <c r="AY726" s="275"/>
      <c r="AZ726" s="275"/>
      <c r="BA726" s="275">
        <v>37375000</v>
      </c>
      <c r="BB726" s="275"/>
      <c r="BC726" s="275"/>
      <c r="BD726" s="275"/>
      <c r="BE726" s="275">
        <v>37375000</v>
      </c>
      <c r="BF726" s="275"/>
      <c r="BH726" s="277"/>
    </row>
    <row r="727" spans="1:60" ht="16.5" customHeight="1">
      <c r="A727" s="260">
        <v>705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776</v>
      </c>
      <c r="K727" s="262"/>
      <c r="L727" s="262"/>
      <c r="M727" s="262">
        <v>64810</v>
      </c>
      <c r="N727" s="262"/>
      <c r="O727" s="262"/>
      <c r="P727" s="262"/>
      <c r="Q727" s="262"/>
      <c r="R727" s="262" t="s">
        <v>468</v>
      </c>
      <c r="S727" s="267" t="s">
        <v>468</v>
      </c>
      <c r="T727" s="268"/>
      <c r="U727" s="269"/>
      <c r="V727" s="269"/>
      <c r="W727" s="278">
        <v>197272727</v>
      </c>
      <c r="X727" s="270"/>
      <c r="Y727" s="262" t="s">
        <v>27</v>
      </c>
      <c r="Z727" s="271" t="s">
        <v>718</v>
      </c>
      <c r="AA727" s="287"/>
      <c r="AB727" s="287"/>
      <c r="AC727" s="272">
        <f t="shared" ref="AC727:AC790" si="25">AG727+AJ727+AM727+AO727+AQ727+AS727+AU727+AW727+AY727+BA727+BC727+BE727</f>
        <v>0</v>
      </c>
      <c r="AD727" s="272">
        <v>0</v>
      </c>
      <c r="AE727" s="272">
        <f t="shared" ref="AE727:AE790" si="26">AC727-AD727</f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75"/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customHeight="1">
      <c r="A728" s="260">
        <v>706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266</v>
      </c>
      <c r="K728" s="262"/>
      <c r="L728" s="262"/>
      <c r="M728" s="262">
        <v>48995</v>
      </c>
      <c r="N728" s="262" t="s">
        <v>32</v>
      </c>
      <c r="O728" s="262" t="s">
        <v>56</v>
      </c>
      <c r="P728" s="262" t="s">
        <v>57</v>
      </c>
      <c r="Q728" s="262" t="s">
        <v>63</v>
      </c>
      <c r="R728" s="262" t="s">
        <v>28</v>
      </c>
      <c r="S728" s="267" t="s">
        <v>28</v>
      </c>
      <c r="T728" s="268"/>
      <c r="U728" s="269">
        <v>90000000</v>
      </c>
      <c r="V728" s="269">
        <v>101000000</v>
      </c>
      <c r="W728" s="278">
        <v>100000000</v>
      </c>
      <c r="X728" s="270"/>
      <c r="Y728" s="262" t="s">
        <v>27</v>
      </c>
      <c r="Z728" s="271" t="s">
        <v>27</v>
      </c>
      <c r="AA728" s="287"/>
      <c r="AB728" s="287"/>
      <c r="AC728" s="272">
        <f t="shared" si="25"/>
        <v>110000000</v>
      </c>
      <c r="AD728" s="272">
        <v>110000000</v>
      </c>
      <c r="AE728" s="272">
        <f t="shared" si="26"/>
        <v>0</v>
      </c>
      <c r="AF728" s="273"/>
      <c r="AG728" s="274"/>
      <c r="AH728" s="273"/>
      <c r="AI728" s="273">
        <v>50000000</v>
      </c>
      <c r="AJ728" s="274"/>
      <c r="AK728" s="273" t="s">
        <v>933</v>
      </c>
      <c r="AL728" s="275"/>
      <c r="AM728" s="290"/>
      <c r="AN728" s="275" t="s">
        <v>1001</v>
      </c>
      <c r="AO728" s="276">
        <v>50000000</v>
      </c>
      <c r="AP728" s="275"/>
      <c r="AQ728" s="275"/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>
        <v>60000000</v>
      </c>
      <c r="BF728" s="275"/>
      <c r="BH728" s="277"/>
    </row>
    <row r="729" spans="1:60" ht="16.5" customHeight="1">
      <c r="A729" s="260">
        <v>707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266</v>
      </c>
      <c r="K729" s="262"/>
      <c r="L729" s="262"/>
      <c r="M729" s="262">
        <v>48995</v>
      </c>
      <c r="N729" s="262" t="s">
        <v>32</v>
      </c>
      <c r="O729" s="262" t="s">
        <v>56</v>
      </c>
      <c r="P729" s="262" t="s">
        <v>57</v>
      </c>
      <c r="Q729" s="262" t="s">
        <v>58</v>
      </c>
      <c r="R729" s="262" t="s">
        <v>470</v>
      </c>
      <c r="S729" s="267" t="s">
        <v>822</v>
      </c>
      <c r="T729" s="268"/>
      <c r="U729" s="269"/>
      <c r="V729" s="269">
        <v>1000000</v>
      </c>
      <c r="W729" s="278">
        <v>0</v>
      </c>
      <c r="X729" s="270"/>
      <c r="Y729" s="262" t="s">
        <v>25</v>
      </c>
      <c r="Z729" s="271" t="s">
        <v>20</v>
      </c>
      <c r="AA729" s="287"/>
      <c r="AB729" s="287"/>
      <c r="AC729" s="272">
        <f t="shared" si="25"/>
        <v>0</v>
      </c>
      <c r="AD729" s="272">
        <v>0</v>
      </c>
      <c r="AE729" s="272">
        <f t="shared" si="26"/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75"/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/>
      <c r="BF729" s="275"/>
      <c r="BH729" s="277"/>
    </row>
    <row r="730" spans="1:60" ht="16.5" customHeight="1">
      <c r="A730" s="260">
        <v>708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266</v>
      </c>
      <c r="K730" s="262"/>
      <c r="L730" s="262"/>
      <c r="M730" s="262">
        <v>48995</v>
      </c>
      <c r="N730" s="262" t="s">
        <v>32</v>
      </c>
      <c r="O730" s="262" t="s">
        <v>56</v>
      </c>
      <c r="P730" s="262"/>
      <c r="Q730" s="262" t="s">
        <v>77</v>
      </c>
      <c r="R730" s="262" t="s">
        <v>473</v>
      </c>
      <c r="S730" s="267" t="s">
        <v>828</v>
      </c>
      <c r="T730" s="268"/>
      <c r="U730" s="269"/>
      <c r="V730" s="269">
        <v>300000</v>
      </c>
      <c r="W730" s="278">
        <v>0</v>
      </c>
      <c r="X730" s="270"/>
      <c r="Y730" s="262" t="s">
        <v>20</v>
      </c>
      <c r="Z730" s="271" t="s">
        <v>20</v>
      </c>
      <c r="AA730" s="287"/>
      <c r="AB730" s="287"/>
      <c r="AC730" s="272">
        <f t="shared" si="25"/>
        <v>0</v>
      </c>
      <c r="AD730" s="272">
        <v>0</v>
      </c>
      <c r="AE730" s="272">
        <f t="shared" si="26"/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/>
      <c r="AZ730" s="275"/>
      <c r="BA730" s="275"/>
      <c r="BB730" s="275"/>
      <c r="BC730" s="275"/>
      <c r="BD730" s="275"/>
      <c r="BE730" s="275"/>
      <c r="BF730" s="275"/>
      <c r="BH730" s="277"/>
    </row>
    <row r="731" spans="1:60" ht="16.5" customHeight="1">
      <c r="A731" s="260">
        <v>709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777</v>
      </c>
      <c r="K731" s="262"/>
      <c r="L731" s="262"/>
      <c r="M731" s="262">
        <v>48995</v>
      </c>
      <c r="N731" s="262" t="s">
        <v>32</v>
      </c>
      <c r="O731" s="262" t="s">
        <v>35</v>
      </c>
      <c r="P731" s="262" t="s">
        <v>57</v>
      </c>
      <c r="Q731" s="262"/>
      <c r="R731" s="262"/>
      <c r="S731" s="267" t="s">
        <v>478</v>
      </c>
      <c r="T731" s="268"/>
      <c r="U731" s="269"/>
      <c r="V731" s="269"/>
      <c r="W731" s="278">
        <v>0</v>
      </c>
      <c r="X731" s="270"/>
      <c r="Y731" s="262"/>
      <c r="Z731" s="271" t="s">
        <v>25</v>
      </c>
      <c r="AA731" s="287"/>
      <c r="AB731" s="287"/>
      <c r="AC731" s="272">
        <f t="shared" si="25"/>
        <v>50000000</v>
      </c>
      <c r="AD731" s="272">
        <v>50000000</v>
      </c>
      <c r="AE731" s="272">
        <f t="shared" si="26"/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>
        <v>50000000</v>
      </c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/>
      <c r="BF731" s="275"/>
      <c r="BH731" s="277"/>
    </row>
    <row r="732" spans="1:60" ht="16.5" customHeight="1">
      <c r="A732" s="260">
        <v>710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269</v>
      </c>
      <c r="K732" s="262"/>
      <c r="L732" s="262"/>
      <c r="M732" s="262">
        <v>2588</v>
      </c>
      <c r="N732" s="262" t="s">
        <v>22</v>
      </c>
      <c r="O732" s="262" t="s">
        <v>35</v>
      </c>
      <c r="P732" s="262" t="s">
        <v>156</v>
      </c>
      <c r="Q732" s="262"/>
      <c r="R732" s="262" t="s">
        <v>28</v>
      </c>
      <c r="S732" s="267" t="s">
        <v>28</v>
      </c>
      <c r="T732" s="268"/>
      <c r="U732" s="269"/>
      <c r="V732" s="269">
        <v>0</v>
      </c>
      <c r="W732" s="278">
        <v>0</v>
      </c>
      <c r="X732" s="270"/>
      <c r="Y732" s="262" t="s">
        <v>562</v>
      </c>
      <c r="Z732" s="271" t="s">
        <v>25</v>
      </c>
      <c r="AA732" s="287"/>
      <c r="AB732" s="287"/>
      <c r="AC732" s="272">
        <f t="shared" si="25"/>
        <v>0</v>
      </c>
      <c r="AD732" s="272">
        <v>0</v>
      </c>
      <c r="AE732" s="272">
        <f t="shared" si="26"/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75"/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customHeight="1">
      <c r="A733" s="260">
        <v>711</v>
      </c>
      <c r="B733" s="261"/>
      <c r="C733" s="261"/>
      <c r="D733" s="262"/>
      <c r="E733" s="262"/>
      <c r="F733" s="263" t="s">
        <v>15</v>
      </c>
      <c r="G733" s="264" t="s">
        <v>237</v>
      </c>
      <c r="H733" s="281"/>
      <c r="I733" s="265"/>
      <c r="J733" s="266" t="s">
        <v>269</v>
      </c>
      <c r="K733" s="262"/>
      <c r="L733" s="262"/>
      <c r="M733" s="262">
        <v>2588</v>
      </c>
      <c r="N733" s="262" t="s">
        <v>22</v>
      </c>
      <c r="O733" s="262" t="s">
        <v>35</v>
      </c>
      <c r="P733" s="262" t="s">
        <v>156</v>
      </c>
      <c r="Q733" s="262"/>
      <c r="R733" s="262" t="s">
        <v>468</v>
      </c>
      <c r="S733" s="267" t="s">
        <v>468</v>
      </c>
      <c r="T733" s="268"/>
      <c r="U733" s="269"/>
      <c r="V733" s="269">
        <v>0</v>
      </c>
      <c r="W733" s="278">
        <v>6430000</v>
      </c>
      <c r="X733" s="270"/>
      <c r="Y733" s="262" t="s">
        <v>27</v>
      </c>
      <c r="Z733" s="271" t="s">
        <v>25</v>
      </c>
      <c r="AA733" s="287"/>
      <c r="AB733" s="287"/>
      <c r="AC733" s="272">
        <f t="shared" si="25"/>
        <v>50000000</v>
      </c>
      <c r="AD733" s="272">
        <v>50000000</v>
      </c>
      <c r="AE733" s="272">
        <f t="shared" si="26"/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75">
        <v>50000000</v>
      </c>
      <c r="AR733" s="275"/>
      <c r="AS733" s="275"/>
      <c r="AT733" s="275"/>
      <c r="AU733" s="275"/>
      <c r="AV733" s="275"/>
      <c r="AW733" s="275"/>
      <c r="AX733" s="275"/>
      <c r="AY733" s="275"/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customHeight="1">
      <c r="A734" s="260">
        <v>712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927</v>
      </c>
      <c r="K734" s="262"/>
      <c r="L734" s="262"/>
      <c r="M734" s="262">
        <v>28759</v>
      </c>
      <c r="N734" s="262" t="s">
        <v>53</v>
      </c>
      <c r="O734" s="262" t="s">
        <v>56</v>
      </c>
      <c r="P734" s="262" t="s">
        <v>57</v>
      </c>
      <c r="Q734" s="262"/>
      <c r="R734" s="262"/>
      <c r="S734" s="267" t="s">
        <v>31</v>
      </c>
      <c r="T734" s="268"/>
      <c r="U734" s="269"/>
      <c r="V734" s="269"/>
      <c r="W734" s="278">
        <v>0</v>
      </c>
      <c r="X734" s="270"/>
      <c r="Y734" s="262"/>
      <c r="Z734" s="271" t="s">
        <v>27</v>
      </c>
      <c r="AA734" s="287"/>
      <c r="AB734" s="287"/>
      <c r="AC734" s="272">
        <f t="shared" si="25"/>
        <v>1125000</v>
      </c>
      <c r="AD734" s="272">
        <v>1125000</v>
      </c>
      <c r="AE734" s="272">
        <f t="shared" si="26"/>
        <v>0</v>
      </c>
      <c r="AF734" s="273"/>
      <c r="AG734" s="274"/>
      <c r="AH734" s="273"/>
      <c r="AI734" s="273"/>
      <c r="AJ734" s="274">
        <v>1125000</v>
      </c>
      <c r="AK734" s="273"/>
      <c r="AL734" s="275"/>
      <c r="AM734" s="290"/>
      <c r="AN734" s="275"/>
      <c r="AO734" s="276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customHeight="1">
      <c r="A735" s="260">
        <v>713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270</v>
      </c>
      <c r="K735" s="262"/>
      <c r="L735" s="262"/>
      <c r="M735" s="262">
        <v>3724</v>
      </c>
      <c r="N735" s="262" t="s">
        <v>22</v>
      </c>
      <c r="O735" s="262" t="s">
        <v>212</v>
      </c>
      <c r="P735" s="262" t="s">
        <v>156</v>
      </c>
      <c r="Q735" s="262" t="s">
        <v>26</v>
      </c>
      <c r="R735" s="262" t="s">
        <v>473</v>
      </c>
      <c r="S735" s="267" t="s">
        <v>828</v>
      </c>
      <c r="T735" s="268"/>
      <c r="U735" s="269" t="s">
        <v>154</v>
      </c>
      <c r="V735" s="269">
        <v>0</v>
      </c>
      <c r="W735" s="278">
        <v>21350000</v>
      </c>
      <c r="X735" s="270"/>
      <c r="Y735" s="262" t="s">
        <v>27</v>
      </c>
      <c r="Z735" s="271" t="s">
        <v>27</v>
      </c>
      <c r="AA735" s="287"/>
      <c r="AB735" s="287"/>
      <c r="AC735" s="272">
        <f t="shared" si="25"/>
        <v>23800000</v>
      </c>
      <c r="AD735" s="272">
        <v>23800000</v>
      </c>
      <c r="AE735" s="272">
        <f t="shared" si="26"/>
        <v>0</v>
      </c>
      <c r="AF735" s="273">
        <v>23800000</v>
      </c>
      <c r="AG735" s="274">
        <v>23800000</v>
      </c>
      <c r="AH735" s="273"/>
      <c r="AI735" s="273"/>
      <c r="AJ735" s="274"/>
      <c r="AK735" s="273"/>
      <c r="AL735" s="275"/>
      <c r="AM735" s="290"/>
      <c r="AN735" s="275"/>
      <c r="AO735" s="276"/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customHeight="1">
      <c r="A736" s="260">
        <v>714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70</v>
      </c>
      <c r="K736" s="262"/>
      <c r="L736" s="262"/>
      <c r="M736" s="262">
        <v>42951</v>
      </c>
      <c r="N736" s="262"/>
      <c r="O736" s="262"/>
      <c r="P736" s="262"/>
      <c r="Q736" s="262"/>
      <c r="R736" s="262"/>
      <c r="S736" s="267" t="s">
        <v>468</v>
      </c>
      <c r="T736" s="268"/>
      <c r="U736" s="269"/>
      <c r="V736" s="269"/>
      <c r="W736" s="278">
        <v>1650000</v>
      </c>
      <c r="X736" s="270"/>
      <c r="Y736" s="262"/>
      <c r="Z736" s="271" t="s">
        <v>718</v>
      </c>
      <c r="AA736" s="287"/>
      <c r="AB736" s="287"/>
      <c r="AC736" s="272">
        <f t="shared" si="25"/>
        <v>0</v>
      </c>
      <c r="AD736" s="272">
        <v>0</v>
      </c>
      <c r="AE736" s="272">
        <f t="shared" si="26"/>
        <v>0</v>
      </c>
      <c r="AF736" s="273"/>
      <c r="AG736" s="274"/>
      <c r="AH736" s="273"/>
      <c r="AI736" s="273"/>
      <c r="AJ736" s="274"/>
      <c r="AK736" s="273"/>
      <c r="AL736" s="275"/>
      <c r="AM736" s="290"/>
      <c r="AN736" s="275"/>
      <c r="AO736" s="276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customHeight="1">
      <c r="A737" s="260">
        <v>715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70</v>
      </c>
      <c r="K737" s="262"/>
      <c r="L737" s="262"/>
      <c r="M737" s="262">
        <v>42951</v>
      </c>
      <c r="N737" s="262" t="s">
        <v>22</v>
      </c>
      <c r="O737" s="262" t="s">
        <v>56</v>
      </c>
      <c r="P737" s="262" t="s">
        <v>156</v>
      </c>
      <c r="Q737" s="262"/>
      <c r="R737" s="262"/>
      <c r="S737" s="267" t="s">
        <v>478</v>
      </c>
      <c r="T737" s="268"/>
      <c r="U737" s="269"/>
      <c r="V737" s="269"/>
      <c r="W737" s="278">
        <v>8150000</v>
      </c>
      <c r="X737" s="270"/>
      <c r="Y737" s="262"/>
      <c r="Z737" s="271" t="s">
        <v>27</v>
      </c>
      <c r="AA737" s="287"/>
      <c r="AB737" s="287"/>
      <c r="AC737" s="272">
        <f t="shared" si="25"/>
        <v>4900000</v>
      </c>
      <c r="AD737" s="272">
        <v>4900000</v>
      </c>
      <c r="AE737" s="272">
        <f t="shared" si="26"/>
        <v>0</v>
      </c>
      <c r="AF737" s="273">
        <v>1500000</v>
      </c>
      <c r="AG737" s="274">
        <v>1500000</v>
      </c>
      <c r="AH737" s="273"/>
      <c r="AI737" s="273"/>
      <c r="AJ737" s="274"/>
      <c r="AK737" s="273"/>
      <c r="AL737" s="275">
        <v>3400000</v>
      </c>
      <c r="AM737" s="290">
        <v>3400000</v>
      </c>
      <c r="AN737" s="275"/>
      <c r="AO737" s="276"/>
      <c r="AP737" s="275"/>
      <c r="AQ737" s="275"/>
      <c r="AR737" s="275"/>
      <c r="AS737" s="275"/>
      <c r="AT737" s="275"/>
      <c r="AU737" s="275"/>
      <c r="AV737" s="275"/>
      <c r="AW737" s="275"/>
      <c r="AX737" s="275"/>
      <c r="AY737" s="275"/>
      <c r="AZ737" s="275"/>
      <c r="BA737" s="275"/>
      <c r="BB737" s="275"/>
      <c r="BC737" s="275"/>
      <c r="BD737" s="275"/>
      <c r="BE737" s="275"/>
      <c r="BF737" s="275"/>
      <c r="BH737" s="277"/>
    </row>
    <row r="738" spans="1:60" ht="16.5" customHeight="1">
      <c r="A738" s="260">
        <v>716</v>
      </c>
      <c r="B738" s="261"/>
      <c r="C738" s="261"/>
      <c r="D738" s="262" t="s">
        <v>15</v>
      </c>
      <c r="E738" s="262" t="s">
        <v>237</v>
      </c>
      <c r="F738" s="263" t="s">
        <v>15</v>
      </c>
      <c r="G738" s="264" t="s">
        <v>237</v>
      </c>
      <c r="H738" s="281"/>
      <c r="I738" s="265"/>
      <c r="J738" s="266" t="s">
        <v>271</v>
      </c>
      <c r="K738" s="262"/>
      <c r="L738" s="262"/>
      <c r="M738" s="262">
        <v>3970</v>
      </c>
      <c r="N738" s="262" t="s">
        <v>32</v>
      </c>
      <c r="O738" s="262" t="s">
        <v>212</v>
      </c>
      <c r="P738" s="262" t="s">
        <v>57</v>
      </c>
      <c r="Q738" s="262" t="s">
        <v>63</v>
      </c>
      <c r="R738" s="262" t="s">
        <v>28</v>
      </c>
      <c r="S738" s="267" t="s">
        <v>28</v>
      </c>
      <c r="T738" s="268"/>
      <c r="U738" s="269">
        <v>99997000</v>
      </c>
      <c r="V738" s="269">
        <v>99923760</v>
      </c>
      <c r="W738" s="278">
        <v>99911800</v>
      </c>
      <c r="X738" s="270"/>
      <c r="Y738" s="262" t="s">
        <v>27</v>
      </c>
      <c r="Z738" s="271" t="s">
        <v>27</v>
      </c>
      <c r="AA738" s="287"/>
      <c r="AB738" s="287"/>
      <c r="AC738" s="272">
        <f t="shared" si="25"/>
        <v>99999950</v>
      </c>
      <c r="AD738" s="272">
        <v>99731730</v>
      </c>
      <c r="AE738" s="272">
        <f t="shared" si="26"/>
        <v>268220</v>
      </c>
      <c r="AF738" s="273"/>
      <c r="AG738" s="274"/>
      <c r="AH738" s="273"/>
      <c r="AI738" s="273">
        <v>9000000</v>
      </c>
      <c r="AJ738" s="274">
        <v>6731730</v>
      </c>
      <c r="AK738" s="273"/>
      <c r="AL738" s="275">
        <v>8520600</v>
      </c>
      <c r="AM738" s="290">
        <v>8520600</v>
      </c>
      <c r="AN738" s="275"/>
      <c r="AO738" s="276">
        <v>10833220</v>
      </c>
      <c r="AP738" s="275"/>
      <c r="AQ738" s="275">
        <v>9000000</v>
      </c>
      <c r="AR738" s="275"/>
      <c r="AS738" s="275">
        <v>9000000</v>
      </c>
      <c r="AT738" s="275"/>
      <c r="AU738" s="275">
        <v>9000000</v>
      </c>
      <c r="AV738" s="275"/>
      <c r="AW738" s="275">
        <v>9000000</v>
      </c>
      <c r="AX738" s="275"/>
      <c r="AY738" s="275">
        <v>9000000</v>
      </c>
      <c r="AZ738" s="275"/>
      <c r="BA738" s="275">
        <v>9000000</v>
      </c>
      <c r="BB738" s="275"/>
      <c r="BC738" s="275">
        <v>9000000</v>
      </c>
      <c r="BD738" s="275"/>
      <c r="BE738" s="275">
        <v>10914400</v>
      </c>
      <c r="BF738" s="275"/>
      <c r="BH738" s="277"/>
    </row>
    <row r="739" spans="1:60" ht="16.5" customHeight="1">
      <c r="A739" s="260">
        <v>717</v>
      </c>
      <c r="B739" s="261"/>
      <c r="C739" s="261"/>
      <c r="D739" s="262" t="s">
        <v>15</v>
      </c>
      <c r="E739" s="262" t="s">
        <v>237</v>
      </c>
      <c r="F739" s="263" t="s">
        <v>15</v>
      </c>
      <c r="G739" s="264" t="s">
        <v>237</v>
      </c>
      <c r="H739" s="281"/>
      <c r="I739" s="265"/>
      <c r="J739" s="266" t="s">
        <v>271</v>
      </c>
      <c r="K739" s="262"/>
      <c r="L739" s="262"/>
      <c r="M739" s="262">
        <v>3970</v>
      </c>
      <c r="N739" s="262" t="s">
        <v>32</v>
      </c>
      <c r="O739" s="262" t="s">
        <v>56</v>
      </c>
      <c r="P739" s="262" t="s">
        <v>57</v>
      </c>
      <c r="Q739" s="262"/>
      <c r="R739" s="262" t="s">
        <v>473</v>
      </c>
      <c r="S739" s="267" t="s">
        <v>828</v>
      </c>
      <c r="T739" s="268"/>
      <c r="U739" s="269"/>
      <c r="V739" s="269"/>
      <c r="W739" s="278">
        <v>18334000</v>
      </c>
      <c r="X739" s="270"/>
      <c r="Y739" s="262" t="s">
        <v>27</v>
      </c>
      <c r="Z739" s="271" t="s">
        <v>24</v>
      </c>
      <c r="AA739" s="287"/>
      <c r="AB739" s="287"/>
      <c r="AC739" s="272">
        <f t="shared" si="25"/>
        <v>15000000</v>
      </c>
      <c r="AD739" s="272">
        <v>15000000</v>
      </c>
      <c r="AE739" s="272">
        <f t="shared" si="26"/>
        <v>0</v>
      </c>
      <c r="AF739" s="273"/>
      <c r="AG739" s="274"/>
      <c r="AH739" s="273"/>
      <c r="AI739" s="273"/>
      <c r="AJ739" s="274"/>
      <c r="AK739" s="273"/>
      <c r="AL739" s="275"/>
      <c r="AM739" s="290"/>
      <c r="AN739" s="275"/>
      <c r="AO739" s="276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>
        <v>15000000</v>
      </c>
      <c r="BB739" s="275"/>
      <c r="BC739" s="275"/>
      <c r="BD739" s="275"/>
      <c r="BE739" s="275"/>
      <c r="BF739" s="275"/>
      <c r="BH739" s="277"/>
    </row>
    <row r="740" spans="1:60" ht="16.5" customHeight="1">
      <c r="A740" s="260">
        <v>718</v>
      </c>
      <c r="B740" s="261"/>
      <c r="C740" s="261"/>
      <c r="D740" s="262" t="s">
        <v>15</v>
      </c>
      <c r="E740" s="262" t="s">
        <v>237</v>
      </c>
      <c r="F740" s="263" t="s">
        <v>15</v>
      </c>
      <c r="G740" s="264" t="s">
        <v>237</v>
      </c>
      <c r="H740" s="281"/>
      <c r="I740" s="265"/>
      <c r="J740" s="266" t="s">
        <v>271</v>
      </c>
      <c r="K740" s="262"/>
      <c r="L740" s="262"/>
      <c r="M740" s="262">
        <v>3970</v>
      </c>
      <c r="N740" s="262" t="s">
        <v>32</v>
      </c>
      <c r="O740" s="262" t="s">
        <v>35</v>
      </c>
      <c r="P740" s="262" t="s">
        <v>57</v>
      </c>
      <c r="Q740" s="262"/>
      <c r="R740" s="262" t="s">
        <v>397</v>
      </c>
      <c r="S740" s="267" t="s">
        <v>823</v>
      </c>
      <c r="T740" s="268"/>
      <c r="U740" s="269"/>
      <c r="V740" s="269">
        <v>0</v>
      </c>
      <c r="W740" s="278">
        <v>0</v>
      </c>
      <c r="X740" s="270"/>
      <c r="Y740" s="262" t="s">
        <v>562</v>
      </c>
      <c r="Z740" s="271" t="s">
        <v>562</v>
      </c>
      <c r="AA740" s="287"/>
      <c r="AB740" s="287"/>
      <c r="AC740" s="272">
        <f t="shared" si="25"/>
        <v>0</v>
      </c>
      <c r="AD740" s="272">
        <v>0</v>
      </c>
      <c r="AE740" s="272">
        <f t="shared" si="26"/>
        <v>0</v>
      </c>
      <c r="AF740" s="273"/>
      <c r="AG740" s="274"/>
      <c r="AH740" s="273"/>
      <c r="AI740" s="273"/>
      <c r="AJ740" s="274"/>
      <c r="AK740" s="273"/>
      <c r="AL740" s="275"/>
      <c r="AM740" s="290"/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/>
      <c r="BF740" s="275"/>
      <c r="BH740" s="277"/>
    </row>
    <row r="741" spans="1:60" ht="16.5" customHeight="1">
      <c r="A741" s="260">
        <v>719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271</v>
      </c>
      <c r="K741" s="262"/>
      <c r="L741" s="262"/>
      <c r="M741" s="262">
        <v>3970</v>
      </c>
      <c r="N741" s="262" t="s">
        <v>32</v>
      </c>
      <c r="O741" s="262" t="s">
        <v>35</v>
      </c>
      <c r="P741" s="262" t="s">
        <v>57</v>
      </c>
      <c r="Q741" s="262"/>
      <c r="R741" s="262"/>
      <c r="S741" s="267" t="s">
        <v>830</v>
      </c>
      <c r="T741" s="268"/>
      <c r="U741" s="269"/>
      <c r="V741" s="269"/>
      <c r="W741" s="278">
        <v>0</v>
      </c>
      <c r="X741" s="270"/>
      <c r="Y741" s="262"/>
      <c r="Z741" s="271" t="s">
        <v>25</v>
      </c>
      <c r="AA741" s="287"/>
      <c r="AB741" s="287"/>
      <c r="AC741" s="272">
        <f t="shared" si="25"/>
        <v>10000000</v>
      </c>
      <c r="AD741" s="272">
        <v>10000000</v>
      </c>
      <c r="AE741" s="272">
        <f t="shared" si="26"/>
        <v>0</v>
      </c>
      <c r="AF741" s="273"/>
      <c r="AG741" s="274"/>
      <c r="AH741" s="273"/>
      <c r="AI741" s="273"/>
      <c r="AJ741" s="274"/>
      <c r="AK741" s="273"/>
      <c r="AL741" s="275"/>
      <c r="AM741" s="290"/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>
        <v>10000000</v>
      </c>
      <c r="AZ741" s="275"/>
      <c r="BA741" s="275"/>
      <c r="BB741" s="275"/>
      <c r="BC741" s="275"/>
      <c r="BD741" s="275"/>
      <c r="BE741" s="275"/>
      <c r="BF741" s="275"/>
      <c r="BH741" s="277"/>
    </row>
    <row r="742" spans="1:60" ht="16.5" customHeight="1">
      <c r="A742" s="260">
        <v>720</v>
      </c>
      <c r="B742" s="261"/>
      <c r="C742" s="261"/>
      <c r="D742" s="262"/>
      <c r="E742" s="262"/>
      <c r="F742" s="263" t="s">
        <v>15</v>
      </c>
      <c r="G742" s="264" t="s">
        <v>237</v>
      </c>
      <c r="H742" s="281"/>
      <c r="I742" s="265"/>
      <c r="J742" s="266" t="s">
        <v>272</v>
      </c>
      <c r="K742" s="262"/>
      <c r="L742" s="262"/>
      <c r="M742" s="262">
        <v>43796</v>
      </c>
      <c r="N742" s="262" t="s">
        <v>32</v>
      </c>
      <c r="O742" s="262" t="s">
        <v>212</v>
      </c>
      <c r="P742" s="262" t="s">
        <v>57</v>
      </c>
      <c r="Q742" s="262"/>
      <c r="R742" s="262" t="s">
        <v>28</v>
      </c>
      <c r="S742" s="267" t="s">
        <v>28</v>
      </c>
      <c r="T742" s="268"/>
      <c r="U742" s="269"/>
      <c r="V742" s="269">
        <v>0</v>
      </c>
      <c r="W742" s="278">
        <v>99980000</v>
      </c>
      <c r="X742" s="270"/>
      <c r="Y742" s="262" t="s">
        <v>27</v>
      </c>
      <c r="Z742" s="271" t="s">
        <v>27</v>
      </c>
      <c r="AA742" s="287"/>
      <c r="AB742" s="287"/>
      <c r="AC742" s="272">
        <f t="shared" si="25"/>
        <v>100000000</v>
      </c>
      <c r="AD742" s="272">
        <v>100000000</v>
      </c>
      <c r="AE742" s="272">
        <f t="shared" si="26"/>
        <v>0</v>
      </c>
      <c r="AF742" s="273"/>
      <c r="AG742" s="274"/>
      <c r="AH742" s="273"/>
      <c r="AI742" s="273">
        <v>40000000</v>
      </c>
      <c r="AJ742" s="274"/>
      <c r="AK742" s="273" t="s">
        <v>933</v>
      </c>
      <c r="AL742" s="275"/>
      <c r="AM742" s="290"/>
      <c r="AN742" s="275" t="s">
        <v>1001</v>
      </c>
      <c r="AO742" s="276">
        <v>40000000</v>
      </c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>
        <v>20000000</v>
      </c>
      <c r="BD742" s="275"/>
      <c r="BE742" s="275">
        <v>40000000</v>
      </c>
      <c r="BF742" s="275"/>
      <c r="BH742" s="277"/>
    </row>
    <row r="743" spans="1:60" ht="16.5" customHeight="1">
      <c r="A743" s="260">
        <v>721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272</v>
      </c>
      <c r="K743" s="262"/>
      <c r="L743" s="262"/>
      <c r="M743" s="262">
        <v>43796</v>
      </c>
      <c r="N743" s="262" t="s">
        <v>32</v>
      </c>
      <c r="O743" s="262" t="s">
        <v>212</v>
      </c>
      <c r="P743" s="262" t="s">
        <v>57</v>
      </c>
      <c r="Q743" s="262"/>
      <c r="R743" s="262"/>
      <c r="S743" s="267" t="s">
        <v>478</v>
      </c>
      <c r="T743" s="268"/>
      <c r="U743" s="269"/>
      <c r="V743" s="269"/>
      <c r="W743" s="278">
        <v>0</v>
      </c>
      <c r="X743" s="270"/>
      <c r="Y743" s="262"/>
      <c r="Z743" s="271" t="s">
        <v>27</v>
      </c>
      <c r="AA743" s="287"/>
      <c r="AB743" s="287"/>
      <c r="AC743" s="272">
        <f t="shared" si="25"/>
        <v>2800000</v>
      </c>
      <c r="AD743" s="272">
        <v>2800000</v>
      </c>
      <c r="AE743" s="272">
        <f t="shared" si="26"/>
        <v>0</v>
      </c>
      <c r="AF743" s="273"/>
      <c r="AG743" s="274"/>
      <c r="AH743" s="273"/>
      <c r="AI743" s="273"/>
      <c r="AJ743" s="274"/>
      <c r="AK743" s="273"/>
      <c r="AL743" s="275">
        <v>2800000</v>
      </c>
      <c r="AM743" s="290">
        <v>2800000</v>
      </c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/>
      <c r="BD743" s="275"/>
      <c r="BE743" s="275"/>
      <c r="BF743" s="275"/>
      <c r="BH743" s="277"/>
    </row>
    <row r="744" spans="1:60" ht="16.5" customHeight="1">
      <c r="A744" s="260">
        <v>722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273</v>
      </c>
      <c r="K744" s="262"/>
      <c r="L744" s="262"/>
      <c r="M744" s="262">
        <v>59026</v>
      </c>
      <c r="N744" s="262" t="s">
        <v>32</v>
      </c>
      <c r="O744" s="262" t="s">
        <v>56</v>
      </c>
      <c r="P744" s="262" t="s">
        <v>57</v>
      </c>
      <c r="Q744" s="262" t="s">
        <v>62</v>
      </c>
      <c r="R744" s="262" t="s">
        <v>678</v>
      </c>
      <c r="S744" s="267" t="s">
        <v>832</v>
      </c>
      <c r="T744" s="268"/>
      <c r="U744" s="269"/>
      <c r="V744" s="269">
        <v>6300000</v>
      </c>
      <c r="W744" s="278">
        <v>0</v>
      </c>
      <c r="X744" s="270"/>
      <c r="Y744" s="262" t="s">
        <v>20</v>
      </c>
      <c r="Z744" s="271" t="s">
        <v>20</v>
      </c>
      <c r="AA744" s="287"/>
      <c r="AB744" s="287"/>
      <c r="AC744" s="272">
        <f t="shared" si="25"/>
        <v>0</v>
      </c>
      <c r="AD744" s="272">
        <v>0</v>
      </c>
      <c r="AE744" s="272">
        <f t="shared" si="26"/>
        <v>0</v>
      </c>
      <c r="AF744" s="273"/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/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H744" s="277"/>
    </row>
    <row r="745" spans="1:60" ht="16.5" customHeight="1">
      <c r="A745" s="260">
        <v>723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274</v>
      </c>
      <c r="K745" s="262"/>
      <c r="L745" s="262"/>
      <c r="M745" s="262">
        <v>4128</v>
      </c>
      <c r="N745" s="262" t="s">
        <v>22</v>
      </c>
      <c r="O745" s="262" t="s">
        <v>212</v>
      </c>
      <c r="P745" s="262" t="s">
        <v>57</v>
      </c>
      <c r="Q745" s="262" t="s">
        <v>18</v>
      </c>
      <c r="R745" s="262" t="s">
        <v>28</v>
      </c>
      <c r="S745" s="267" t="s">
        <v>28</v>
      </c>
      <c r="T745" s="268" t="s">
        <v>951</v>
      </c>
      <c r="U745" s="269">
        <v>39278620</v>
      </c>
      <c r="V745" s="269">
        <v>76581500</v>
      </c>
      <c r="W745" s="278">
        <v>0</v>
      </c>
      <c r="X745" s="270"/>
      <c r="Y745" s="262" t="s">
        <v>27</v>
      </c>
      <c r="Z745" s="271" t="s">
        <v>20</v>
      </c>
      <c r="AA745" s="287"/>
      <c r="AB745" s="287"/>
      <c r="AC745" s="272">
        <f t="shared" si="25"/>
        <v>0</v>
      </c>
      <c r="AD745" s="272">
        <v>0</v>
      </c>
      <c r="AE745" s="272">
        <f t="shared" si="26"/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/>
      <c r="AZ745" s="275"/>
      <c r="BA745" s="275"/>
      <c r="BB745" s="275"/>
      <c r="BC745" s="275"/>
      <c r="BD745" s="275"/>
      <c r="BE745" s="275"/>
      <c r="BF745" s="275"/>
      <c r="BH745" s="277"/>
    </row>
    <row r="746" spans="1:60" ht="16.5" customHeight="1">
      <c r="A746" s="260">
        <v>724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274</v>
      </c>
      <c r="K746" s="262"/>
      <c r="L746" s="262"/>
      <c r="M746" s="262">
        <v>4128</v>
      </c>
      <c r="N746" s="262" t="s">
        <v>22</v>
      </c>
      <c r="O746" s="262" t="s">
        <v>212</v>
      </c>
      <c r="P746" s="262" t="s">
        <v>57</v>
      </c>
      <c r="Q746" s="262"/>
      <c r="R746" s="262" t="s">
        <v>19</v>
      </c>
      <c r="S746" s="267" t="s">
        <v>19</v>
      </c>
      <c r="T746" s="268"/>
      <c r="U746" s="269"/>
      <c r="V746" s="269"/>
      <c r="W746" s="278">
        <v>49880700</v>
      </c>
      <c r="X746" s="270"/>
      <c r="Y746" s="262"/>
      <c r="Z746" s="271" t="s">
        <v>27</v>
      </c>
      <c r="AA746" s="287"/>
      <c r="AB746" s="287"/>
      <c r="AC746" s="272">
        <f t="shared" si="25"/>
        <v>46516300</v>
      </c>
      <c r="AD746" s="272">
        <v>46516300</v>
      </c>
      <c r="AE746" s="272">
        <f t="shared" si="26"/>
        <v>0</v>
      </c>
      <c r="AF746" s="273">
        <v>1897500</v>
      </c>
      <c r="AG746" s="274">
        <v>1897500</v>
      </c>
      <c r="AH746" s="273" t="s">
        <v>851</v>
      </c>
      <c r="AI746" s="273">
        <v>16892800</v>
      </c>
      <c r="AJ746" s="274">
        <v>16281800</v>
      </c>
      <c r="AK746" s="273" t="s">
        <v>934</v>
      </c>
      <c r="AL746" s="275">
        <v>1352000</v>
      </c>
      <c r="AM746" s="290">
        <v>1337000</v>
      </c>
      <c r="AN746" s="275"/>
      <c r="AO746" s="276">
        <v>3000000</v>
      </c>
      <c r="AP746" s="275"/>
      <c r="AQ746" s="275">
        <v>3000000</v>
      </c>
      <c r="AR746" s="275"/>
      <c r="AS746" s="275">
        <v>3000000</v>
      </c>
      <c r="AT746" s="275"/>
      <c r="AU746" s="275">
        <v>3000000</v>
      </c>
      <c r="AV746" s="275"/>
      <c r="AW746" s="275">
        <v>3000000</v>
      </c>
      <c r="AX746" s="275"/>
      <c r="AY746" s="275">
        <v>3000000</v>
      </c>
      <c r="AZ746" s="275"/>
      <c r="BA746" s="275">
        <v>3000000</v>
      </c>
      <c r="BB746" s="275"/>
      <c r="BC746" s="275">
        <v>3000000</v>
      </c>
      <c r="BD746" s="275"/>
      <c r="BE746" s="275">
        <v>3000000</v>
      </c>
      <c r="BF746" s="275"/>
      <c r="BH746" s="277"/>
    </row>
    <row r="747" spans="1:60" ht="16.5" customHeight="1">
      <c r="A747" s="260">
        <v>725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274</v>
      </c>
      <c r="K747" s="262"/>
      <c r="L747" s="262"/>
      <c r="M747" s="262">
        <v>4128</v>
      </c>
      <c r="N747" s="262" t="s">
        <v>22</v>
      </c>
      <c r="O747" s="262" t="s">
        <v>35</v>
      </c>
      <c r="P747" s="262" t="s">
        <v>57</v>
      </c>
      <c r="Q747" s="262" t="s">
        <v>18</v>
      </c>
      <c r="R747" s="262" t="s">
        <v>19</v>
      </c>
      <c r="S747" s="267" t="s">
        <v>19</v>
      </c>
      <c r="T747" s="268"/>
      <c r="U747" s="269"/>
      <c r="V747" s="269">
        <v>0</v>
      </c>
      <c r="W747" s="278">
        <v>0</v>
      </c>
      <c r="X747" s="270"/>
      <c r="Y747" s="262" t="s">
        <v>24</v>
      </c>
      <c r="Z747" s="271" t="s">
        <v>24</v>
      </c>
      <c r="AA747" s="287"/>
      <c r="AB747" s="287"/>
      <c r="AC747" s="272">
        <f t="shared" si="25"/>
        <v>12000000</v>
      </c>
      <c r="AD747" s="272">
        <v>12000000</v>
      </c>
      <c r="AE747" s="272">
        <f t="shared" si="26"/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75"/>
      <c r="AR747" s="275"/>
      <c r="AS747" s="275">
        <v>12000000</v>
      </c>
      <c r="AT747" s="275"/>
      <c r="AU747" s="275"/>
      <c r="AV747" s="275"/>
      <c r="AW747" s="275"/>
      <c r="AX747" s="275"/>
      <c r="AY747" s="275"/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customHeight="1">
      <c r="A748" s="260">
        <v>726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274</v>
      </c>
      <c r="K748" s="262"/>
      <c r="L748" s="262"/>
      <c r="M748" s="262">
        <v>4128</v>
      </c>
      <c r="N748" s="262" t="s">
        <v>22</v>
      </c>
      <c r="O748" s="262" t="s">
        <v>212</v>
      </c>
      <c r="P748" s="262" t="s">
        <v>57</v>
      </c>
      <c r="Q748" s="262" t="s">
        <v>30</v>
      </c>
      <c r="R748" s="262" t="s">
        <v>31</v>
      </c>
      <c r="S748" s="267" t="s">
        <v>31</v>
      </c>
      <c r="T748" s="268"/>
      <c r="U748" s="269" t="s">
        <v>154</v>
      </c>
      <c r="V748" s="269">
        <v>0</v>
      </c>
      <c r="W748" s="278">
        <v>320000</v>
      </c>
      <c r="X748" s="270"/>
      <c r="Y748" s="262" t="s">
        <v>27</v>
      </c>
      <c r="Z748" s="271" t="s">
        <v>24</v>
      </c>
      <c r="AA748" s="287"/>
      <c r="AB748" s="287"/>
      <c r="AC748" s="272">
        <f t="shared" si="25"/>
        <v>4000000</v>
      </c>
      <c r="AD748" s="272">
        <v>4000000</v>
      </c>
      <c r="AE748" s="272">
        <f t="shared" si="26"/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75"/>
      <c r="AR748" s="275"/>
      <c r="AS748" s="275">
        <v>2000000</v>
      </c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>
        <v>2000000</v>
      </c>
      <c r="BF748" s="275"/>
      <c r="BH748" s="277"/>
    </row>
    <row r="749" spans="1:60" ht="16.5" customHeight="1">
      <c r="A749" s="260">
        <v>727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274</v>
      </c>
      <c r="K749" s="262"/>
      <c r="L749" s="262"/>
      <c r="M749" s="262">
        <v>4128</v>
      </c>
      <c r="N749" s="262" t="s">
        <v>22</v>
      </c>
      <c r="O749" s="262" t="s">
        <v>35</v>
      </c>
      <c r="P749" s="262" t="s">
        <v>57</v>
      </c>
      <c r="Q749" s="262"/>
      <c r="R749" s="262"/>
      <c r="S749" s="267" t="s">
        <v>822</v>
      </c>
      <c r="T749" s="268"/>
      <c r="U749" s="269"/>
      <c r="V749" s="269"/>
      <c r="W749" s="278">
        <v>0</v>
      </c>
      <c r="X749" s="270"/>
      <c r="Y749" s="262"/>
      <c r="Z749" s="271" t="s">
        <v>25</v>
      </c>
      <c r="AA749" s="287"/>
      <c r="AB749" s="287"/>
      <c r="AC749" s="272">
        <f t="shared" si="25"/>
        <v>10000000</v>
      </c>
      <c r="AD749" s="272">
        <v>10000000</v>
      </c>
      <c r="AE749" s="272">
        <f t="shared" si="26"/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75">
        <v>10000000</v>
      </c>
      <c r="AR749" s="275"/>
      <c r="AS749" s="275"/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customHeight="1">
      <c r="A750" s="260">
        <v>728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274</v>
      </c>
      <c r="K750" s="262"/>
      <c r="L750" s="262"/>
      <c r="M750" s="262">
        <v>4128</v>
      </c>
      <c r="N750" s="262" t="s">
        <v>22</v>
      </c>
      <c r="O750" s="262" t="s">
        <v>35</v>
      </c>
      <c r="P750" s="262" t="s">
        <v>57</v>
      </c>
      <c r="Q750" s="262"/>
      <c r="R750" s="262"/>
      <c r="S750" s="267" t="s">
        <v>830</v>
      </c>
      <c r="T750" s="268"/>
      <c r="U750" s="269"/>
      <c r="V750" s="269"/>
      <c r="W750" s="278">
        <v>0</v>
      </c>
      <c r="X750" s="270"/>
      <c r="Y750" s="262"/>
      <c r="Z750" s="271" t="s">
        <v>25</v>
      </c>
      <c r="AA750" s="287"/>
      <c r="AB750" s="287"/>
      <c r="AC750" s="272">
        <f t="shared" si="25"/>
        <v>10000000</v>
      </c>
      <c r="AD750" s="272">
        <v>10000000</v>
      </c>
      <c r="AE750" s="272">
        <f t="shared" si="26"/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75"/>
      <c r="AR750" s="275"/>
      <c r="AS750" s="275"/>
      <c r="AT750" s="275"/>
      <c r="AU750" s="275"/>
      <c r="AV750" s="275"/>
      <c r="AW750" s="275"/>
      <c r="AX750" s="275"/>
      <c r="AY750" s="275">
        <v>10000000</v>
      </c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customHeight="1">
      <c r="A751" s="260">
        <v>729</v>
      </c>
      <c r="B751" s="261"/>
      <c r="C751" s="261"/>
      <c r="D751" s="262"/>
      <c r="E751" s="262"/>
      <c r="F751" s="263"/>
      <c r="G751" s="264" t="s">
        <v>237</v>
      </c>
      <c r="H751" s="281"/>
      <c r="I751" s="265"/>
      <c r="J751" s="266" t="s">
        <v>1038</v>
      </c>
      <c r="K751" s="262"/>
      <c r="L751" s="262"/>
      <c r="M751" s="262">
        <v>4128</v>
      </c>
      <c r="N751" s="262" t="s">
        <v>22</v>
      </c>
      <c r="O751" s="262" t="s">
        <v>35</v>
      </c>
      <c r="P751" s="262" t="s">
        <v>57</v>
      </c>
      <c r="Q751" s="262"/>
      <c r="R751" s="262"/>
      <c r="S751" s="267" t="s">
        <v>19</v>
      </c>
      <c r="T751" s="268"/>
      <c r="U751" s="269"/>
      <c r="V751" s="269"/>
      <c r="W751" s="278"/>
      <c r="X751" s="270"/>
      <c r="Y751" s="262"/>
      <c r="Z751" s="271" t="s">
        <v>27</v>
      </c>
      <c r="AA751" s="287"/>
      <c r="AB751" s="287"/>
      <c r="AC751" s="272">
        <f t="shared" si="25"/>
        <v>7500000</v>
      </c>
      <c r="AD751" s="272">
        <v>0</v>
      </c>
      <c r="AE751" s="272">
        <f t="shared" si="26"/>
        <v>7500000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>
        <v>7500000</v>
      </c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customHeight="1">
      <c r="A752" s="260">
        <v>730</v>
      </c>
      <c r="B752" s="261"/>
      <c r="C752" s="261"/>
      <c r="D752" s="262" t="s">
        <v>15</v>
      </c>
      <c r="E752" s="262" t="s">
        <v>0</v>
      </c>
      <c r="F752" s="263" t="s">
        <v>15</v>
      </c>
      <c r="G752" s="264" t="s">
        <v>237</v>
      </c>
      <c r="H752" s="281"/>
      <c r="I752" s="265"/>
      <c r="J752" s="266" t="s">
        <v>233</v>
      </c>
      <c r="K752" s="262"/>
      <c r="L752" s="262"/>
      <c r="M752" s="262">
        <v>42061</v>
      </c>
      <c r="N752" s="262"/>
      <c r="O752" s="262"/>
      <c r="P752" s="262"/>
      <c r="Q752" s="262"/>
      <c r="R752" s="262"/>
      <c r="S752" s="267" t="s">
        <v>28</v>
      </c>
      <c r="T752" s="268"/>
      <c r="U752" s="269"/>
      <c r="V752" s="269"/>
      <c r="W752" s="278">
        <v>107800000</v>
      </c>
      <c r="X752" s="270"/>
      <c r="Y752" s="262"/>
      <c r="Z752" s="271" t="s">
        <v>718</v>
      </c>
      <c r="AA752" s="287"/>
      <c r="AB752" s="287"/>
      <c r="AC752" s="272">
        <f t="shared" si="25"/>
        <v>0</v>
      </c>
      <c r="AD752" s="272">
        <v>0</v>
      </c>
      <c r="AE752" s="272">
        <f t="shared" si="26"/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customHeight="1">
      <c r="A753" s="260">
        <v>731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233</v>
      </c>
      <c r="K753" s="262"/>
      <c r="L753" s="262"/>
      <c r="M753" s="262">
        <v>42061</v>
      </c>
      <c r="N753" s="262" t="s">
        <v>32</v>
      </c>
      <c r="O753" s="262" t="s">
        <v>56</v>
      </c>
      <c r="P753" s="262" t="s">
        <v>57</v>
      </c>
      <c r="Q753" s="262" t="s">
        <v>30</v>
      </c>
      <c r="R753" s="262" t="s">
        <v>31</v>
      </c>
      <c r="S753" s="267" t="s">
        <v>31</v>
      </c>
      <c r="T753" s="268"/>
      <c r="U753" s="269"/>
      <c r="V753" s="269">
        <v>100000</v>
      </c>
      <c r="W753" s="278">
        <v>360000</v>
      </c>
      <c r="X753" s="270"/>
      <c r="Y753" s="262" t="s">
        <v>27</v>
      </c>
      <c r="Z753" s="271" t="s">
        <v>718</v>
      </c>
      <c r="AA753" s="287"/>
      <c r="AB753" s="287"/>
      <c r="AC753" s="272">
        <f t="shared" si="25"/>
        <v>0</v>
      </c>
      <c r="AD753" s="272">
        <v>0</v>
      </c>
      <c r="AE753" s="272">
        <f t="shared" si="26"/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/>
      <c r="BD753" s="275"/>
      <c r="BE753" s="275"/>
      <c r="BF753" s="275"/>
      <c r="BH753" s="277"/>
    </row>
    <row r="754" spans="1:60" ht="16.5" customHeight="1">
      <c r="A754" s="260">
        <v>732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233</v>
      </c>
      <c r="K754" s="262"/>
      <c r="L754" s="262"/>
      <c r="M754" s="262">
        <v>42061</v>
      </c>
      <c r="N754" s="262" t="s">
        <v>32</v>
      </c>
      <c r="O754" s="262" t="s">
        <v>56</v>
      </c>
      <c r="P754" s="262" t="s">
        <v>57</v>
      </c>
      <c r="Q754" s="262" t="s">
        <v>63</v>
      </c>
      <c r="R754" s="262" t="s">
        <v>28</v>
      </c>
      <c r="S754" s="267" t="s">
        <v>468</v>
      </c>
      <c r="T754" s="268"/>
      <c r="U754" s="269">
        <v>30795000</v>
      </c>
      <c r="V754" s="269">
        <v>115000000</v>
      </c>
      <c r="W754" s="278"/>
      <c r="X754" s="270"/>
      <c r="Y754" s="262" t="s">
        <v>27</v>
      </c>
      <c r="Z754" s="271" t="s">
        <v>24</v>
      </c>
      <c r="AA754" s="287"/>
      <c r="AB754" s="287"/>
      <c r="AC754" s="272">
        <f t="shared" si="25"/>
        <v>70000000</v>
      </c>
      <c r="AD754" s="272">
        <v>70000000</v>
      </c>
      <c r="AE754" s="272">
        <f t="shared" si="26"/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75"/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>
        <v>70000000</v>
      </c>
      <c r="BF754" s="275"/>
      <c r="BH754" s="277"/>
    </row>
    <row r="755" spans="1:60" ht="16.5" customHeight="1">
      <c r="A755" s="260">
        <v>733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233</v>
      </c>
      <c r="K755" s="262"/>
      <c r="L755" s="262"/>
      <c r="M755" s="262">
        <v>42061</v>
      </c>
      <c r="N755" s="262" t="s">
        <v>32</v>
      </c>
      <c r="O755" s="262" t="s">
        <v>35</v>
      </c>
      <c r="P755" s="262" t="s">
        <v>57</v>
      </c>
      <c r="Q755" s="262"/>
      <c r="R755" s="262" t="s">
        <v>475</v>
      </c>
      <c r="S755" s="267" t="s">
        <v>830</v>
      </c>
      <c r="T755" s="268"/>
      <c r="U755" s="269">
        <v>0</v>
      </c>
      <c r="V755" s="269">
        <v>0</v>
      </c>
      <c r="W755" s="278"/>
      <c r="X755" s="270"/>
      <c r="Y755" s="262" t="s">
        <v>24</v>
      </c>
      <c r="Z755" s="271" t="s">
        <v>24</v>
      </c>
      <c r="AA755" s="287"/>
      <c r="AB755" s="287"/>
      <c r="AC755" s="272">
        <f t="shared" si="25"/>
        <v>20000000</v>
      </c>
      <c r="AD755" s="272">
        <v>20000000</v>
      </c>
      <c r="AE755" s="272">
        <f t="shared" si="26"/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75"/>
      <c r="AR755" s="275"/>
      <c r="AS755" s="275"/>
      <c r="AT755" s="275"/>
      <c r="AU755" s="275"/>
      <c r="AV755" s="275"/>
      <c r="AW755" s="275"/>
      <c r="AX755" s="275"/>
      <c r="AY755" s="275">
        <v>20000000</v>
      </c>
      <c r="AZ755" s="275"/>
      <c r="BA755" s="275"/>
      <c r="BB755" s="275"/>
      <c r="BC755" s="275"/>
      <c r="BD755" s="275"/>
      <c r="BE755" s="275"/>
      <c r="BF755" s="275"/>
      <c r="BH755" s="277"/>
    </row>
    <row r="756" spans="1:60" ht="16.5" customHeight="1">
      <c r="A756" s="260">
        <v>734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275</v>
      </c>
      <c r="K756" s="262"/>
      <c r="L756" s="262"/>
      <c r="M756" s="262">
        <v>2105</v>
      </c>
      <c r="N756" s="262" t="s">
        <v>22</v>
      </c>
      <c r="O756" s="262" t="s">
        <v>212</v>
      </c>
      <c r="P756" s="262" t="s">
        <v>57</v>
      </c>
      <c r="Q756" s="262" t="s">
        <v>63</v>
      </c>
      <c r="R756" s="262" t="s">
        <v>28</v>
      </c>
      <c r="S756" s="267" t="s">
        <v>28</v>
      </c>
      <c r="T756" s="268" t="s">
        <v>951</v>
      </c>
      <c r="U756" s="269">
        <v>91382207</v>
      </c>
      <c r="V756" s="269">
        <v>85170480</v>
      </c>
      <c r="W756" s="278">
        <v>102534220</v>
      </c>
      <c r="X756" s="270"/>
      <c r="Y756" s="262" t="s">
        <v>27</v>
      </c>
      <c r="Z756" s="271" t="s">
        <v>27</v>
      </c>
      <c r="AA756" s="287"/>
      <c r="AB756" s="287"/>
      <c r="AC756" s="272">
        <f t="shared" si="25"/>
        <v>92960610</v>
      </c>
      <c r="AD756" s="272">
        <v>92960610</v>
      </c>
      <c r="AE756" s="272">
        <f t="shared" si="26"/>
        <v>0</v>
      </c>
      <c r="AF756" s="273">
        <v>6725330</v>
      </c>
      <c r="AG756" s="274">
        <v>6725330</v>
      </c>
      <c r="AH756" s="273"/>
      <c r="AI756" s="273">
        <v>5274670</v>
      </c>
      <c r="AJ756" s="274">
        <v>1420950</v>
      </c>
      <c r="AK756" s="273"/>
      <c r="AL756" s="275">
        <v>4014330</v>
      </c>
      <c r="AM756" s="290">
        <v>4014330</v>
      </c>
      <c r="AN756" s="275"/>
      <c r="AO756" s="276">
        <v>5910590</v>
      </c>
      <c r="AP756" s="275"/>
      <c r="AQ756" s="275">
        <v>6000000</v>
      </c>
      <c r="AR756" s="275"/>
      <c r="AS756" s="275">
        <v>6000000</v>
      </c>
      <c r="AT756" s="275"/>
      <c r="AU756" s="275">
        <v>6000000</v>
      </c>
      <c r="AV756" s="275"/>
      <c r="AW756" s="275">
        <v>6000000</v>
      </c>
      <c r="AX756" s="275"/>
      <c r="AY756" s="275">
        <v>6000000</v>
      </c>
      <c r="AZ756" s="275"/>
      <c r="BA756" s="275">
        <v>9889410</v>
      </c>
      <c r="BB756" s="275"/>
      <c r="BC756" s="275">
        <v>15000000</v>
      </c>
      <c r="BD756" s="275"/>
      <c r="BE756" s="275">
        <v>20000000</v>
      </c>
      <c r="BF756" s="275"/>
      <c r="BH756" s="277"/>
    </row>
    <row r="757" spans="1:60" ht="16.5" customHeight="1">
      <c r="A757" s="260">
        <v>735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275</v>
      </c>
      <c r="K757" s="262"/>
      <c r="L757" s="262"/>
      <c r="M757" s="262">
        <v>2105</v>
      </c>
      <c r="N757" s="262" t="s">
        <v>22</v>
      </c>
      <c r="O757" s="262" t="s">
        <v>56</v>
      </c>
      <c r="P757" s="262" t="s">
        <v>57</v>
      </c>
      <c r="Q757" s="262" t="s">
        <v>26</v>
      </c>
      <c r="R757" s="262" t="s">
        <v>478</v>
      </c>
      <c r="S757" s="267" t="s">
        <v>478</v>
      </c>
      <c r="T757" s="268"/>
      <c r="U757" s="269">
        <v>12650000</v>
      </c>
      <c r="V757" s="269">
        <v>0</v>
      </c>
      <c r="W757" s="278">
        <v>17050000</v>
      </c>
      <c r="X757" s="270"/>
      <c r="Y757" s="262" t="s">
        <v>24</v>
      </c>
      <c r="Z757" s="271" t="s">
        <v>27</v>
      </c>
      <c r="AA757" s="287"/>
      <c r="AB757" s="287"/>
      <c r="AC757" s="272">
        <f t="shared" si="25"/>
        <v>18550000</v>
      </c>
      <c r="AD757" s="272">
        <v>18650000</v>
      </c>
      <c r="AE757" s="272">
        <f t="shared" si="26"/>
        <v>-100000</v>
      </c>
      <c r="AF757" s="273">
        <v>5050000</v>
      </c>
      <c r="AG757" s="274">
        <v>5050000</v>
      </c>
      <c r="AH757" s="273"/>
      <c r="AI757" s="273">
        <v>3800000</v>
      </c>
      <c r="AJ757" s="274"/>
      <c r="AK757" s="273" t="s">
        <v>930</v>
      </c>
      <c r="AL757" s="275">
        <v>3800000</v>
      </c>
      <c r="AM757" s="290">
        <v>3800000</v>
      </c>
      <c r="AN757" s="275"/>
      <c r="AO757" s="276">
        <v>9700000</v>
      </c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/>
      <c r="BD757" s="275"/>
      <c r="BE757" s="275"/>
      <c r="BF757" s="275"/>
      <c r="BH757" s="277"/>
    </row>
    <row r="758" spans="1:60" ht="16.5" customHeight="1">
      <c r="A758" s="260">
        <v>736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275</v>
      </c>
      <c r="K758" s="262"/>
      <c r="L758" s="262"/>
      <c r="M758" s="262">
        <v>2105</v>
      </c>
      <c r="N758" s="262" t="s">
        <v>22</v>
      </c>
      <c r="O758" s="262" t="s">
        <v>56</v>
      </c>
      <c r="P758" s="262" t="s">
        <v>57</v>
      </c>
      <c r="Q758" s="262" t="s">
        <v>26</v>
      </c>
      <c r="R758" s="262" t="s">
        <v>478</v>
      </c>
      <c r="S758" s="267" t="s">
        <v>478</v>
      </c>
      <c r="T758" s="268"/>
      <c r="U758" s="269"/>
      <c r="V758" s="269">
        <v>7064000</v>
      </c>
      <c r="W758" s="278">
        <v>0</v>
      </c>
      <c r="X758" s="270"/>
      <c r="Y758" s="262" t="s">
        <v>27</v>
      </c>
      <c r="Z758" s="271" t="s">
        <v>24</v>
      </c>
      <c r="AA758" s="287"/>
      <c r="AB758" s="287"/>
      <c r="AC758" s="272">
        <f t="shared" si="25"/>
        <v>7000000</v>
      </c>
      <c r="AD758" s="272">
        <v>7000000</v>
      </c>
      <c r="AE758" s="272">
        <f t="shared" si="26"/>
        <v>0</v>
      </c>
      <c r="AF758" s="273"/>
      <c r="AG758" s="274"/>
      <c r="AH758" s="273"/>
      <c r="AI758" s="273"/>
      <c r="AJ758" s="274"/>
      <c r="AK758" s="273"/>
      <c r="AL758" s="275"/>
      <c r="AM758" s="290"/>
      <c r="AN758" s="275"/>
      <c r="AO758" s="276"/>
      <c r="AP758" s="275"/>
      <c r="AQ758" s="275"/>
      <c r="AR758" s="275"/>
      <c r="AS758" s="275"/>
      <c r="AT758" s="275"/>
      <c r="AU758" s="275"/>
      <c r="AV758" s="275"/>
      <c r="AW758" s="275">
        <v>4000000</v>
      </c>
      <c r="AX758" s="275"/>
      <c r="AY758" s="275"/>
      <c r="AZ758" s="275"/>
      <c r="BA758" s="275">
        <v>3000000</v>
      </c>
      <c r="BB758" s="275"/>
      <c r="BC758" s="275"/>
      <c r="BD758" s="275"/>
      <c r="BE758" s="275"/>
      <c r="BF758" s="275"/>
      <c r="BH758" s="277"/>
    </row>
    <row r="759" spans="1:60" ht="16.5" customHeight="1">
      <c r="A759" s="260">
        <v>737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778</v>
      </c>
      <c r="K759" s="262"/>
      <c r="L759" s="262"/>
      <c r="M759" s="262">
        <v>3787</v>
      </c>
      <c r="N759" s="262" t="s">
        <v>22</v>
      </c>
      <c r="O759" s="262" t="s">
        <v>35</v>
      </c>
      <c r="P759" s="262" t="s">
        <v>156</v>
      </c>
      <c r="Q759" s="262"/>
      <c r="R759" s="262"/>
      <c r="S759" s="267" t="s">
        <v>28</v>
      </c>
      <c r="T759" s="268"/>
      <c r="U759" s="269"/>
      <c r="V759" s="269"/>
      <c r="W759" s="278">
        <v>0</v>
      </c>
      <c r="X759" s="270"/>
      <c r="Y759" s="262"/>
      <c r="Z759" s="271" t="s">
        <v>562</v>
      </c>
      <c r="AA759" s="287"/>
      <c r="AB759" s="287"/>
      <c r="AC759" s="272">
        <f t="shared" si="25"/>
        <v>0</v>
      </c>
      <c r="AD759" s="272">
        <v>0</v>
      </c>
      <c r="AE759" s="272">
        <f t="shared" si="26"/>
        <v>0</v>
      </c>
      <c r="AF759" s="273">
        <v>130000000</v>
      </c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75"/>
      <c r="AR759" s="275"/>
      <c r="AS759" s="275"/>
      <c r="AT759" s="275"/>
      <c r="AU759" s="275"/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H759" s="277"/>
    </row>
    <row r="760" spans="1:60" ht="16.5" customHeight="1">
      <c r="A760" s="260">
        <v>738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778</v>
      </c>
      <c r="K760" s="262"/>
      <c r="L760" s="262"/>
      <c r="M760" s="262">
        <v>3787</v>
      </c>
      <c r="N760" s="262" t="s">
        <v>22</v>
      </c>
      <c r="O760" s="262" t="s">
        <v>35</v>
      </c>
      <c r="P760" s="262" t="s">
        <v>156</v>
      </c>
      <c r="Q760" s="262"/>
      <c r="R760" s="262"/>
      <c r="S760" s="267" t="s">
        <v>828</v>
      </c>
      <c r="T760" s="268"/>
      <c r="U760" s="269"/>
      <c r="V760" s="269"/>
      <c r="W760" s="278">
        <v>0</v>
      </c>
      <c r="X760" s="270"/>
      <c r="Y760" s="262"/>
      <c r="Z760" s="271" t="s">
        <v>25</v>
      </c>
      <c r="AA760" s="287"/>
      <c r="AB760" s="287"/>
      <c r="AC760" s="272">
        <f t="shared" si="25"/>
        <v>35000000</v>
      </c>
      <c r="AD760" s="272">
        <v>35000000</v>
      </c>
      <c r="AE760" s="272">
        <f t="shared" si="26"/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75">
        <v>35000000</v>
      </c>
      <c r="AR760" s="275"/>
      <c r="AS760" s="275"/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customHeight="1">
      <c r="A761" s="260">
        <v>739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778</v>
      </c>
      <c r="K761" s="262"/>
      <c r="L761" s="262"/>
      <c r="M761" s="262">
        <v>3787</v>
      </c>
      <c r="N761" s="262" t="s">
        <v>22</v>
      </c>
      <c r="O761" s="262" t="s">
        <v>35</v>
      </c>
      <c r="P761" s="262" t="s">
        <v>156</v>
      </c>
      <c r="Q761" s="262" t="s">
        <v>35</v>
      </c>
      <c r="R761" s="262"/>
      <c r="S761" s="267" t="s">
        <v>830</v>
      </c>
      <c r="T761" s="268"/>
      <c r="U761" s="269"/>
      <c r="V761" s="269"/>
      <c r="W761" s="278">
        <v>0</v>
      </c>
      <c r="X761" s="270"/>
      <c r="Y761" s="262"/>
      <c r="Z761" s="271" t="s">
        <v>25</v>
      </c>
      <c r="AA761" s="287"/>
      <c r="AB761" s="287"/>
      <c r="AC761" s="272">
        <f t="shared" si="25"/>
        <v>10000000</v>
      </c>
      <c r="AD761" s="272">
        <v>10000000</v>
      </c>
      <c r="AE761" s="272">
        <f t="shared" si="26"/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>
        <v>10000000</v>
      </c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customHeight="1">
      <c r="A762" s="260">
        <v>740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276</v>
      </c>
      <c r="K762" s="262"/>
      <c r="L762" s="262"/>
      <c r="M762" s="262">
        <v>3787</v>
      </c>
      <c r="N762" s="262" t="s">
        <v>22</v>
      </c>
      <c r="O762" s="262" t="s">
        <v>56</v>
      </c>
      <c r="P762" s="262" t="s">
        <v>57</v>
      </c>
      <c r="Q762" s="262" t="s">
        <v>26</v>
      </c>
      <c r="R762" s="262" t="s">
        <v>468</v>
      </c>
      <c r="S762" s="267" t="s">
        <v>468</v>
      </c>
      <c r="T762" s="268"/>
      <c r="U762" s="269" t="s">
        <v>154</v>
      </c>
      <c r="V762" s="269">
        <v>4000000</v>
      </c>
      <c r="W762" s="278">
        <v>0</v>
      </c>
      <c r="X762" s="270"/>
      <c r="Y762" s="262" t="s">
        <v>25</v>
      </c>
      <c r="Z762" s="271" t="s">
        <v>20</v>
      </c>
      <c r="AA762" s="287"/>
      <c r="AB762" s="287"/>
      <c r="AC762" s="272">
        <f t="shared" si="25"/>
        <v>0</v>
      </c>
      <c r="AD762" s="272">
        <v>0</v>
      </c>
      <c r="AE762" s="272">
        <f t="shared" si="26"/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/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customHeight="1">
      <c r="A763" s="260">
        <v>741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779</v>
      </c>
      <c r="K763" s="262"/>
      <c r="L763" s="262"/>
      <c r="M763" s="262">
        <v>3787</v>
      </c>
      <c r="N763" s="262" t="s">
        <v>22</v>
      </c>
      <c r="O763" s="262" t="s">
        <v>35</v>
      </c>
      <c r="P763" s="262" t="s">
        <v>156</v>
      </c>
      <c r="Q763" s="262" t="s">
        <v>26</v>
      </c>
      <c r="R763" s="262" t="s">
        <v>468</v>
      </c>
      <c r="S763" s="267" t="s">
        <v>468</v>
      </c>
      <c r="T763" s="268"/>
      <c r="U763" s="269"/>
      <c r="V763" s="269">
        <v>0</v>
      </c>
      <c r="W763" s="278">
        <v>0</v>
      </c>
      <c r="X763" s="270"/>
      <c r="Y763" s="262" t="s">
        <v>74</v>
      </c>
      <c r="Z763" s="271" t="s">
        <v>25</v>
      </c>
      <c r="AA763" s="287"/>
      <c r="AB763" s="287"/>
      <c r="AC763" s="272">
        <f t="shared" si="25"/>
        <v>50000000</v>
      </c>
      <c r="AD763" s="272">
        <v>50000000</v>
      </c>
      <c r="AE763" s="272">
        <f t="shared" si="26"/>
        <v>0</v>
      </c>
      <c r="AF763" s="273"/>
      <c r="AG763" s="274"/>
      <c r="AH763" s="273"/>
      <c r="AI763" s="273"/>
      <c r="AJ763" s="274"/>
      <c r="AK763" s="273"/>
      <c r="AL763" s="275"/>
      <c r="AM763" s="290"/>
      <c r="AN763" s="275"/>
      <c r="AO763" s="276"/>
      <c r="AP763" s="275"/>
      <c r="AQ763" s="275">
        <v>50000000</v>
      </c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customHeight="1">
      <c r="A764" s="260">
        <v>742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969</v>
      </c>
      <c r="K764" s="262"/>
      <c r="L764" s="262"/>
      <c r="M764" s="262">
        <v>3787</v>
      </c>
      <c r="N764" s="262" t="s">
        <v>22</v>
      </c>
      <c r="O764" s="262" t="s">
        <v>35</v>
      </c>
      <c r="P764" s="262" t="s">
        <v>156</v>
      </c>
      <c r="Q764" s="262"/>
      <c r="R764" s="262"/>
      <c r="S764" s="267" t="s">
        <v>478</v>
      </c>
      <c r="T764" s="268"/>
      <c r="U764" s="269"/>
      <c r="V764" s="269"/>
      <c r="W764" s="278">
        <v>0</v>
      </c>
      <c r="X764" s="270"/>
      <c r="Y764" s="262"/>
      <c r="Z764" s="271" t="s">
        <v>27</v>
      </c>
      <c r="AA764" s="287"/>
      <c r="AB764" s="287"/>
      <c r="AC764" s="272">
        <f t="shared" si="25"/>
        <v>6700000</v>
      </c>
      <c r="AD764" s="272">
        <v>6700000</v>
      </c>
      <c r="AE764" s="272">
        <f t="shared" si="26"/>
        <v>0</v>
      </c>
      <c r="AF764" s="273"/>
      <c r="AG764" s="274"/>
      <c r="AH764" s="273"/>
      <c r="AI764" s="273"/>
      <c r="AJ764" s="274"/>
      <c r="AK764" s="273"/>
      <c r="AL764" s="275">
        <v>6700000</v>
      </c>
      <c r="AM764" s="290">
        <v>6700000</v>
      </c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/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customHeight="1">
      <c r="A765" s="260">
        <v>743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780</v>
      </c>
      <c r="K765" s="262"/>
      <c r="L765" s="262"/>
      <c r="M765" s="262">
        <v>3787</v>
      </c>
      <c r="N765" s="262" t="s">
        <v>22</v>
      </c>
      <c r="O765" s="262" t="s">
        <v>35</v>
      </c>
      <c r="P765" s="262" t="s">
        <v>156</v>
      </c>
      <c r="Q765" s="262"/>
      <c r="R765" s="262"/>
      <c r="S765" s="267" t="s">
        <v>478</v>
      </c>
      <c r="T765" s="268"/>
      <c r="U765" s="269"/>
      <c r="V765" s="269"/>
      <c r="W765" s="278">
        <v>0</v>
      </c>
      <c r="X765" s="270"/>
      <c r="Y765" s="262"/>
      <c r="Z765" s="271" t="s">
        <v>25</v>
      </c>
      <c r="AA765" s="287"/>
      <c r="AB765" s="287"/>
      <c r="AC765" s="272">
        <f t="shared" si="25"/>
        <v>20000000</v>
      </c>
      <c r="AD765" s="272">
        <v>20000000</v>
      </c>
      <c r="AE765" s="272">
        <f t="shared" si="26"/>
        <v>0</v>
      </c>
      <c r="AF765" s="273"/>
      <c r="AG765" s="274"/>
      <c r="AH765" s="273"/>
      <c r="AI765" s="273"/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>
        <v>20000000</v>
      </c>
      <c r="AX765" s="275"/>
      <c r="AY765" s="275"/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customHeight="1">
      <c r="A766" s="260">
        <v>744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781</v>
      </c>
      <c r="K766" s="262"/>
      <c r="L766" s="262"/>
      <c r="M766" s="262">
        <v>7601</v>
      </c>
      <c r="N766" s="262" t="s">
        <v>22</v>
      </c>
      <c r="O766" s="262" t="s">
        <v>56</v>
      </c>
      <c r="P766" s="262"/>
      <c r="Q766" s="262" t="s">
        <v>30</v>
      </c>
      <c r="R766" s="262" t="s">
        <v>31</v>
      </c>
      <c r="S766" s="267" t="s">
        <v>31</v>
      </c>
      <c r="T766" s="268"/>
      <c r="U766" s="269">
        <v>7336000</v>
      </c>
      <c r="V766" s="269">
        <v>6838000</v>
      </c>
      <c r="W766" s="278">
        <v>6660000</v>
      </c>
      <c r="X766" s="270"/>
      <c r="Y766" s="262" t="s">
        <v>24</v>
      </c>
      <c r="Z766" s="271" t="s">
        <v>24</v>
      </c>
      <c r="AA766" s="287"/>
      <c r="AB766" s="287"/>
      <c r="AC766" s="272">
        <f t="shared" si="25"/>
        <v>5000000</v>
      </c>
      <c r="AD766" s="272">
        <v>5000000</v>
      </c>
      <c r="AE766" s="272">
        <f t="shared" si="26"/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/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>
        <v>5000000</v>
      </c>
      <c r="BD766" s="275"/>
      <c r="BE766" s="275"/>
      <c r="BF766" s="275"/>
      <c r="BH766" s="277"/>
    </row>
    <row r="767" spans="1:60" ht="16.5" customHeight="1">
      <c r="A767" s="260">
        <v>745</v>
      </c>
      <c r="B767" s="261"/>
      <c r="C767" s="261"/>
      <c r="D767" s="262" t="s">
        <v>15</v>
      </c>
      <c r="E767" s="262" t="s">
        <v>277</v>
      </c>
      <c r="F767" s="263" t="s">
        <v>15</v>
      </c>
      <c r="G767" s="264" t="s">
        <v>237</v>
      </c>
      <c r="H767" s="281"/>
      <c r="I767" s="265"/>
      <c r="J767" s="266" t="s">
        <v>781</v>
      </c>
      <c r="K767" s="262"/>
      <c r="L767" s="262"/>
      <c r="M767" s="262">
        <v>7601</v>
      </c>
      <c r="N767" s="262" t="s">
        <v>22</v>
      </c>
      <c r="O767" s="262" t="s">
        <v>35</v>
      </c>
      <c r="P767" s="262"/>
      <c r="Q767" s="262" t="s">
        <v>26</v>
      </c>
      <c r="R767" s="262" t="s">
        <v>468</v>
      </c>
      <c r="S767" s="267" t="s">
        <v>468</v>
      </c>
      <c r="T767" s="268"/>
      <c r="U767" s="269"/>
      <c r="V767" s="269">
        <v>6600000</v>
      </c>
      <c r="W767" s="278">
        <v>0</v>
      </c>
      <c r="X767" s="270"/>
      <c r="Y767" s="262" t="s">
        <v>25</v>
      </c>
      <c r="Z767" s="271" t="s">
        <v>25</v>
      </c>
      <c r="AA767" s="287"/>
      <c r="AB767" s="287"/>
      <c r="AC767" s="272">
        <f t="shared" si="25"/>
        <v>5000000</v>
      </c>
      <c r="AD767" s="272">
        <v>5000000</v>
      </c>
      <c r="AE767" s="272">
        <f t="shared" si="26"/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/>
      <c r="AT767" s="275"/>
      <c r="AU767" s="275"/>
      <c r="AV767" s="275"/>
      <c r="AW767" s="275">
        <v>5000000</v>
      </c>
      <c r="AX767" s="275"/>
      <c r="AY767" s="275"/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customHeight="1">
      <c r="A768" s="260">
        <v>746</v>
      </c>
      <c r="B768" s="261"/>
      <c r="C768" s="261"/>
      <c r="D768" s="262" t="s">
        <v>15</v>
      </c>
      <c r="E768" s="262" t="s">
        <v>277</v>
      </c>
      <c r="F768" s="263" t="s">
        <v>15</v>
      </c>
      <c r="G768" s="264" t="s">
        <v>277</v>
      </c>
      <c r="H768" s="281"/>
      <c r="I768" s="265"/>
      <c r="J768" s="266" t="s">
        <v>278</v>
      </c>
      <c r="K768" s="262"/>
      <c r="L768" s="262"/>
      <c r="M768" s="262">
        <v>60911</v>
      </c>
      <c r="N768" s="262" t="s">
        <v>22</v>
      </c>
      <c r="O768" s="262" t="s">
        <v>56</v>
      </c>
      <c r="P768" s="262"/>
      <c r="Q768" s="262" t="s">
        <v>55</v>
      </c>
      <c r="R768" s="262" t="s">
        <v>466</v>
      </c>
      <c r="S768" s="267" t="s">
        <v>829</v>
      </c>
      <c r="T768" s="268"/>
      <c r="U768" s="269"/>
      <c r="V768" s="269">
        <v>19400000</v>
      </c>
      <c r="W768" s="278">
        <v>0</v>
      </c>
      <c r="X768" s="270"/>
      <c r="Y768" s="262" t="s">
        <v>24</v>
      </c>
      <c r="Z768" s="271" t="s">
        <v>20</v>
      </c>
      <c r="AA768" s="287"/>
      <c r="AB768" s="287"/>
      <c r="AC768" s="272">
        <f t="shared" si="25"/>
        <v>0</v>
      </c>
      <c r="AD768" s="272">
        <v>0</v>
      </c>
      <c r="AE768" s="272">
        <f t="shared" si="26"/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/>
      <c r="AT768" s="275"/>
      <c r="AU768" s="275"/>
      <c r="AV768" s="275"/>
      <c r="AW768" s="275"/>
      <c r="AX768" s="275"/>
      <c r="AY768" s="275"/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customHeight="1">
      <c r="A769" s="260">
        <v>747</v>
      </c>
      <c r="B769" s="261"/>
      <c r="C769" s="261"/>
      <c r="D769" s="262" t="s">
        <v>15</v>
      </c>
      <c r="E769" s="262" t="s">
        <v>277</v>
      </c>
      <c r="F769" s="263" t="s">
        <v>15</v>
      </c>
      <c r="G769" s="264" t="s">
        <v>277</v>
      </c>
      <c r="H769" s="281"/>
      <c r="I769" s="265"/>
      <c r="J769" s="266" t="s">
        <v>280</v>
      </c>
      <c r="K769" s="262"/>
      <c r="L769" s="262"/>
      <c r="M769" s="262">
        <v>23370</v>
      </c>
      <c r="N769" s="262" t="s">
        <v>17</v>
      </c>
      <c r="O769" s="262" t="s">
        <v>212</v>
      </c>
      <c r="P769" s="262" t="s">
        <v>57</v>
      </c>
      <c r="Q769" s="262" t="s">
        <v>30</v>
      </c>
      <c r="R769" s="262" t="s">
        <v>31</v>
      </c>
      <c r="S769" s="267" t="s">
        <v>31</v>
      </c>
      <c r="T769" s="268"/>
      <c r="U769" s="269"/>
      <c r="V769" s="269">
        <v>6984000</v>
      </c>
      <c r="W769" s="278">
        <v>8650000</v>
      </c>
      <c r="X769" s="270"/>
      <c r="Y769" s="262" t="s">
        <v>27</v>
      </c>
      <c r="Z769" s="271" t="s">
        <v>27</v>
      </c>
      <c r="AA769" s="287"/>
      <c r="AB769" s="287"/>
      <c r="AC769" s="272">
        <f t="shared" si="25"/>
        <v>13393500</v>
      </c>
      <c r="AD769" s="272">
        <v>13393500</v>
      </c>
      <c r="AE769" s="272">
        <f t="shared" si="26"/>
        <v>0</v>
      </c>
      <c r="AF769" s="273"/>
      <c r="AG769" s="274">
        <v>1393500</v>
      </c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>
        <v>6000000</v>
      </c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>
        <v>6000000</v>
      </c>
      <c r="BF769" s="275"/>
      <c r="BH769" s="277"/>
    </row>
    <row r="770" spans="1:60" ht="16.5" customHeight="1">
      <c r="A770" s="260">
        <v>748</v>
      </c>
      <c r="B770" s="261"/>
      <c r="C770" s="261"/>
      <c r="D770" s="262" t="s">
        <v>15</v>
      </c>
      <c r="E770" s="262" t="s">
        <v>277</v>
      </c>
      <c r="F770" s="263" t="s">
        <v>15</v>
      </c>
      <c r="G770" s="264" t="s">
        <v>277</v>
      </c>
      <c r="H770" s="281"/>
      <c r="I770" s="265"/>
      <c r="J770" s="266" t="s">
        <v>280</v>
      </c>
      <c r="K770" s="262"/>
      <c r="L770" s="262"/>
      <c r="M770" s="262">
        <v>23370</v>
      </c>
      <c r="N770" s="262" t="s">
        <v>22</v>
      </c>
      <c r="O770" s="262" t="s">
        <v>56</v>
      </c>
      <c r="P770" s="262"/>
      <c r="Q770" s="262" t="s">
        <v>26</v>
      </c>
      <c r="R770" s="262" t="s">
        <v>468</v>
      </c>
      <c r="S770" s="267" t="s">
        <v>468</v>
      </c>
      <c r="T770" s="268"/>
      <c r="U770" s="269"/>
      <c r="V770" s="269">
        <v>2750000</v>
      </c>
      <c r="W770" s="278">
        <v>0</v>
      </c>
      <c r="X770" s="270"/>
      <c r="Y770" s="262" t="s">
        <v>25</v>
      </c>
      <c r="Z770" s="271" t="s">
        <v>25</v>
      </c>
      <c r="AA770" s="287"/>
      <c r="AB770" s="287"/>
      <c r="AC770" s="272">
        <f t="shared" si="25"/>
        <v>5000000</v>
      </c>
      <c r="AD770" s="272">
        <v>5000000</v>
      </c>
      <c r="AE770" s="272">
        <f t="shared" si="26"/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>
        <v>5000000</v>
      </c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customHeight="1">
      <c r="A771" s="260">
        <v>749</v>
      </c>
      <c r="B771" s="261"/>
      <c r="C771" s="261"/>
      <c r="D771" s="262" t="s">
        <v>15</v>
      </c>
      <c r="E771" s="262" t="s">
        <v>277</v>
      </c>
      <c r="F771" s="263" t="s">
        <v>15</v>
      </c>
      <c r="G771" s="264" t="s">
        <v>277</v>
      </c>
      <c r="H771" s="281"/>
      <c r="I771" s="265"/>
      <c r="J771" s="266" t="s">
        <v>280</v>
      </c>
      <c r="K771" s="262"/>
      <c r="L771" s="262"/>
      <c r="M771" s="262">
        <v>23370</v>
      </c>
      <c r="N771" s="262" t="s">
        <v>17</v>
      </c>
      <c r="O771" s="262" t="s">
        <v>35</v>
      </c>
      <c r="P771" s="262"/>
      <c r="Q771" s="262"/>
      <c r="R771" s="262"/>
      <c r="S771" s="267" t="s">
        <v>822</v>
      </c>
      <c r="T771" s="268"/>
      <c r="U771" s="269"/>
      <c r="V771" s="269"/>
      <c r="W771" s="278">
        <v>0</v>
      </c>
      <c r="X771" s="270"/>
      <c r="Y771" s="262"/>
      <c r="Z771" s="271" t="s">
        <v>25</v>
      </c>
      <c r="AA771" s="287"/>
      <c r="AB771" s="287"/>
      <c r="AC771" s="272">
        <f t="shared" si="25"/>
        <v>10000000</v>
      </c>
      <c r="AD771" s="272">
        <v>10000000</v>
      </c>
      <c r="AE771" s="272">
        <f t="shared" si="26"/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>
        <v>10000000</v>
      </c>
      <c r="AT771" s="275"/>
      <c r="AU771" s="275"/>
      <c r="AV771" s="275"/>
      <c r="AW771" s="275"/>
      <c r="AX771" s="275"/>
      <c r="AY771" s="275"/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customHeight="1">
      <c r="A772" s="260">
        <v>750</v>
      </c>
      <c r="B772" s="261"/>
      <c r="C772" s="261"/>
      <c r="D772" s="262"/>
      <c r="E772" s="262"/>
      <c r="F772" s="263" t="s">
        <v>15</v>
      </c>
      <c r="G772" s="264" t="s">
        <v>277</v>
      </c>
      <c r="H772" s="281"/>
      <c r="I772" s="265"/>
      <c r="J772" s="266" t="s">
        <v>280</v>
      </c>
      <c r="K772" s="262"/>
      <c r="L772" s="262"/>
      <c r="M772" s="262">
        <v>23370</v>
      </c>
      <c r="N772" s="262" t="s">
        <v>17</v>
      </c>
      <c r="O772" s="262" t="s">
        <v>35</v>
      </c>
      <c r="P772" s="262"/>
      <c r="Q772" s="262" t="s">
        <v>470</v>
      </c>
      <c r="R772" s="262"/>
      <c r="S772" s="267" t="s">
        <v>822</v>
      </c>
      <c r="T772" s="268"/>
      <c r="U772" s="269"/>
      <c r="V772" s="269"/>
      <c r="W772" s="278">
        <v>0</v>
      </c>
      <c r="X772" s="270"/>
      <c r="Y772" s="262"/>
      <c r="Z772" s="271" t="s">
        <v>25</v>
      </c>
      <c r="AA772" s="287"/>
      <c r="AB772" s="287"/>
      <c r="AC772" s="272">
        <f t="shared" si="25"/>
        <v>10000000</v>
      </c>
      <c r="AD772" s="272">
        <v>10000000</v>
      </c>
      <c r="AE772" s="272">
        <f t="shared" si="26"/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>
        <v>10000000</v>
      </c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/>
      <c r="BF772" s="275"/>
      <c r="BH772" s="277"/>
    </row>
    <row r="773" spans="1:60" ht="16.5" customHeight="1">
      <c r="A773" s="260">
        <v>751</v>
      </c>
      <c r="B773" s="261"/>
      <c r="C773" s="261"/>
      <c r="D773" s="262" t="s">
        <v>15</v>
      </c>
      <c r="E773" s="262" t="s">
        <v>277</v>
      </c>
      <c r="F773" s="263" t="s">
        <v>15</v>
      </c>
      <c r="G773" s="264" t="s">
        <v>277</v>
      </c>
      <c r="H773" s="281"/>
      <c r="I773" s="265"/>
      <c r="J773" s="266" t="s">
        <v>280</v>
      </c>
      <c r="K773" s="262"/>
      <c r="L773" s="262"/>
      <c r="M773" s="262">
        <v>23370</v>
      </c>
      <c r="N773" s="262"/>
      <c r="O773" s="262"/>
      <c r="P773" s="262"/>
      <c r="Q773" s="262"/>
      <c r="R773" s="262"/>
      <c r="S773" s="267" t="s">
        <v>826</v>
      </c>
      <c r="T773" s="268"/>
      <c r="U773" s="269"/>
      <c r="V773" s="269"/>
      <c r="W773" s="278">
        <v>48055000</v>
      </c>
      <c r="X773" s="270"/>
      <c r="Y773" s="262"/>
      <c r="Z773" s="271" t="s">
        <v>718</v>
      </c>
      <c r="AA773" s="287"/>
      <c r="AB773" s="287"/>
      <c r="AC773" s="272">
        <f t="shared" si="25"/>
        <v>0</v>
      </c>
      <c r="AD773" s="272">
        <v>0</v>
      </c>
      <c r="AE773" s="272">
        <f t="shared" si="26"/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/>
      <c r="BF773" s="275"/>
      <c r="BH773" s="277"/>
    </row>
    <row r="774" spans="1:60" ht="16.5" customHeight="1">
      <c r="A774" s="260">
        <v>752</v>
      </c>
      <c r="B774" s="261"/>
      <c r="C774" s="261"/>
      <c r="D774" s="262" t="s">
        <v>15</v>
      </c>
      <c r="E774" s="262" t="s">
        <v>277</v>
      </c>
      <c r="F774" s="263" t="s">
        <v>15</v>
      </c>
      <c r="G774" s="264" t="s">
        <v>277</v>
      </c>
      <c r="H774" s="281"/>
      <c r="I774" s="265"/>
      <c r="J774" s="266" t="s">
        <v>280</v>
      </c>
      <c r="K774" s="262"/>
      <c r="L774" s="262"/>
      <c r="M774" s="262">
        <v>23370</v>
      </c>
      <c r="N774" s="262" t="s">
        <v>17</v>
      </c>
      <c r="O774" s="262" t="s">
        <v>212</v>
      </c>
      <c r="P774" s="262" t="s">
        <v>57</v>
      </c>
      <c r="Q774" s="262" t="s">
        <v>54</v>
      </c>
      <c r="R774" s="262" t="s">
        <v>467</v>
      </c>
      <c r="S774" s="267" t="s">
        <v>829</v>
      </c>
      <c r="T774" s="268"/>
      <c r="U774" s="269">
        <v>48000000</v>
      </c>
      <c r="V774" s="269">
        <v>48000000</v>
      </c>
      <c r="W774" s="278">
        <v>0</v>
      </c>
      <c r="X774" s="270"/>
      <c r="Y774" s="262" t="s">
        <v>27</v>
      </c>
      <c r="Z774" s="271" t="s">
        <v>27</v>
      </c>
      <c r="AA774" s="287"/>
      <c r="AB774" s="287"/>
      <c r="AC774" s="272">
        <f t="shared" si="25"/>
        <v>52037500</v>
      </c>
      <c r="AD774" s="272">
        <v>52037500</v>
      </c>
      <c r="AE774" s="272">
        <f t="shared" si="26"/>
        <v>0</v>
      </c>
      <c r="AF774" s="273">
        <v>4000000</v>
      </c>
      <c r="AG774" s="274">
        <v>4000000</v>
      </c>
      <c r="AH774" s="273"/>
      <c r="AI774" s="273">
        <v>4000000</v>
      </c>
      <c r="AJ774" s="274">
        <v>8037500</v>
      </c>
      <c r="AK774" s="273"/>
      <c r="AL774" s="275">
        <v>4000000</v>
      </c>
      <c r="AM774" s="290">
        <v>4000000</v>
      </c>
      <c r="AN774" s="275"/>
      <c r="AO774" s="276">
        <v>4000000</v>
      </c>
      <c r="AP774" s="275"/>
      <c r="AQ774" s="275">
        <v>4000000</v>
      </c>
      <c r="AR774" s="275"/>
      <c r="AS774" s="275">
        <v>4000000</v>
      </c>
      <c r="AT774" s="275"/>
      <c r="AU774" s="275">
        <v>4000000</v>
      </c>
      <c r="AV774" s="275"/>
      <c r="AW774" s="275">
        <v>4000000</v>
      </c>
      <c r="AX774" s="275"/>
      <c r="AY774" s="275">
        <v>4000000</v>
      </c>
      <c r="AZ774" s="275"/>
      <c r="BA774" s="275">
        <v>4000000</v>
      </c>
      <c r="BB774" s="275"/>
      <c r="BC774" s="275">
        <v>4000000</v>
      </c>
      <c r="BD774" s="275"/>
      <c r="BE774" s="275">
        <v>4000000</v>
      </c>
      <c r="BF774" s="275"/>
      <c r="BH774" s="277"/>
    </row>
    <row r="775" spans="1:60" ht="16.5" customHeight="1">
      <c r="A775" s="260">
        <v>753</v>
      </c>
      <c r="B775" s="261"/>
      <c r="C775" s="261"/>
      <c r="D775" s="262" t="s">
        <v>15</v>
      </c>
      <c r="E775" s="262" t="s">
        <v>277</v>
      </c>
      <c r="F775" s="263" t="s">
        <v>15</v>
      </c>
      <c r="G775" s="264" t="s">
        <v>277</v>
      </c>
      <c r="H775" s="281"/>
      <c r="I775" s="265"/>
      <c r="J775" s="266" t="s">
        <v>281</v>
      </c>
      <c r="K775" s="262"/>
      <c r="L775" s="262"/>
      <c r="M775" s="262">
        <v>23370</v>
      </c>
      <c r="N775" s="262" t="s">
        <v>17</v>
      </c>
      <c r="O775" s="262" t="s">
        <v>212</v>
      </c>
      <c r="P775" s="262"/>
      <c r="Q775" s="262" t="s">
        <v>18</v>
      </c>
      <c r="R775" s="262" t="s">
        <v>19</v>
      </c>
      <c r="S775" s="267" t="s">
        <v>19</v>
      </c>
      <c r="T775" s="268"/>
      <c r="U775" s="269">
        <v>8222500</v>
      </c>
      <c r="V775" s="269">
        <v>5665800</v>
      </c>
      <c r="W775" s="278">
        <v>5712000</v>
      </c>
      <c r="X775" s="270"/>
      <c r="Y775" s="262" t="s">
        <v>27</v>
      </c>
      <c r="Z775" s="271" t="s">
        <v>24</v>
      </c>
      <c r="AA775" s="287"/>
      <c r="AB775" s="287"/>
      <c r="AC775" s="272">
        <f t="shared" si="25"/>
        <v>6000000</v>
      </c>
      <c r="AD775" s="272">
        <v>6000000</v>
      </c>
      <c r="AE775" s="272">
        <f t="shared" si="26"/>
        <v>0</v>
      </c>
      <c r="AF775" s="273"/>
      <c r="AG775" s="274"/>
      <c r="AH775" s="273"/>
      <c r="AI775" s="273"/>
      <c r="AJ775" s="274"/>
      <c r="AK775" s="273"/>
      <c r="AL775" s="275"/>
      <c r="AM775" s="290"/>
      <c r="AN775" s="275"/>
      <c r="AO775" s="276"/>
      <c r="AP775" s="275"/>
      <c r="AQ775" s="275">
        <v>6000000</v>
      </c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H775" s="277"/>
    </row>
    <row r="776" spans="1:60" ht="16.5" customHeight="1">
      <c r="A776" s="260">
        <v>754</v>
      </c>
      <c r="B776" s="261"/>
      <c r="C776" s="261"/>
      <c r="D776" s="262" t="s">
        <v>15</v>
      </c>
      <c r="E776" s="262" t="s">
        <v>277</v>
      </c>
      <c r="F776" s="263" t="s">
        <v>15</v>
      </c>
      <c r="G776" s="264" t="s">
        <v>277</v>
      </c>
      <c r="H776" s="281"/>
      <c r="I776" s="265"/>
      <c r="J776" s="266" t="s">
        <v>282</v>
      </c>
      <c r="K776" s="262"/>
      <c r="L776" s="262"/>
      <c r="M776" s="262">
        <v>22337</v>
      </c>
      <c r="N776" s="262" t="s">
        <v>32</v>
      </c>
      <c r="O776" s="262" t="s">
        <v>178</v>
      </c>
      <c r="P776" s="262"/>
      <c r="Q776" s="262" t="s">
        <v>63</v>
      </c>
      <c r="R776" s="262" t="s">
        <v>28</v>
      </c>
      <c r="S776" s="267" t="s">
        <v>28</v>
      </c>
      <c r="T776" s="268"/>
      <c r="U776" s="269">
        <v>186687110</v>
      </c>
      <c r="V776" s="269">
        <v>89138700</v>
      </c>
      <c r="W776" s="278">
        <v>0</v>
      </c>
      <c r="X776" s="270"/>
      <c r="Y776" s="262" t="s">
        <v>74</v>
      </c>
      <c r="Z776" s="271" t="s">
        <v>27</v>
      </c>
      <c r="AA776" s="287"/>
      <c r="AB776" s="287"/>
      <c r="AC776" s="272">
        <f t="shared" si="25"/>
        <v>90000000</v>
      </c>
      <c r="AD776" s="272">
        <v>90000000</v>
      </c>
      <c r="AE776" s="272">
        <f t="shared" si="26"/>
        <v>0</v>
      </c>
      <c r="AF776" s="273"/>
      <c r="AG776" s="274"/>
      <c r="AH776" s="273"/>
      <c r="AI776" s="273">
        <v>10000000</v>
      </c>
      <c r="AJ776" s="274"/>
      <c r="AK776" s="273"/>
      <c r="AL776" s="275">
        <v>10000000</v>
      </c>
      <c r="AM776" s="290"/>
      <c r="AN776" s="275"/>
      <c r="AO776" s="276">
        <v>0</v>
      </c>
      <c r="AP776" s="275"/>
      <c r="AQ776" s="275">
        <v>30000000</v>
      </c>
      <c r="AR776" s="275"/>
      <c r="AS776" s="275">
        <v>10000000</v>
      </c>
      <c r="AT776" s="275"/>
      <c r="AU776" s="275">
        <v>10000000</v>
      </c>
      <c r="AV776" s="275"/>
      <c r="AW776" s="275">
        <v>10000000</v>
      </c>
      <c r="AX776" s="275"/>
      <c r="AY776" s="275">
        <v>10000000</v>
      </c>
      <c r="AZ776" s="275"/>
      <c r="BA776" s="275">
        <v>10000000</v>
      </c>
      <c r="BB776" s="275"/>
      <c r="BC776" s="275">
        <v>10000000</v>
      </c>
      <c r="BD776" s="275"/>
      <c r="BE776" s="275"/>
      <c r="BF776" s="275"/>
      <c r="BH776" s="277"/>
    </row>
    <row r="777" spans="1:60" ht="16.5" customHeight="1">
      <c r="A777" s="260">
        <v>755</v>
      </c>
      <c r="B777" s="261"/>
      <c r="C777" s="261"/>
      <c r="D777" s="262" t="s">
        <v>15</v>
      </c>
      <c r="E777" s="262" t="s">
        <v>277</v>
      </c>
      <c r="F777" s="263" t="s">
        <v>15</v>
      </c>
      <c r="G777" s="264" t="s">
        <v>277</v>
      </c>
      <c r="H777" s="281"/>
      <c r="I777" s="265"/>
      <c r="J777" s="266" t="s">
        <v>282</v>
      </c>
      <c r="K777" s="262"/>
      <c r="L777" s="262"/>
      <c r="M777" s="262">
        <v>22337</v>
      </c>
      <c r="N777" s="262" t="s">
        <v>32</v>
      </c>
      <c r="O777" s="262" t="s">
        <v>56</v>
      </c>
      <c r="P777" s="262"/>
      <c r="Q777" s="262" t="s">
        <v>18</v>
      </c>
      <c r="R777" s="262" t="s">
        <v>19</v>
      </c>
      <c r="S777" s="267" t="s">
        <v>19</v>
      </c>
      <c r="T777" s="268"/>
      <c r="U777" s="269"/>
      <c r="V777" s="269">
        <v>19899250</v>
      </c>
      <c r="W777" s="278">
        <v>0</v>
      </c>
      <c r="X777" s="270"/>
      <c r="Y777" s="262" t="s">
        <v>74</v>
      </c>
      <c r="Z777" s="271" t="s">
        <v>20</v>
      </c>
      <c r="AA777" s="287"/>
      <c r="AB777" s="287"/>
      <c r="AC777" s="272">
        <f t="shared" si="25"/>
        <v>0</v>
      </c>
      <c r="AD777" s="272">
        <v>0</v>
      </c>
      <c r="AE777" s="272">
        <f t="shared" si="26"/>
        <v>0</v>
      </c>
      <c r="AF777" s="273"/>
      <c r="AG777" s="274"/>
      <c r="AH777" s="273"/>
      <c r="AI777" s="273"/>
      <c r="AJ777" s="274"/>
      <c r="AK777" s="273"/>
      <c r="AL777" s="275"/>
      <c r="AM777" s="290"/>
      <c r="AN777" s="275"/>
      <c r="AO777" s="276"/>
      <c r="AP777" s="275"/>
      <c r="AQ777" s="275"/>
      <c r="AR777" s="275"/>
      <c r="AS777" s="275"/>
      <c r="AT777" s="275"/>
      <c r="AU777" s="275"/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customHeight="1">
      <c r="A778" s="260">
        <v>756</v>
      </c>
      <c r="B778" s="261"/>
      <c r="C778" s="261"/>
      <c r="D778" s="262" t="s">
        <v>15</v>
      </c>
      <c r="E778" s="262" t="s">
        <v>277</v>
      </c>
      <c r="F778" s="263" t="s">
        <v>15</v>
      </c>
      <c r="G778" s="264" t="s">
        <v>277</v>
      </c>
      <c r="H778" s="281"/>
      <c r="I778" s="265"/>
      <c r="J778" s="266" t="s">
        <v>663</v>
      </c>
      <c r="K778" s="262"/>
      <c r="L778" s="262"/>
      <c r="M778" s="262">
        <v>63346</v>
      </c>
      <c r="N778" s="262" t="s">
        <v>22</v>
      </c>
      <c r="O778" s="262" t="s">
        <v>56</v>
      </c>
      <c r="P778" s="262"/>
      <c r="Q778" s="262"/>
      <c r="R778" s="262" t="s">
        <v>678</v>
      </c>
      <c r="S778" s="267" t="s">
        <v>832</v>
      </c>
      <c r="T778" s="268"/>
      <c r="U778" s="269"/>
      <c r="V778" s="269"/>
      <c r="W778" s="278">
        <v>3600000</v>
      </c>
      <c r="X778" s="270"/>
      <c r="Y778" s="262" t="s">
        <v>27</v>
      </c>
      <c r="Z778" s="271" t="s">
        <v>24</v>
      </c>
      <c r="AA778" s="287"/>
      <c r="AB778" s="287"/>
      <c r="AC778" s="272">
        <f t="shared" si="25"/>
        <v>3600000</v>
      </c>
      <c r="AD778" s="272">
        <v>3600000</v>
      </c>
      <c r="AE778" s="272">
        <f t="shared" si="26"/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>
        <v>3600000</v>
      </c>
      <c r="AR778" s="275"/>
      <c r="AS778" s="275"/>
      <c r="AT778" s="275"/>
      <c r="AU778" s="275"/>
      <c r="AV778" s="275"/>
      <c r="AW778" s="275"/>
      <c r="AX778" s="275"/>
      <c r="AY778" s="275"/>
      <c r="AZ778" s="275"/>
      <c r="BA778" s="275"/>
      <c r="BB778" s="275"/>
      <c r="BC778" s="275"/>
      <c r="BD778" s="275"/>
      <c r="BE778" s="275"/>
      <c r="BF778" s="275"/>
      <c r="BH778" s="277"/>
    </row>
    <row r="779" spans="1:60" ht="16.5" customHeight="1">
      <c r="A779" s="260">
        <v>757</v>
      </c>
      <c r="B779" s="261"/>
      <c r="C779" s="261"/>
      <c r="D779" s="262" t="s">
        <v>15</v>
      </c>
      <c r="E779" s="262" t="s">
        <v>277</v>
      </c>
      <c r="F779" s="263" t="s">
        <v>15</v>
      </c>
      <c r="G779" s="264" t="s">
        <v>277</v>
      </c>
      <c r="H779" s="281"/>
      <c r="I779" s="265"/>
      <c r="J779" s="266" t="s">
        <v>283</v>
      </c>
      <c r="K779" s="262"/>
      <c r="L779" s="262"/>
      <c r="M779" s="262">
        <v>3782</v>
      </c>
      <c r="N779" s="262" t="s">
        <v>22</v>
      </c>
      <c r="O779" s="262" t="s">
        <v>56</v>
      </c>
      <c r="P779" s="262"/>
      <c r="Q779" s="262" t="s">
        <v>26</v>
      </c>
      <c r="R779" s="262" t="s">
        <v>468</v>
      </c>
      <c r="S779" s="267" t="s">
        <v>468</v>
      </c>
      <c r="T779" s="268"/>
      <c r="U779" s="269"/>
      <c r="V779" s="269">
        <v>2225000</v>
      </c>
      <c r="W779" s="278">
        <v>1975000</v>
      </c>
      <c r="X779" s="270"/>
      <c r="Y779" s="262" t="s">
        <v>25</v>
      </c>
      <c r="Z779" s="271" t="s">
        <v>25</v>
      </c>
      <c r="AA779" s="287"/>
      <c r="AB779" s="287"/>
      <c r="AC779" s="272">
        <f t="shared" si="25"/>
        <v>10000000</v>
      </c>
      <c r="AD779" s="272">
        <v>10000000</v>
      </c>
      <c r="AE779" s="272">
        <f t="shared" si="26"/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>
        <v>7000000</v>
      </c>
      <c r="AR779" s="275"/>
      <c r="AS779" s="275">
        <v>3000000</v>
      </c>
      <c r="AT779" s="275"/>
      <c r="AU779" s="275"/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H779" s="277"/>
    </row>
    <row r="780" spans="1:60" ht="16.5" customHeight="1">
      <c r="A780" s="260">
        <v>758</v>
      </c>
      <c r="B780" s="261"/>
      <c r="C780" s="261"/>
      <c r="D780" s="262" t="s">
        <v>15</v>
      </c>
      <c r="E780" s="262" t="s">
        <v>277</v>
      </c>
      <c r="F780" s="263" t="s">
        <v>15</v>
      </c>
      <c r="G780" s="264" t="s">
        <v>277</v>
      </c>
      <c r="H780" s="281"/>
      <c r="I780" s="265"/>
      <c r="J780" s="266" t="s">
        <v>283</v>
      </c>
      <c r="K780" s="262"/>
      <c r="L780" s="262"/>
      <c r="M780" s="262">
        <v>3782</v>
      </c>
      <c r="N780" s="262" t="s">
        <v>22</v>
      </c>
      <c r="O780" s="262" t="s">
        <v>35</v>
      </c>
      <c r="P780" s="262"/>
      <c r="Q780" s="262"/>
      <c r="R780" s="262"/>
      <c r="S780" s="267" t="s">
        <v>822</v>
      </c>
      <c r="T780" s="268"/>
      <c r="U780" s="269"/>
      <c r="V780" s="269"/>
      <c r="W780" s="278">
        <v>0</v>
      </c>
      <c r="X780" s="270"/>
      <c r="Y780" s="262"/>
      <c r="Z780" s="271" t="s">
        <v>25</v>
      </c>
      <c r="AA780" s="287"/>
      <c r="AB780" s="287"/>
      <c r="AC780" s="272">
        <f t="shared" si="25"/>
        <v>10000000</v>
      </c>
      <c r="AD780" s="272">
        <v>10000000</v>
      </c>
      <c r="AE780" s="272">
        <f t="shared" si="26"/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75"/>
      <c r="AR780" s="275"/>
      <c r="AS780" s="275">
        <v>10000000</v>
      </c>
      <c r="AT780" s="275"/>
      <c r="AU780" s="275"/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H780" s="277"/>
    </row>
    <row r="781" spans="1:60" ht="16.5" customHeight="1">
      <c r="A781" s="260">
        <v>759</v>
      </c>
      <c r="B781" s="261"/>
      <c r="C781" s="261"/>
      <c r="D781" s="262" t="s">
        <v>15</v>
      </c>
      <c r="E781" s="262" t="s">
        <v>277</v>
      </c>
      <c r="F781" s="263" t="s">
        <v>15</v>
      </c>
      <c r="G781" s="264" t="s">
        <v>277</v>
      </c>
      <c r="H781" s="281"/>
      <c r="I781" s="265"/>
      <c r="J781" s="266" t="s">
        <v>284</v>
      </c>
      <c r="K781" s="262"/>
      <c r="L781" s="262"/>
      <c r="M781" s="262">
        <v>62487</v>
      </c>
      <c r="N781" s="262" t="s">
        <v>32</v>
      </c>
      <c r="O781" s="262" t="s">
        <v>212</v>
      </c>
      <c r="P781" s="262"/>
      <c r="Q781" s="262" t="s">
        <v>18</v>
      </c>
      <c r="R781" s="262" t="s">
        <v>28</v>
      </c>
      <c r="S781" s="267" t="s">
        <v>28</v>
      </c>
      <c r="T781" s="268" t="s">
        <v>951</v>
      </c>
      <c r="U781" s="269"/>
      <c r="V781" s="269">
        <v>0</v>
      </c>
      <c r="W781" s="278">
        <v>206383740</v>
      </c>
      <c r="X781" s="270"/>
      <c r="Y781" s="262" t="s">
        <v>27</v>
      </c>
      <c r="Z781" s="271" t="s">
        <v>27</v>
      </c>
      <c r="AA781" s="287"/>
      <c r="AB781" s="287"/>
      <c r="AC781" s="272">
        <f t="shared" si="25"/>
        <v>206949080</v>
      </c>
      <c r="AD781" s="272">
        <v>206949080</v>
      </c>
      <c r="AE781" s="272">
        <f t="shared" si="26"/>
        <v>0</v>
      </c>
      <c r="AF781" s="273">
        <v>17973140</v>
      </c>
      <c r="AG781" s="274">
        <v>17973140</v>
      </c>
      <c r="AH781" s="273"/>
      <c r="AI781" s="273">
        <v>16000000</v>
      </c>
      <c r="AJ781" s="274">
        <v>33763890</v>
      </c>
      <c r="AK781" s="273"/>
      <c r="AL781" s="275">
        <v>16000000</v>
      </c>
      <c r="AM781" s="290">
        <v>18171400</v>
      </c>
      <c r="AN781" s="275"/>
      <c r="AO781" s="276">
        <v>16000000</v>
      </c>
      <c r="AP781" s="275"/>
      <c r="AQ781" s="275">
        <v>16000000</v>
      </c>
      <c r="AR781" s="275"/>
      <c r="AS781" s="275">
        <v>16000000</v>
      </c>
      <c r="AT781" s="275"/>
      <c r="AU781" s="275">
        <v>16000000</v>
      </c>
      <c r="AV781" s="275"/>
      <c r="AW781" s="275">
        <v>16000000</v>
      </c>
      <c r="AX781" s="275"/>
      <c r="AY781" s="275">
        <v>18804540</v>
      </c>
      <c r="AZ781" s="275"/>
      <c r="BA781" s="275">
        <v>16000000</v>
      </c>
      <c r="BB781" s="275"/>
      <c r="BC781" s="275">
        <v>12236110</v>
      </c>
      <c r="BD781" s="275"/>
      <c r="BE781" s="275">
        <v>10000000</v>
      </c>
      <c r="BF781" s="275"/>
      <c r="BH781" s="277"/>
    </row>
    <row r="782" spans="1:60" ht="16.5" customHeight="1">
      <c r="A782" s="260">
        <v>760</v>
      </c>
      <c r="B782" s="261"/>
      <c r="C782" s="261"/>
      <c r="D782" s="262" t="s">
        <v>15</v>
      </c>
      <c r="E782" s="262" t="s">
        <v>277</v>
      </c>
      <c r="F782" s="263" t="s">
        <v>15</v>
      </c>
      <c r="G782" s="264" t="s">
        <v>277</v>
      </c>
      <c r="H782" s="281"/>
      <c r="I782" s="265"/>
      <c r="J782" s="266" t="s">
        <v>284</v>
      </c>
      <c r="K782" s="262"/>
      <c r="L782" s="262"/>
      <c r="M782" s="262">
        <v>7668</v>
      </c>
      <c r="N782" s="262" t="s">
        <v>32</v>
      </c>
      <c r="O782" s="262" t="s">
        <v>35</v>
      </c>
      <c r="P782" s="262"/>
      <c r="Q782" s="262" t="s">
        <v>18</v>
      </c>
      <c r="R782" s="262" t="s">
        <v>19</v>
      </c>
      <c r="S782" s="267" t="s">
        <v>19</v>
      </c>
      <c r="T782" s="268"/>
      <c r="U782" s="269"/>
      <c r="V782" s="269">
        <v>0</v>
      </c>
      <c r="W782" s="278">
        <v>0</v>
      </c>
      <c r="X782" s="270"/>
      <c r="Y782" s="262" t="s">
        <v>24</v>
      </c>
      <c r="Z782" s="271" t="s">
        <v>562</v>
      </c>
      <c r="AA782" s="287"/>
      <c r="AB782" s="287"/>
      <c r="AC782" s="272">
        <f t="shared" si="25"/>
        <v>0</v>
      </c>
      <c r="AD782" s="272">
        <v>0</v>
      </c>
      <c r="AE782" s="272">
        <f t="shared" si="26"/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75"/>
      <c r="AR782" s="275"/>
      <c r="AS782" s="275"/>
      <c r="AT782" s="275"/>
      <c r="AU782" s="275"/>
      <c r="AV782" s="275"/>
      <c r="AW782" s="275"/>
      <c r="AX782" s="275"/>
      <c r="AY782" s="275"/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customHeight="1">
      <c r="A783" s="260">
        <v>761</v>
      </c>
      <c r="B783" s="261"/>
      <c r="C783" s="261"/>
      <c r="D783" s="262" t="s">
        <v>15</v>
      </c>
      <c r="E783" s="262" t="s">
        <v>277</v>
      </c>
      <c r="F783" s="263" t="s">
        <v>15</v>
      </c>
      <c r="G783" s="264" t="s">
        <v>277</v>
      </c>
      <c r="H783" s="281"/>
      <c r="I783" s="265"/>
      <c r="J783" s="266" t="s">
        <v>284</v>
      </c>
      <c r="K783" s="262"/>
      <c r="L783" s="262"/>
      <c r="M783" s="262">
        <v>7668</v>
      </c>
      <c r="N783" s="262" t="s">
        <v>32</v>
      </c>
      <c r="O783" s="262" t="s">
        <v>56</v>
      </c>
      <c r="P783" s="262"/>
      <c r="Q783" s="262" t="s">
        <v>26</v>
      </c>
      <c r="R783" s="262" t="s">
        <v>468</v>
      </c>
      <c r="S783" s="267" t="s">
        <v>468</v>
      </c>
      <c r="T783" s="268"/>
      <c r="U783" s="269"/>
      <c r="V783" s="269">
        <v>390000</v>
      </c>
      <c r="W783" s="278">
        <v>0</v>
      </c>
      <c r="X783" s="270"/>
      <c r="Y783" s="262" t="s">
        <v>24</v>
      </c>
      <c r="Z783" s="271" t="s">
        <v>24</v>
      </c>
      <c r="AA783" s="287"/>
      <c r="AB783" s="287"/>
      <c r="AC783" s="272">
        <f t="shared" si="25"/>
        <v>5000000</v>
      </c>
      <c r="AD783" s="272">
        <v>5000000</v>
      </c>
      <c r="AE783" s="272">
        <f t="shared" si="26"/>
        <v>0</v>
      </c>
      <c r="AF783" s="273"/>
      <c r="AG783" s="274"/>
      <c r="AH783" s="273"/>
      <c r="AI783" s="273"/>
      <c r="AJ783" s="274"/>
      <c r="AK783" s="273"/>
      <c r="AL783" s="275"/>
      <c r="AM783" s="290"/>
      <c r="AN783" s="275"/>
      <c r="AO783" s="276"/>
      <c r="AP783" s="275"/>
      <c r="AQ783" s="275"/>
      <c r="AR783" s="275"/>
      <c r="AS783" s="275">
        <v>5000000</v>
      </c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customHeight="1">
      <c r="A784" s="260">
        <v>762</v>
      </c>
      <c r="B784" s="261"/>
      <c r="C784" s="261"/>
      <c r="D784" s="262" t="s">
        <v>15</v>
      </c>
      <c r="E784" s="262" t="s">
        <v>277</v>
      </c>
      <c r="F784" s="263" t="s">
        <v>15</v>
      </c>
      <c r="G784" s="264" t="s">
        <v>277</v>
      </c>
      <c r="H784" s="281"/>
      <c r="I784" s="265"/>
      <c r="J784" s="266" t="s">
        <v>284</v>
      </c>
      <c r="K784" s="262"/>
      <c r="L784" s="262"/>
      <c r="M784" s="262">
        <v>7668</v>
      </c>
      <c r="N784" s="262" t="s">
        <v>32</v>
      </c>
      <c r="O784" s="262" t="s">
        <v>35</v>
      </c>
      <c r="P784" s="262"/>
      <c r="Q784" s="262" t="s">
        <v>23</v>
      </c>
      <c r="R784" s="262" t="s">
        <v>397</v>
      </c>
      <c r="S784" s="267" t="s">
        <v>823</v>
      </c>
      <c r="T784" s="268"/>
      <c r="U784" s="269"/>
      <c r="V784" s="269">
        <v>0</v>
      </c>
      <c r="W784" s="278">
        <v>0</v>
      </c>
      <c r="X784" s="270"/>
      <c r="Y784" s="262" t="s">
        <v>74</v>
      </c>
      <c r="Z784" s="271" t="s">
        <v>20</v>
      </c>
      <c r="AA784" s="287"/>
      <c r="AB784" s="287"/>
      <c r="AC784" s="272">
        <f t="shared" si="25"/>
        <v>0</v>
      </c>
      <c r="AD784" s="272">
        <v>0</v>
      </c>
      <c r="AE784" s="272">
        <f t="shared" si="26"/>
        <v>0</v>
      </c>
      <c r="AF784" s="273"/>
      <c r="AG784" s="274"/>
      <c r="AH784" s="273"/>
      <c r="AI784" s="273"/>
      <c r="AJ784" s="274"/>
      <c r="AK784" s="273"/>
      <c r="AL784" s="275"/>
      <c r="AM784" s="290"/>
      <c r="AN784" s="275"/>
      <c r="AO784" s="276"/>
      <c r="AP784" s="275"/>
      <c r="AQ784" s="275"/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customHeight="1">
      <c r="A785" s="260">
        <v>763</v>
      </c>
      <c r="B785" s="261"/>
      <c r="C785" s="261"/>
      <c r="D785" s="262" t="s">
        <v>15</v>
      </c>
      <c r="E785" s="262" t="s">
        <v>277</v>
      </c>
      <c r="F785" s="263" t="s">
        <v>15</v>
      </c>
      <c r="G785" s="264" t="s">
        <v>277</v>
      </c>
      <c r="H785" s="281"/>
      <c r="I785" s="265"/>
      <c r="J785" s="266" t="s">
        <v>285</v>
      </c>
      <c r="K785" s="262"/>
      <c r="L785" s="262"/>
      <c r="M785" s="262">
        <v>6661</v>
      </c>
      <c r="N785" s="262" t="s">
        <v>32</v>
      </c>
      <c r="O785" s="262" t="s">
        <v>56</v>
      </c>
      <c r="P785" s="262"/>
      <c r="Q785" s="262" t="s">
        <v>63</v>
      </c>
      <c r="R785" s="262" t="s">
        <v>28</v>
      </c>
      <c r="S785" s="267" t="s">
        <v>28</v>
      </c>
      <c r="T785" s="268"/>
      <c r="U785" s="269">
        <v>100000000</v>
      </c>
      <c r="V785" s="269">
        <v>90000000</v>
      </c>
      <c r="W785" s="278">
        <v>97500000</v>
      </c>
      <c r="X785" s="270"/>
      <c r="Y785" s="262" t="s">
        <v>27</v>
      </c>
      <c r="Z785" s="271" t="s">
        <v>27</v>
      </c>
      <c r="AA785" s="287"/>
      <c r="AB785" s="287"/>
      <c r="AC785" s="272">
        <f t="shared" si="25"/>
        <v>107000000</v>
      </c>
      <c r="AD785" s="272">
        <v>107000000</v>
      </c>
      <c r="AE785" s="272">
        <f t="shared" si="26"/>
        <v>0</v>
      </c>
      <c r="AF785" s="273"/>
      <c r="AG785" s="274"/>
      <c r="AH785" s="273"/>
      <c r="AI785" s="273"/>
      <c r="AJ785" s="274"/>
      <c r="AK785" s="273"/>
      <c r="AL785" s="275">
        <v>77000000</v>
      </c>
      <c r="AM785" s="290"/>
      <c r="AN785" s="275"/>
      <c r="AO785" s="276"/>
      <c r="AP785" s="275"/>
      <c r="AQ785" s="275">
        <v>77000000</v>
      </c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>
        <v>30000000</v>
      </c>
      <c r="BF785" s="275"/>
      <c r="BH785" s="277"/>
    </row>
    <row r="786" spans="1:60" ht="16.5" customHeight="1">
      <c r="A786" s="260">
        <v>764</v>
      </c>
      <c r="B786" s="261"/>
      <c r="C786" s="261"/>
      <c r="D786" s="262" t="s">
        <v>15</v>
      </c>
      <c r="E786" s="262" t="s">
        <v>277</v>
      </c>
      <c r="F786" s="263" t="s">
        <v>15</v>
      </c>
      <c r="G786" s="264" t="s">
        <v>277</v>
      </c>
      <c r="H786" s="281"/>
      <c r="I786" s="265"/>
      <c r="J786" s="266" t="s">
        <v>286</v>
      </c>
      <c r="K786" s="262"/>
      <c r="L786" s="262"/>
      <c r="M786" s="262">
        <v>4888</v>
      </c>
      <c r="N786" s="262" t="s">
        <v>22</v>
      </c>
      <c r="O786" s="262" t="s">
        <v>35</v>
      </c>
      <c r="P786" s="262"/>
      <c r="Q786" s="262"/>
      <c r="R786" s="262" t="s">
        <v>28</v>
      </c>
      <c r="S786" s="267" t="s">
        <v>19</v>
      </c>
      <c r="T786" s="268"/>
      <c r="U786" s="269"/>
      <c r="V786" s="269">
        <v>0</v>
      </c>
      <c r="W786" s="278">
        <v>0</v>
      </c>
      <c r="X786" s="270"/>
      <c r="Y786" s="262" t="s">
        <v>25</v>
      </c>
      <c r="Z786" s="271" t="s">
        <v>25</v>
      </c>
      <c r="AA786" s="287"/>
      <c r="AB786" s="287"/>
      <c r="AC786" s="272">
        <f t="shared" si="25"/>
        <v>5000000</v>
      </c>
      <c r="AD786" s="272">
        <v>5000000</v>
      </c>
      <c r="AE786" s="272">
        <f t="shared" si="26"/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>
        <v>5000000</v>
      </c>
      <c r="AZ786" s="275"/>
      <c r="BA786" s="275"/>
      <c r="BB786" s="275"/>
      <c r="BC786" s="275"/>
      <c r="BD786" s="275"/>
      <c r="BE786" s="275"/>
      <c r="BF786" s="275"/>
      <c r="BH786" s="277"/>
    </row>
    <row r="787" spans="1:60" ht="16.5" customHeight="1">
      <c r="A787" s="260">
        <v>765</v>
      </c>
      <c r="B787" s="261"/>
      <c r="C787" s="261"/>
      <c r="D787" s="262" t="s">
        <v>15</v>
      </c>
      <c r="E787" s="262" t="s">
        <v>277</v>
      </c>
      <c r="F787" s="263" t="s">
        <v>15</v>
      </c>
      <c r="G787" s="264" t="s">
        <v>277</v>
      </c>
      <c r="H787" s="281"/>
      <c r="I787" s="265"/>
      <c r="J787" s="266" t="s">
        <v>286</v>
      </c>
      <c r="K787" s="262"/>
      <c r="L787" s="262"/>
      <c r="M787" s="262">
        <v>4888</v>
      </c>
      <c r="N787" s="262" t="s">
        <v>22</v>
      </c>
      <c r="O787" s="262" t="s">
        <v>212</v>
      </c>
      <c r="P787" s="262"/>
      <c r="Q787" s="262" t="s">
        <v>30</v>
      </c>
      <c r="R787" s="262" t="s">
        <v>31</v>
      </c>
      <c r="S787" s="267" t="s">
        <v>31</v>
      </c>
      <c r="T787" s="268"/>
      <c r="U787" s="269">
        <v>9984000</v>
      </c>
      <c r="V787" s="269">
        <v>12015000</v>
      </c>
      <c r="W787" s="278">
        <v>9982000</v>
      </c>
      <c r="X787" s="270"/>
      <c r="Y787" s="262" t="s">
        <v>27</v>
      </c>
      <c r="Z787" s="271" t="s">
        <v>24</v>
      </c>
      <c r="AA787" s="287"/>
      <c r="AB787" s="287"/>
      <c r="AC787" s="272">
        <f t="shared" si="25"/>
        <v>11000000</v>
      </c>
      <c r="AD787" s="272">
        <v>11000000</v>
      </c>
      <c r="AE787" s="272">
        <f t="shared" si="26"/>
        <v>0</v>
      </c>
      <c r="AF787" s="273"/>
      <c r="AG787" s="274"/>
      <c r="AH787" s="273"/>
      <c r="AI787" s="273"/>
      <c r="AJ787" s="274"/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>
        <v>11000000</v>
      </c>
      <c r="BF787" s="275"/>
      <c r="BH787" s="277"/>
    </row>
    <row r="788" spans="1:60" ht="16.5" customHeight="1">
      <c r="A788" s="260">
        <v>766</v>
      </c>
      <c r="B788" s="261"/>
      <c r="C788" s="261"/>
      <c r="D788" s="262" t="s">
        <v>15</v>
      </c>
      <c r="E788" s="262" t="s">
        <v>277</v>
      </c>
      <c r="F788" s="263" t="s">
        <v>15</v>
      </c>
      <c r="G788" s="264" t="s">
        <v>277</v>
      </c>
      <c r="H788" s="281"/>
      <c r="I788" s="265"/>
      <c r="J788" s="266" t="s">
        <v>286</v>
      </c>
      <c r="K788" s="262"/>
      <c r="L788" s="262"/>
      <c r="M788" s="262">
        <v>4888</v>
      </c>
      <c r="N788" s="262" t="s">
        <v>22</v>
      </c>
      <c r="O788" s="262" t="s">
        <v>35</v>
      </c>
      <c r="P788" s="262"/>
      <c r="Q788" s="262"/>
      <c r="R788" s="262" t="s">
        <v>478</v>
      </c>
      <c r="S788" s="267" t="s">
        <v>478</v>
      </c>
      <c r="T788" s="268"/>
      <c r="U788" s="269"/>
      <c r="V788" s="269">
        <v>0</v>
      </c>
      <c r="W788" s="278">
        <v>0</v>
      </c>
      <c r="X788" s="270"/>
      <c r="Y788" s="262" t="s">
        <v>24</v>
      </c>
      <c r="Z788" s="271" t="s">
        <v>25</v>
      </c>
      <c r="AA788" s="287"/>
      <c r="AB788" s="287"/>
      <c r="AC788" s="272">
        <f t="shared" si="25"/>
        <v>5000000</v>
      </c>
      <c r="AD788" s="272">
        <v>5000000</v>
      </c>
      <c r="AE788" s="272">
        <f t="shared" si="26"/>
        <v>0</v>
      </c>
      <c r="AF788" s="273"/>
      <c r="AG788" s="274"/>
      <c r="AH788" s="273"/>
      <c r="AI788" s="273"/>
      <c r="AJ788" s="274"/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>
        <v>5000000</v>
      </c>
      <c r="BB788" s="275"/>
      <c r="BC788" s="275"/>
      <c r="BD788" s="275"/>
      <c r="BE788" s="275"/>
      <c r="BF788" s="275"/>
      <c r="BH788" s="277"/>
    </row>
    <row r="789" spans="1:60" ht="16.5" customHeight="1">
      <c r="A789" s="260">
        <v>767</v>
      </c>
      <c r="B789" s="261"/>
      <c r="C789" s="261"/>
      <c r="D789" s="262" t="s">
        <v>15</v>
      </c>
      <c r="E789" s="262" t="s">
        <v>277</v>
      </c>
      <c r="F789" s="263" t="s">
        <v>15</v>
      </c>
      <c r="G789" s="264" t="s">
        <v>277</v>
      </c>
      <c r="H789" s="281"/>
      <c r="I789" s="265"/>
      <c r="J789" s="266" t="s">
        <v>286</v>
      </c>
      <c r="K789" s="262"/>
      <c r="L789" s="262"/>
      <c r="M789" s="262">
        <v>4888</v>
      </c>
      <c r="N789" s="262" t="s">
        <v>22</v>
      </c>
      <c r="O789" s="262" t="s">
        <v>35</v>
      </c>
      <c r="P789" s="262"/>
      <c r="Q789" s="262"/>
      <c r="R789" s="262"/>
      <c r="S789" s="267" t="s">
        <v>828</v>
      </c>
      <c r="T789" s="268"/>
      <c r="U789" s="269"/>
      <c r="V789" s="269"/>
      <c r="W789" s="278">
        <v>0</v>
      </c>
      <c r="X789" s="270"/>
      <c r="Y789" s="262"/>
      <c r="Z789" s="271" t="s">
        <v>25</v>
      </c>
      <c r="AA789" s="287"/>
      <c r="AB789" s="287"/>
      <c r="AC789" s="272">
        <f t="shared" si="25"/>
        <v>5000000</v>
      </c>
      <c r="AD789" s="272">
        <v>5000000</v>
      </c>
      <c r="AE789" s="272">
        <f t="shared" si="26"/>
        <v>0</v>
      </c>
      <c r="AF789" s="273"/>
      <c r="AG789" s="274"/>
      <c r="AH789" s="273"/>
      <c r="AI789" s="273"/>
      <c r="AJ789" s="274"/>
      <c r="AK789" s="273"/>
      <c r="AL789" s="275"/>
      <c r="AM789" s="290"/>
      <c r="AN789" s="275"/>
      <c r="AO789" s="276"/>
      <c r="AP789" s="275"/>
      <c r="AQ789" s="275">
        <v>5000000</v>
      </c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customHeight="1">
      <c r="A790" s="260">
        <v>768</v>
      </c>
      <c r="B790" s="261"/>
      <c r="C790" s="261"/>
      <c r="D790" s="262" t="s">
        <v>15</v>
      </c>
      <c r="E790" s="262" t="s">
        <v>277</v>
      </c>
      <c r="F790" s="263" t="s">
        <v>15</v>
      </c>
      <c r="G790" s="264" t="s">
        <v>277</v>
      </c>
      <c r="H790" s="281"/>
      <c r="I790" s="265"/>
      <c r="J790" s="266" t="s">
        <v>287</v>
      </c>
      <c r="K790" s="262"/>
      <c r="L790" s="262"/>
      <c r="M790" s="262">
        <v>24604</v>
      </c>
      <c r="N790" s="262" t="s">
        <v>22</v>
      </c>
      <c r="O790" s="262" t="s">
        <v>35</v>
      </c>
      <c r="P790" s="262"/>
      <c r="Q790" s="262" t="s">
        <v>30</v>
      </c>
      <c r="R790" s="262" t="s">
        <v>31</v>
      </c>
      <c r="S790" s="267" t="s">
        <v>31</v>
      </c>
      <c r="T790" s="268"/>
      <c r="U790" s="269"/>
      <c r="V790" s="269">
        <v>0</v>
      </c>
      <c r="W790" s="278">
        <v>0</v>
      </c>
      <c r="X790" s="270"/>
      <c r="Y790" s="262" t="s">
        <v>25</v>
      </c>
      <c r="Z790" s="271" t="s">
        <v>25</v>
      </c>
      <c r="AA790" s="287"/>
      <c r="AB790" s="287"/>
      <c r="AC790" s="272">
        <f t="shared" si="25"/>
        <v>5000000</v>
      </c>
      <c r="AD790" s="272">
        <v>5000000</v>
      </c>
      <c r="AE790" s="272">
        <f t="shared" si="26"/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/>
      <c r="AP790" s="275"/>
      <c r="AQ790" s="275"/>
      <c r="AR790" s="275"/>
      <c r="AS790" s="275"/>
      <c r="AT790" s="275"/>
      <c r="AU790" s="275"/>
      <c r="AV790" s="275"/>
      <c r="AW790" s="275"/>
      <c r="AX790" s="275"/>
      <c r="AY790" s="275"/>
      <c r="AZ790" s="275"/>
      <c r="BA790" s="275"/>
      <c r="BB790" s="275"/>
      <c r="BC790" s="275">
        <v>5000000</v>
      </c>
      <c r="BD790" s="275"/>
      <c r="BE790" s="275"/>
      <c r="BF790" s="275"/>
      <c r="BH790" s="277"/>
    </row>
    <row r="791" spans="1:60" ht="16.5" customHeight="1">
      <c r="A791" s="260">
        <v>769</v>
      </c>
      <c r="B791" s="261"/>
      <c r="C791" s="261"/>
      <c r="D791" s="262" t="s">
        <v>15</v>
      </c>
      <c r="E791" s="262" t="s">
        <v>277</v>
      </c>
      <c r="F791" s="263" t="s">
        <v>15</v>
      </c>
      <c r="G791" s="264" t="s">
        <v>277</v>
      </c>
      <c r="H791" s="281"/>
      <c r="I791" s="265"/>
      <c r="J791" s="266" t="s">
        <v>287</v>
      </c>
      <c r="K791" s="262"/>
      <c r="L791" s="262"/>
      <c r="M791" s="262">
        <v>24604</v>
      </c>
      <c r="N791" s="262" t="s">
        <v>22</v>
      </c>
      <c r="O791" s="262" t="s">
        <v>35</v>
      </c>
      <c r="P791" s="262"/>
      <c r="Q791" s="262"/>
      <c r="R791" s="262"/>
      <c r="S791" s="267" t="s">
        <v>822</v>
      </c>
      <c r="T791" s="268"/>
      <c r="U791" s="269"/>
      <c r="V791" s="269"/>
      <c r="W791" s="278">
        <v>0</v>
      </c>
      <c r="X791" s="270"/>
      <c r="Y791" s="262"/>
      <c r="Z791" s="271" t="s">
        <v>25</v>
      </c>
      <c r="AA791" s="287"/>
      <c r="AB791" s="287"/>
      <c r="AC791" s="272">
        <f t="shared" ref="AC791:AC854" si="27">AG791+AJ791+AM791+AO791+AQ791+AS791+AU791+AW791+AY791+BA791+BC791+BE791</f>
        <v>5000000</v>
      </c>
      <c r="AD791" s="272">
        <v>5000000</v>
      </c>
      <c r="AE791" s="272">
        <f t="shared" ref="AE791:AE854" si="28">AC791-AD791</f>
        <v>0</v>
      </c>
      <c r="AF791" s="273"/>
      <c r="AG791" s="274"/>
      <c r="AH791" s="273"/>
      <c r="AI791" s="273"/>
      <c r="AJ791" s="274"/>
      <c r="AK791" s="273"/>
      <c r="AL791" s="275"/>
      <c r="AM791" s="290"/>
      <c r="AN791" s="275"/>
      <c r="AO791" s="276"/>
      <c r="AP791" s="275"/>
      <c r="AQ791" s="275"/>
      <c r="AR791" s="275"/>
      <c r="AS791" s="275">
        <v>5000000</v>
      </c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H791" s="277"/>
    </row>
    <row r="792" spans="1:60" ht="16.5" customHeight="1">
      <c r="A792" s="260">
        <v>770</v>
      </c>
      <c r="B792" s="261"/>
      <c r="C792" s="261"/>
      <c r="D792" s="262" t="s">
        <v>15</v>
      </c>
      <c r="E792" s="262" t="s">
        <v>277</v>
      </c>
      <c r="F792" s="263" t="s">
        <v>15</v>
      </c>
      <c r="G792" s="264" t="s">
        <v>277</v>
      </c>
      <c r="H792" s="281"/>
      <c r="I792" s="265"/>
      <c r="J792" s="266" t="s">
        <v>288</v>
      </c>
      <c r="K792" s="262"/>
      <c r="L792" s="262"/>
      <c r="M792" s="262">
        <v>16974</v>
      </c>
      <c r="N792" s="262" t="s">
        <v>22</v>
      </c>
      <c r="O792" s="262" t="s">
        <v>56</v>
      </c>
      <c r="P792" s="262"/>
      <c r="Q792" s="262" t="s">
        <v>18</v>
      </c>
      <c r="R792" s="262" t="s">
        <v>19</v>
      </c>
      <c r="S792" s="267" t="s">
        <v>468</v>
      </c>
      <c r="T792" s="268"/>
      <c r="U792" s="269"/>
      <c r="V792" s="269">
        <v>0</v>
      </c>
      <c r="W792" s="278">
        <v>0</v>
      </c>
      <c r="X792" s="270"/>
      <c r="Y792" s="262" t="s">
        <v>24</v>
      </c>
      <c r="Z792" s="271" t="s">
        <v>25</v>
      </c>
      <c r="AA792" s="287"/>
      <c r="AB792" s="287"/>
      <c r="AC792" s="272">
        <f t="shared" si="27"/>
        <v>1750000</v>
      </c>
      <c r="AD792" s="272">
        <v>1750000</v>
      </c>
      <c r="AE792" s="272">
        <f t="shared" si="28"/>
        <v>0</v>
      </c>
      <c r="AF792" s="273"/>
      <c r="AG792" s="274"/>
      <c r="AH792" s="273"/>
      <c r="AI792" s="273"/>
      <c r="AJ792" s="274"/>
      <c r="AK792" s="273"/>
      <c r="AL792" s="275"/>
      <c r="AM792" s="290"/>
      <c r="AN792" s="275"/>
      <c r="AO792" s="276"/>
      <c r="AP792" s="275"/>
      <c r="AQ792" s="275">
        <v>1750000</v>
      </c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H792" s="277"/>
    </row>
    <row r="793" spans="1:60" ht="16.5" customHeight="1">
      <c r="A793" s="260">
        <v>771</v>
      </c>
      <c r="B793" s="261"/>
      <c r="C793" s="261"/>
      <c r="D793" s="262" t="s">
        <v>15</v>
      </c>
      <c r="E793" s="262" t="s">
        <v>277</v>
      </c>
      <c r="F793" s="263" t="s">
        <v>15</v>
      </c>
      <c r="G793" s="264" t="s">
        <v>277</v>
      </c>
      <c r="H793" s="281"/>
      <c r="I793" s="265"/>
      <c r="J793" s="266" t="s">
        <v>288</v>
      </c>
      <c r="K793" s="262"/>
      <c r="L793" s="262"/>
      <c r="M793" s="262">
        <v>16974</v>
      </c>
      <c r="N793" s="262" t="s">
        <v>22</v>
      </c>
      <c r="O793" s="262" t="s">
        <v>35</v>
      </c>
      <c r="P793" s="262"/>
      <c r="Q793" s="262"/>
      <c r="R793" s="262" t="s">
        <v>478</v>
      </c>
      <c r="S793" s="267" t="s">
        <v>478</v>
      </c>
      <c r="T793" s="268"/>
      <c r="U793" s="269"/>
      <c r="V793" s="269"/>
      <c r="W793" s="278">
        <v>0</v>
      </c>
      <c r="X793" s="270"/>
      <c r="Y793" s="262"/>
      <c r="Z793" s="271" t="s">
        <v>27</v>
      </c>
      <c r="AA793" s="287"/>
      <c r="AB793" s="287"/>
      <c r="AC793" s="272">
        <f t="shared" si="27"/>
        <v>10000000</v>
      </c>
      <c r="AD793" s="272">
        <v>10000000</v>
      </c>
      <c r="AE793" s="272">
        <f t="shared" si="28"/>
        <v>0</v>
      </c>
      <c r="AF793" s="273"/>
      <c r="AG793" s="274"/>
      <c r="AH793" s="273"/>
      <c r="AI793" s="273"/>
      <c r="AJ793" s="274"/>
      <c r="AK793" s="273"/>
      <c r="AL793" s="275"/>
      <c r="AM793" s="290"/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>
        <v>10000000</v>
      </c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customHeight="1">
      <c r="A794" s="260">
        <v>772</v>
      </c>
      <c r="B794" s="261"/>
      <c r="C794" s="261"/>
      <c r="D794" s="262" t="s">
        <v>15</v>
      </c>
      <c r="E794" s="262" t="s">
        <v>277</v>
      </c>
      <c r="F794" s="263" t="s">
        <v>15</v>
      </c>
      <c r="G794" s="264" t="s">
        <v>277</v>
      </c>
      <c r="H794" s="281"/>
      <c r="I794" s="265"/>
      <c r="J794" s="266" t="s">
        <v>288</v>
      </c>
      <c r="K794" s="262"/>
      <c r="L794" s="262"/>
      <c r="M794" s="262">
        <v>16974</v>
      </c>
      <c r="N794" s="262" t="s">
        <v>22</v>
      </c>
      <c r="O794" s="262" t="s">
        <v>35</v>
      </c>
      <c r="P794" s="262"/>
      <c r="Q794" s="262"/>
      <c r="R794" s="262"/>
      <c r="S794" s="267" t="s">
        <v>822</v>
      </c>
      <c r="T794" s="268"/>
      <c r="U794" s="269"/>
      <c r="V794" s="269"/>
      <c r="W794" s="278">
        <v>0</v>
      </c>
      <c r="X794" s="270"/>
      <c r="Y794" s="262"/>
      <c r="Z794" s="271" t="s">
        <v>25</v>
      </c>
      <c r="AA794" s="287"/>
      <c r="AB794" s="287"/>
      <c r="AC794" s="272">
        <f t="shared" si="27"/>
        <v>20000000</v>
      </c>
      <c r="AD794" s="272">
        <v>20000000</v>
      </c>
      <c r="AE794" s="272">
        <f t="shared" si="28"/>
        <v>0</v>
      </c>
      <c r="AF794" s="273"/>
      <c r="AG794" s="274"/>
      <c r="AH794" s="273"/>
      <c r="AI794" s="273"/>
      <c r="AJ794" s="274"/>
      <c r="AK794" s="273"/>
      <c r="AL794" s="275"/>
      <c r="AM794" s="290"/>
      <c r="AN794" s="275"/>
      <c r="AO794" s="276"/>
      <c r="AP794" s="275"/>
      <c r="AQ794" s="275">
        <v>20000000</v>
      </c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customHeight="1">
      <c r="A795" s="260">
        <v>773</v>
      </c>
      <c r="B795" s="261"/>
      <c r="C795" s="261"/>
      <c r="D795" s="262" t="s">
        <v>15</v>
      </c>
      <c r="E795" s="262" t="s">
        <v>277</v>
      </c>
      <c r="F795" s="263" t="s">
        <v>15</v>
      </c>
      <c r="G795" s="264" t="s">
        <v>277</v>
      </c>
      <c r="H795" s="281"/>
      <c r="I795" s="265"/>
      <c r="J795" s="266" t="s">
        <v>288</v>
      </c>
      <c r="K795" s="262"/>
      <c r="L795" s="262"/>
      <c r="M795" s="262">
        <v>16974</v>
      </c>
      <c r="N795" s="262" t="s">
        <v>22</v>
      </c>
      <c r="O795" s="262" t="s">
        <v>56</v>
      </c>
      <c r="P795" s="262"/>
      <c r="Q795" s="262"/>
      <c r="R795" s="262" t="s">
        <v>473</v>
      </c>
      <c r="S795" s="267" t="s">
        <v>828</v>
      </c>
      <c r="T795" s="268"/>
      <c r="U795" s="269"/>
      <c r="V795" s="269">
        <v>20000000</v>
      </c>
      <c r="W795" s="278">
        <v>0</v>
      </c>
      <c r="X795" s="270"/>
      <c r="Y795" s="262" t="s">
        <v>25</v>
      </c>
      <c r="Z795" s="271" t="s">
        <v>25</v>
      </c>
      <c r="AA795" s="287"/>
      <c r="AB795" s="287"/>
      <c r="AC795" s="272">
        <f t="shared" si="27"/>
        <v>20000000</v>
      </c>
      <c r="AD795" s="272">
        <v>20000000</v>
      </c>
      <c r="AE795" s="272">
        <f t="shared" si="28"/>
        <v>0</v>
      </c>
      <c r="AF795" s="273"/>
      <c r="AG795" s="274"/>
      <c r="AH795" s="273"/>
      <c r="AI795" s="273"/>
      <c r="AJ795" s="274"/>
      <c r="AK795" s="273"/>
      <c r="AL795" s="275"/>
      <c r="AM795" s="290"/>
      <c r="AN795" s="275"/>
      <c r="AO795" s="276"/>
      <c r="AP795" s="275"/>
      <c r="AQ795" s="275">
        <v>20000000</v>
      </c>
      <c r="AR795" s="275"/>
      <c r="AS795" s="275"/>
      <c r="AT795" s="275"/>
      <c r="AU795" s="275"/>
      <c r="AV795" s="275"/>
      <c r="AW795" s="275"/>
      <c r="AX795" s="275"/>
      <c r="AY795" s="275"/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customHeight="1">
      <c r="A796" s="260">
        <v>774</v>
      </c>
      <c r="B796" s="261"/>
      <c r="C796" s="261"/>
      <c r="D796" s="262" t="s">
        <v>15</v>
      </c>
      <c r="E796" s="262" t="s">
        <v>277</v>
      </c>
      <c r="F796" s="263" t="s">
        <v>15</v>
      </c>
      <c r="G796" s="264" t="s">
        <v>277</v>
      </c>
      <c r="H796" s="281"/>
      <c r="I796" s="265"/>
      <c r="J796" s="266" t="s">
        <v>587</v>
      </c>
      <c r="K796" s="262"/>
      <c r="L796" s="262"/>
      <c r="M796" s="262">
        <v>30391</v>
      </c>
      <c r="N796" s="262" t="s">
        <v>22</v>
      </c>
      <c r="O796" s="262" t="s">
        <v>212</v>
      </c>
      <c r="P796" s="262"/>
      <c r="Q796" s="262" t="s">
        <v>18</v>
      </c>
      <c r="R796" s="262" t="s">
        <v>28</v>
      </c>
      <c r="S796" s="267" t="s">
        <v>28</v>
      </c>
      <c r="T796" s="268" t="s">
        <v>951</v>
      </c>
      <c r="U796" s="269">
        <v>10142200</v>
      </c>
      <c r="V796" s="269">
        <v>48784440</v>
      </c>
      <c r="W796" s="278">
        <v>40321600</v>
      </c>
      <c r="X796" s="270"/>
      <c r="Y796" s="262" t="s">
        <v>27</v>
      </c>
      <c r="Z796" s="271" t="s">
        <v>27</v>
      </c>
      <c r="AA796" s="287"/>
      <c r="AB796" s="287"/>
      <c r="AC796" s="272">
        <f t="shared" si="27"/>
        <v>50000000</v>
      </c>
      <c r="AD796" s="272">
        <v>50000000</v>
      </c>
      <c r="AE796" s="272">
        <f t="shared" si="28"/>
        <v>0</v>
      </c>
      <c r="AF796" s="273">
        <v>1554000</v>
      </c>
      <c r="AG796" s="274">
        <v>1554000</v>
      </c>
      <c r="AH796" s="273"/>
      <c r="AI796" s="273">
        <v>4000000</v>
      </c>
      <c r="AJ796" s="274">
        <v>985000</v>
      </c>
      <c r="AK796" s="273"/>
      <c r="AL796" s="275">
        <v>4000000</v>
      </c>
      <c r="AM796" s="290">
        <v>1078000</v>
      </c>
      <c r="AN796" s="275"/>
      <c r="AO796" s="276">
        <v>5000000</v>
      </c>
      <c r="AP796" s="275"/>
      <c r="AQ796" s="275">
        <v>5000000</v>
      </c>
      <c r="AR796" s="275"/>
      <c r="AS796" s="275">
        <v>5000000</v>
      </c>
      <c r="AT796" s="275"/>
      <c r="AU796" s="275">
        <v>6961000</v>
      </c>
      <c r="AV796" s="275"/>
      <c r="AW796" s="275">
        <v>4922000</v>
      </c>
      <c r="AX796" s="275"/>
      <c r="AY796" s="275">
        <v>4000000</v>
      </c>
      <c r="AZ796" s="275"/>
      <c r="BA796" s="275">
        <v>4000000</v>
      </c>
      <c r="BB796" s="275"/>
      <c r="BC796" s="275">
        <v>6500000</v>
      </c>
      <c r="BD796" s="275"/>
      <c r="BE796" s="275">
        <v>5000000</v>
      </c>
      <c r="BF796" s="275"/>
      <c r="BH796" s="277"/>
    </row>
    <row r="797" spans="1:60" ht="16.5" customHeight="1">
      <c r="A797" s="260">
        <v>775</v>
      </c>
      <c r="B797" s="261"/>
      <c r="C797" s="261"/>
      <c r="D797" s="262" t="s">
        <v>15</v>
      </c>
      <c r="E797" s="262" t="s">
        <v>277</v>
      </c>
      <c r="F797" s="263" t="s">
        <v>15</v>
      </c>
      <c r="G797" s="264" t="s">
        <v>277</v>
      </c>
      <c r="H797" s="281"/>
      <c r="I797" s="265"/>
      <c r="J797" s="266" t="s">
        <v>587</v>
      </c>
      <c r="K797" s="262"/>
      <c r="L797" s="262"/>
      <c r="M797" s="262">
        <v>30391</v>
      </c>
      <c r="N797" s="262" t="s">
        <v>22</v>
      </c>
      <c r="O797" s="262" t="s">
        <v>212</v>
      </c>
      <c r="P797" s="262"/>
      <c r="Q797" s="262" t="s">
        <v>26</v>
      </c>
      <c r="R797" s="262" t="s">
        <v>468</v>
      </c>
      <c r="S797" s="267" t="s">
        <v>468</v>
      </c>
      <c r="T797" s="268"/>
      <c r="U797" s="269">
        <v>2600000</v>
      </c>
      <c r="V797" s="269">
        <v>2100000</v>
      </c>
      <c r="W797" s="278">
        <v>0</v>
      </c>
      <c r="X797" s="270"/>
      <c r="Y797" s="262" t="s">
        <v>27</v>
      </c>
      <c r="Z797" s="271" t="s">
        <v>25</v>
      </c>
      <c r="AA797" s="287"/>
      <c r="AB797" s="287"/>
      <c r="AC797" s="272">
        <f t="shared" si="27"/>
        <v>10000000</v>
      </c>
      <c r="AD797" s="272">
        <v>10000000</v>
      </c>
      <c r="AE797" s="272">
        <f t="shared" si="28"/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/>
      <c r="AP797" s="275"/>
      <c r="AQ797" s="275">
        <v>5000000</v>
      </c>
      <c r="AR797" s="275"/>
      <c r="AS797" s="275"/>
      <c r="AT797" s="275"/>
      <c r="AU797" s="275">
        <v>5000000</v>
      </c>
      <c r="AV797" s="275"/>
      <c r="AW797" s="275"/>
      <c r="AX797" s="275"/>
      <c r="AY797" s="275"/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customHeight="1">
      <c r="A798" s="260">
        <v>776</v>
      </c>
      <c r="B798" s="261"/>
      <c r="C798" s="261"/>
      <c r="D798" s="262" t="s">
        <v>15</v>
      </c>
      <c r="E798" s="262" t="s">
        <v>277</v>
      </c>
      <c r="F798" s="263" t="s">
        <v>15</v>
      </c>
      <c r="G798" s="264" t="s">
        <v>277</v>
      </c>
      <c r="H798" s="281"/>
      <c r="I798" s="265"/>
      <c r="J798" s="266" t="s">
        <v>587</v>
      </c>
      <c r="K798" s="262"/>
      <c r="L798" s="262"/>
      <c r="M798" s="262">
        <v>30391</v>
      </c>
      <c r="N798" s="262" t="s">
        <v>22</v>
      </c>
      <c r="O798" s="262" t="s">
        <v>35</v>
      </c>
      <c r="P798" s="262"/>
      <c r="Q798" s="262"/>
      <c r="R798" s="262"/>
      <c r="S798" s="267" t="s">
        <v>822</v>
      </c>
      <c r="T798" s="268"/>
      <c r="U798" s="269"/>
      <c r="V798" s="269"/>
      <c r="W798" s="278">
        <v>0</v>
      </c>
      <c r="X798" s="270"/>
      <c r="Y798" s="262"/>
      <c r="Z798" s="271" t="s">
        <v>25</v>
      </c>
      <c r="AA798" s="287"/>
      <c r="AB798" s="287"/>
      <c r="AC798" s="272">
        <f t="shared" si="27"/>
        <v>0</v>
      </c>
      <c r="AD798" s="272">
        <v>0</v>
      </c>
      <c r="AE798" s="272">
        <f t="shared" si="28"/>
        <v>0</v>
      </c>
      <c r="AF798" s="273"/>
      <c r="AG798" s="274"/>
      <c r="AH798" s="273"/>
      <c r="AI798" s="273">
        <v>2000000</v>
      </c>
      <c r="AJ798" s="274"/>
      <c r="AK798" s="273"/>
      <c r="AL798" s="275"/>
      <c r="AM798" s="290"/>
      <c r="AN798" s="275"/>
      <c r="AO798" s="276"/>
      <c r="AP798" s="275"/>
      <c r="AQ798" s="275"/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customHeight="1">
      <c r="A799" s="260">
        <v>777</v>
      </c>
      <c r="B799" s="261"/>
      <c r="C799" s="261"/>
      <c r="D799" s="262" t="s">
        <v>15</v>
      </c>
      <c r="E799" s="262" t="s">
        <v>277</v>
      </c>
      <c r="F799" s="263" t="s">
        <v>15</v>
      </c>
      <c r="G799" s="264" t="s">
        <v>277</v>
      </c>
      <c r="H799" s="281"/>
      <c r="I799" s="265"/>
      <c r="J799" s="266" t="s">
        <v>591</v>
      </c>
      <c r="K799" s="262"/>
      <c r="L799" s="262"/>
      <c r="M799" s="262">
        <v>55586</v>
      </c>
      <c r="N799" s="262" t="s">
        <v>22</v>
      </c>
      <c r="O799" s="262" t="s">
        <v>56</v>
      </c>
      <c r="P799" s="262"/>
      <c r="Q799" s="262" t="s">
        <v>62</v>
      </c>
      <c r="R799" s="262" t="s">
        <v>678</v>
      </c>
      <c r="S799" s="267" t="s">
        <v>832</v>
      </c>
      <c r="T799" s="268"/>
      <c r="U799" s="269">
        <v>16940000</v>
      </c>
      <c r="V799" s="269">
        <v>0</v>
      </c>
      <c r="W799" s="278">
        <v>0</v>
      </c>
      <c r="X799" s="270"/>
      <c r="Y799" s="262" t="s">
        <v>21</v>
      </c>
      <c r="Z799" s="271" t="s">
        <v>21</v>
      </c>
      <c r="AA799" s="287"/>
      <c r="AB799" s="287"/>
      <c r="AC799" s="272">
        <f t="shared" si="27"/>
        <v>0</v>
      </c>
      <c r="AD799" s="272">
        <v>0</v>
      </c>
      <c r="AE799" s="272">
        <f t="shared" si="28"/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/>
      <c r="BF799" s="275"/>
      <c r="BH799" s="277"/>
    </row>
    <row r="800" spans="1:60" ht="16.5" customHeight="1">
      <c r="A800" s="260">
        <v>778</v>
      </c>
      <c r="B800" s="261"/>
      <c r="C800" s="261"/>
      <c r="D800" s="262" t="s">
        <v>15</v>
      </c>
      <c r="E800" s="262" t="s">
        <v>277</v>
      </c>
      <c r="F800" s="263" t="s">
        <v>15</v>
      </c>
      <c r="G800" s="264" t="s">
        <v>277</v>
      </c>
      <c r="H800" s="281"/>
      <c r="I800" s="265"/>
      <c r="J800" s="266" t="s">
        <v>289</v>
      </c>
      <c r="K800" s="262"/>
      <c r="L800" s="262"/>
      <c r="M800" s="262">
        <v>2092</v>
      </c>
      <c r="N800" s="262" t="s">
        <v>32</v>
      </c>
      <c r="O800" s="262" t="s">
        <v>56</v>
      </c>
      <c r="P800" s="262"/>
      <c r="Q800" s="262" t="s">
        <v>18</v>
      </c>
      <c r="R800" s="262" t="s">
        <v>28</v>
      </c>
      <c r="S800" s="267" t="s">
        <v>28</v>
      </c>
      <c r="T800" s="268"/>
      <c r="U800" s="269"/>
      <c r="V800" s="269">
        <v>71355000</v>
      </c>
      <c r="W800" s="278">
        <v>73996000</v>
      </c>
      <c r="X800" s="270"/>
      <c r="Y800" s="262" t="s">
        <v>27</v>
      </c>
      <c r="Z800" s="271" t="s">
        <v>27</v>
      </c>
      <c r="AA800" s="287"/>
      <c r="AB800" s="287"/>
      <c r="AC800" s="272">
        <f t="shared" si="27"/>
        <v>60000000</v>
      </c>
      <c r="AD800" s="272">
        <v>60000000</v>
      </c>
      <c r="AE800" s="272">
        <f t="shared" si="28"/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75"/>
      <c r="AR800" s="275"/>
      <c r="AS800" s="275"/>
      <c r="AT800" s="275"/>
      <c r="AU800" s="275"/>
      <c r="AV800" s="275"/>
      <c r="AW800" s="275">
        <v>40000000</v>
      </c>
      <c r="AX800" s="275"/>
      <c r="AY800" s="275"/>
      <c r="AZ800" s="275"/>
      <c r="BA800" s="275"/>
      <c r="BB800" s="275"/>
      <c r="BC800" s="275"/>
      <c r="BD800" s="275"/>
      <c r="BE800" s="275">
        <v>20000000</v>
      </c>
      <c r="BF800" s="275"/>
      <c r="BH800" s="277"/>
    </row>
    <row r="801" spans="1:60" ht="16.5" customHeight="1">
      <c r="A801" s="260">
        <v>779</v>
      </c>
      <c r="B801" s="261"/>
      <c r="C801" s="261"/>
      <c r="D801" s="262" t="s">
        <v>15</v>
      </c>
      <c r="E801" s="262" t="s">
        <v>277</v>
      </c>
      <c r="F801" s="263" t="s">
        <v>15</v>
      </c>
      <c r="G801" s="264" t="s">
        <v>277</v>
      </c>
      <c r="H801" s="281"/>
      <c r="I801" s="265"/>
      <c r="J801" s="266" t="s">
        <v>289</v>
      </c>
      <c r="K801" s="262"/>
      <c r="L801" s="262"/>
      <c r="M801" s="262">
        <v>2092</v>
      </c>
      <c r="N801" s="262" t="s">
        <v>32</v>
      </c>
      <c r="O801" s="262" t="s">
        <v>56</v>
      </c>
      <c r="P801" s="262"/>
      <c r="Q801" s="262"/>
      <c r="R801" s="262" t="s">
        <v>31</v>
      </c>
      <c r="S801" s="267" t="s">
        <v>31</v>
      </c>
      <c r="T801" s="268"/>
      <c r="U801" s="269"/>
      <c r="V801" s="269">
        <v>0</v>
      </c>
      <c r="W801" s="278">
        <v>15737400</v>
      </c>
      <c r="X801" s="270"/>
      <c r="Y801" s="262" t="s">
        <v>27</v>
      </c>
      <c r="Z801" s="271" t="s">
        <v>562</v>
      </c>
      <c r="AA801" s="287"/>
      <c r="AB801" s="287"/>
      <c r="AC801" s="272">
        <f t="shared" si="27"/>
        <v>16000000</v>
      </c>
      <c r="AD801" s="272">
        <v>16000000</v>
      </c>
      <c r="AE801" s="272">
        <f t="shared" si="28"/>
        <v>0</v>
      </c>
      <c r="AF801" s="273"/>
      <c r="AG801" s="274"/>
      <c r="AH801" s="273"/>
      <c r="AI801" s="273"/>
      <c r="AJ801" s="274"/>
      <c r="AK801" s="273"/>
      <c r="AL801" s="275"/>
      <c r="AM801" s="290"/>
      <c r="AN801" s="275"/>
      <c r="AO801" s="276"/>
      <c r="AP801" s="275"/>
      <c r="AQ801" s="275"/>
      <c r="AR801" s="275"/>
      <c r="AS801" s="275"/>
      <c r="AT801" s="275"/>
      <c r="AU801" s="275"/>
      <c r="AV801" s="275"/>
      <c r="AW801" s="275"/>
      <c r="AX801" s="275"/>
      <c r="AY801" s="275"/>
      <c r="AZ801" s="275"/>
      <c r="BA801" s="275"/>
      <c r="BB801" s="275"/>
      <c r="BC801" s="275"/>
      <c r="BD801" s="275"/>
      <c r="BE801" s="275">
        <v>16000000</v>
      </c>
      <c r="BF801" s="275"/>
      <c r="BH801" s="277"/>
    </row>
    <row r="802" spans="1:60" ht="16.5" customHeight="1">
      <c r="A802" s="260">
        <v>780</v>
      </c>
      <c r="B802" s="261"/>
      <c r="C802" s="261"/>
      <c r="D802" s="262" t="s">
        <v>15</v>
      </c>
      <c r="E802" s="262" t="s">
        <v>277</v>
      </c>
      <c r="F802" s="263" t="s">
        <v>15</v>
      </c>
      <c r="G802" s="264" t="s">
        <v>277</v>
      </c>
      <c r="H802" s="281"/>
      <c r="I802" s="265"/>
      <c r="J802" s="266" t="s">
        <v>290</v>
      </c>
      <c r="K802" s="262"/>
      <c r="L802" s="262"/>
      <c r="M802" s="262">
        <v>23224</v>
      </c>
      <c r="N802" s="262" t="s">
        <v>32</v>
      </c>
      <c r="O802" s="262" t="s">
        <v>56</v>
      </c>
      <c r="P802" s="262" t="s">
        <v>124</v>
      </c>
      <c r="Q802" s="262" t="s">
        <v>23</v>
      </c>
      <c r="R802" s="262" t="s">
        <v>397</v>
      </c>
      <c r="S802" s="267" t="s">
        <v>823</v>
      </c>
      <c r="T802" s="268"/>
      <c r="U802" s="269">
        <v>34890909</v>
      </c>
      <c r="V802" s="269">
        <v>91609091</v>
      </c>
      <c r="W802" s="278">
        <v>0</v>
      </c>
      <c r="X802" s="270"/>
      <c r="Y802" s="262" t="s">
        <v>24</v>
      </c>
      <c r="Z802" s="271" t="s">
        <v>599</v>
      </c>
      <c r="AA802" s="287"/>
      <c r="AB802" s="287"/>
      <c r="AC802" s="272">
        <f t="shared" si="27"/>
        <v>100000000</v>
      </c>
      <c r="AD802" s="272">
        <v>100000000</v>
      </c>
      <c r="AE802" s="272">
        <f t="shared" si="28"/>
        <v>0</v>
      </c>
      <c r="AF802" s="273"/>
      <c r="AG802" s="274"/>
      <c r="AH802" s="273"/>
      <c r="AI802" s="273"/>
      <c r="AJ802" s="274"/>
      <c r="AK802" s="273"/>
      <c r="AL802" s="275"/>
      <c r="AM802" s="290"/>
      <c r="AN802" s="275"/>
      <c r="AO802" s="276"/>
      <c r="AP802" s="275"/>
      <c r="AQ802" s="275"/>
      <c r="AR802" s="275"/>
      <c r="AS802" s="275">
        <v>50000000</v>
      </c>
      <c r="AT802" s="275"/>
      <c r="AU802" s="275">
        <v>50000000</v>
      </c>
      <c r="AV802" s="275"/>
      <c r="AW802" s="275"/>
      <c r="AX802" s="275"/>
      <c r="AY802" s="275"/>
      <c r="AZ802" s="275"/>
      <c r="BA802" s="275"/>
      <c r="BB802" s="275"/>
      <c r="BC802" s="275"/>
      <c r="BD802" s="275"/>
      <c r="BE802" s="275"/>
      <c r="BF802" s="275"/>
      <c r="BH802" s="277"/>
    </row>
    <row r="803" spans="1:60" ht="16.5" customHeight="1">
      <c r="A803" s="260">
        <v>781</v>
      </c>
      <c r="B803" s="261"/>
      <c r="C803" s="261"/>
      <c r="D803" s="262" t="s">
        <v>15</v>
      </c>
      <c r="E803" s="262" t="s">
        <v>277</v>
      </c>
      <c r="F803" s="263" t="s">
        <v>15</v>
      </c>
      <c r="G803" s="264" t="s">
        <v>277</v>
      </c>
      <c r="H803" s="281"/>
      <c r="I803" s="265"/>
      <c r="J803" s="266" t="s">
        <v>584</v>
      </c>
      <c r="K803" s="262"/>
      <c r="L803" s="262"/>
      <c r="M803" s="262">
        <v>2851</v>
      </c>
      <c r="N803" s="262" t="s">
        <v>22</v>
      </c>
      <c r="O803" s="262" t="s">
        <v>212</v>
      </c>
      <c r="P803" s="262" t="s">
        <v>57</v>
      </c>
      <c r="Q803" s="262" t="s">
        <v>63</v>
      </c>
      <c r="R803" s="262" t="s">
        <v>28</v>
      </c>
      <c r="S803" s="267" t="s">
        <v>28</v>
      </c>
      <c r="T803" s="268"/>
      <c r="U803" s="269">
        <v>49544380</v>
      </c>
      <c r="V803" s="269">
        <v>30918900</v>
      </c>
      <c r="W803" s="278">
        <v>13698800</v>
      </c>
      <c r="X803" s="270"/>
      <c r="Y803" s="262" t="s">
        <v>27</v>
      </c>
      <c r="Z803" s="271" t="s">
        <v>25</v>
      </c>
      <c r="AA803" s="287"/>
      <c r="AB803" s="287"/>
      <c r="AC803" s="272">
        <f t="shared" si="27"/>
        <v>12000000</v>
      </c>
      <c r="AD803" s="272">
        <v>12000000</v>
      </c>
      <c r="AE803" s="272">
        <f t="shared" si="28"/>
        <v>0</v>
      </c>
      <c r="AF803" s="273"/>
      <c r="AG803" s="274"/>
      <c r="AH803" s="273"/>
      <c r="AI803" s="273"/>
      <c r="AJ803" s="274"/>
      <c r="AK803" s="273"/>
      <c r="AL803" s="275"/>
      <c r="AM803" s="290"/>
      <c r="AN803" s="275"/>
      <c r="AO803" s="276"/>
      <c r="AP803" s="275"/>
      <c r="AQ803" s="275"/>
      <c r="AR803" s="275"/>
      <c r="AS803" s="275"/>
      <c r="AT803" s="275"/>
      <c r="AU803" s="275">
        <v>2000000</v>
      </c>
      <c r="AV803" s="275"/>
      <c r="AW803" s="275">
        <v>2000000</v>
      </c>
      <c r="AX803" s="275"/>
      <c r="AY803" s="275">
        <v>2000000</v>
      </c>
      <c r="AZ803" s="275"/>
      <c r="BA803" s="275">
        <v>2000000</v>
      </c>
      <c r="BB803" s="275"/>
      <c r="BC803" s="275">
        <v>2000000</v>
      </c>
      <c r="BD803" s="275"/>
      <c r="BE803" s="275">
        <v>2000000</v>
      </c>
      <c r="BF803" s="275"/>
      <c r="BH803" s="277"/>
    </row>
    <row r="804" spans="1:60" ht="16.5" customHeight="1">
      <c r="A804" s="260">
        <v>782</v>
      </c>
      <c r="B804" s="261"/>
      <c r="C804" s="261"/>
      <c r="D804" s="262" t="s">
        <v>15</v>
      </c>
      <c r="E804" s="262" t="s">
        <v>277</v>
      </c>
      <c r="F804" s="263" t="s">
        <v>15</v>
      </c>
      <c r="G804" s="264" t="s">
        <v>277</v>
      </c>
      <c r="H804" s="281"/>
      <c r="I804" s="265"/>
      <c r="J804" s="266" t="s">
        <v>584</v>
      </c>
      <c r="K804" s="262"/>
      <c r="L804" s="262"/>
      <c r="M804" s="262">
        <v>2851</v>
      </c>
      <c r="N804" s="262" t="s">
        <v>22</v>
      </c>
      <c r="O804" s="262" t="s">
        <v>212</v>
      </c>
      <c r="P804" s="262" t="s">
        <v>57</v>
      </c>
      <c r="Q804" s="262" t="s">
        <v>30</v>
      </c>
      <c r="R804" s="262" t="s">
        <v>31</v>
      </c>
      <c r="S804" s="267" t="s">
        <v>31</v>
      </c>
      <c r="T804" s="268"/>
      <c r="U804" s="269"/>
      <c r="V804" s="269">
        <v>19617800</v>
      </c>
      <c r="W804" s="278">
        <v>3695500</v>
      </c>
      <c r="X804" s="270"/>
      <c r="Y804" s="262" t="s">
        <v>27</v>
      </c>
      <c r="Z804" s="271" t="s">
        <v>24</v>
      </c>
      <c r="AA804" s="287"/>
      <c r="AB804" s="287"/>
      <c r="AC804" s="272">
        <f t="shared" si="27"/>
        <v>9000000</v>
      </c>
      <c r="AD804" s="272">
        <v>9000000</v>
      </c>
      <c r="AE804" s="272">
        <f t="shared" si="28"/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/>
      <c r="AR804" s="275"/>
      <c r="AS804" s="275">
        <v>4500000</v>
      </c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/>
      <c r="BD804" s="275"/>
      <c r="BE804" s="275">
        <v>4500000</v>
      </c>
      <c r="BF804" s="275"/>
      <c r="BH804" s="277"/>
    </row>
    <row r="805" spans="1:60" ht="16.5" customHeight="1">
      <c r="A805" s="260">
        <v>783</v>
      </c>
      <c r="B805" s="261"/>
      <c r="C805" s="261"/>
      <c r="D805" s="262" t="s">
        <v>15</v>
      </c>
      <c r="E805" s="262" t="s">
        <v>277</v>
      </c>
      <c r="F805" s="263" t="s">
        <v>15</v>
      </c>
      <c r="G805" s="264" t="s">
        <v>277</v>
      </c>
      <c r="H805" s="281"/>
      <c r="I805" s="265"/>
      <c r="J805" s="266" t="s">
        <v>584</v>
      </c>
      <c r="K805" s="262"/>
      <c r="L805" s="262"/>
      <c r="M805" s="262">
        <v>2851</v>
      </c>
      <c r="N805" s="262" t="s">
        <v>22</v>
      </c>
      <c r="O805" s="262" t="s">
        <v>212</v>
      </c>
      <c r="P805" s="262"/>
      <c r="Q805" s="262" t="s">
        <v>26</v>
      </c>
      <c r="R805" s="262" t="s">
        <v>478</v>
      </c>
      <c r="S805" s="267" t="s">
        <v>478</v>
      </c>
      <c r="T805" s="268"/>
      <c r="U805" s="269"/>
      <c r="V805" s="269">
        <v>13795000</v>
      </c>
      <c r="W805" s="278">
        <v>10150000</v>
      </c>
      <c r="X805" s="270"/>
      <c r="Y805" s="262" t="s">
        <v>27</v>
      </c>
      <c r="Z805" s="271" t="s">
        <v>25</v>
      </c>
      <c r="AA805" s="287"/>
      <c r="AB805" s="287"/>
      <c r="AC805" s="272">
        <f t="shared" si="27"/>
        <v>0</v>
      </c>
      <c r="AD805" s="272">
        <v>0</v>
      </c>
      <c r="AE805" s="272">
        <f t="shared" si="28"/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/>
      <c r="AZ805" s="275"/>
      <c r="BA805" s="275"/>
      <c r="BB805" s="275"/>
      <c r="BC805" s="275"/>
      <c r="BD805" s="275"/>
      <c r="BE805" s="275"/>
      <c r="BF805" s="275"/>
      <c r="BH805" s="277"/>
    </row>
    <row r="806" spans="1:60" ht="16.5" customHeight="1">
      <c r="A806" s="260">
        <v>784</v>
      </c>
      <c r="B806" s="261"/>
      <c r="C806" s="261"/>
      <c r="D806" s="262" t="s">
        <v>15</v>
      </c>
      <c r="E806" s="262" t="s">
        <v>277</v>
      </c>
      <c r="F806" s="263" t="s">
        <v>15</v>
      </c>
      <c r="G806" s="264" t="s">
        <v>277</v>
      </c>
      <c r="H806" s="281"/>
      <c r="I806" s="265"/>
      <c r="J806" s="266" t="s">
        <v>584</v>
      </c>
      <c r="K806" s="262"/>
      <c r="L806" s="262"/>
      <c r="M806" s="262">
        <v>2851</v>
      </c>
      <c r="N806" s="262" t="s">
        <v>22</v>
      </c>
      <c r="O806" s="262" t="s">
        <v>56</v>
      </c>
      <c r="P806" s="262"/>
      <c r="Q806" s="262"/>
      <c r="R806" s="262"/>
      <c r="S806" s="267" t="s">
        <v>822</v>
      </c>
      <c r="T806" s="268"/>
      <c r="U806" s="269"/>
      <c r="V806" s="269"/>
      <c r="W806" s="278">
        <v>0</v>
      </c>
      <c r="X806" s="270"/>
      <c r="Y806" s="262"/>
      <c r="Z806" s="271" t="s">
        <v>25</v>
      </c>
      <c r="AA806" s="287"/>
      <c r="AB806" s="287"/>
      <c r="AC806" s="272">
        <f t="shared" si="27"/>
        <v>5000000</v>
      </c>
      <c r="AD806" s="272">
        <v>5000000</v>
      </c>
      <c r="AE806" s="272">
        <f t="shared" si="28"/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>
        <v>5000000</v>
      </c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H806" s="277"/>
    </row>
    <row r="807" spans="1:60" ht="16.5" customHeight="1">
      <c r="A807" s="260">
        <v>785</v>
      </c>
      <c r="B807" s="261"/>
      <c r="C807" s="261"/>
      <c r="D807" s="262" t="s">
        <v>15</v>
      </c>
      <c r="E807" s="262" t="s">
        <v>277</v>
      </c>
      <c r="F807" s="263" t="s">
        <v>15</v>
      </c>
      <c r="G807" s="264" t="s">
        <v>277</v>
      </c>
      <c r="H807" s="281"/>
      <c r="I807" s="265"/>
      <c r="J807" s="266" t="s">
        <v>585</v>
      </c>
      <c r="K807" s="262"/>
      <c r="L807" s="262"/>
      <c r="M807" s="262">
        <v>2851</v>
      </c>
      <c r="N807" s="262" t="s">
        <v>22</v>
      </c>
      <c r="O807" s="262" t="s">
        <v>56</v>
      </c>
      <c r="P807" s="262" t="s">
        <v>57</v>
      </c>
      <c r="Q807" s="262" t="s">
        <v>26</v>
      </c>
      <c r="R807" s="262" t="s">
        <v>468</v>
      </c>
      <c r="S807" s="267" t="s">
        <v>468</v>
      </c>
      <c r="T807" s="268"/>
      <c r="U807" s="269">
        <v>17865000</v>
      </c>
      <c r="V807" s="269">
        <v>0</v>
      </c>
      <c r="W807" s="278">
        <v>0</v>
      </c>
      <c r="X807" s="270"/>
      <c r="Y807" s="262" t="s">
        <v>24</v>
      </c>
      <c r="Z807" s="271" t="s">
        <v>25</v>
      </c>
      <c r="AA807" s="287"/>
      <c r="AB807" s="287"/>
      <c r="AC807" s="272">
        <f t="shared" si="27"/>
        <v>5000000</v>
      </c>
      <c r="AD807" s="272">
        <v>5000000</v>
      </c>
      <c r="AE807" s="272">
        <f t="shared" si="28"/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>
        <v>5000000</v>
      </c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customHeight="1">
      <c r="A808" s="260">
        <v>786</v>
      </c>
      <c r="B808" s="261"/>
      <c r="C808" s="261"/>
      <c r="D808" s="262" t="s">
        <v>15</v>
      </c>
      <c r="E808" s="262" t="s">
        <v>277</v>
      </c>
      <c r="F808" s="263" t="s">
        <v>15</v>
      </c>
      <c r="G808" s="264" t="s">
        <v>277</v>
      </c>
      <c r="H808" s="281"/>
      <c r="I808" s="265"/>
      <c r="J808" s="266" t="s">
        <v>586</v>
      </c>
      <c r="K808" s="262"/>
      <c r="L808" s="262"/>
      <c r="M808" s="262">
        <v>2851</v>
      </c>
      <c r="N808" s="262" t="s">
        <v>22</v>
      </c>
      <c r="O808" s="262" t="s">
        <v>56</v>
      </c>
      <c r="P808" s="262" t="s">
        <v>57</v>
      </c>
      <c r="Q808" s="262" t="s">
        <v>26</v>
      </c>
      <c r="R808" s="262" t="s">
        <v>468</v>
      </c>
      <c r="S808" s="267" t="s">
        <v>468</v>
      </c>
      <c r="T808" s="268"/>
      <c r="U808" s="269"/>
      <c r="V808" s="269">
        <v>0</v>
      </c>
      <c r="W808" s="278">
        <v>0</v>
      </c>
      <c r="X808" s="270"/>
      <c r="Y808" s="262" t="s">
        <v>24</v>
      </c>
      <c r="Z808" s="271" t="s">
        <v>25</v>
      </c>
      <c r="AA808" s="287"/>
      <c r="AB808" s="287"/>
      <c r="AC808" s="272">
        <f t="shared" si="27"/>
        <v>2000000</v>
      </c>
      <c r="AD808" s="272">
        <v>2000000</v>
      </c>
      <c r="AE808" s="272">
        <f t="shared" si="28"/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>
        <v>2000000</v>
      </c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customHeight="1">
      <c r="A809" s="260">
        <v>787</v>
      </c>
      <c r="B809" s="261"/>
      <c r="C809" s="261"/>
      <c r="D809" s="262" t="s">
        <v>15</v>
      </c>
      <c r="E809" s="262" t="s">
        <v>277</v>
      </c>
      <c r="F809" s="263" t="s">
        <v>15</v>
      </c>
      <c r="G809" s="264" t="s">
        <v>277</v>
      </c>
      <c r="H809" s="281"/>
      <c r="I809" s="265"/>
      <c r="J809" s="266" t="s">
        <v>582</v>
      </c>
      <c r="K809" s="262"/>
      <c r="L809" s="262"/>
      <c r="M809" s="262">
        <v>2637</v>
      </c>
      <c r="N809" s="262" t="s">
        <v>22</v>
      </c>
      <c r="O809" s="262" t="s">
        <v>56</v>
      </c>
      <c r="P809" s="262" t="s">
        <v>57</v>
      </c>
      <c r="Q809" s="262" t="s">
        <v>30</v>
      </c>
      <c r="R809" s="262" t="s">
        <v>31</v>
      </c>
      <c r="S809" s="267" t="s">
        <v>31</v>
      </c>
      <c r="T809" s="268"/>
      <c r="U809" s="269" t="s">
        <v>154</v>
      </c>
      <c r="V809" s="269">
        <v>2214000</v>
      </c>
      <c r="W809" s="278">
        <v>0</v>
      </c>
      <c r="X809" s="270"/>
      <c r="Y809" s="262" t="s">
        <v>25</v>
      </c>
      <c r="Z809" s="271" t="s">
        <v>20</v>
      </c>
      <c r="AA809" s="287"/>
      <c r="AB809" s="287"/>
      <c r="AC809" s="272">
        <f t="shared" si="27"/>
        <v>0</v>
      </c>
      <c r="AD809" s="272">
        <v>0</v>
      </c>
      <c r="AE809" s="272">
        <f t="shared" si="28"/>
        <v>0</v>
      </c>
      <c r="AF809" s="273"/>
      <c r="AG809" s="274"/>
      <c r="AH809" s="273"/>
      <c r="AI809" s="273"/>
      <c r="AJ809" s="274"/>
      <c r="AK809" s="273"/>
      <c r="AL809" s="275"/>
      <c r="AM809" s="290"/>
      <c r="AN809" s="275"/>
      <c r="AO809" s="276"/>
      <c r="AP809" s="275"/>
      <c r="AQ809" s="275"/>
      <c r="AR809" s="275"/>
      <c r="AS809" s="275"/>
      <c r="AT809" s="275"/>
      <c r="AU809" s="275"/>
      <c r="AV809" s="275"/>
      <c r="AW809" s="275"/>
      <c r="AX809" s="275"/>
      <c r="AY809" s="275"/>
      <c r="AZ809" s="275"/>
      <c r="BA809" s="275"/>
      <c r="BB809" s="275"/>
      <c r="BC809" s="275"/>
      <c r="BD809" s="275"/>
      <c r="BE809" s="275"/>
      <c r="BF809" s="275"/>
      <c r="BH809" s="277"/>
    </row>
    <row r="810" spans="1:60" ht="16.5" customHeight="1">
      <c r="A810" s="260">
        <v>788</v>
      </c>
      <c r="B810" s="261"/>
      <c r="C810" s="261"/>
      <c r="D810" s="262" t="s">
        <v>15</v>
      </c>
      <c r="E810" s="262" t="s">
        <v>277</v>
      </c>
      <c r="F810" s="263" t="s">
        <v>15</v>
      </c>
      <c r="G810" s="264" t="s">
        <v>277</v>
      </c>
      <c r="H810" s="281"/>
      <c r="I810" s="265"/>
      <c r="J810" s="266" t="s">
        <v>582</v>
      </c>
      <c r="K810" s="262"/>
      <c r="L810" s="262"/>
      <c r="M810" s="262">
        <v>2637</v>
      </c>
      <c r="N810" s="262" t="s">
        <v>22</v>
      </c>
      <c r="O810" s="262" t="s">
        <v>56</v>
      </c>
      <c r="P810" s="262"/>
      <c r="Q810" s="262"/>
      <c r="R810" s="262" t="s">
        <v>468</v>
      </c>
      <c r="S810" s="267" t="s">
        <v>468</v>
      </c>
      <c r="T810" s="268"/>
      <c r="U810" s="269"/>
      <c r="V810" s="269">
        <v>0</v>
      </c>
      <c r="W810" s="278">
        <v>0</v>
      </c>
      <c r="X810" s="270"/>
      <c r="Y810" s="262" t="s">
        <v>25</v>
      </c>
      <c r="Z810" s="271" t="s">
        <v>27</v>
      </c>
      <c r="AA810" s="287"/>
      <c r="AB810" s="287"/>
      <c r="AC810" s="272">
        <f t="shared" si="27"/>
        <v>10500000</v>
      </c>
      <c r="AD810" s="272">
        <v>10500000</v>
      </c>
      <c r="AE810" s="272">
        <f t="shared" si="28"/>
        <v>0</v>
      </c>
      <c r="AF810" s="273"/>
      <c r="AG810" s="274"/>
      <c r="AH810" s="273"/>
      <c r="AI810" s="273"/>
      <c r="AJ810" s="274"/>
      <c r="AK810" s="273"/>
      <c r="AL810" s="275"/>
      <c r="AM810" s="290">
        <v>5500000</v>
      </c>
      <c r="AN810" s="275"/>
      <c r="AO810" s="276"/>
      <c r="AP810" s="275"/>
      <c r="AQ810" s="275"/>
      <c r="AR810" s="275"/>
      <c r="AS810" s="275">
        <v>5000000</v>
      </c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H810" s="277"/>
    </row>
    <row r="811" spans="1:60" ht="16.5" customHeight="1">
      <c r="A811" s="260">
        <v>789</v>
      </c>
      <c r="B811" s="261"/>
      <c r="C811" s="261"/>
      <c r="D811" s="262" t="s">
        <v>15</v>
      </c>
      <c r="E811" s="262" t="s">
        <v>277</v>
      </c>
      <c r="F811" s="263" t="s">
        <v>15</v>
      </c>
      <c r="G811" s="264" t="s">
        <v>277</v>
      </c>
      <c r="H811" s="281"/>
      <c r="I811" s="265"/>
      <c r="J811" s="266" t="s">
        <v>582</v>
      </c>
      <c r="K811" s="262"/>
      <c r="L811" s="262"/>
      <c r="M811" s="262">
        <v>2637</v>
      </c>
      <c r="N811" s="262" t="s">
        <v>22</v>
      </c>
      <c r="O811" s="262" t="s">
        <v>35</v>
      </c>
      <c r="P811" s="262"/>
      <c r="Q811" s="262"/>
      <c r="R811" s="262"/>
      <c r="S811" s="267" t="s">
        <v>822</v>
      </c>
      <c r="T811" s="268"/>
      <c r="U811" s="269"/>
      <c r="V811" s="269"/>
      <c r="W811" s="278">
        <v>0</v>
      </c>
      <c r="X811" s="270"/>
      <c r="Y811" s="262"/>
      <c r="Z811" s="271" t="s">
        <v>25</v>
      </c>
      <c r="AA811" s="287"/>
      <c r="AB811" s="287"/>
      <c r="AC811" s="272">
        <f t="shared" si="27"/>
        <v>5000000</v>
      </c>
      <c r="AD811" s="272">
        <v>5000000</v>
      </c>
      <c r="AE811" s="272">
        <f t="shared" si="28"/>
        <v>0</v>
      </c>
      <c r="AF811" s="273"/>
      <c r="AG811" s="274"/>
      <c r="AH811" s="273"/>
      <c r="AI811" s="273"/>
      <c r="AJ811" s="274"/>
      <c r="AK811" s="273"/>
      <c r="AL811" s="275"/>
      <c r="AM811" s="290"/>
      <c r="AN811" s="275"/>
      <c r="AO811" s="276"/>
      <c r="AP811" s="275"/>
      <c r="AQ811" s="275">
        <v>5000000</v>
      </c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/>
      <c r="BF811" s="275"/>
      <c r="BH811" s="277"/>
    </row>
    <row r="812" spans="1:60" ht="16.5" customHeight="1">
      <c r="A812" s="260">
        <v>790</v>
      </c>
      <c r="B812" s="261"/>
      <c r="C812" s="261"/>
      <c r="D812" s="262" t="s">
        <v>15</v>
      </c>
      <c r="E812" s="262" t="s">
        <v>277</v>
      </c>
      <c r="F812" s="263" t="s">
        <v>15</v>
      </c>
      <c r="G812" s="264" t="s">
        <v>277</v>
      </c>
      <c r="H812" s="281"/>
      <c r="I812" s="265"/>
      <c r="J812" s="266" t="s">
        <v>291</v>
      </c>
      <c r="K812" s="262"/>
      <c r="L812" s="262"/>
      <c r="M812" s="262">
        <v>6385</v>
      </c>
      <c r="N812" s="262" t="s">
        <v>22</v>
      </c>
      <c r="O812" s="262" t="s">
        <v>35</v>
      </c>
      <c r="P812" s="262"/>
      <c r="Q812" s="262"/>
      <c r="R812" s="262" t="s">
        <v>478</v>
      </c>
      <c r="S812" s="267" t="s">
        <v>478</v>
      </c>
      <c r="T812" s="268"/>
      <c r="U812" s="269"/>
      <c r="V812" s="269">
        <v>0</v>
      </c>
      <c r="W812" s="278">
        <v>0</v>
      </c>
      <c r="X812" s="270"/>
      <c r="Y812" s="262" t="s">
        <v>25</v>
      </c>
      <c r="Z812" s="271" t="s">
        <v>25</v>
      </c>
      <c r="AA812" s="287"/>
      <c r="AB812" s="287"/>
      <c r="AC812" s="272">
        <f t="shared" si="27"/>
        <v>5000000</v>
      </c>
      <c r="AD812" s="272">
        <v>5000000</v>
      </c>
      <c r="AE812" s="272">
        <f t="shared" si="28"/>
        <v>0</v>
      </c>
      <c r="AF812" s="273"/>
      <c r="AG812" s="274"/>
      <c r="AH812" s="273"/>
      <c r="AI812" s="273"/>
      <c r="AJ812" s="274"/>
      <c r="AK812" s="273"/>
      <c r="AL812" s="275"/>
      <c r="AM812" s="290"/>
      <c r="AN812" s="275"/>
      <c r="AO812" s="276"/>
      <c r="AP812" s="275"/>
      <c r="AQ812" s="275"/>
      <c r="AR812" s="275"/>
      <c r="AS812" s="275">
        <v>5000000</v>
      </c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H812" s="277"/>
    </row>
    <row r="813" spans="1:60" ht="16.5" customHeight="1">
      <c r="A813" s="260">
        <v>791</v>
      </c>
      <c r="B813" s="261"/>
      <c r="C813" s="261"/>
      <c r="D813" s="262" t="s">
        <v>15</v>
      </c>
      <c r="E813" s="262" t="s">
        <v>277</v>
      </c>
      <c r="F813" s="263" t="s">
        <v>15</v>
      </c>
      <c r="G813" s="264" t="s">
        <v>277</v>
      </c>
      <c r="H813" s="281"/>
      <c r="I813" s="265"/>
      <c r="J813" s="266" t="s">
        <v>291</v>
      </c>
      <c r="K813" s="262"/>
      <c r="L813" s="262"/>
      <c r="M813" s="262">
        <v>6385</v>
      </c>
      <c r="N813" s="262" t="s">
        <v>22</v>
      </c>
      <c r="O813" s="262" t="s">
        <v>35</v>
      </c>
      <c r="P813" s="262"/>
      <c r="Q813" s="262"/>
      <c r="R813" s="262"/>
      <c r="S813" s="267" t="s">
        <v>822</v>
      </c>
      <c r="T813" s="268"/>
      <c r="U813" s="269"/>
      <c r="V813" s="269"/>
      <c r="W813" s="278">
        <v>0</v>
      </c>
      <c r="X813" s="270"/>
      <c r="Y813" s="262"/>
      <c r="Z813" s="271" t="s">
        <v>25</v>
      </c>
      <c r="AA813" s="287"/>
      <c r="AB813" s="287"/>
      <c r="AC813" s="272">
        <f t="shared" si="27"/>
        <v>10000000</v>
      </c>
      <c r="AD813" s="272">
        <v>10000000</v>
      </c>
      <c r="AE813" s="272">
        <f t="shared" si="28"/>
        <v>0</v>
      </c>
      <c r="AF813" s="273"/>
      <c r="AG813" s="274"/>
      <c r="AH813" s="273"/>
      <c r="AI813" s="273"/>
      <c r="AJ813" s="274"/>
      <c r="AK813" s="273"/>
      <c r="AL813" s="275"/>
      <c r="AM813" s="290"/>
      <c r="AN813" s="275"/>
      <c r="AO813" s="276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>
        <v>10000000</v>
      </c>
      <c r="BB813" s="275"/>
      <c r="BC813" s="275"/>
      <c r="BD813" s="275"/>
      <c r="BE813" s="275"/>
      <c r="BF813" s="275"/>
      <c r="BH813" s="277"/>
    </row>
    <row r="814" spans="1:60" ht="16.5" customHeight="1">
      <c r="A814" s="260">
        <v>792</v>
      </c>
      <c r="B814" s="261"/>
      <c r="C814" s="261"/>
      <c r="D814" s="262" t="s">
        <v>15</v>
      </c>
      <c r="E814" s="262" t="s">
        <v>277</v>
      </c>
      <c r="F814" s="263" t="s">
        <v>15</v>
      </c>
      <c r="G814" s="264" t="s">
        <v>277</v>
      </c>
      <c r="H814" s="281"/>
      <c r="I814" s="265"/>
      <c r="J814" s="266" t="s">
        <v>292</v>
      </c>
      <c r="K814" s="262"/>
      <c r="L814" s="262"/>
      <c r="M814" s="262">
        <v>18582</v>
      </c>
      <c r="N814" s="262" t="s">
        <v>22</v>
      </c>
      <c r="O814" s="262" t="s">
        <v>56</v>
      </c>
      <c r="P814" s="262"/>
      <c r="Q814" s="262" t="s">
        <v>26</v>
      </c>
      <c r="R814" s="262" t="s">
        <v>468</v>
      </c>
      <c r="S814" s="267" t="s">
        <v>468</v>
      </c>
      <c r="T814" s="268"/>
      <c r="U814" s="269"/>
      <c r="V814" s="269">
        <v>11935955</v>
      </c>
      <c r="W814" s="278">
        <v>18215000</v>
      </c>
      <c r="X814" s="270"/>
      <c r="Y814" s="262" t="s">
        <v>27</v>
      </c>
      <c r="Z814" s="271" t="s">
        <v>24</v>
      </c>
      <c r="AA814" s="287"/>
      <c r="AB814" s="287"/>
      <c r="AC814" s="272">
        <f t="shared" si="27"/>
        <v>15000000</v>
      </c>
      <c r="AD814" s="272">
        <v>15000000</v>
      </c>
      <c r="AE814" s="272">
        <f t="shared" si="28"/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>
        <v>5000000</v>
      </c>
      <c r="AP814" s="275"/>
      <c r="AQ814" s="275">
        <v>10000000</v>
      </c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customHeight="1">
      <c r="A815" s="260">
        <v>793</v>
      </c>
      <c r="B815" s="261"/>
      <c r="C815" s="261"/>
      <c r="D815" s="262" t="s">
        <v>15</v>
      </c>
      <c r="E815" s="262" t="s">
        <v>277</v>
      </c>
      <c r="F815" s="263" t="s">
        <v>15</v>
      </c>
      <c r="G815" s="264" t="s">
        <v>277</v>
      </c>
      <c r="H815" s="281"/>
      <c r="I815" s="265"/>
      <c r="J815" s="266" t="s">
        <v>292</v>
      </c>
      <c r="K815" s="262"/>
      <c r="L815" s="262"/>
      <c r="M815" s="262">
        <v>18582</v>
      </c>
      <c r="N815" s="262" t="s">
        <v>22</v>
      </c>
      <c r="O815" s="262" t="s">
        <v>35</v>
      </c>
      <c r="P815" s="262"/>
      <c r="Q815" s="262"/>
      <c r="R815" s="262"/>
      <c r="S815" s="267" t="s">
        <v>822</v>
      </c>
      <c r="T815" s="268"/>
      <c r="U815" s="269"/>
      <c r="V815" s="269"/>
      <c r="W815" s="278">
        <v>0</v>
      </c>
      <c r="X815" s="270"/>
      <c r="Y815" s="262"/>
      <c r="Z815" s="271" t="s">
        <v>25</v>
      </c>
      <c r="AA815" s="287"/>
      <c r="AB815" s="287"/>
      <c r="AC815" s="272">
        <f t="shared" si="27"/>
        <v>10000000</v>
      </c>
      <c r="AD815" s="272">
        <v>10000000</v>
      </c>
      <c r="AE815" s="272">
        <f t="shared" si="28"/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>
        <v>5000000</v>
      </c>
      <c r="AP815" s="275"/>
      <c r="AQ815" s="275">
        <v>5000000</v>
      </c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customHeight="1">
      <c r="A816" s="260">
        <v>794</v>
      </c>
      <c r="B816" s="261"/>
      <c r="C816" s="261"/>
      <c r="D816" s="262" t="s">
        <v>15</v>
      </c>
      <c r="E816" s="262" t="s">
        <v>277</v>
      </c>
      <c r="F816" s="263" t="s">
        <v>15</v>
      </c>
      <c r="G816" s="264" t="s">
        <v>277</v>
      </c>
      <c r="H816" s="281"/>
      <c r="I816" s="265"/>
      <c r="J816" s="266" t="s">
        <v>293</v>
      </c>
      <c r="K816" s="262"/>
      <c r="L816" s="262"/>
      <c r="M816" s="262">
        <v>14798</v>
      </c>
      <c r="N816" s="262" t="s">
        <v>22</v>
      </c>
      <c r="O816" s="262" t="s">
        <v>35</v>
      </c>
      <c r="P816" s="262"/>
      <c r="Q816" s="262"/>
      <c r="R816" s="262" t="s">
        <v>31</v>
      </c>
      <c r="S816" s="267" t="s">
        <v>31</v>
      </c>
      <c r="T816" s="268"/>
      <c r="U816" s="269"/>
      <c r="V816" s="269">
        <v>0</v>
      </c>
      <c r="W816" s="278">
        <v>0</v>
      </c>
      <c r="X816" s="270"/>
      <c r="Y816" s="262" t="s">
        <v>25</v>
      </c>
      <c r="Z816" s="271" t="s">
        <v>24</v>
      </c>
      <c r="AA816" s="287"/>
      <c r="AB816" s="287"/>
      <c r="AC816" s="272">
        <f t="shared" si="27"/>
        <v>14000000</v>
      </c>
      <c r="AD816" s="272">
        <v>14000000</v>
      </c>
      <c r="AE816" s="272">
        <f t="shared" si="28"/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75">
        <v>14000000</v>
      </c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customHeight="1">
      <c r="A817" s="260">
        <v>795</v>
      </c>
      <c r="B817" s="261"/>
      <c r="C817" s="261"/>
      <c r="D817" s="262" t="s">
        <v>15</v>
      </c>
      <c r="E817" s="262" t="s">
        <v>277</v>
      </c>
      <c r="F817" s="263" t="s">
        <v>15</v>
      </c>
      <c r="G817" s="264" t="s">
        <v>277</v>
      </c>
      <c r="H817" s="281"/>
      <c r="I817" s="265"/>
      <c r="J817" s="266" t="s">
        <v>293</v>
      </c>
      <c r="K817" s="262"/>
      <c r="L817" s="262"/>
      <c r="M817" s="262">
        <v>14798</v>
      </c>
      <c r="N817" s="262" t="s">
        <v>22</v>
      </c>
      <c r="O817" s="262" t="s">
        <v>35</v>
      </c>
      <c r="P817" s="262"/>
      <c r="Q817" s="262"/>
      <c r="R817" s="262" t="s">
        <v>468</v>
      </c>
      <c r="S817" s="267" t="s">
        <v>468</v>
      </c>
      <c r="T817" s="268"/>
      <c r="U817" s="269"/>
      <c r="V817" s="269">
        <v>0</v>
      </c>
      <c r="W817" s="278">
        <v>0</v>
      </c>
      <c r="X817" s="270"/>
      <c r="Y817" s="262" t="s">
        <v>25</v>
      </c>
      <c r="Z817" s="271" t="s">
        <v>25</v>
      </c>
      <c r="AA817" s="287"/>
      <c r="AB817" s="287"/>
      <c r="AC817" s="272">
        <f t="shared" si="27"/>
        <v>10000000</v>
      </c>
      <c r="AD817" s="272">
        <v>10000000</v>
      </c>
      <c r="AE817" s="272">
        <f t="shared" si="28"/>
        <v>0</v>
      </c>
      <c r="AF817" s="273"/>
      <c r="AG817" s="274"/>
      <c r="AH817" s="273"/>
      <c r="AI817" s="273"/>
      <c r="AJ817" s="274"/>
      <c r="AK817" s="273"/>
      <c r="AL817" s="275"/>
      <c r="AM817" s="290"/>
      <c r="AN817" s="275"/>
      <c r="AO817" s="276"/>
      <c r="AP817" s="275"/>
      <c r="AQ817" s="275"/>
      <c r="AR817" s="275"/>
      <c r="AS817" s="275"/>
      <c r="AT817" s="275"/>
      <c r="AU817" s="275"/>
      <c r="AV817" s="275"/>
      <c r="AW817" s="275">
        <v>10000000</v>
      </c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customHeight="1">
      <c r="A818" s="260">
        <v>796</v>
      </c>
      <c r="B818" s="261"/>
      <c r="C818" s="261"/>
      <c r="D818" s="262" t="s">
        <v>15</v>
      </c>
      <c r="E818" s="262" t="s">
        <v>277</v>
      </c>
      <c r="F818" s="263" t="s">
        <v>15</v>
      </c>
      <c r="G818" s="264" t="s">
        <v>277</v>
      </c>
      <c r="H818" s="281"/>
      <c r="I818" s="265"/>
      <c r="J818" s="266" t="s">
        <v>293</v>
      </c>
      <c r="K818" s="262"/>
      <c r="L818" s="262"/>
      <c r="M818" s="262">
        <v>14798</v>
      </c>
      <c r="N818" s="262" t="s">
        <v>22</v>
      </c>
      <c r="O818" s="262" t="s">
        <v>35</v>
      </c>
      <c r="P818" s="262"/>
      <c r="Q818" s="262"/>
      <c r="R818" s="262"/>
      <c r="S818" s="267" t="s">
        <v>828</v>
      </c>
      <c r="T818" s="268"/>
      <c r="U818" s="269"/>
      <c r="V818" s="269"/>
      <c r="W818" s="278">
        <v>0</v>
      </c>
      <c r="X818" s="270"/>
      <c r="Y818" s="262"/>
      <c r="Z818" s="271" t="s">
        <v>25</v>
      </c>
      <c r="AA818" s="287"/>
      <c r="AB818" s="287"/>
      <c r="AC818" s="272">
        <f t="shared" si="27"/>
        <v>10000000</v>
      </c>
      <c r="AD818" s="272">
        <v>10000000</v>
      </c>
      <c r="AE818" s="272">
        <f t="shared" si="28"/>
        <v>0</v>
      </c>
      <c r="AF818" s="273"/>
      <c r="AG818" s="274"/>
      <c r="AH818" s="273"/>
      <c r="AI818" s="273"/>
      <c r="AJ818" s="274"/>
      <c r="AK818" s="273"/>
      <c r="AL818" s="275"/>
      <c r="AM818" s="290"/>
      <c r="AN818" s="275"/>
      <c r="AO818" s="276"/>
      <c r="AP818" s="275"/>
      <c r="AQ818" s="275"/>
      <c r="AR818" s="275"/>
      <c r="AS818" s="275">
        <v>10000000</v>
      </c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customHeight="1">
      <c r="A819" s="260">
        <v>797</v>
      </c>
      <c r="B819" s="261"/>
      <c r="C819" s="261"/>
      <c r="D819" s="262" t="s">
        <v>15</v>
      </c>
      <c r="E819" s="262" t="s">
        <v>277</v>
      </c>
      <c r="F819" s="263" t="s">
        <v>15</v>
      </c>
      <c r="G819" s="264" t="s">
        <v>277</v>
      </c>
      <c r="H819" s="281"/>
      <c r="I819" s="265"/>
      <c r="J819" s="266" t="s">
        <v>570</v>
      </c>
      <c r="K819" s="262"/>
      <c r="L819" s="262"/>
      <c r="M819" s="262">
        <v>20374</v>
      </c>
      <c r="N819" s="262" t="s">
        <v>22</v>
      </c>
      <c r="O819" s="262" t="s">
        <v>212</v>
      </c>
      <c r="P819" s="262" t="s">
        <v>57</v>
      </c>
      <c r="Q819" s="262" t="s">
        <v>63</v>
      </c>
      <c r="R819" s="262" t="s">
        <v>28</v>
      </c>
      <c r="S819" s="267" t="s">
        <v>28</v>
      </c>
      <c r="T819" s="268" t="s">
        <v>951</v>
      </c>
      <c r="U819" s="269">
        <v>89308460</v>
      </c>
      <c r="V819" s="269">
        <v>69571280</v>
      </c>
      <c r="W819" s="278">
        <v>58420200</v>
      </c>
      <c r="X819" s="270"/>
      <c r="Y819" s="262" t="s">
        <v>27</v>
      </c>
      <c r="Z819" s="271" t="s">
        <v>27</v>
      </c>
      <c r="AA819" s="287"/>
      <c r="AB819" s="287"/>
      <c r="AC819" s="272">
        <f t="shared" si="27"/>
        <v>70753500</v>
      </c>
      <c r="AD819" s="272">
        <v>70753500</v>
      </c>
      <c r="AE819" s="272">
        <f t="shared" si="28"/>
        <v>0</v>
      </c>
      <c r="AF819" s="273">
        <v>596000</v>
      </c>
      <c r="AG819" s="274">
        <v>1349500</v>
      </c>
      <c r="AH819" s="273"/>
      <c r="AI819" s="273">
        <v>5000000</v>
      </c>
      <c r="AJ819" s="274">
        <v>596000</v>
      </c>
      <c r="AK819" s="273"/>
      <c r="AL819" s="275">
        <v>5000000</v>
      </c>
      <c r="AM819" s="290">
        <v>2721800</v>
      </c>
      <c r="AN819" s="275"/>
      <c r="AO819" s="276">
        <v>6000000</v>
      </c>
      <c r="AP819" s="275"/>
      <c r="AQ819" s="275">
        <v>6278200</v>
      </c>
      <c r="AR819" s="275"/>
      <c r="AS819" s="275">
        <v>5000000</v>
      </c>
      <c r="AT819" s="275"/>
      <c r="AU819" s="275">
        <v>5000000</v>
      </c>
      <c r="AV819" s="275"/>
      <c r="AW819" s="275">
        <v>9404000</v>
      </c>
      <c r="AX819" s="275"/>
      <c r="AY819" s="275">
        <v>10000000</v>
      </c>
      <c r="AZ819" s="275"/>
      <c r="BA819" s="275">
        <v>10000000</v>
      </c>
      <c r="BB819" s="275"/>
      <c r="BC819" s="275">
        <v>9404000</v>
      </c>
      <c r="BD819" s="275"/>
      <c r="BE819" s="275">
        <v>5000000</v>
      </c>
      <c r="BF819" s="275"/>
      <c r="BH819" s="277"/>
    </row>
    <row r="820" spans="1:60" ht="16.5" customHeight="1">
      <c r="A820" s="260">
        <v>798</v>
      </c>
      <c r="B820" s="261"/>
      <c r="C820" s="261"/>
      <c r="D820" s="262" t="s">
        <v>15</v>
      </c>
      <c r="E820" s="262" t="s">
        <v>277</v>
      </c>
      <c r="F820" s="263" t="s">
        <v>15</v>
      </c>
      <c r="G820" s="264" t="s">
        <v>277</v>
      </c>
      <c r="H820" s="281"/>
      <c r="I820" s="265"/>
      <c r="J820" s="266" t="s">
        <v>570</v>
      </c>
      <c r="K820" s="262"/>
      <c r="L820" s="262"/>
      <c r="M820" s="262">
        <v>20374</v>
      </c>
      <c r="N820" s="262" t="s">
        <v>22</v>
      </c>
      <c r="O820" s="262" t="s">
        <v>56</v>
      </c>
      <c r="P820" s="262"/>
      <c r="Q820" s="262"/>
      <c r="R820" s="262" t="s">
        <v>31</v>
      </c>
      <c r="S820" s="267" t="s">
        <v>31</v>
      </c>
      <c r="T820" s="268"/>
      <c r="U820" s="269"/>
      <c r="V820" s="269">
        <v>0</v>
      </c>
      <c r="W820" s="278">
        <v>6109000</v>
      </c>
      <c r="X820" s="270"/>
      <c r="Y820" s="262" t="s">
        <v>25</v>
      </c>
      <c r="Z820" s="271" t="s">
        <v>24</v>
      </c>
      <c r="AA820" s="287"/>
      <c r="AB820" s="287"/>
      <c r="AC820" s="272">
        <f t="shared" si="27"/>
        <v>10000000</v>
      </c>
      <c r="AD820" s="272">
        <v>10000000</v>
      </c>
      <c r="AE820" s="272">
        <f t="shared" si="28"/>
        <v>0</v>
      </c>
      <c r="AF820" s="273"/>
      <c r="AG820" s="274"/>
      <c r="AH820" s="273"/>
      <c r="AI820" s="273"/>
      <c r="AJ820" s="274"/>
      <c r="AK820" s="273"/>
      <c r="AL820" s="275"/>
      <c r="AM820" s="290"/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>
        <v>10000000</v>
      </c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customHeight="1">
      <c r="A821" s="260">
        <v>799</v>
      </c>
      <c r="B821" s="261"/>
      <c r="C821" s="261"/>
      <c r="D821" s="262" t="s">
        <v>15</v>
      </c>
      <c r="E821" s="262" t="s">
        <v>277</v>
      </c>
      <c r="F821" s="263" t="s">
        <v>15</v>
      </c>
      <c r="G821" s="264" t="s">
        <v>277</v>
      </c>
      <c r="H821" s="281"/>
      <c r="I821" s="265"/>
      <c r="J821" s="266" t="s">
        <v>570</v>
      </c>
      <c r="K821" s="262"/>
      <c r="L821" s="262"/>
      <c r="M821" s="262">
        <v>20374</v>
      </c>
      <c r="N821" s="262" t="s">
        <v>22</v>
      </c>
      <c r="O821" s="262" t="s">
        <v>56</v>
      </c>
      <c r="P821" s="262"/>
      <c r="Q821" s="262"/>
      <c r="R821" s="262" t="s">
        <v>470</v>
      </c>
      <c r="S821" s="267" t="s">
        <v>822</v>
      </c>
      <c r="T821" s="268"/>
      <c r="U821" s="269"/>
      <c r="V821" s="269">
        <v>3300000</v>
      </c>
      <c r="W821" s="278">
        <v>0</v>
      </c>
      <c r="X821" s="270"/>
      <c r="Y821" s="262" t="s">
        <v>24</v>
      </c>
      <c r="Z821" s="271" t="s">
        <v>25</v>
      </c>
      <c r="AA821" s="287"/>
      <c r="AB821" s="287"/>
      <c r="AC821" s="272">
        <f t="shared" si="27"/>
        <v>10000000</v>
      </c>
      <c r="AD821" s="272">
        <v>10000000</v>
      </c>
      <c r="AE821" s="272">
        <f t="shared" si="28"/>
        <v>0</v>
      </c>
      <c r="AF821" s="273"/>
      <c r="AG821" s="274"/>
      <c r="AH821" s="273"/>
      <c r="AI821" s="273"/>
      <c r="AJ821" s="274"/>
      <c r="AK821" s="273"/>
      <c r="AL821" s="275"/>
      <c r="AM821" s="290"/>
      <c r="AN821" s="275"/>
      <c r="AO821" s="276"/>
      <c r="AP821" s="275"/>
      <c r="AQ821" s="275">
        <v>10000000</v>
      </c>
      <c r="AR821" s="275"/>
      <c r="AS821" s="275"/>
      <c r="AT821" s="275"/>
      <c r="AU821" s="275"/>
      <c r="AV821" s="275"/>
      <c r="AW821" s="275"/>
      <c r="AX821" s="275"/>
      <c r="AY821" s="275"/>
      <c r="AZ821" s="275"/>
      <c r="BA821" s="275"/>
      <c r="BB821" s="275"/>
      <c r="BC821" s="275"/>
      <c r="BD821" s="275"/>
      <c r="BE821" s="275"/>
      <c r="BF821" s="275"/>
      <c r="BH821" s="277"/>
    </row>
    <row r="822" spans="1:60" ht="16.5" customHeight="1">
      <c r="A822" s="260">
        <v>800</v>
      </c>
      <c r="B822" s="261"/>
      <c r="C822" s="261"/>
      <c r="D822" s="262" t="s">
        <v>15</v>
      </c>
      <c r="E822" s="262" t="s">
        <v>277</v>
      </c>
      <c r="F822" s="263" t="s">
        <v>15</v>
      </c>
      <c r="G822" s="264" t="s">
        <v>277</v>
      </c>
      <c r="H822" s="281"/>
      <c r="I822" s="265"/>
      <c r="J822" s="266" t="s">
        <v>570</v>
      </c>
      <c r="K822" s="262"/>
      <c r="L822" s="262"/>
      <c r="M822" s="262">
        <v>20374</v>
      </c>
      <c r="N822" s="262" t="s">
        <v>22</v>
      </c>
      <c r="O822" s="262" t="s">
        <v>35</v>
      </c>
      <c r="P822" s="262"/>
      <c r="Q822" s="262"/>
      <c r="R822" s="262"/>
      <c r="S822" s="267" t="s">
        <v>828</v>
      </c>
      <c r="T822" s="268"/>
      <c r="U822" s="269"/>
      <c r="V822" s="269"/>
      <c r="W822" s="278">
        <v>0</v>
      </c>
      <c r="X822" s="270"/>
      <c r="Y822" s="262"/>
      <c r="Z822" s="271" t="s">
        <v>25</v>
      </c>
      <c r="AA822" s="287"/>
      <c r="AB822" s="287"/>
      <c r="AC822" s="272">
        <f t="shared" si="27"/>
        <v>10000000</v>
      </c>
      <c r="AD822" s="272">
        <v>10000000</v>
      </c>
      <c r="AE822" s="272">
        <f t="shared" si="28"/>
        <v>0</v>
      </c>
      <c r="AF822" s="273"/>
      <c r="AG822" s="274"/>
      <c r="AH822" s="273"/>
      <c r="AI822" s="273"/>
      <c r="AJ822" s="274"/>
      <c r="AK822" s="273"/>
      <c r="AL822" s="275"/>
      <c r="AM822" s="290"/>
      <c r="AN822" s="275"/>
      <c r="AO822" s="276"/>
      <c r="AP822" s="275"/>
      <c r="AQ822" s="275">
        <v>10000000</v>
      </c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/>
      <c r="BB822" s="275"/>
      <c r="BC822" s="275"/>
      <c r="BD822" s="275"/>
      <c r="BE822" s="275"/>
      <c r="BF822" s="275"/>
      <c r="BH822" s="277"/>
    </row>
    <row r="823" spans="1:60" ht="16.5" customHeight="1">
      <c r="A823" s="260">
        <v>801</v>
      </c>
      <c r="B823" s="261"/>
      <c r="C823" s="261"/>
      <c r="D823" s="262" t="s">
        <v>15</v>
      </c>
      <c r="E823" s="262" t="s">
        <v>277</v>
      </c>
      <c r="F823" s="263" t="s">
        <v>15</v>
      </c>
      <c r="G823" s="264" t="s">
        <v>277</v>
      </c>
      <c r="H823" s="281"/>
      <c r="I823" s="265"/>
      <c r="J823" s="266" t="s">
        <v>294</v>
      </c>
      <c r="K823" s="262"/>
      <c r="L823" s="262"/>
      <c r="M823" s="262">
        <v>45737</v>
      </c>
      <c r="N823" s="262" t="s">
        <v>22</v>
      </c>
      <c r="O823" s="262" t="s">
        <v>56</v>
      </c>
      <c r="P823" s="262"/>
      <c r="Q823" s="262" t="s">
        <v>30</v>
      </c>
      <c r="R823" s="262" t="s">
        <v>31</v>
      </c>
      <c r="S823" s="267" t="s">
        <v>31</v>
      </c>
      <c r="T823" s="268"/>
      <c r="U823" s="269"/>
      <c r="V823" s="269">
        <v>390000</v>
      </c>
      <c r="W823" s="278">
        <v>399000</v>
      </c>
      <c r="X823" s="270"/>
      <c r="Y823" s="262" t="s">
        <v>24</v>
      </c>
      <c r="Z823" s="271" t="s">
        <v>24</v>
      </c>
      <c r="AA823" s="287"/>
      <c r="AB823" s="287"/>
      <c r="AC823" s="272">
        <f t="shared" si="27"/>
        <v>360000</v>
      </c>
      <c r="AD823" s="272">
        <v>360000</v>
      </c>
      <c r="AE823" s="272">
        <f t="shared" si="28"/>
        <v>0</v>
      </c>
      <c r="AF823" s="273"/>
      <c r="AG823" s="274"/>
      <c r="AH823" s="273"/>
      <c r="AI823" s="273"/>
      <c r="AJ823" s="274"/>
      <c r="AK823" s="273"/>
      <c r="AL823" s="275"/>
      <c r="AM823" s="290"/>
      <c r="AN823" s="275"/>
      <c r="AO823" s="276"/>
      <c r="AP823" s="275"/>
      <c r="AQ823" s="275"/>
      <c r="AR823" s="275"/>
      <c r="AS823" s="275">
        <v>360000</v>
      </c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H823" s="277"/>
    </row>
    <row r="824" spans="1:60" ht="16.5" customHeight="1">
      <c r="A824" s="260">
        <v>802</v>
      </c>
      <c r="B824" s="261"/>
      <c r="C824" s="261"/>
      <c r="D824" s="262" t="s">
        <v>15</v>
      </c>
      <c r="E824" s="262" t="s">
        <v>277</v>
      </c>
      <c r="F824" s="263" t="s">
        <v>15</v>
      </c>
      <c r="G824" s="264" t="s">
        <v>277</v>
      </c>
      <c r="H824" s="281"/>
      <c r="I824" s="265"/>
      <c r="J824" s="266" t="s">
        <v>295</v>
      </c>
      <c r="K824" s="262"/>
      <c r="L824" s="262"/>
      <c r="M824" s="262">
        <v>58722</v>
      </c>
      <c r="N824" s="262" t="s">
        <v>22</v>
      </c>
      <c r="O824" s="262" t="s">
        <v>212</v>
      </c>
      <c r="P824" s="262"/>
      <c r="Q824" s="262" t="s">
        <v>30</v>
      </c>
      <c r="R824" s="262" t="s">
        <v>31</v>
      </c>
      <c r="S824" s="267" t="s">
        <v>31</v>
      </c>
      <c r="T824" s="268"/>
      <c r="U824" s="269">
        <v>160000</v>
      </c>
      <c r="V824" s="269">
        <v>288000</v>
      </c>
      <c r="W824" s="278">
        <v>-32000</v>
      </c>
      <c r="X824" s="270"/>
      <c r="Y824" s="262" t="s">
        <v>27</v>
      </c>
      <c r="Z824" s="271" t="s">
        <v>24</v>
      </c>
      <c r="AA824" s="287"/>
      <c r="AB824" s="287"/>
      <c r="AC824" s="272">
        <f t="shared" si="27"/>
        <v>300000</v>
      </c>
      <c r="AD824" s="272">
        <v>300000</v>
      </c>
      <c r="AE824" s="272">
        <f t="shared" si="28"/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/>
      <c r="AZ824" s="275"/>
      <c r="BA824" s="275">
        <v>300000</v>
      </c>
      <c r="BB824" s="275"/>
      <c r="BC824" s="275"/>
      <c r="BD824" s="275"/>
      <c r="BE824" s="275"/>
      <c r="BF824" s="275"/>
      <c r="BH824" s="277"/>
    </row>
    <row r="825" spans="1:60" ht="16.5" customHeight="1">
      <c r="A825" s="260">
        <v>803</v>
      </c>
      <c r="B825" s="261"/>
      <c r="C825" s="261"/>
      <c r="D825" s="262" t="s">
        <v>15</v>
      </c>
      <c r="E825" s="262" t="s">
        <v>277</v>
      </c>
      <c r="F825" s="263" t="s">
        <v>15</v>
      </c>
      <c r="G825" s="264" t="s">
        <v>277</v>
      </c>
      <c r="H825" s="281"/>
      <c r="I825" s="265"/>
      <c r="J825" s="266" t="s">
        <v>296</v>
      </c>
      <c r="K825" s="262"/>
      <c r="L825" s="262"/>
      <c r="M825" s="262">
        <v>800</v>
      </c>
      <c r="N825" s="262" t="s">
        <v>32</v>
      </c>
      <c r="O825" s="262" t="s">
        <v>56</v>
      </c>
      <c r="P825" s="262" t="s">
        <v>57</v>
      </c>
      <c r="Q825" s="262" t="s">
        <v>63</v>
      </c>
      <c r="R825" s="262" t="s">
        <v>28</v>
      </c>
      <c r="S825" s="267" t="s">
        <v>28</v>
      </c>
      <c r="T825" s="268" t="s">
        <v>951</v>
      </c>
      <c r="U825" s="269">
        <v>114000000</v>
      </c>
      <c r="V825" s="269">
        <v>130860000</v>
      </c>
      <c r="W825" s="278">
        <v>139999995</v>
      </c>
      <c r="X825" s="270"/>
      <c r="Y825" s="262" t="s">
        <v>27</v>
      </c>
      <c r="Z825" s="271" t="s">
        <v>27</v>
      </c>
      <c r="AA825" s="287"/>
      <c r="AB825" s="287"/>
      <c r="AC825" s="272">
        <f t="shared" si="27"/>
        <v>154200000</v>
      </c>
      <c r="AD825" s="272">
        <v>154200000</v>
      </c>
      <c r="AE825" s="272">
        <f t="shared" si="28"/>
        <v>0</v>
      </c>
      <c r="AF825" s="273"/>
      <c r="AG825" s="274"/>
      <c r="AH825" s="273"/>
      <c r="AI825" s="273"/>
      <c r="AJ825" s="274"/>
      <c r="AK825" s="273"/>
      <c r="AL825" s="275">
        <v>15000000</v>
      </c>
      <c r="AM825" s="290"/>
      <c r="AN825" s="275"/>
      <c r="AO825" s="276">
        <v>30000000</v>
      </c>
      <c r="AP825" s="275"/>
      <c r="AQ825" s="275">
        <v>15000000</v>
      </c>
      <c r="AR825" s="275"/>
      <c r="AS825" s="275">
        <v>15000000</v>
      </c>
      <c r="AT825" s="275"/>
      <c r="AU825" s="275">
        <v>15000000</v>
      </c>
      <c r="AV825" s="275"/>
      <c r="AW825" s="275">
        <v>15000000</v>
      </c>
      <c r="AX825" s="275"/>
      <c r="AY825" s="275">
        <v>15000000</v>
      </c>
      <c r="AZ825" s="275"/>
      <c r="BA825" s="275">
        <v>15000000</v>
      </c>
      <c r="BB825" s="275"/>
      <c r="BC825" s="275">
        <v>15000000</v>
      </c>
      <c r="BD825" s="275"/>
      <c r="BE825" s="275">
        <v>19200000</v>
      </c>
      <c r="BF825" s="275"/>
      <c r="BH825" s="277"/>
    </row>
    <row r="826" spans="1:60" ht="16.5" customHeight="1">
      <c r="A826" s="260">
        <v>804</v>
      </c>
      <c r="B826" s="261"/>
      <c r="C826" s="261"/>
      <c r="D826" s="262" t="s">
        <v>15</v>
      </c>
      <c r="E826" s="262" t="s">
        <v>277</v>
      </c>
      <c r="F826" s="263" t="s">
        <v>15</v>
      </c>
      <c r="G826" s="264" t="s">
        <v>277</v>
      </c>
      <c r="H826" s="281"/>
      <c r="I826" s="265"/>
      <c r="J826" s="266" t="s">
        <v>296</v>
      </c>
      <c r="K826" s="262"/>
      <c r="L826" s="262"/>
      <c r="M826" s="262">
        <v>800</v>
      </c>
      <c r="N826" s="262" t="s">
        <v>32</v>
      </c>
      <c r="O826" s="262" t="s">
        <v>56</v>
      </c>
      <c r="P826" s="262" t="s">
        <v>57</v>
      </c>
      <c r="Q826" s="262" t="s">
        <v>23</v>
      </c>
      <c r="R826" s="262" t="s">
        <v>397</v>
      </c>
      <c r="S826" s="267" t="s">
        <v>823</v>
      </c>
      <c r="T826" s="268"/>
      <c r="U826" s="269">
        <v>48000000</v>
      </c>
      <c r="V826" s="269">
        <v>22190000</v>
      </c>
      <c r="W826" s="278">
        <v>0</v>
      </c>
      <c r="X826" s="270"/>
      <c r="Y826" s="262" t="s">
        <v>27</v>
      </c>
      <c r="Z826" s="271" t="s">
        <v>27</v>
      </c>
      <c r="AA826" s="287"/>
      <c r="AB826" s="287"/>
      <c r="AC826" s="272">
        <f t="shared" si="27"/>
        <v>25454545</v>
      </c>
      <c r="AD826" s="272">
        <v>25454545</v>
      </c>
      <c r="AE826" s="272">
        <f t="shared" si="28"/>
        <v>0</v>
      </c>
      <c r="AF826" s="273"/>
      <c r="AG826" s="274"/>
      <c r="AH826" s="273"/>
      <c r="AI826" s="273"/>
      <c r="AJ826" s="274"/>
      <c r="AK826" s="273"/>
      <c r="AL826" s="275"/>
      <c r="AM826" s="290"/>
      <c r="AN826" s="275"/>
      <c r="AO826" s="276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>
        <v>25454545</v>
      </c>
      <c r="BB826" s="275"/>
      <c r="BC826" s="275"/>
      <c r="BD826" s="275"/>
      <c r="BE826" s="275"/>
      <c r="BF826" s="275"/>
      <c r="BH826" s="277"/>
    </row>
    <row r="827" spans="1:60" ht="16.5" customHeight="1">
      <c r="A827" s="260">
        <v>805</v>
      </c>
      <c r="B827" s="261"/>
      <c r="C827" s="261"/>
      <c r="D827" s="262" t="s">
        <v>15</v>
      </c>
      <c r="E827" s="262" t="s">
        <v>277</v>
      </c>
      <c r="F827" s="263" t="s">
        <v>15</v>
      </c>
      <c r="G827" s="264" t="s">
        <v>277</v>
      </c>
      <c r="H827" s="281"/>
      <c r="I827" s="265"/>
      <c r="J827" s="266" t="s">
        <v>297</v>
      </c>
      <c r="K827" s="262"/>
      <c r="L827" s="262"/>
      <c r="M827" s="262">
        <v>43832</v>
      </c>
      <c r="N827" s="262" t="s">
        <v>22</v>
      </c>
      <c r="O827" s="262" t="s">
        <v>178</v>
      </c>
      <c r="P827" s="262"/>
      <c r="Q827" s="262" t="s">
        <v>18</v>
      </c>
      <c r="R827" s="262" t="s">
        <v>19</v>
      </c>
      <c r="S827" s="267" t="s">
        <v>822</v>
      </c>
      <c r="T827" s="268"/>
      <c r="U827" s="269">
        <v>2200000</v>
      </c>
      <c r="V827" s="269">
        <v>0</v>
      </c>
      <c r="W827" s="278">
        <v>0</v>
      </c>
      <c r="X827" s="270"/>
      <c r="Y827" s="262" t="s">
        <v>21</v>
      </c>
      <c r="Z827" s="271" t="s">
        <v>25</v>
      </c>
      <c r="AA827" s="287"/>
      <c r="AB827" s="287"/>
      <c r="AC827" s="272">
        <f t="shared" si="27"/>
        <v>2000000</v>
      </c>
      <c r="AD827" s="272">
        <v>2000000</v>
      </c>
      <c r="AE827" s="272">
        <f t="shared" si="28"/>
        <v>0</v>
      </c>
      <c r="AF827" s="273"/>
      <c r="AG827" s="274"/>
      <c r="AH827" s="273"/>
      <c r="AI827" s="273"/>
      <c r="AJ827" s="274"/>
      <c r="AK827" s="273"/>
      <c r="AL827" s="275"/>
      <c r="AM827" s="290"/>
      <c r="AN827" s="275"/>
      <c r="AO827" s="276"/>
      <c r="AP827" s="275"/>
      <c r="AQ827" s="275"/>
      <c r="AR827" s="275"/>
      <c r="AS827" s="275">
        <v>2000000</v>
      </c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H827" s="277"/>
    </row>
    <row r="828" spans="1:60" ht="16.5" customHeight="1">
      <c r="A828" s="260">
        <v>806</v>
      </c>
      <c r="B828" s="261"/>
      <c r="C828" s="261"/>
      <c r="D828" s="262"/>
      <c r="E828" s="262"/>
      <c r="F828" s="263" t="s">
        <v>15</v>
      </c>
      <c r="G828" s="264" t="s">
        <v>277</v>
      </c>
      <c r="H828" s="281"/>
      <c r="I828" s="265"/>
      <c r="J828" s="266" t="s">
        <v>298</v>
      </c>
      <c r="K828" s="262"/>
      <c r="L828" s="262"/>
      <c r="M828" s="262">
        <v>13065</v>
      </c>
      <c r="N828" s="262" t="s">
        <v>22</v>
      </c>
      <c r="O828" s="262" t="s">
        <v>56</v>
      </c>
      <c r="P828" s="262" t="s">
        <v>124</v>
      </c>
      <c r="Q828" s="262" t="s">
        <v>44</v>
      </c>
      <c r="R828" s="262" t="s">
        <v>469</v>
      </c>
      <c r="S828" s="267" t="s">
        <v>469</v>
      </c>
      <c r="T828" s="268"/>
      <c r="U828" s="269"/>
      <c r="V828" s="269">
        <v>15000000</v>
      </c>
      <c r="W828" s="278">
        <v>0</v>
      </c>
      <c r="X828" s="270"/>
      <c r="Y828" s="262" t="s">
        <v>20</v>
      </c>
      <c r="Z828" s="271" t="s">
        <v>27</v>
      </c>
      <c r="AA828" s="287"/>
      <c r="AB828" s="287"/>
      <c r="AC828" s="272">
        <f t="shared" si="27"/>
        <v>30000000</v>
      </c>
      <c r="AD828" s="272">
        <v>30000000</v>
      </c>
      <c r="AE828" s="272">
        <f t="shared" si="28"/>
        <v>0</v>
      </c>
      <c r="AF828" s="273"/>
      <c r="AG828" s="274">
        <v>30000000</v>
      </c>
      <c r="AH828" s="273"/>
      <c r="AI828" s="273"/>
      <c r="AJ828" s="274"/>
      <c r="AK828" s="273"/>
      <c r="AL828" s="275"/>
      <c r="AM828" s="290"/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ht="16.5" customHeight="1">
      <c r="A829" s="260">
        <v>807</v>
      </c>
      <c r="B829" s="261"/>
      <c r="C829" s="261"/>
      <c r="D829" s="262" t="s">
        <v>15</v>
      </c>
      <c r="E829" s="262" t="s">
        <v>277</v>
      </c>
      <c r="F829" s="263" t="s">
        <v>15</v>
      </c>
      <c r="G829" s="264" t="s">
        <v>277</v>
      </c>
      <c r="H829" s="281"/>
      <c r="I829" s="265"/>
      <c r="J829" s="266" t="s">
        <v>298</v>
      </c>
      <c r="K829" s="262"/>
      <c r="L829" s="262"/>
      <c r="M829" s="262">
        <v>13065</v>
      </c>
      <c r="N829" s="262"/>
      <c r="O829" s="262"/>
      <c r="P829" s="262"/>
      <c r="Q829" s="262"/>
      <c r="R829" s="262"/>
      <c r="S829" s="267" t="s">
        <v>478</v>
      </c>
      <c r="T829" s="268"/>
      <c r="U829" s="269"/>
      <c r="V829" s="269"/>
      <c r="W829" s="278">
        <v>20500000</v>
      </c>
      <c r="X829" s="270"/>
      <c r="Y829" s="262"/>
      <c r="Z829" s="271" t="s">
        <v>718</v>
      </c>
      <c r="AA829" s="287"/>
      <c r="AB829" s="287"/>
      <c r="AC829" s="272">
        <f t="shared" si="27"/>
        <v>0</v>
      </c>
      <c r="AD829" s="272">
        <v>0</v>
      </c>
      <c r="AE829" s="272">
        <f t="shared" si="28"/>
        <v>0</v>
      </c>
      <c r="AF829" s="273"/>
      <c r="AG829" s="274"/>
      <c r="AH829" s="273"/>
      <c r="AI829" s="273"/>
      <c r="AJ829" s="274"/>
      <c r="AK829" s="273"/>
      <c r="AL829" s="275"/>
      <c r="AM829" s="290"/>
      <c r="AN829" s="275"/>
      <c r="AO829" s="276"/>
      <c r="AP829" s="275"/>
      <c r="AQ829" s="275"/>
      <c r="AR829" s="275"/>
      <c r="AS829" s="275"/>
      <c r="AT829" s="275"/>
      <c r="AU829" s="275"/>
      <c r="AV829" s="275"/>
      <c r="AW829" s="275"/>
      <c r="AX829" s="275"/>
      <c r="AY829" s="275"/>
      <c r="AZ829" s="275"/>
      <c r="BA829" s="275"/>
      <c r="BB829" s="275"/>
      <c r="BC829" s="275"/>
      <c r="BD829" s="275"/>
      <c r="BE829" s="275"/>
      <c r="BF829" s="275"/>
      <c r="BH829" s="277"/>
    </row>
    <row r="830" spans="1:60" ht="16.5" customHeight="1">
      <c r="A830" s="260">
        <v>808</v>
      </c>
      <c r="B830" s="261"/>
      <c r="C830" s="261"/>
      <c r="D830" s="262" t="s">
        <v>15</v>
      </c>
      <c r="E830" s="262" t="s">
        <v>277</v>
      </c>
      <c r="F830" s="263" t="s">
        <v>15</v>
      </c>
      <c r="G830" s="264" t="s">
        <v>277</v>
      </c>
      <c r="H830" s="281"/>
      <c r="I830" s="265"/>
      <c r="J830" s="266" t="s">
        <v>298</v>
      </c>
      <c r="K830" s="262"/>
      <c r="L830" s="262"/>
      <c r="M830" s="262">
        <v>13065</v>
      </c>
      <c r="N830" s="262" t="s">
        <v>22</v>
      </c>
      <c r="O830" s="262" t="s">
        <v>35</v>
      </c>
      <c r="P830" s="262"/>
      <c r="Q830" s="262"/>
      <c r="R830" s="262"/>
      <c r="S830" s="267" t="s">
        <v>822</v>
      </c>
      <c r="T830" s="268"/>
      <c r="U830" s="269"/>
      <c r="V830" s="269"/>
      <c r="W830" s="278">
        <v>0</v>
      </c>
      <c r="X830" s="270"/>
      <c r="Y830" s="262"/>
      <c r="Z830" s="271" t="s">
        <v>25</v>
      </c>
      <c r="AA830" s="287"/>
      <c r="AB830" s="287"/>
      <c r="AC830" s="272">
        <f t="shared" si="27"/>
        <v>0</v>
      </c>
      <c r="AD830" s="272">
        <v>0</v>
      </c>
      <c r="AE830" s="272">
        <f t="shared" si="28"/>
        <v>0</v>
      </c>
      <c r="AF830" s="273"/>
      <c r="AG830" s="274"/>
      <c r="AH830" s="273"/>
      <c r="AI830" s="273"/>
      <c r="AJ830" s="274"/>
      <c r="AK830" s="273"/>
      <c r="AL830" s="275"/>
      <c r="AM830" s="290"/>
      <c r="AN830" s="275"/>
      <c r="AO830" s="276"/>
      <c r="AP830" s="275"/>
      <c r="AQ830" s="275"/>
      <c r="AR830" s="275"/>
      <c r="AS830" s="275"/>
      <c r="AT830" s="275"/>
      <c r="AU830" s="275"/>
      <c r="AV830" s="275"/>
      <c r="AW830" s="275"/>
      <c r="AX830" s="275"/>
      <c r="AY830" s="275"/>
      <c r="AZ830" s="275"/>
      <c r="BA830" s="275"/>
      <c r="BB830" s="275"/>
      <c r="BC830" s="275"/>
      <c r="BD830" s="275"/>
      <c r="BE830" s="275"/>
      <c r="BF830" s="275"/>
      <c r="BH830" s="277"/>
    </row>
    <row r="831" spans="1:60" ht="16.5" customHeight="1">
      <c r="A831" s="260">
        <v>809</v>
      </c>
      <c r="B831" s="261"/>
      <c r="C831" s="261"/>
      <c r="D831" s="262" t="s">
        <v>15</v>
      </c>
      <c r="E831" s="262" t="s">
        <v>277</v>
      </c>
      <c r="F831" s="263" t="s">
        <v>15</v>
      </c>
      <c r="G831" s="264" t="s">
        <v>277</v>
      </c>
      <c r="H831" s="281"/>
      <c r="I831" s="265"/>
      <c r="J831" s="266" t="s">
        <v>298</v>
      </c>
      <c r="K831" s="262"/>
      <c r="L831" s="262"/>
      <c r="M831" s="262">
        <v>13065</v>
      </c>
      <c r="N831" s="262" t="s">
        <v>22</v>
      </c>
      <c r="O831" s="262" t="s">
        <v>56</v>
      </c>
      <c r="P831" s="262"/>
      <c r="Q831" s="262" t="s">
        <v>23</v>
      </c>
      <c r="R831" s="262" t="s">
        <v>397</v>
      </c>
      <c r="S831" s="267" t="s">
        <v>823</v>
      </c>
      <c r="T831" s="268"/>
      <c r="U831" s="269">
        <v>50000000</v>
      </c>
      <c r="V831" s="269">
        <v>40450000</v>
      </c>
      <c r="W831" s="278">
        <v>15000000</v>
      </c>
      <c r="X831" s="270"/>
      <c r="Y831" s="262" t="s">
        <v>27</v>
      </c>
      <c r="Z831" s="271" t="s">
        <v>27</v>
      </c>
      <c r="AA831" s="287"/>
      <c r="AB831" s="287"/>
      <c r="AC831" s="272">
        <f t="shared" si="27"/>
        <v>10000000</v>
      </c>
      <c r="AD831" s="272">
        <v>10000000</v>
      </c>
      <c r="AE831" s="272">
        <f t="shared" si="28"/>
        <v>0</v>
      </c>
      <c r="AF831" s="273"/>
      <c r="AG831" s="274">
        <v>10000000</v>
      </c>
      <c r="AH831" s="273"/>
      <c r="AI831" s="273"/>
      <c r="AJ831" s="274"/>
      <c r="AK831" s="273"/>
      <c r="AL831" s="275"/>
      <c r="AM831" s="290"/>
      <c r="AN831" s="275"/>
      <c r="AO831" s="276"/>
      <c r="AP831" s="275"/>
      <c r="AQ831" s="275"/>
      <c r="AR831" s="275"/>
      <c r="AS831" s="275"/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/>
      <c r="BF831" s="275"/>
      <c r="BH831" s="277"/>
    </row>
    <row r="832" spans="1:60" ht="16.5" customHeight="1">
      <c r="A832" s="260">
        <v>810</v>
      </c>
      <c r="B832" s="261"/>
      <c r="C832" s="261"/>
      <c r="D832" s="262" t="s">
        <v>15</v>
      </c>
      <c r="E832" s="262" t="s">
        <v>277</v>
      </c>
      <c r="F832" s="263" t="s">
        <v>15</v>
      </c>
      <c r="G832" s="264" t="s">
        <v>277</v>
      </c>
      <c r="H832" s="281"/>
      <c r="I832" s="265"/>
      <c r="J832" s="266" t="s">
        <v>299</v>
      </c>
      <c r="K832" s="262"/>
      <c r="L832" s="262"/>
      <c r="M832" s="262">
        <v>41214</v>
      </c>
      <c r="N832" s="262" t="s">
        <v>22</v>
      </c>
      <c r="O832" s="262" t="s">
        <v>56</v>
      </c>
      <c r="P832" s="262" t="s">
        <v>57</v>
      </c>
      <c r="Q832" s="262" t="s">
        <v>46</v>
      </c>
      <c r="R832" s="262" t="s">
        <v>47</v>
      </c>
      <c r="S832" s="267" t="s">
        <v>47</v>
      </c>
      <c r="T832" s="268"/>
      <c r="U832" s="269">
        <v>30258000</v>
      </c>
      <c r="V832" s="269">
        <v>18028000</v>
      </c>
      <c r="W832" s="278">
        <v>0</v>
      </c>
      <c r="X832" s="270"/>
      <c r="Y832" s="262" t="s">
        <v>74</v>
      </c>
      <c r="Z832" s="271" t="s">
        <v>20</v>
      </c>
      <c r="AA832" s="287"/>
      <c r="AB832" s="287"/>
      <c r="AC832" s="272">
        <f t="shared" si="27"/>
        <v>0</v>
      </c>
      <c r="AD832" s="272">
        <v>0</v>
      </c>
      <c r="AE832" s="272">
        <f t="shared" si="28"/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/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H832" s="277"/>
    </row>
    <row r="833" spans="1:60" ht="16.5" customHeight="1">
      <c r="A833" s="260">
        <v>811</v>
      </c>
      <c r="B833" s="261"/>
      <c r="C833" s="261"/>
      <c r="D833" s="262" t="s">
        <v>15</v>
      </c>
      <c r="E833" s="262" t="s">
        <v>277</v>
      </c>
      <c r="F833" s="263" t="s">
        <v>15</v>
      </c>
      <c r="G833" s="264" t="s">
        <v>277</v>
      </c>
      <c r="H833" s="281"/>
      <c r="I833" s="265"/>
      <c r="J833" s="266" t="s">
        <v>621</v>
      </c>
      <c r="K833" s="262"/>
      <c r="L833" s="262"/>
      <c r="M833" s="262">
        <v>49426</v>
      </c>
      <c r="N833" s="262" t="s">
        <v>22</v>
      </c>
      <c r="O833" s="262" t="s">
        <v>212</v>
      </c>
      <c r="P833" s="262"/>
      <c r="Q833" s="262"/>
      <c r="R833" s="262" t="s">
        <v>47</v>
      </c>
      <c r="S833" s="267" t="s">
        <v>47</v>
      </c>
      <c r="T833" s="268"/>
      <c r="U833" s="269"/>
      <c r="V833" s="269">
        <v>0</v>
      </c>
      <c r="W833" s="278">
        <v>900000</v>
      </c>
      <c r="X833" s="270"/>
      <c r="Y833" s="262" t="s">
        <v>27</v>
      </c>
      <c r="Z833" s="271" t="s">
        <v>27</v>
      </c>
      <c r="AA833" s="287"/>
      <c r="AB833" s="287"/>
      <c r="AC833" s="272">
        <f t="shared" si="27"/>
        <v>900000</v>
      </c>
      <c r="AD833" s="272">
        <v>900000</v>
      </c>
      <c r="AE833" s="272">
        <f t="shared" si="28"/>
        <v>0</v>
      </c>
      <c r="AF833" s="273"/>
      <c r="AG833" s="274">
        <v>900000</v>
      </c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/>
      <c r="AR833" s="275"/>
      <c r="AS833" s="275"/>
      <c r="AT833" s="275"/>
      <c r="AU833" s="275"/>
      <c r="AV833" s="275"/>
      <c r="AW833" s="275"/>
      <c r="AX833" s="275"/>
      <c r="AY833" s="275"/>
      <c r="AZ833" s="275"/>
      <c r="BA833" s="275"/>
      <c r="BB833" s="275"/>
      <c r="BC833" s="275"/>
      <c r="BD833" s="275"/>
      <c r="BE833" s="275"/>
      <c r="BF833" s="275"/>
      <c r="BH833" s="277"/>
    </row>
    <row r="834" spans="1:60" ht="16.5" customHeight="1">
      <c r="A834" s="260">
        <v>812</v>
      </c>
      <c r="B834" s="261"/>
      <c r="C834" s="261"/>
      <c r="D834" s="262" t="s">
        <v>15</v>
      </c>
      <c r="E834" s="262" t="s">
        <v>277</v>
      </c>
      <c r="F834" s="263" t="s">
        <v>15</v>
      </c>
      <c r="G834" s="264" t="s">
        <v>277</v>
      </c>
      <c r="H834" s="281"/>
      <c r="I834" s="265"/>
      <c r="J834" s="266" t="s">
        <v>300</v>
      </c>
      <c r="K834" s="262"/>
      <c r="L834" s="262"/>
      <c r="M834" s="262">
        <v>45117</v>
      </c>
      <c r="N834" s="262" t="s">
        <v>22</v>
      </c>
      <c r="O834" s="262" t="s">
        <v>56</v>
      </c>
      <c r="P834" s="262"/>
      <c r="Q834" s="262" t="s">
        <v>18</v>
      </c>
      <c r="R834" s="262" t="s">
        <v>19</v>
      </c>
      <c r="S834" s="267" t="s">
        <v>19</v>
      </c>
      <c r="T834" s="268"/>
      <c r="U834" s="269">
        <v>4260000</v>
      </c>
      <c r="V834" s="269">
        <v>0</v>
      </c>
      <c r="W834" s="278">
        <v>0</v>
      </c>
      <c r="X834" s="270"/>
      <c r="Y834" s="262" t="s">
        <v>21</v>
      </c>
      <c r="Z834" s="271" t="s">
        <v>21</v>
      </c>
      <c r="AA834" s="287"/>
      <c r="AB834" s="287"/>
      <c r="AC834" s="272">
        <f t="shared" si="27"/>
        <v>0</v>
      </c>
      <c r="AD834" s="272">
        <v>0</v>
      </c>
      <c r="AE834" s="272">
        <f t="shared" si="28"/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/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customHeight="1">
      <c r="A835" s="260">
        <v>813</v>
      </c>
      <c r="B835" s="261"/>
      <c r="C835" s="261"/>
      <c r="D835" s="262" t="s">
        <v>15</v>
      </c>
      <c r="E835" s="262" t="s">
        <v>277</v>
      </c>
      <c r="F835" s="263" t="s">
        <v>15</v>
      </c>
      <c r="G835" s="264" t="s">
        <v>277</v>
      </c>
      <c r="H835" s="281"/>
      <c r="I835" s="265"/>
      <c r="J835" s="266" t="s">
        <v>300</v>
      </c>
      <c r="K835" s="262"/>
      <c r="L835" s="262"/>
      <c r="M835" s="262">
        <v>45117</v>
      </c>
      <c r="N835" s="262" t="s">
        <v>22</v>
      </c>
      <c r="O835" s="262" t="s">
        <v>56</v>
      </c>
      <c r="P835" s="262"/>
      <c r="Q835" s="262" t="s">
        <v>30</v>
      </c>
      <c r="R835" s="262" t="s">
        <v>31</v>
      </c>
      <c r="S835" s="267" t="s">
        <v>31</v>
      </c>
      <c r="T835" s="268"/>
      <c r="U835" s="269"/>
      <c r="V835" s="269">
        <v>3290000</v>
      </c>
      <c r="W835" s="278">
        <v>3740000</v>
      </c>
      <c r="X835" s="270"/>
      <c r="Y835" s="262" t="s">
        <v>24</v>
      </c>
      <c r="Z835" s="271" t="s">
        <v>24</v>
      </c>
      <c r="AA835" s="287"/>
      <c r="AB835" s="287"/>
      <c r="AC835" s="272">
        <f t="shared" si="27"/>
        <v>3000000</v>
      </c>
      <c r="AD835" s="272">
        <v>3000000</v>
      </c>
      <c r="AE835" s="272">
        <f t="shared" si="28"/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>
        <v>3000000</v>
      </c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customHeight="1">
      <c r="A836" s="260">
        <v>814</v>
      </c>
      <c r="B836" s="261"/>
      <c r="C836" s="261"/>
      <c r="D836" s="262" t="s">
        <v>15</v>
      </c>
      <c r="E836" s="262" t="s">
        <v>277</v>
      </c>
      <c r="F836" s="263" t="s">
        <v>15</v>
      </c>
      <c r="G836" s="264" t="s">
        <v>277</v>
      </c>
      <c r="H836" s="281"/>
      <c r="I836" s="265"/>
      <c r="J836" s="266" t="s">
        <v>300</v>
      </c>
      <c r="K836" s="262"/>
      <c r="L836" s="262"/>
      <c r="M836" s="262">
        <v>45117</v>
      </c>
      <c r="N836" s="262" t="s">
        <v>53</v>
      </c>
      <c r="O836" s="262" t="s">
        <v>56</v>
      </c>
      <c r="P836" s="262" t="s">
        <v>57</v>
      </c>
      <c r="Q836" s="262" t="s">
        <v>46</v>
      </c>
      <c r="R836" s="262" t="s">
        <v>47</v>
      </c>
      <c r="S836" s="267" t="s">
        <v>47</v>
      </c>
      <c r="T836" s="268"/>
      <c r="U836" s="269">
        <v>540000</v>
      </c>
      <c r="V836" s="269">
        <v>0</v>
      </c>
      <c r="W836" s="278">
        <v>0</v>
      </c>
      <c r="X836" s="270"/>
      <c r="Y836" s="262" t="s">
        <v>24</v>
      </c>
      <c r="Z836" s="271" t="s">
        <v>21</v>
      </c>
      <c r="AA836" s="287"/>
      <c r="AB836" s="287"/>
      <c r="AC836" s="272">
        <f t="shared" si="27"/>
        <v>0</v>
      </c>
      <c r="AD836" s="272">
        <v>0</v>
      </c>
      <c r="AE836" s="272">
        <f t="shared" si="28"/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/>
      <c r="BF836" s="275"/>
      <c r="BH836" s="277"/>
    </row>
    <row r="837" spans="1:60" ht="16.5" customHeight="1">
      <c r="A837" s="260">
        <v>815</v>
      </c>
      <c r="B837" s="261"/>
      <c r="C837" s="261"/>
      <c r="D837" s="262"/>
      <c r="E837" s="262"/>
      <c r="F837" s="263" t="s">
        <v>15</v>
      </c>
      <c r="G837" s="264" t="s">
        <v>277</v>
      </c>
      <c r="H837" s="281"/>
      <c r="I837" s="265"/>
      <c r="J837" s="266" t="s">
        <v>300</v>
      </c>
      <c r="K837" s="262"/>
      <c r="L837" s="262"/>
      <c r="M837" s="262">
        <v>45117</v>
      </c>
      <c r="N837" s="262" t="s">
        <v>22</v>
      </c>
      <c r="O837" s="262" t="s">
        <v>56</v>
      </c>
      <c r="P837" s="262"/>
      <c r="Q837" s="262" t="s">
        <v>23</v>
      </c>
      <c r="R837" s="262" t="s">
        <v>397</v>
      </c>
      <c r="S837" s="267" t="s">
        <v>823</v>
      </c>
      <c r="T837" s="268"/>
      <c r="U837" s="269"/>
      <c r="V837" s="269">
        <v>0</v>
      </c>
      <c r="W837" s="278">
        <v>0</v>
      </c>
      <c r="X837" s="270"/>
      <c r="Y837" s="262" t="s">
        <v>24</v>
      </c>
      <c r="Z837" s="271" t="s">
        <v>25</v>
      </c>
      <c r="AA837" s="287"/>
      <c r="AB837" s="287"/>
      <c r="AC837" s="272">
        <f t="shared" si="27"/>
        <v>3000000</v>
      </c>
      <c r="AD837" s="272">
        <v>3000000</v>
      </c>
      <c r="AE837" s="272">
        <f t="shared" si="28"/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>
        <v>3000000</v>
      </c>
      <c r="AR837" s="275"/>
      <c r="AS837" s="275"/>
      <c r="AT837" s="275"/>
      <c r="AU837" s="275"/>
      <c r="AV837" s="275"/>
      <c r="AW837" s="275"/>
      <c r="AX837" s="275"/>
      <c r="AY837" s="275"/>
      <c r="AZ837" s="275"/>
      <c r="BA837" s="275"/>
      <c r="BB837" s="275"/>
      <c r="BC837" s="275"/>
      <c r="BD837" s="275"/>
      <c r="BE837" s="275"/>
      <c r="BF837" s="275"/>
      <c r="BH837" s="277"/>
    </row>
    <row r="838" spans="1:60" ht="16.5" customHeight="1">
      <c r="A838" s="260">
        <v>816</v>
      </c>
      <c r="B838" s="261"/>
      <c r="C838" s="261"/>
      <c r="D838" s="262" t="s">
        <v>15</v>
      </c>
      <c r="E838" s="262" t="s">
        <v>277</v>
      </c>
      <c r="F838" s="263" t="s">
        <v>15</v>
      </c>
      <c r="G838" s="264" t="s">
        <v>277</v>
      </c>
      <c r="H838" s="281"/>
      <c r="I838" s="265"/>
      <c r="J838" s="266" t="s">
        <v>301</v>
      </c>
      <c r="K838" s="262"/>
      <c r="L838" s="262"/>
      <c r="M838" s="262">
        <v>28603</v>
      </c>
      <c r="N838" s="262" t="s">
        <v>22</v>
      </c>
      <c r="O838" s="262" t="s">
        <v>56</v>
      </c>
      <c r="P838" s="262" t="s">
        <v>57</v>
      </c>
      <c r="Q838" s="262" t="s">
        <v>46</v>
      </c>
      <c r="R838" s="262" t="s">
        <v>47</v>
      </c>
      <c r="S838" s="267" t="s">
        <v>47</v>
      </c>
      <c r="T838" s="268"/>
      <c r="U838" s="269">
        <v>25500000</v>
      </c>
      <c r="V838" s="269">
        <v>25500000</v>
      </c>
      <c r="W838" s="278">
        <v>25500000</v>
      </c>
      <c r="X838" s="270"/>
      <c r="Y838" s="262" t="s">
        <v>24</v>
      </c>
      <c r="Z838" s="271" t="s">
        <v>24</v>
      </c>
      <c r="AA838" s="287"/>
      <c r="AB838" s="287"/>
      <c r="AC838" s="272">
        <f t="shared" si="27"/>
        <v>25500000</v>
      </c>
      <c r="AD838" s="272">
        <v>25500000</v>
      </c>
      <c r="AE838" s="272">
        <f t="shared" si="28"/>
        <v>0</v>
      </c>
      <c r="AF838" s="273"/>
      <c r="AG838" s="274"/>
      <c r="AH838" s="273"/>
      <c r="AI838" s="273"/>
      <c r="AJ838" s="274"/>
      <c r="AK838" s="273"/>
      <c r="AL838" s="275"/>
      <c r="AM838" s="290"/>
      <c r="AN838" s="275"/>
      <c r="AO838" s="276"/>
      <c r="AP838" s="275"/>
      <c r="AQ838" s="275"/>
      <c r="AR838" s="275"/>
      <c r="AS838" s="275"/>
      <c r="AT838" s="275"/>
      <c r="AU838" s="275"/>
      <c r="AV838" s="275"/>
      <c r="AW838" s="275">
        <v>5100000</v>
      </c>
      <c r="AX838" s="275"/>
      <c r="AY838" s="275">
        <v>5100000</v>
      </c>
      <c r="AZ838" s="275"/>
      <c r="BA838" s="275">
        <v>5100000</v>
      </c>
      <c r="BB838" s="275"/>
      <c r="BC838" s="275">
        <v>5100000</v>
      </c>
      <c r="BD838" s="275"/>
      <c r="BE838" s="275">
        <v>5100000</v>
      </c>
      <c r="BF838" s="275"/>
      <c r="BH838" s="277"/>
    </row>
    <row r="839" spans="1:60" ht="16.5" customHeight="1">
      <c r="A839" s="260">
        <v>817</v>
      </c>
      <c r="B839" s="261"/>
      <c r="C839" s="261"/>
      <c r="D839" s="262" t="s">
        <v>15</v>
      </c>
      <c r="E839" s="262" t="s">
        <v>277</v>
      </c>
      <c r="F839" s="263" t="s">
        <v>15</v>
      </c>
      <c r="G839" s="264" t="s">
        <v>277</v>
      </c>
      <c r="H839" s="281"/>
      <c r="I839" s="265"/>
      <c r="J839" s="266" t="s">
        <v>301</v>
      </c>
      <c r="K839" s="262"/>
      <c r="L839" s="262"/>
      <c r="M839" s="262"/>
      <c r="N839" s="262"/>
      <c r="O839" s="262" t="s">
        <v>35</v>
      </c>
      <c r="P839" s="262"/>
      <c r="Q839" s="262"/>
      <c r="R839" s="262"/>
      <c r="S839" s="267" t="s">
        <v>469</v>
      </c>
      <c r="T839" s="268"/>
      <c r="U839" s="269"/>
      <c r="V839" s="269"/>
      <c r="W839" s="278">
        <v>0</v>
      </c>
      <c r="X839" s="270"/>
      <c r="Y839" s="262"/>
      <c r="Z839" s="271" t="s">
        <v>25</v>
      </c>
      <c r="AA839" s="287"/>
      <c r="AB839" s="287"/>
      <c r="AC839" s="272">
        <f t="shared" si="27"/>
        <v>50000000</v>
      </c>
      <c r="AD839" s="272">
        <v>50000000</v>
      </c>
      <c r="AE839" s="272">
        <f t="shared" si="28"/>
        <v>0</v>
      </c>
      <c r="AF839" s="273"/>
      <c r="AG839" s="274"/>
      <c r="AH839" s="273"/>
      <c r="AI839" s="273"/>
      <c r="AJ839" s="274"/>
      <c r="AK839" s="273"/>
      <c r="AL839" s="275"/>
      <c r="AM839" s="290"/>
      <c r="AN839" s="275"/>
      <c r="AO839" s="276"/>
      <c r="AP839" s="275"/>
      <c r="AQ839" s="275">
        <v>50000000</v>
      </c>
      <c r="AR839" s="275"/>
      <c r="AS839" s="275"/>
      <c r="AT839" s="275"/>
      <c r="AU839" s="275"/>
      <c r="AV839" s="275"/>
      <c r="AW839" s="275"/>
      <c r="AX839" s="275"/>
      <c r="AY839" s="275"/>
      <c r="AZ839" s="275"/>
      <c r="BA839" s="275"/>
      <c r="BB839" s="275"/>
      <c r="BC839" s="275"/>
      <c r="BD839" s="275"/>
      <c r="BE839" s="275"/>
      <c r="BF839" s="275"/>
      <c r="BH839" s="277"/>
    </row>
    <row r="840" spans="1:60" ht="16.5" customHeight="1">
      <c r="A840" s="260">
        <v>818</v>
      </c>
      <c r="B840" s="261"/>
      <c r="C840" s="261"/>
      <c r="D840" s="262" t="s">
        <v>15</v>
      </c>
      <c r="E840" s="262" t="s">
        <v>277</v>
      </c>
      <c r="F840" s="263" t="s">
        <v>15</v>
      </c>
      <c r="G840" s="264" t="s">
        <v>277</v>
      </c>
      <c r="H840" s="281"/>
      <c r="I840" s="265"/>
      <c r="J840" s="266" t="s">
        <v>302</v>
      </c>
      <c r="K840" s="262"/>
      <c r="L840" s="262"/>
      <c r="M840" s="262">
        <v>16700</v>
      </c>
      <c r="N840" s="262" t="s">
        <v>22</v>
      </c>
      <c r="O840" s="262" t="s">
        <v>56</v>
      </c>
      <c r="P840" s="262"/>
      <c r="Q840" s="262" t="s">
        <v>30</v>
      </c>
      <c r="R840" s="262" t="s">
        <v>31</v>
      </c>
      <c r="S840" s="267" t="s">
        <v>31</v>
      </c>
      <c r="T840" s="268"/>
      <c r="U840" s="269">
        <v>17942000</v>
      </c>
      <c r="V840" s="269">
        <v>20616000</v>
      </c>
      <c r="W840" s="278">
        <v>24426000</v>
      </c>
      <c r="X840" s="270"/>
      <c r="Y840" s="262" t="s">
        <v>27</v>
      </c>
      <c r="Z840" s="271" t="s">
        <v>24</v>
      </c>
      <c r="AA840" s="287"/>
      <c r="AB840" s="287"/>
      <c r="AC840" s="272">
        <f t="shared" si="27"/>
        <v>20000000</v>
      </c>
      <c r="AD840" s="272">
        <v>20000000</v>
      </c>
      <c r="AE840" s="272">
        <f t="shared" si="28"/>
        <v>0</v>
      </c>
      <c r="AF840" s="273"/>
      <c r="AG840" s="274"/>
      <c r="AH840" s="273"/>
      <c r="AI840" s="273"/>
      <c r="AJ840" s="274"/>
      <c r="AK840" s="273"/>
      <c r="AL840" s="275"/>
      <c r="AM840" s="290"/>
      <c r="AN840" s="275"/>
      <c r="AO840" s="276"/>
      <c r="AP840" s="275"/>
      <c r="AQ840" s="275"/>
      <c r="AR840" s="275"/>
      <c r="AS840" s="275"/>
      <c r="AT840" s="275"/>
      <c r="AU840" s="275"/>
      <c r="AV840" s="275"/>
      <c r="AW840" s="275"/>
      <c r="AX840" s="275"/>
      <c r="AY840" s="275"/>
      <c r="AZ840" s="275"/>
      <c r="BA840" s="275"/>
      <c r="BB840" s="275"/>
      <c r="BC840" s="275"/>
      <c r="BD840" s="275"/>
      <c r="BE840" s="275">
        <v>20000000</v>
      </c>
      <c r="BF840" s="275"/>
      <c r="BH840" s="277"/>
    </row>
    <row r="841" spans="1:60" ht="16.5" customHeight="1">
      <c r="A841" s="260">
        <v>819</v>
      </c>
      <c r="B841" s="261"/>
      <c r="C841" s="261"/>
      <c r="D841" s="262" t="s">
        <v>15</v>
      </c>
      <c r="E841" s="262" t="s">
        <v>277</v>
      </c>
      <c r="F841" s="263" t="s">
        <v>15</v>
      </c>
      <c r="G841" s="264" t="s">
        <v>277</v>
      </c>
      <c r="H841" s="281"/>
      <c r="I841" s="265"/>
      <c r="J841" s="266" t="s">
        <v>302</v>
      </c>
      <c r="K841" s="262"/>
      <c r="L841" s="262"/>
      <c r="M841" s="262">
        <v>16700</v>
      </c>
      <c r="N841" s="262" t="s">
        <v>22</v>
      </c>
      <c r="O841" s="262" t="s">
        <v>56</v>
      </c>
      <c r="P841" s="262"/>
      <c r="Q841" s="262" t="s">
        <v>30</v>
      </c>
      <c r="R841" s="262" t="s">
        <v>31</v>
      </c>
      <c r="S841" s="267" t="s">
        <v>31</v>
      </c>
      <c r="T841" s="268"/>
      <c r="U841" s="269"/>
      <c r="V841" s="269">
        <v>0</v>
      </c>
      <c r="W841" s="278">
        <v>0</v>
      </c>
      <c r="X841" s="270"/>
      <c r="Y841" s="262" t="s">
        <v>24</v>
      </c>
      <c r="Z841" s="271" t="s">
        <v>562</v>
      </c>
      <c r="AA841" s="287"/>
      <c r="AB841" s="287"/>
      <c r="AC841" s="272">
        <f t="shared" si="27"/>
        <v>0</v>
      </c>
      <c r="AD841" s="272">
        <v>0</v>
      </c>
      <c r="AE841" s="272">
        <f t="shared" si="28"/>
        <v>0</v>
      </c>
      <c r="AF841" s="273"/>
      <c r="AG841" s="274"/>
      <c r="AH841" s="273"/>
      <c r="AI841" s="273"/>
      <c r="AJ841" s="274"/>
      <c r="AK841" s="273"/>
      <c r="AL841" s="275"/>
      <c r="AM841" s="290"/>
      <c r="AN841" s="275"/>
      <c r="AO841" s="276"/>
      <c r="AP841" s="275"/>
      <c r="AQ841" s="275"/>
      <c r="AR841" s="275"/>
      <c r="AS841" s="275"/>
      <c r="AT841" s="275"/>
      <c r="AU841" s="275"/>
      <c r="AV841" s="275"/>
      <c r="AW841" s="275"/>
      <c r="AX841" s="275"/>
      <c r="AY841" s="275"/>
      <c r="AZ841" s="275"/>
      <c r="BA841" s="275"/>
      <c r="BB841" s="275"/>
      <c r="BC841" s="275"/>
      <c r="BD841" s="275"/>
      <c r="BE841" s="275"/>
      <c r="BF841" s="275"/>
      <c r="BH841" s="277"/>
    </row>
    <row r="842" spans="1:60" ht="16.5" customHeight="1">
      <c r="A842" s="260">
        <v>820</v>
      </c>
      <c r="B842" s="261"/>
      <c r="C842" s="261"/>
      <c r="D842" s="262" t="s">
        <v>15</v>
      </c>
      <c r="E842" s="262" t="s">
        <v>277</v>
      </c>
      <c r="F842" s="263" t="s">
        <v>15</v>
      </c>
      <c r="G842" s="264" t="s">
        <v>277</v>
      </c>
      <c r="H842" s="281"/>
      <c r="I842" s="265"/>
      <c r="J842" s="266" t="s">
        <v>302</v>
      </c>
      <c r="K842" s="262"/>
      <c r="L842" s="262"/>
      <c r="M842" s="262">
        <v>16700</v>
      </c>
      <c r="N842" s="262"/>
      <c r="O842" s="262" t="s">
        <v>35</v>
      </c>
      <c r="P842" s="262"/>
      <c r="Q842" s="262"/>
      <c r="R842" s="262" t="s">
        <v>478</v>
      </c>
      <c r="S842" s="267" t="s">
        <v>478</v>
      </c>
      <c r="T842" s="268"/>
      <c r="U842" s="269"/>
      <c r="V842" s="269"/>
      <c r="W842" s="278">
        <v>0</v>
      </c>
      <c r="X842" s="270"/>
      <c r="Y842" s="262"/>
      <c r="Z842" s="271" t="s">
        <v>25</v>
      </c>
      <c r="AA842" s="287"/>
      <c r="AB842" s="287"/>
      <c r="AC842" s="272">
        <f t="shared" si="27"/>
        <v>10000000</v>
      </c>
      <c r="AD842" s="272">
        <v>10000000</v>
      </c>
      <c r="AE842" s="272">
        <f t="shared" si="28"/>
        <v>0</v>
      </c>
      <c r="AF842" s="273"/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75"/>
      <c r="AR842" s="275"/>
      <c r="AS842" s="275">
        <v>5000000</v>
      </c>
      <c r="AT842" s="275"/>
      <c r="AU842" s="275"/>
      <c r="AV842" s="275"/>
      <c r="AW842" s="275"/>
      <c r="AX842" s="275"/>
      <c r="AY842" s="275"/>
      <c r="AZ842" s="275"/>
      <c r="BA842" s="275">
        <v>5000000</v>
      </c>
      <c r="BB842" s="275"/>
      <c r="BC842" s="275"/>
      <c r="BD842" s="275"/>
      <c r="BE842" s="275"/>
      <c r="BF842" s="275"/>
      <c r="BH842" s="277"/>
    </row>
    <row r="843" spans="1:60" ht="16.5" customHeight="1">
      <c r="A843" s="260">
        <v>821</v>
      </c>
      <c r="B843" s="261"/>
      <c r="C843" s="261"/>
      <c r="D843" s="262" t="s">
        <v>15</v>
      </c>
      <c r="E843" s="262" t="s">
        <v>277</v>
      </c>
      <c r="F843" s="263" t="s">
        <v>15</v>
      </c>
      <c r="G843" s="264" t="s">
        <v>277</v>
      </c>
      <c r="H843" s="281"/>
      <c r="I843" s="265"/>
      <c r="J843" s="266" t="s">
        <v>302</v>
      </c>
      <c r="K843" s="262"/>
      <c r="L843" s="262"/>
      <c r="M843" s="262">
        <v>16700</v>
      </c>
      <c r="N843" s="262" t="s">
        <v>22</v>
      </c>
      <c r="O843" s="262" t="s">
        <v>35</v>
      </c>
      <c r="P843" s="262"/>
      <c r="Q843" s="262"/>
      <c r="R843" s="262"/>
      <c r="S843" s="267" t="s">
        <v>828</v>
      </c>
      <c r="T843" s="268"/>
      <c r="U843" s="269"/>
      <c r="V843" s="269"/>
      <c r="W843" s="278">
        <v>0</v>
      </c>
      <c r="X843" s="270"/>
      <c r="Y843" s="262"/>
      <c r="Z843" s="271" t="s">
        <v>25</v>
      </c>
      <c r="AA843" s="287"/>
      <c r="AB843" s="287"/>
      <c r="AC843" s="272">
        <f t="shared" si="27"/>
        <v>10000000</v>
      </c>
      <c r="AD843" s="272">
        <v>10000000</v>
      </c>
      <c r="AE843" s="272">
        <f t="shared" si="28"/>
        <v>0</v>
      </c>
      <c r="AF843" s="273"/>
      <c r="AG843" s="274"/>
      <c r="AH843" s="273"/>
      <c r="AI843" s="273"/>
      <c r="AJ843" s="274"/>
      <c r="AK843" s="273"/>
      <c r="AL843" s="275"/>
      <c r="AM843" s="290"/>
      <c r="AN843" s="275"/>
      <c r="AO843" s="276">
        <v>5000000</v>
      </c>
      <c r="AP843" s="275"/>
      <c r="AQ843" s="275">
        <v>5000000</v>
      </c>
      <c r="AR843" s="275"/>
      <c r="AS843" s="275"/>
      <c r="AT843" s="275"/>
      <c r="AU843" s="275"/>
      <c r="AV843" s="275"/>
      <c r="AW843" s="275"/>
      <c r="AX843" s="275"/>
      <c r="AY843" s="275"/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customHeight="1">
      <c r="A844" s="260">
        <v>822</v>
      </c>
      <c r="B844" s="261"/>
      <c r="C844" s="261"/>
      <c r="D844" s="262" t="s">
        <v>15</v>
      </c>
      <c r="E844" s="262" t="s">
        <v>277</v>
      </c>
      <c r="F844" s="263" t="s">
        <v>15</v>
      </c>
      <c r="G844" s="264" t="s">
        <v>277</v>
      </c>
      <c r="H844" s="281"/>
      <c r="I844" s="265"/>
      <c r="J844" s="266" t="s">
        <v>303</v>
      </c>
      <c r="K844" s="262"/>
      <c r="L844" s="262"/>
      <c r="M844" s="262">
        <v>61288</v>
      </c>
      <c r="N844" s="262" t="s">
        <v>22</v>
      </c>
      <c r="O844" s="262" t="s">
        <v>212</v>
      </c>
      <c r="P844" s="262"/>
      <c r="Q844" s="262" t="s">
        <v>18</v>
      </c>
      <c r="R844" s="262" t="s">
        <v>19</v>
      </c>
      <c r="S844" s="267" t="s">
        <v>19</v>
      </c>
      <c r="T844" s="268" t="s">
        <v>951</v>
      </c>
      <c r="U844" s="269">
        <v>6364220</v>
      </c>
      <c r="V844" s="269">
        <v>8982500</v>
      </c>
      <c r="W844" s="278">
        <v>9512000</v>
      </c>
      <c r="X844" s="270"/>
      <c r="Y844" s="262" t="s">
        <v>27</v>
      </c>
      <c r="Z844" s="271" t="s">
        <v>27</v>
      </c>
      <c r="AA844" s="287"/>
      <c r="AB844" s="287"/>
      <c r="AC844" s="272">
        <f t="shared" si="27"/>
        <v>7000000</v>
      </c>
      <c r="AD844" s="272">
        <v>7000000</v>
      </c>
      <c r="AE844" s="272">
        <f t="shared" si="28"/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75"/>
      <c r="AR844" s="275"/>
      <c r="AS844" s="275"/>
      <c r="AT844" s="275"/>
      <c r="AU844" s="275">
        <v>3500000</v>
      </c>
      <c r="AV844" s="275"/>
      <c r="AW844" s="275"/>
      <c r="AX844" s="275"/>
      <c r="AY844" s="275"/>
      <c r="AZ844" s="275"/>
      <c r="BA844" s="275"/>
      <c r="BB844" s="275"/>
      <c r="BC844" s="275"/>
      <c r="BD844" s="275"/>
      <c r="BE844" s="275">
        <v>3500000</v>
      </c>
      <c r="BF844" s="275"/>
      <c r="BH844" s="277"/>
    </row>
    <row r="845" spans="1:60" ht="16.5" customHeight="1">
      <c r="A845" s="260">
        <v>823</v>
      </c>
      <c r="B845" s="261"/>
      <c r="C845" s="261"/>
      <c r="D845" s="262" t="s">
        <v>15</v>
      </c>
      <c r="E845" s="262" t="s">
        <v>277</v>
      </c>
      <c r="F845" s="263" t="s">
        <v>15</v>
      </c>
      <c r="G845" s="264" t="s">
        <v>277</v>
      </c>
      <c r="H845" s="281"/>
      <c r="I845" s="265"/>
      <c r="J845" s="266" t="s">
        <v>303</v>
      </c>
      <c r="K845" s="262"/>
      <c r="L845" s="262"/>
      <c r="M845" s="262">
        <v>61288</v>
      </c>
      <c r="N845" s="262" t="s">
        <v>22</v>
      </c>
      <c r="O845" s="262" t="s">
        <v>35</v>
      </c>
      <c r="P845" s="262"/>
      <c r="Q845" s="262"/>
      <c r="R845" s="262"/>
      <c r="S845" s="267" t="s">
        <v>822</v>
      </c>
      <c r="T845" s="268"/>
      <c r="U845" s="269"/>
      <c r="V845" s="269"/>
      <c r="W845" s="278">
        <v>0</v>
      </c>
      <c r="X845" s="270"/>
      <c r="Y845" s="262"/>
      <c r="Z845" s="271" t="s">
        <v>25</v>
      </c>
      <c r="AA845" s="287"/>
      <c r="AB845" s="287"/>
      <c r="AC845" s="272">
        <f t="shared" si="27"/>
        <v>5000000</v>
      </c>
      <c r="AD845" s="272">
        <v>5000000</v>
      </c>
      <c r="AE845" s="272">
        <f t="shared" si="28"/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>
        <v>5000000</v>
      </c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customHeight="1">
      <c r="A846" s="260">
        <v>824</v>
      </c>
      <c r="B846" s="261"/>
      <c r="C846" s="261"/>
      <c r="D846" s="262" t="s">
        <v>15</v>
      </c>
      <c r="E846" s="262" t="s">
        <v>277</v>
      </c>
      <c r="F846" s="263" t="s">
        <v>15</v>
      </c>
      <c r="G846" s="264" t="s">
        <v>277</v>
      </c>
      <c r="H846" s="281"/>
      <c r="I846" s="265"/>
      <c r="J846" s="266" t="s">
        <v>581</v>
      </c>
      <c r="K846" s="262"/>
      <c r="L846" s="262"/>
      <c r="M846" s="262">
        <v>18326</v>
      </c>
      <c r="N846" s="262" t="s">
        <v>22</v>
      </c>
      <c r="O846" s="262" t="s">
        <v>56</v>
      </c>
      <c r="P846" s="262"/>
      <c r="Q846" s="262" t="s">
        <v>18</v>
      </c>
      <c r="R846" s="262" t="s">
        <v>19</v>
      </c>
      <c r="S846" s="267" t="s">
        <v>19</v>
      </c>
      <c r="T846" s="268"/>
      <c r="U846" s="269">
        <v>8323500</v>
      </c>
      <c r="V846" s="269">
        <v>2920000</v>
      </c>
      <c r="W846" s="278">
        <v>225000</v>
      </c>
      <c r="X846" s="270"/>
      <c r="Y846" s="262" t="s">
        <v>24</v>
      </c>
      <c r="Z846" s="271" t="s">
        <v>25</v>
      </c>
      <c r="AA846" s="287"/>
      <c r="AB846" s="287"/>
      <c r="AC846" s="272">
        <f t="shared" si="27"/>
        <v>5000000</v>
      </c>
      <c r="AD846" s="272">
        <v>5000000</v>
      </c>
      <c r="AE846" s="272">
        <f t="shared" si="28"/>
        <v>0</v>
      </c>
      <c r="AF846" s="273"/>
      <c r="AG846" s="274"/>
      <c r="AH846" s="273"/>
      <c r="AI846" s="273"/>
      <c r="AJ846" s="274"/>
      <c r="AK846" s="273"/>
      <c r="AL846" s="275"/>
      <c r="AM846" s="290"/>
      <c r="AN846" s="275"/>
      <c r="AO846" s="276"/>
      <c r="AP846" s="275"/>
      <c r="AQ846" s="275">
        <v>5000000</v>
      </c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customHeight="1">
      <c r="A847" s="260">
        <v>825</v>
      </c>
      <c r="B847" s="261"/>
      <c r="C847" s="261"/>
      <c r="D847" s="262" t="s">
        <v>15</v>
      </c>
      <c r="E847" s="262" t="s">
        <v>277</v>
      </c>
      <c r="F847" s="263" t="s">
        <v>15</v>
      </c>
      <c r="G847" s="264" t="s">
        <v>277</v>
      </c>
      <c r="H847" s="281"/>
      <c r="I847" s="265"/>
      <c r="J847" s="266" t="s">
        <v>581</v>
      </c>
      <c r="K847" s="262"/>
      <c r="L847" s="262"/>
      <c r="M847" s="262">
        <v>18326</v>
      </c>
      <c r="N847" s="262" t="s">
        <v>22</v>
      </c>
      <c r="O847" s="262" t="s">
        <v>56</v>
      </c>
      <c r="P847" s="262"/>
      <c r="Q847" s="262"/>
      <c r="R847" s="262" t="s">
        <v>31</v>
      </c>
      <c r="S847" s="267" t="s">
        <v>31</v>
      </c>
      <c r="T847" s="268"/>
      <c r="U847" s="269"/>
      <c r="V847" s="269"/>
      <c r="W847" s="278">
        <v>4235000</v>
      </c>
      <c r="X847" s="270"/>
      <c r="Y847" s="262" t="s">
        <v>27</v>
      </c>
      <c r="Z847" s="271" t="s">
        <v>24</v>
      </c>
      <c r="AA847" s="287"/>
      <c r="AB847" s="287"/>
      <c r="AC847" s="272">
        <f t="shared" si="27"/>
        <v>4300000</v>
      </c>
      <c r="AD847" s="272">
        <v>4300000</v>
      </c>
      <c r="AE847" s="272">
        <f t="shared" si="28"/>
        <v>0</v>
      </c>
      <c r="AF847" s="273"/>
      <c r="AG847" s="274"/>
      <c r="AH847" s="273"/>
      <c r="AI847" s="273"/>
      <c r="AJ847" s="274"/>
      <c r="AK847" s="273"/>
      <c r="AL847" s="275"/>
      <c r="AM847" s="290"/>
      <c r="AN847" s="275"/>
      <c r="AO847" s="276"/>
      <c r="AP847" s="275"/>
      <c r="AQ847" s="275">
        <v>4300000</v>
      </c>
      <c r="AR847" s="275"/>
      <c r="AS847" s="275"/>
      <c r="AT847" s="275"/>
      <c r="AU847" s="275"/>
      <c r="AV847" s="275"/>
      <c r="AW847" s="275"/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customHeight="1">
      <c r="A848" s="260">
        <v>826</v>
      </c>
      <c r="B848" s="261"/>
      <c r="C848" s="261"/>
      <c r="D848" s="262" t="s">
        <v>15</v>
      </c>
      <c r="E848" s="262" t="s">
        <v>277</v>
      </c>
      <c r="F848" s="263" t="s">
        <v>15</v>
      </c>
      <c r="G848" s="264" t="s">
        <v>277</v>
      </c>
      <c r="H848" s="281"/>
      <c r="I848" s="265"/>
      <c r="J848" s="266" t="s">
        <v>581</v>
      </c>
      <c r="K848" s="262"/>
      <c r="L848" s="262"/>
      <c r="M848" s="262">
        <v>18326</v>
      </c>
      <c r="N848" s="262" t="s">
        <v>22</v>
      </c>
      <c r="O848" s="262" t="s">
        <v>56</v>
      </c>
      <c r="P848" s="262"/>
      <c r="Q848" s="262" t="s">
        <v>26</v>
      </c>
      <c r="R848" s="262" t="s">
        <v>468</v>
      </c>
      <c r="S848" s="267" t="s">
        <v>468</v>
      </c>
      <c r="T848" s="268"/>
      <c r="U848" s="269">
        <v>2100000</v>
      </c>
      <c r="V848" s="269">
        <v>0</v>
      </c>
      <c r="W848" s="278">
        <v>6850000</v>
      </c>
      <c r="X848" s="270"/>
      <c r="Y848" s="262" t="s">
        <v>27</v>
      </c>
      <c r="Z848" s="271" t="s">
        <v>27</v>
      </c>
      <c r="AA848" s="287"/>
      <c r="AB848" s="287"/>
      <c r="AC848" s="272">
        <f t="shared" si="27"/>
        <v>1600000</v>
      </c>
      <c r="AD848" s="272">
        <v>1600000</v>
      </c>
      <c r="AE848" s="272">
        <f t="shared" si="28"/>
        <v>0</v>
      </c>
      <c r="AF848" s="273"/>
      <c r="AG848" s="274"/>
      <c r="AH848" s="273"/>
      <c r="AI848" s="273"/>
      <c r="AJ848" s="274"/>
      <c r="AK848" s="273"/>
      <c r="AL848" s="275"/>
      <c r="AM848" s="290"/>
      <c r="AN848" s="275"/>
      <c r="AO848" s="276"/>
      <c r="AP848" s="275"/>
      <c r="AQ848" s="275">
        <v>1600000</v>
      </c>
      <c r="AR848" s="275"/>
      <c r="AS848" s="275"/>
      <c r="AT848" s="275"/>
      <c r="AU848" s="275"/>
      <c r="AV848" s="275"/>
      <c r="AW848" s="275"/>
      <c r="AX848" s="275"/>
      <c r="AY848" s="275"/>
      <c r="AZ848" s="275"/>
      <c r="BA848" s="275"/>
      <c r="BB848" s="275"/>
      <c r="BC848" s="275"/>
      <c r="BD848" s="275"/>
      <c r="BE848" s="275"/>
      <c r="BF848" s="275"/>
      <c r="BH848" s="277"/>
    </row>
    <row r="849" spans="1:60" ht="16.5" customHeight="1">
      <c r="A849" s="260">
        <v>827</v>
      </c>
      <c r="B849" s="261"/>
      <c r="C849" s="261"/>
      <c r="D849" s="262" t="s">
        <v>15</v>
      </c>
      <c r="E849" s="262" t="s">
        <v>277</v>
      </c>
      <c r="F849" s="263" t="s">
        <v>15</v>
      </c>
      <c r="G849" s="264" t="s">
        <v>277</v>
      </c>
      <c r="H849" s="281"/>
      <c r="I849" s="265"/>
      <c r="J849" s="266" t="s">
        <v>1004</v>
      </c>
      <c r="K849" s="262"/>
      <c r="L849" s="262"/>
      <c r="M849" s="262">
        <v>42175</v>
      </c>
      <c r="N849" s="262" t="s">
        <v>22</v>
      </c>
      <c r="O849" s="262" t="s">
        <v>56</v>
      </c>
      <c r="P849" s="262"/>
      <c r="Q849" s="262" t="s">
        <v>55</v>
      </c>
      <c r="R849" s="262" t="s">
        <v>475</v>
      </c>
      <c r="S849" s="267" t="s">
        <v>830</v>
      </c>
      <c r="T849" s="268"/>
      <c r="U849" s="269"/>
      <c r="V849" s="269">
        <v>500000</v>
      </c>
      <c r="W849" s="278">
        <v>0</v>
      </c>
      <c r="X849" s="270"/>
      <c r="Y849" s="262" t="s">
        <v>24</v>
      </c>
      <c r="Z849" s="271" t="s">
        <v>20</v>
      </c>
      <c r="AA849" s="287"/>
      <c r="AB849" s="287"/>
      <c r="AC849" s="272">
        <f t="shared" si="27"/>
        <v>0</v>
      </c>
      <c r="AD849" s="272">
        <v>0</v>
      </c>
      <c r="AE849" s="272">
        <f t="shared" si="28"/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/>
      <c r="AX849" s="275"/>
      <c r="AY849" s="275"/>
      <c r="AZ849" s="275"/>
      <c r="BA849" s="275"/>
      <c r="BB849" s="275"/>
      <c r="BC849" s="275"/>
      <c r="BD849" s="275"/>
      <c r="BE849" s="275"/>
      <c r="BF849" s="275"/>
      <c r="BH849" s="277"/>
    </row>
    <row r="850" spans="1:60" ht="16.5" customHeight="1">
      <c r="A850" s="260">
        <v>828</v>
      </c>
      <c r="B850" s="261"/>
      <c r="C850" s="261"/>
      <c r="D850" s="262" t="s">
        <v>15</v>
      </c>
      <c r="E850" s="262" t="s">
        <v>277</v>
      </c>
      <c r="F850" s="263" t="s">
        <v>15</v>
      </c>
      <c r="G850" s="264" t="s">
        <v>277</v>
      </c>
      <c r="H850" s="281"/>
      <c r="I850" s="265"/>
      <c r="J850" s="266" t="s">
        <v>1026</v>
      </c>
      <c r="K850" s="262"/>
      <c r="L850" s="262"/>
      <c r="M850" s="262">
        <v>7169</v>
      </c>
      <c r="N850" s="262" t="s">
        <v>32</v>
      </c>
      <c r="O850" s="262" t="s">
        <v>212</v>
      </c>
      <c r="P850" s="262"/>
      <c r="Q850" s="262" t="s">
        <v>63</v>
      </c>
      <c r="R850" s="262" t="s">
        <v>28</v>
      </c>
      <c r="S850" s="267" t="s">
        <v>28</v>
      </c>
      <c r="T850" s="268" t="s">
        <v>951</v>
      </c>
      <c r="U850" s="269">
        <v>29819020</v>
      </c>
      <c r="V850" s="269">
        <v>80309982</v>
      </c>
      <c r="W850" s="278">
        <v>74351780</v>
      </c>
      <c r="X850" s="270"/>
      <c r="Y850" s="262" t="s">
        <v>27</v>
      </c>
      <c r="Z850" s="271" t="s">
        <v>27</v>
      </c>
      <c r="AA850" s="287"/>
      <c r="AB850" s="287"/>
      <c r="AC850" s="272">
        <f t="shared" si="27"/>
        <v>43626980</v>
      </c>
      <c r="AD850" s="272">
        <v>43626980</v>
      </c>
      <c r="AE850" s="272">
        <f t="shared" si="28"/>
        <v>0</v>
      </c>
      <c r="AF850" s="273">
        <v>5000000</v>
      </c>
      <c r="AG850" s="274"/>
      <c r="AH850" s="273"/>
      <c r="AI850" s="273">
        <v>5000000</v>
      </c>
      <c r="AJ850" s="274"/>
      <c r="AK850" s="273"/>
      <c r="AL850" s="275">
        <v>5000000</v>
      </c>
      <c r="AM850" s="290"/>
      <c r="AN850" s="275"/>
      <c r="AO850" s="276">
        <v>33626980</v>
      </c>
      <c r="AP850" s="275"/>
      <c r="AQ850" s="275">
        <v>5000000</v>
      </c>
      <c r="AR850" s="275"/>
      <c r="AS850" s="275">
        <v>5000000</v>
      </c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H850" s="277"/>
    </row>
    <row r="851" spans="1:60" ht="16.5" customHeight="1">
      <c r="A851" s="260">
        <v>829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277</v>
      </c>
      <c r="H851" s="281"/>
      <c r="I851" s="265"/>
      <c r="J851" s="266" t="s">
        <v>304</v>
      </c>
      <c r="K851" s="262"/>
      <c r="L851" s="262"/>
      <c r="M851" s="262">
        <v>7169</v>
      </c>
      <c r="N851" s="262" t="s">
        <v>32</v>
      </c>
      <c r="O851" s="262" t="s">
        <v>56</v>
      </c>
      <c r="P851" s="262"/>
      <c r="Q851" s="262" t="s">
        <v>63</v>
      </c>
      <c r="R851" s="262" t="s">
        <v>28</v>
      </c>
      <c r="S851" s="267" t="s">
        <v>28</v>
      </c>
      <c r="T851" s="268"/>
      <c r="U851" s="269"/>
      <c r="V851" s="269">
        <v>0</v>
      </c>
      <c r="W851" s="278">
        <v>0</v>
      </c>
      <c r="X851" s="270"/>
      <c r="Y851" s="262" t="s">
        <v>24</v>
      </c>
      <c r="Z851" s="271" t="s">
        <v>24</v>
      </c>
      <c r="AA851" s="287"/>
      <c r="AB851" s="287"/>
      <c r="AC851" s="272">
        <f t="shared" si="27"/>
        <v>42000000</v>
      </c>
      <c r="AD851" s="272">
        <v>42000000</v>
      </c>
      <c r="AE851" s="272">
        <f t="shared" si="28"/>
        <v>0</v>
      </c>
      <c r="AF851" s="273"/>
      <c r="AG851" s="274"/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/>
      <c r="AT851" s="275"/>
      <c r="AU851" s="275">
        <v>7000000</v>
      </c>
      <c r="AV851" s="275"/>
      <c r="AW851" s="275">
        <v>7000000</v>
      </c>
      <c r="AX851" s="275"/>
      <c r="AY851" s="275">
        <v>7000000</v>
      </c>
      <c r="AZ851" s="275"/>
      <c r="BA851" s="275">
        <v>7000000</v>
      </c>
      <c r="BB851" s="275"/>
      <c r="BC851" s="275">
        <v>7000000</v>
      </c>
      <c r="BD851" s="275"/>
      <c r="BE851" s="275">
        <v>7000000</v>
      </c>
      <c r="BF851" s="275"/>
      <c r="BH851" s="277"/>
    </row>
    <row r="852" spans="1:60" ht="16.5" customHeight="1">
      <c r="A852" s="260">
        <v>830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304</v>
      </c>
      <c r="K852" s="262"/>
      <c r="L852" s="262"/>
      <c r="M852" s="262">
        <v>7169</v>
      </c>
      <c r="N852" s="262" t="s">
        <v>32</v>
      </c>
      <c r="O852" s="262" t="s">
        <v>56</v>
      </c>
      <c r="P852" s="262"/>
      <c r="Q852" s="262" t="s">
        <v>26</v>
      </c>
      <c r="R852" s="262" t="s">
        <v>478</v>
      </c>
      <c r="S852" s="267" t="s">
        <v>478</v>
      </c>
      <c r="T852" s="268"/>
      <c r="U852" s="269"/>
      <c r="V852" s="269">
        <v>7450000</v>
      </c>
      <c r="W852" s="278">
        <v>9000000</v>
      </c>
      <c r="X852" s="270"/>
      <c r="Y852" s="262" t="s">
        <v>20</v>
      </c>
      <c r="Z852" s="271" t="s">
        <v>25</v>
      </c>
      <c r="AA852" s="287"/>
      <c r="AB852" s="287"/>
      <c r="AC852" s="272">
        <f t="shared" si="27"/>
        <v>8000000</v>
      </c>
      <c r="AD852" s="272">
        <v>8000000</v>
      </c>
      <c r="AE852" s="272">
        <f t="shared" si="28"/>
        <v>0</v>
      </c>
      <c r="AF852" s="273"/>
      <c r="AG852" s="274"/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/>
      <c r="AT852" s="275"/>
      <c r="AU852" s="275"/>
      <c r="AV852" s="275"/>
      <c r="AW852" s="275"/>
      <c r="AX852" s="275"/>
      <c r="AY852" s="275"/>
      <c r="AZ852" s="275"/>
      <c r="BA852" s="275"/>
      <c r="BB852" s="275"/>
      <c r="BC852" s="275">
        <v>8000000</v>
      </c>
      <c r="BD852" s="275"/>
      <c r="BE852" s="275"/>
      <c r="BF852" s="275"/>
      <c r="BH852" s="277"/>
    </row>
    <row r="853" spans="1:60" ht="16.5" customHeight="1">
      <c r="A853" s="260">
        <v>831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304</v>
      </c>
      <c r="K853" s="262"/>
      <c r="L853" s="262"/>
      <c r="M853" s="262">
        <v>7169</v>
      </c>
      <c r="N853" s="262" t="s">
        <v>32</v>
      </c>
      <c r="O853" s="262" t="s">
        <v>56</v>
      </c>
      <c r="P853" s="262"/>
      <c r="Q853" s="262" t="s">
        <v>23</v>
      </c>
      <c r="R853" s="262" t="s">
        <v>397</v>
      </c>
      <c r="S853" s="267" t="s">
        <v>823</v>
      </c>
      <c r="T853" s="268"/>
      <c r="U853" s="269">
        <v>15102700</v>
      </c>
      <c r="V853" s="269">
        <v>8900000</v>
      </c>
      <c r="W853" s="278">
        <v>7000000</v>
      </c>
      <c r="X853" s="270"/>
      <c r="Y853" s="262" t="s">
        <v>24</v>
      </c>
      <c r="Z853" s="271" t="s">
        <v>24</v>
      </c>
      <c r="AA853" s="287"/>
      <c r="AB853" s="287"/>
      <c r="AC853" s="272">
        <f t="shared" si="27"/>
        <v>9000000</v>
      </c>
      <c r="AD853" s="272">
        <v>9000000</v>
      </c>
      <c r="AE853" s="272">
        <f t="shared" si="28"/>
        <v>0</v>
      </c>
      <c r="AF853" s="273"/>
      <c r="AG853" s="274"/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/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>
        <v>9000000</v>
      </c>
      <c r="BD853" s="275"/>
      <c r="BE853" s="275"/>
      <c r="BF853" s="275"/>
      <c r="BH853" s="277"/>
    </row>
    <row r="854" spans="1:60" ht="16.5" customHeight="1">
      <c r="A854" s="260">
        <v>832</v>
      </c>
      <c r="B854" s="261"/>
      <c r="C854" s="261"/>
      <c r="D854" s="262" t="s">
        <v>15</v>
      </c>
      <c r="E854" s="262" t="s">
        <v>277</v>
      </c>
      <c r="F854" s="263" t="s">
        <v>15</v>
      </c>
      <c r="G854" s="264" t="s">
        <v>277</v>
      </c>
      <c r="H854" s="281"/>
      <c r="I854" s="265"/>
      <c r="J854" s="266" t="s">
        <v>667</v>
      </c>
      <c r="K854" s="262"/>
      <c r="L854" s="262"/>
      <c r="M854" s="262">
        <v>4706</v>
      </c>
      <c r="N854" s="262" t="s">
        <v>32</v>
      </c>
      <c r="O854" s="262" t="s">
        <v>56</v>
      </c>
      <c r="P854" s="262"/>
      <c r="Q854" s="262"/>
      <c r="R854" s="262" t="s">
        <v>478</v>
      </c>
      <c r="S854" s="267" t="s">
        <v>478</v>
      </c>
      <c r="T854" s="268"/>
      <c r="U854" s="269"/>
      <c r="V854" s="269">
        <v>0</v>
      </c>
      <c r="W854" s="278">
        <v>0</v>
      </c>
      <c r="X854" s="270"/>
      <c r="Y854" s="262" t="s">
        <v>27</v>
      </c>
      <c r="Z854" s="271" t="s">
        <v>24</v>
      </c>
      <c r="AA854" s="287"/>
      <c r="AB854" s="287"/>
      <c r="AC854" s="272">
        <f t="shared" si="27"/>
        <v>100000000</v>
      </c>
      <c r="AD854" s="272">
        <v>100000000</v>
      </c>
      <c r="AE854" s="272">
        <f t="shared" si="28"/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>
        <v>100000000</v>
      </c>
      <c r="AR854" s="275"/>
      <c r="AS854" s="275"/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customHeight="1">
      <c r="A855" s="260">
        <v>833</v>
      </c>
      <c r="B855" s="261"/>
      <c r="C855" s="261"/>
      <c r="D855" s="262" t="s">
        <v>15</v>
      </c>
      <c r="E855" s="262" t="s">
        <v>277</v>
      </c>
      <c r="F855" s="263" t="s">
        <v>15</v>
      </c>
      <c r="G855" s="264" t="s">
        <v>277</v>
      </c>
      <c r="H855" s="281"/>
      <c r="I855" s="265"/>
      <c r="J855" s="266" t="s">
        <v>667</v>
      </c>
      <c r="K855" s="262"/>
      <c r="L855" s="262"/>
      <c r="M855" s="262">
        <v>4706</v>
      </c>
      <c r="N855" s="262" t="s">
        <v>478</v>
      </c>
      <c r="O855" s="262" t="s">
        <v>35</v>
      </c>
      <c r="P855" s="262"/>
      <c r="Q855" s="262"/>
      <c r="R855" s="262" t="s">
        <v>478</v>
      </c>
      <c r="S855" s="267" t="s">
        <v>478</v>
      </c>
      <c r="T855" s="268"/>
      <c r="U855" s="269"/>
      <c r="V855" s="269"/>
      <c r="W855" s="278">
        <v>0</v>
      </c>
      <c r="X855" s="270"/>
      <c r="Y855" s="262"/>
      <c r="Z855" s="271" t="s">
        <v>25</v>
      </c>
      <c r="AA855" s="287"/>
      <c r="AB855" s="287"/>
      <c r="AC855" s="272">
        <f t="shared" ref="AC855:AC918" si="29">AG855+AJ855+AM855+AO855+AQ855+AS855+AU855+AW855+AY855+BA855+BC855+BE855</f>
        <v>200000000</v>
      </c>
      <c r="AD855" s="272">
        <v>200000000</v>
      </c>
      <c r="AE855" s="272">
        <f t="shared" ref="AE855:AE918" si="30">AC855-AD855</f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/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>
        <v>200000000</v>
      </c>
      <c r="BD855" s="275"/>
      <c r="BE855" s="275"/>
      <c r="BF855" s="275"/>
      <c r="BH855" s="277"/>
    </row>
    <row r="856" spans="1:60" ht="16.5" customHeight="1">
      <c r="A856" s="260">
        <v>834</v>
      </c>
      <c r="B856" s="261"/>
      <c r="C856" s="261"/>
      <c r="D856" s="262" t="s">
        <v>15</v>
      </c>
      <c r="E856" s="262" t="s">
        <v>277</v>
      </c>
      <c r="F856" s="263" t="s">
        <v>15</v>
      </c>
      <c r="G856" s="264" t="s">
        <v>277</v>
      </c>
      <c r="H856" s="281"/>
      <c r="I856" s="265"/>
      <c r="J856" s="266" t="s">
        <v>667</v>
      </c>
      <c r="K856" s="262"/>
      <c r="L856" s="262"/>
      <c r="M856" s="262">
        <v>4706</v>
      </c>
      <c r="N856" s="262" t="s">
        <v>32</v>
      </c>
      <c r="O856" s="262" t="s">
        <v>56</v>
      </c>
      <c r="P856" s="262"/>
      <c r="Q856" s="262"/>
      <c r="R856" s="262" t="s">
        <v>478</v>
      </c>
      <c r="S856" s="267" t="s">
        <v>478</v>
      </c>
      <c r="T856" s="268"/>
      <c r="U856" s="269"/>
      <c r="V856" s="269">
        <v>0</v>
      </c>
      <c r="W856" s="278">
        <v>245630970</v>
      </c>
      <c r="X856" s="270"/>
      <c r="Y856" s="262" t="s">
        <v>27</v>
      </c>
      <c r="Z856" s="271" t="s">
        <v>74</v>
      </c>
      <c r="AA856" s="287"/>
      <c r="AB856" s="287"/>
      <c r="AC856" s="272">
        <f t="shared" si="29"/>
        <v>180000000</v>
      </c>
      <c r="AD856" s="272">
        <v>180000000</v>
      </c>
      <c r="AE856" s="272">
        <f t="shared" si="30"/>
        <v>0</v>
      </c>
      <c r="AF856" s="273"/>
      <c r="AG856" s="274"/>
      <c r="AH856" s="273"/>
      <c r="AI856" s="273"/>
      <c r="AJ856" s="274"/>
      <c r="AK856" s="273"/>
      <c r="AL856" s="275"/>
      <c r="AM856" s="290"/>
      <c r="AN856" s="275"/>
      <c r="AO856" s="276"/>
      <c r="AP856" s="275"/>
      <c r="AQ856" s="275"/>
      <c r="AR856" s="275"/>
      <c r="AS856" s="275"/>
      <c r="AT856" s="275"/>
      <c r="AU856" s="275"/>
      <c r="AV856" s="275"/>
      <c r="AW856" s="275"/>
      <c r="AX856" s="275"/>
      <c r="AY856" s="275"/>
      <c r="AZ856" s="275"/>
      <c r="BA856" s="275"/>
      <c r="BB856" s="275"/>
      <c r="BC856" s="275">
        <v>180000000</v>
      </c>
      <c r="BD856" s="275"/>
      <c r="BE856" s="275"/>
      <c r="BF856" s="275"/>
      <c r="BH856" s="277"/>
    </row>
    <row r="857" spans="1:60" ht="16.5" customHeight="1">
      <c r="A857" s="260">
        <v>835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305</v>
      </c>
      <c r="K857" s="262"/>
      <c r="L857" s="262"/>
      <c r="M857" s="262">
        <v>28822</v>
      </c>
      <c r="N857" s="262" t="s">
        <v>32</v>
      </c>
      <c r="O857" s="262" t="s">
        <v>178</v>
      </c>
      <c r="P857" s="262"/>
      <c r="Q857" s="262" t="s">
        <v>30</v>
      </c>
      <c r="R857" s="262" t="s">
        <v>31</v>
      </c>
      <c r="S857" s="267" t="s">
        <v>31</v>
      </c>
      <c r="T857" s="268"/>
      <c r="U857" s="269">
        <v>800000</v>
      </c>
      <c r="V857" s="269">
        <v>0</v>
      </c>
      <c r="W857" s="278">
        <v>0</v>
      </c>
      <c r="X857" s="270"/>
      <c r="Y857" s="262" t="s">
        <v>21</v>
      </c>
      <c r="Z857" s="271" t="s">
        <v>21</v>
      </c>
      <c r="AA857" s="287"/>
      <c r="AB857" s="287"/>
      <c r="AC857" s="272">
        <f t="shared" si="29"/>
        <v>0</v>
      </c>
      <c r="AD857" s="272">
        <v>0</v>
      </c>
      <c r="AE857" s="272">
        <f t="shared" si="30"/>
        <v>0</v>
      </c>
      <c r="AF857" s="273"/>
      <c r="AG857" s="274"/>
      <c r="AH857" s="273"/>
      <c r="AI857" s="273"/>
      <c r="AJ857" s="274"/>
      <c r="AK857" s="273"/>
      <c r="AL857" s="275"/>
      <c r="AM857" s="290"/>
      <c r="AN857" s="275"/>
      <c r="AO857" s="276"/>
      <c r="AP857" s="275"/>
      <c r="AQ857" s="275"/>
      <c r="AR857" s="275"/>
      <c r="AS857" s="275"/>
      <c r="AT857" s="275"/>
      <c r="AU857" s="275"/>
      <c r="AV857" s="275"/>
      <c r="AW857" s="275"/>
      <c r="AX857" s="275"/>
      <c r="AY857" s="275"/>
      <c r="AZ857" s="275"/>
      <c r="BA857" s="275"/>
      <c r="BB857" s="275"/>
      <c r="BC857" s="275"/>
      <c r="BD857" s="275"/>
      <c r="BE857" s="275"/>
      <c r="BF857" s="275"/>
      <c r="BH857" s="277"/>
    </row>
    <row r="858" spans="1:60" ht="16.5" customHeight="1">
      <c r="A858" s="260">
        <v>836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305</v>
      </c>
      <c r="K858" s="262"/>
      <c r="L858" s="262"/>
      <c r="M858" s="262">
        <v>28822</v>
      </c>
      <c r="N858" s="262" t="s">
        <v>32</v>
      </c>
      <c r="O858" s="262" t="s">
        <v>56</v>
      </c>
      <c r="P858" s="262"/>
      <c r="Q858" s="262" t="s">
        <v>26</v>
      </c>
      <c r="R858" s="262" t="s">
        <v>468</v>
      </c>
      <c r="S858" s="267" t="s">
        <v>468</v>
      </c>
      <c r="T858" s="268"/>
      <c r="U858" s="269">
        <v>4203364</v>
      </c>
      <c r="V858" s="269">
        <v>25018000</v>
      </c>
      <c r="W858" s="278">
        <v>0</v>
      </c>
      <c r="X858" s="270"/>
      <c r="Y858" s="262" t="s">
        <v>24</v>
      </c>
      <c r="Z858" s="271" t="s">
        <v>25</v>
      </c>
      <c r="AA858" s="287"/>
      <c r="AB858" s="287"/>
      <c r="AC858" s="272">
        <f t="shared" si="29"/>
        <v>20000000</v>
      </c>
      <c r="AD858" s="272">
        <v>20000000</v>
      </c>
      <c r="AE858" s="272">
        <f t="shared" si="30"/>
        <v>0</v>
      </c>
      <c r="AF858" s="273"/>
      <c r="AG858" s="274"/>
      <c r="AH858" s="273"/>
      <c r="AI858" s="273"/>
      <c r="AJ858" s="274"/>
      <c r="AK858" s="273"/>
      <c r="AL858" s="275"/>
      <c r="AM858" s="290"/>
      <c r="AN858" s="275"/>
      <c r="AO858" s="276"/>
      <c r="AP858" s="275"/>
      <c r="AQ858" s="275">
        <v>20000000</v>
      </c>
      <c r="AR858" s="275"/>
      <c r="AS858" s="275"/>
      <c r="AT858" s="275"/>
      <c r="AU858" s="275"/>
      <c r="AV858" s="275"/>
      <c r="AW858" s="275"/>
      <c r="AX858" s="275"/>
      <c r="AY858" s="275"/>
      <c r="AZ858" s="275"/>
      <c r="BA858" s="275"/>
      <c r="BB858" s="275"/>
      <c r="BC858" s="275"/>
      <c r="BD858" s="275"/>
      <c r="BE858" s="275"/>
      <c r="BF858" s="275"/>
      <c r="BH858" s="277"/>
    </row>
    <row r="859" spans="1:60" ht="16.5" customHeight="1">
      <c r="A859" s="260">
        <v>837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306</v>
      </c>
      <c r="K859" s="262"/>
      <c r="L859" s="262"/>
      <c r="M859" s="262">
        <v>20503</v>
      </c>
      <c r="N859" s="262" t="s">
        <v>22</v>
      </c>
      <c r="O859" s="262" t="s">
        <v>35</v>
      </c>
      <c r="P859" s="262"/>
      <c r="Q859" s="262"/>
      <c r="R859" s="262" t="s">
        <v>467</v>
      </c>
      <c r="S859" s="267" t="s">
        <v>19</v>
      </c>
      <c r="T859" s="268"/>
      <c r="U859" s="269"/>
      <c r="V859" s="269">
        <v>0</v>
      </c>
      <c r="W859" s="278">
        <v>6520000</v>
      </c>
      <c r="X859" s="270"/>
      <c r="Y859" s="262" t="s">
        <v>25</v>
      </c>
      <c r="Z859" s="271" t="s">
        <v>25</v>
      </c>
      <c r="AA859" s="287"/>
      <c r="AB859" s="287"/>
      <c r="AC859" s="272">
        <f t="shared" si="29"/>
        <v>5000000</v>
      </c>
      <c r="AD859" s="272">
        <v>5000000</v>
      </c>
      <c r="AE859" s="272">
        <f t="shared" si="30"/>
        <v>0</v>
      </c>
      <c r="AF859" s="273"/>
      <c r="AG859" s="274"/>
      <c r="AH859" s="273"/>
      <c r="AI859" s="273"/>
      <c r="AJ859" s="274"/>
      <c r="AK859" s="273"/>
      <c r="AL859" s="275"/>
      <c r="AM859" s="290"/>
      <c r="AN859" s="275"/>
      <c r="AO859" s="276"/>
      <c r="AP859" s="275"/>
      <c r="AQ859" s="275"/>
      <c r="AR859" s="275"/>
      <c r="AS859" s="275"/>
      <c r="AT859" s="275"/>
      <c r="AU859" s="275"/>
      <c r="AV859" s="275"/>
      <c r="AW859" s="275"/>
      <c r="AX859" s="275"/>
      <c r="AY859" s="275">
        <v>5000000</v>
      </c>
      <c r="AZ859" s="275"/>
      <c r="BA859" s="275"/>
      <c r="BB859" s="275"/>
      <c r="BC859" s="275"/>
      <c r="BD859" s="275"/>
      <c r="BE859" s="275"/>
      <c r="BF859" s="275"/>
      <c r="BH859" s="277"/>
    </row>
    <row r="860" spans="1:60" ht="16.5" customHeight="1">
      <c r="A860" s="260">
        <v>838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306</v>
      </c>
      <c r="K860" s="262"/>
      <c r="L860" s="262"/>
      <c r="M860" s="262">
        <v>20503</v>
      </c>
      <c r="N860" s="262" t="s">
        <v>22</v>
      </c>
      <c r="O860" s="262" t="s">
        <v>35</v>
      </c>
      <c r="P860" s="262"/>
      <c r="Q860" s="262" t="s">
        <v>26</v>
      </c>
      <c r="R860" s="262" t="s">
        <v>468</v>
      </c>
      <c r="S860" s="267" t="s">
        <v>468</v>
      </c>
      <c r="T860" s="268"/>
      <c r="U860" s="269"/>
      <c r="V860" s="269">
        <v>0</v>
      </c>
      <c r="W860" s="278">
        <v>54800000</v>
      </c>
      <c r="X860" s="270"/>
      <c r="Y860" s="262" t="s">
        <v>27</v>
      </c>
      <c r="Z860" s="271" t="s">
        <v>27</v>
      </c>
      <c r="AA860" s="287"/>
      <c r="AB860" s="287"/>
      <c r="AC860" s="272">
        <f t="shared" si="29"/>
        <v>11280000</v>
      </c>
      <c r="AD860" s="272">
        <v>11280000</v>
      </c>
      <c r="AE860" s="272">
        <f t="shared" si="30"/>
        <v>0</v>
      </c>
      <c r="AF860" s="273">
        <v>11280000</v>
      </c>
      <c r="AG860" s="274">
        <v>11280000</v>
      </c>
      <c r="AH860" s="273"/>
      <c r="AI860" s="273"/>
      <c r="AJ860" s="274"/>
      <c r="AK860" s="273"/>
      <c r="AL860" s="275"/>
      <c r="AM860" s="290"/>
      <c r="AN860" s="275"/>
      <c r="AO860" s="276"/>
      <c r="AP860" s="275"/>
      <c r="AQ860" s="275"/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H860" s="277"/>
    </row>
    <row r="861" spans="1:60" ht="16.5" customHeight="1">
      <c r="A861" s="260">
        <v>839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306</v>
      </c>
      <c r="K861" s="262"/>
      <c r="L861" s="262"/>
      <c r="M861" s="262">
        <v>20503</v>
      </c>
      <c r="N861" s="262" t="s">
        <v>22</v>
      </c>
      <c r="O861" s="262" t="s">
        <v>35</v>
      </c>
      <c r="P861" s="262"/>
      <c r="Q861" s="262" t="s">
        <v>77</v>
      </c>
      <c r="R861" s="262" t="s">
        <v>473</v>
      </c>
      <c r="S861" s="267" t="s">
        <v>468</v>
      </c>
      <c r="T861" s="268"/>
      <c r="U861" s="269"/>
      <c r="V861" s="269">
        <v>0</v>
      </c>
      <c r="W861" s="278">
        <v>0</v>
      </c>
      <c r="X861" s="270"/>
      <c r="Y861" s="262" t="s">
        <v>25</v>
      </c>
      <c r="Z861" s="271" t="s">
        <v>27</v>
      </c>
      <c r="AA861" s="287"/>
      <c r="AB861" s="287"/>
      <c r="AC861" s="272">
        <f t="shared" si="29"/>
        <v>20000000</v>
      </c>
      <c r="AD861" s="272">
        <v>20000000</v>
      </c>
      <c r="AE861" s="272">
        <f t="shared" si="30"/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75">
        <v>20000000</v>
      </c>
      <c r="AR861" s="275"/>
      <c r="AS861" s="275"/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customHeight="1">
      <c r="A862" s="260">
        <v>840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306</v>
      </c>
      <c r="K862" s="262"/>
      <c r="L862" s="262"/>
      <c r="M862" s="262">
        <v>20503</v>
      </c>
      <c r="N862" s="262" t="s">
        <v>22</v>
      </c>
      <c r="O862" s="262" t="s">
        <v>56</v>
      </c>
      <c r="P862" s="262"/>
      <c r="Q862" s="262" t="s">
        <v>26</v>
      </c>
      <c r="R862" s="262" t="s">
        <v>468</v>
      </c>
      <c r="S862" s="267" t="s">
        <v>468</v>
      </c>
      <c r="T862" s="268"/>
      <c r="U862" s="269"/>
      <c r="V862" s="269">
        <v>18200000</v>
      </c>
      <c r="W862" s="278">
        <v>0</v>
      </c>
      <c r="X862" s="270"/>
      <c r="Y862" s="262" t="s">
        <v>27</v>
      </c>
      <c r="Z862" s="271" t="s">
        <v>27</v>
      </c>
      <c r="AA862" s="287"/>
      <c r="AB862" s="287"/>
      <c r="AC862" s="272">
        <f t="shared" si="29"/>
        <v>40000000</v>
      </c>
      <c r="AD862" s="272">
        <v>40000000</v>
      </c>
      <c r="AE862" s="272">
        <f t="shared" si="30"/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75"/>
      <c r="AR862" s="275"/>
      <c r="AS862" s="275"/>
      <c r="AT862" s="275"/>
      <c r="AU862" s="275">
        <v>40000000</v>
      </c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customHeight="1">
      <c r="A863" s="260">
        <v>841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307</v>
      </c>
      <c r="K863" s="262"/>
      <c r="L863" s="262"/>
      <c r="M863" s="262">
        <v>3944</v>
      </c>
      <c r="N863" s="262" t="s">
        <v>22</v>
      </c>
      <c r="O863" s="262" t="s">
        <v>35</v>
      </c>
      <c r="P863" s="262"/>
      <c r="Q863" s="262" t="s">
        <v>26</v>
      </c>
      <c r="R863" s="262" t="s">
        <v>468</v>
      </c>
      <c r="S863" s="267" t="s">
        <v>468</v>
      </c>
      <c r="T863" s="268"/>
      <c r="U863" s="269"/>
      <c r="V863" s="269">
        <v>0</v>
      </c>
      <c r="W863" s="278">
        <v>0</v>
      </c>
      <c r="X863" s="270"/>
      <c r="Y863" s="262" t="s">
        <v>25</v>
      </c>
      <c r="Z863" s="271" t="s">
        <v>25</v>
      </c>
      <c r="AA863" s="287"/>
      <c r="AB863" s="287"/>
      <c r="AC863" s="272">
        <f t="shared" si="29"/>
        <v>5000000</v>
      </c>
      <c r="AD863" s="272">
        <v>5000000</v>
      </c>
      <c r="AE863" s="272">
        <f t="shared" si="30"/>
        <v>0</v>
      </c>
      <c r="AF863" s="273"/>
      <c r="AG863" s="274"/>
      <c r="AH863" s="273"/>
      <c r="AI863" s="273"/>
      <c r="AJ863" s="274"/>
      <c r="AK863" s="273"/>
      <c r="AL863" s="275"/>
      <c r="AM863" s="290"/>
      <c r="AN863" s="275"/>
      <c r="AO863" s="276"/>
      <c r="AP863" s="275"/>
      <c r="AQ863" s="275">
        <v>5000000</v>
      </c>
      <c r="AR863" s="275"/>
      <c r="AS863" s="275"/>
      <c r="AT863" s="275"/>
      <c r="AU863" s="275"/>
      <c r="AV863" s="275"/>
      <c r="AW863" s="275"/>
      <c r="AX863" s="275"/>
      <c r="AY863" s="275"/>
      <c r="AZ863" s="275"/>
      <c r="BA863" s="275"/>
      <c r="BB863" s="275"/>
      <c r="BC863" s="275"/>
      <c r="BD863" s="275"/>
      <c r="BE863" s="275"/>
      <c r="BF863" s="275"/>
      <c r="BH863" s="277"/>
    </row>
    <row r="864" spans="1:60" ht="16.5" customHeight="1">
      <c r="A864" s="260">
        <v>842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307</v>
      </c>
      <c r="K864" s="262"/>
      <c r="L864" s="262"/>
      <c r="M864" s="262">
        <v>3944</v>
      </c>
      <c r="N864" s="262" t="s">
        <v>22</v>
      </c>
      <c r="O864" s="262" t="s">
        <v>35</v>
      </c>
      <c r="P864" s="262"/>
      <c r="Q864" s="262" t="s">
        <v>18</v>
      </c>
      <c r="R864" s="262" t="s">
        <v>28</v>
      </c>
      <c r="S864" s="267" t="s">
        <v>822</v>
      </c>
      <c r="T864" s="268"/>
      <c r="U864" s="269"/>
      <c r="V864" s="269">
        <v>0</v>
      </c>
      <c r="W864" s="278">
        <v>0</v>
      </c>
      <c r="X864" s="270"/>
      <c r="Y864" s="262" t="s">
        <v>25</v>
      </c>
      <c r="Z864" s="271" t="s">
        <v>25</v>
      </c>
      <c r="AA864" s="287"/>
      <c r="AB864" s="287"/>
      <c r="AC864" s="272">
        <f t="shared" si="29"/>
        <v>10000000</v>
      </c>
      <c r="AD864" s="272">
        <v>10000000</v>
      </c>
      <c r="AE864" s="272">
        <f t="shared" si="30"/>
        <v>0</v>
      </c>
      <c r="AF864" s="273"/>
      <c r="AG864" s="274"/>
      <c r="AH864" s="273"/>
      <c r="AI864" s="273"/>
      <c r="AJ864" s="274"/>
      <c r="AK864" s="273"/>
      <c r="AL864" s="275"/>
      <c r="AM864" s="290"/>
      <c r="AN864" s="275"/>
      <c r="AO864" s="276"/>
      <c r="AP864" s="275"/>
      <c r="AQ864" s="275"/>
      <c r="AR864" s="275"/>
      <c r="AS864" s="275"/>
      <c r="AT864" s="275"/>
      <c r="AU864" s="275"/>
      <c r="AV864" s="275"/>
      <c r="AW864" s="275"/>
      <c r="AX864" s="275"/>
      <c r="AY864" s="275">
        <v>10000000</v>
      </c>
      <c r="AZ864" s="275"/>
      <c r="BA864" s="275"/>
      <c r="BB864" s="275"/>
      <c r="BC864" s="275"/>
      <c r="BD864" s="275"/>
      <c r="BE864" s="275"/>
      <c r="BF864" s="275"/>
      <c r="BH864" s="277"/>
    </row>
    <row r="865" spans="1:60" ht="16.5" customHeight="1">
      <c r="A865" s="260">
        <v>843</v>
      </c>
      <c r="B865" s="261"/>
      <c r="C865" s="261"/>
      <c r="D865" s="262"/>
      <c r="E865" s="262"/>
      <c r="F865" s="263" t="s">
        <v>15</v>
      </c>
      <c r="G865" s="264" t="s">
        <v>277</v>
      </c>
      <c r="H865" s="281"/>
      <c r="I865" s="265"/>
      <c r="J865" s="266" t="s">
        <v>580</v>
      </c>
      <c r="K865" s="262"/>
      <c r="L865" s="262"/>
      <c r="M865" s="262">
        <v>18079</v>
      </c>
      <c r="N865" s="262" t="s">
        <v>22</v>
      </c>
      <c r="O865" s="262" t="s">
        <v>212</v>
      </c>
      <c r="P865" s="262"/>
      <c r="Q865" s="262" t="s">
        <v>18</v>
      </c>
      <c r="R865" s="262" t="s">
        <v>19</v>
      </c>
      <c r="S865" s="267" t="s">
        <v>19</v>
      </c>
      <c r="T865" s="268"/>
      <c r="U865" s="269">
        <v>19455000</v>
      </c>
      <c r="V865" s="269">
        <v>29702000</v>
      </c>
      <c r="W865" s="278">
        <v>24849000</v>
      </c>
      <c r="X865" s="270"/>
      <c r="Y865" s="262" t="s">
        <v>27</v>
      </c>
      <c r="Z865" s="271" t="s">
        <v>27</v>
      </c>
      <c r="AA865" s="287"/>
      <c r="AB865" s="287"/>
      <c r="AC865" s="272">
        <f t="shared" si="29"/>
        <v>20000000</v>
      </c>
      <c r="AD865" s="272">
        <v>20000000</v>
      </c>
      <c r="AE865" s="272">
        <f t="shared" si="30"/>
        <v>0</v>
      </c>
      <c r="AF865" s="273"/>
      <c r="AG865" s="274"/>
      <c r="AH865" s="273"/>
      <c r="AI865" s="273">
        <v>4000000</v>
      </c>
      <c r="AJ865" s="274">
        <v>880000</v>
      </c>
      <c r="AK865" s="273"/>
      <c r="AL865" s="275">
        <v>2000000</v>
      </c>
      <c r="AM865" s="290">
        <v>110000</v>
      </c>
      <c r="AN865" s="275"/>
      <c r="AO865" s="276">
        <v>2000000</v>
      </c>
      <c r="AP865" s="275"/>
      <c r="AQ865" s="275">
        <v>2000000</v>
      </c>
      <c r="AR865" s="275"/>
      <c r="AS865" s="275">
        <v>2000000</v>
      </c>
      <c r="AT865" s="275"/>
      <c r="AU865" s="275">
        <v>2000000</v>
      </c>
      <c r="AV865" s="275"/>
      <c r="AW865" s="275">
        <v>2000000</v>
      </c>
      <c r="AX865" s="275"/>
      <c r="AY865" s="275">
        <v>2000000</v>
      </c>
      <c r="AZ865" s="275"/>
      <c r="BA865" s="275">
        <v>3890000</v>
      </c>
      <c r="BB865" s="275"/>
      <c r="BC865" s="275">
        <v>3120000</v>
      </c>
      <c r="BD865" s="275"/>
      <c r="BE865" s="275"/>
      <c r="BF865" s="275"/>
      <c r="BH865" s="277"/>
    </row>
    <row r="866" spans="1:60" ht="16.5" customHeight="1">
      <c r="A866" s="260">
        <v>844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580</v>
      </c>
      <c r="K866" s="262"/>
      <c r="L866" s="262"/>
      <c r="M866" s="262">
        <v>18079</v>
      </c>
      <c r="N866" s="262"/>
      <c r="O866" s="262"/>
      <c r="P866" s="262"/>
      <c r="Q866" s="262"/>
      <c r="R866" s="262"/>
      <c r="S866" s="267" t="s">
        <v>31</v>
      </c>
      <c r="T866" s="268"/>
      <c r="U866" s="269"/>
      <c r="V866" s="269"/>
      <c r="W866" s="278">
        <v>6919000</v>
      </c>
      <c r="X866" s="270"/>
      <c r="Y866" s="262"/>
      <c r="Z866" s="271" t="s">
        <v>718</v>
      </c>
      <c r="AA866" s="287"/>
      <c r="AB866" s="287"/>
      <c r="AC866" s="272">
        <f t="shared" si="29"/>
        <v>0</v>
      </c>
      <c r="AD866" s="272">
        <v>0</v>
      </c>
      <c r="AE866" s="272">
        <f t="shared" si="30"/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/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customHeight="1">
      <c r="A867" s="260">
        <v>845</v>
      </c>
      <c r="B867" s="261"/>
      <c r="C867" s="261"/>
      <c r="D867" s="262" t="s">
        <v>15</v>
      </c>
      <c r="E867" s="262" t="s">
        <v>175</v>
      </c>
      <c r="F867" s="263" t="s">
        <v>15</v>
      </c>
      <c r="G867" s="264" t="s">
        <v>277</v>
      </c>
      <c r="H867" s="281"/>
      <c r="I867" s="265"/>
      <c r="J867" s="266" t="s">
        <v>580</v>
      </c>
      <c r="K867" s="262"/>
      <c r="L867" s="262"/>
      <c r="M867" s="262">
        <v>18079</v>
      </c>
      <c r="N867" s="262" t="s">
        <v>22</v>
      </c>
      <c r="O867" s="262" t="s">
        <v>35</v>
      </c>
      <c r="P867" s="262"/>
      <c r="Q867" s="262"/>
      <c r="R867" s="262"/>
      <c r="S867" s="267" t="s">
        <v>828</v>
      </c>
      <c r="T867" s="268"/>
      <c r="U867" s="269"/>
      <c r="V867" s="269"/>
      <c r="W867" s="278">
        <v>0</v>
      </c>
      <c r="X867" s="270"/>
      <c r="Y867" s="262"/>
      <c r="Z867" s="271" t="s">
        <v>25</v>
      </c>
      <c r="AA867" s="287"/>
      <c r="AB867" s="287"/>
      <c r="AC867" s="272">
        <f t="shared" si="29"/>
        <v>10000000</v>
      </c>
      <c r="AD867" s="272">
        <v>10000000</v>
      </c>
      <c r="AE867" s="272">
        <f t="shared" si="30"/>
        <v>0</v>
      </c>
      <c r="AF867" s="273"/>
      <c r="AG867" s="274"/>
      <c r="AH867" s="273"/>
      <c r="AI867" s="273"/>
      <c r="AJ867" s="274"/>
      <c r="AK867" s="273"/>
      <c r="AL867" s="275"/>
      <c r="AM867" s="290"/>
      <c r="AN867" s="275"/>
      <c r="AO867" s="276"/>
      <c r="AP867" s="275"/>
      <c r="AQ867" s="275">
        <v>5000000</v>
      </c>
      <c r="AR867" s="275"/>
      <c r="AS867" s="275"/>
      <c r="AT867" s="275"/>
      <c r="AU867" s="275">
        <v>5000000</v>
      </c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/>
      <c r="BF867" s="275"/>
      <c r="BH867" s="277"/>
    </row>
    <row r="868" spans="1:60" ht="16.5" customHeight="1">
      <c r="A868" s="260">
        <v>846</v>
      </c>
      <c r="B868" s="261"/>
      <c r="C868" s="261"/>
      <c r="D868" s="262" t="s">
        <v>15</v>
      </c>
      <c r="E868" s="262" t="s">
        <v>175</v>
      </c>
      <c r="F868" s="263" t="s">
        <v>15</v>
      </c>
      <c r="G868" s="264" t="s">
        <v>277</v>
      </c>
      <c r="H868" s="281"/>
      <c r="I868" s="265"/>
      <c r="J868" s="266" t="s">
        <v>354</v>
      </c>
      <c r="K868" s="262"/>
      <c r="L868" s="262"/>
      <c r="M868" s="262">
        <v>3770</v>
      </c>
      <c r="N868" s="262" t="s">
        <v>22</v>
      </c>
      <c r="O868" s="262" t="s">
        <v>212</v>
      </c>
      <c r="P868" s="262" t="s">
        <v>57</v>
      </c>
      <c r="Q868" s="262" t="s">
        <v>30</v>
      </c>
      <c r="R868" s="262" t="s">
        <v>31</v>
      </c>
      <c r="S868" s="267" t="s">
        <v>31</v>
      </c>
      <c r="T868" s="268"/>
      <c r="U868" s="269">
        <v>12091000</v>
      </c>
      <c r="V868" s="269">
        <v>43100500</v>
      </c>
      <c r="W868" s="278">
        <v>27386000</v>
      </c>
      <c r="X868" s="270"/>
      <c r="Y868" s="262" t="s">
        <v>27</v>
      </c>
      <c r="Z868" s="271" t="s">
        <v>24</v>
      </c>
      <c r="AA868" s="287"/>
      <c r="AB868" s="287"/>
      <c r="AC868" s="272">
        <f t="shared" si="29"/>
        <v>10000000</v>
      </c>
      <c r="AD868" s="272">
        <v>10000000</v>
      </c>
      <c r="AE868" s="272">
        <f t="shared" si="30"/>
        <v>0</v>
      </c>
      <c r="AF868" s="273"/>
      <c r="AG868" s="274"/>
      <c r="AH868" s="273"/>
      <c r="AI868" s="273"/>
      <c r="AJ868" s="274"/>
      <c r="AK868" s="273"/>
      <c r="AL868" s="275"/>
      <c r="AM868" s="290"/>
      <c r="AN868" s="275"/>
      <c r="AO868" s="276"/>
      <c r="AP868" s="275"/>
      <c r="AQ868" s="275"/>
      <c r="AR868" s="275"/>
      <c r="AS868" s="275">
        <v>5000000</v>
      </c>
      <c r="AT868" s="275"/>
      <c r="AU868" s="275"/>
      <c r="AV868" s="275"/>
      <c r="AW868" s="275"/>
      <c r="AX868" s="275"/>
      <c r="AY868" s="275"/>
      <c r="AZ868" s="275"/>
      <c r="BA868" s="275"/>
      <c r="BB868" s="275"/>
      <c r="BC868" s="275">
        <v>5000000</v>
      </c>
      <c r="BD868" s="275"/>
      <c r="BE868" s="275"/>
      <c r="BF868" s="275"/>
      <c r="BH868" s="277"/>
    </row>
    <row r="869" spans="1:60" ht="16.5" customHeight="1">
      <c r="A869" s="260">
        <v>847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354</v>
      </c>
      <c r="K869" s="262"/>
      <c r="L869" s="262"/>
      <c r="M869" s="262">
        <v>3770</v>
      </c>
      <c r="N869" s="262" t="s">
        <v>22</v>
      </c>
      <c r="O869" s="262" t="s">
        <v>35</v>
      </c>
      <c r="P869" s="262" t="s">
        <v>57</v>
      </c>
      <c r="Q869" s="262" t="s">
        <v>73</v>
      </c>
      <c r="R869" s="262" t="s">
        <v>468</v>
      </c>
      <c r="S869" s="267" t="s">
        <v>468</v>
      </c>
      <c r="T869" s="268"/>
      <c r="U869" s="269" t="s">
        <v>154</v>
      </c>
      <c r="V869" s="269">
        <v>28900000</v>
      </c>
      <c r="W869" s="278">
        <v>0</v>
      </c>
      <c r="X869" s="270"/>
      <c r="Y869" s="262" t="s">
        <v>25</v>
      </c>
      <c r="Z869" s="271" t="s">
        <v>25</v>
      </c>
      <c r="AA869" s="287"/>
      <c r="AB869" s="287"/>
      <c r="AC869" s="272">
        <f t="shared" si="29"/>
        <v>20000000</v>
      </c>
      <c r="AD869" s="272">
        <v>20000000</v>
      </c>
      <c r="AE869" s="272">
        <f t="shared" si="30"/>
        <v>0</v>
      </c>
      <c r="AF869" s="273"/>
      <c r="AG869" s="274"/>
      <c r="AH869" s="273"/>
      <c r="AI869" s="273"/>
      <c r="AJ869" s="274"/>
      <c r="AK869" s="273"/>
      <c r="AL869" s="275"/>
      <c r="AM869" s="290"/>
      <c r="AN869" s="275"/>
      <c r="AO869" s="276"/>
      <c r="AP869" s="275"/>
      <c r="AQ869" s="275"/>
      <c r="AR869" s="275"/>
      <c r="AS869" s="275">
        <v>20000000</v>
      </c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  <c r="BD869" s="275"/>
      <c r="BE869" s="275"/>
      <c r="BF869" s="275"/>
      <c r="BH869" s="277"/>
    </row>
    <row r="870" spans="1:60" ht="16.5" customHeight="1">
      <c r="A870" s="260">
        <v>848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309</v>
      </c>
      <c r="K870" s="262"/>
      <c r="L870" s="262"/>
      <c r="M870" s="262">
        <v>3707</v>
      </c>
      <c r="N870" s="262" t="s">
        <v>22</v>
      </c>
      <c r="O870" s="262" t="s">
        <v>56</v>
      </c>
      <c r="P870" s="262"/>
      <c r="Q870" s="262"/>
      <c r="R870" s="262" t="s">
        <v>468</v>
      </c>
      <c r="S870" s="267" t="s">
        <v>468</v>
      </c>
      <c r="T870" s="268"/>
      <c r="U870" s="269"/>
      <c r="V870" s="269">
        <v>0</v>
      </c>
      <c r="W870" s="278">
        <v>45600000</v>
      </c>
      <c r="X870" s="270"/>
      <c r="Y870" s="262" t="s">
        <v>27</v>
      </c>
      <c r="Z870" s="271" t="s">
        <v>27</v>
      </c>
      <c r="AA870" s="287"/>
      <c r="AB870" s="287"/>
      <c r="AC870" s="272">
        <f t="shared" si="29"/>
        <v>41800000</v>
      </c>
      <c r="AD870" s="272">
        <v>41800000</v>
      </c>
      <c r="AE870" s="272">
        <f t="shared" si="30"/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>
        <v>41800000</v>
      </c>
      <c r="AT870" s="275"/>
      <c r="AU870" s="275"/>
      <c r="AV870" s="275"/>
      <c r="AW870" s="275"/>
      <c r="AX870" s="275"/>
      <c r="AY870" s="275"/>
      <c r="AZ870" s="275"/>
      <c r="BA870" s="275"/>
      <c r="BB870" s="275"/>
      <c r="BC870" s="275"/>
      <c r="BD870" s="275"/>
      <c r="BE870" s="275"/>
      <c r="BF870" s="275"/>
      <c r="BH870" s="277"/>
    </row>
    <row r="871" spans="1:60" ht="16.5" customHeight="1">
      <c r="A871" s="260">
        <v>849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309</v>
      </c>
      <c r="K871" s="262"/>
      <c r="L871" s="262"/>
      <c r="M871" s="262">
        <v>3707</v>
      </c>
      <c r="N871" s="262" t="s">
        <v>22</v>
      </c>
      <c r="O871" s="262" t="s">
        <v>56</v>
      </c>
      <c r="P871" s="262"/>
      <c r="Q871" s="262" t="s">
        <v>26</v>
      </c>
      <c r="R871" s="262" t="s">
        <v>468</v>
      </c>
      <c r="S871" s="267" t="s">
        <v>468</v>
      </c>
      <c r="T871" s="268"/>
      <c r="U871" s="269"/>
      <c r="V871" s="269">
        <v>500000</v>
      </c>
      <c r="W871" s="278">
        <v>0</v>
      </c>
      <c r="X871" s="270"/>
      <c r="Y871" s="262" t="s">
        <v>27</v>
      </c>
      <c r="Z871" s="271" t="s">
        <v>20</v>
      </c>
      <c r="AA871" s="287"/>
      <c r="AB871" s="287"/>
      <c r="AC871" s="272">
        <f t="shared" si="29"/>
        <v>0</v>
      </c>
      <c r="AD871" s="272">
        <v>0</v>
      </c>
      <c r="AE871" s="272">
        <f t="shared" si="30"/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/>
      <c r="AR871" s="275"/>
      <c r="AS871" s="275"/>
      <c r="AT871" s="275"/>
      <c r="AU871" s="275"/>
      <c r="AV871" s="275"/>
      <c r="AW871" s="275">
        <v>0</v>
      </c>
      <c r="AX871" s="275"/>
      <c r="AY871" s="275"/>
      <c r="AZ871" s="275"/>
      <c r="BA871" s="275"/>
      <c r="BB871" s="275"/>
      <c r="BC871" s="275"/>
      <c r="BD871" s="275"/>
      <c r="BE871" s="275"/>
      <c r="BF871" s="275"/>
      <c r="BH871" s="277"/>
    </row>
    <row r="872" spans="1:60" ht="16.5" customHeight="1">
      <c r="A872" s="260">
        <v>850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309</v>
      </c>
      <c r="K872" s="262"/>
      <c r="L872" s="262"/>
      <c r="M872" s="262">
        <v>3707</v>
      </c>
      <c r="N872" s="262" t="s">
        <v>22</v>
      </c>
      <c r="O872" s="262" t="s">
        <v>35</v>
      </c>
      <c r="P872" s="262"/>
      <c r="Q872" s="262"/>
      <c r="R872" s="262"/>
      <c r="S872" s="267" t="s">
        <v>822</v>
      </c>
      <c r="T872" s="268"/>
      <c r="U872" s="269"/>
      <c r="V872" s="269"/>
      <c r="W872" s="278">
        <v>0</v>
      </c>
      <c r="X872" s="270"/>
      <c r="Y872" s="262"/>
      <c r="Z872" s="271" t="s">
        <v>25</v>
      </c>
      <c r="AA872" s="287"/>
      <c r="AB872" s="287"/>
      <c r="AC872" s="272">
        <f t="shared" si="29"/>
        <v>10000000</v>
      </c>
      <c r="AD872" s="272">
        <v>10000000</v>
      </c>
      <c r="AE872" s="272">
        <f t="shared" si="30"/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>
        <v>10000000</v>
      </c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/>
      <c r="BD872" s="275"/>
      <c r="BE872" s="275"/>
      <c r="BF872" s="275"/>
      <c r="BH872" s="277"/>
    </row>
    <row r="873" spans="1:60" ht="16.5" customHeight="1">
      <c r="A873" s="260">
        <v>851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310</v>
      </c>
      <c r="K873" s="262"/>
      <c r="L873" s="262"/>
      <c r="M873" s="262">
        <v>18491</v>
      </c>
      <c r="N873" s="262" t="s">
        <v>22</v>
      </c>
      <c r="O873" s="262" t="s">
        <v>35</v>
      </c>
      <c r="P873" s="262"/>
      <c r="Q873" s="262" t="s">
        <v>18</v>
      </c>
      <c r="R873" s="262" t="s">
        <v>19</v>
      </c>
      <c r="S873" s="267" t="s">
        <v>19</v>
      </c>
      <c r="T873" s="268"/>
      <c r="U873" s="269">
        <v>21600000</v>
      </c>
      <c r="V873" s="269">
        <v>0</v>
      </c>
      <c r="W873" s="278">
        <v>0</v>
      </c>
      <c r="X873" s="270"/>
      <c r="Y873" s="262" t="s">
        <v>25</v>
      </c>
      <c r="Z873" s="271" t="s">
        <v>21</v>
      </c>
      <c r="AA873" s="287"/>
      <c r="AB873" s="287"/>
      <c r="AC873" s="272">
        <f t="shared" si="29"/>
        <v>0</v>
      </c>
      <c r="AD873" s="272">
        <v>0</v>
      </c>
      <c r="AE873" s="272">
        <f t="shared" si="30"/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/>
      <c r="AR873" s="275"/>
      <c r="AS873" s="275"/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/>
      <c r="BD873" s="275"/>
      <c r="BE873" s="275"/>
      <c r="BF873" s="275"/>
      <c r="BH873" s="277"/>
    </row>
    <row r="874" spans="1:60" ht="16.5" customHeight="1">
      <c r="A874" s="260">
        <v>852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310</v>
      </c>
      <c r="K874" s="262"/>
      <c r="L874" s="262"/>
      <c r="M874" s="262">
        <v>18491</v>
      </c>
      <c r="N874" s="262" t="s">
        <v>22</v>
      </c>
      <c r="O874" s="262" t="s">
        <v>35</v>
      </c>
      <c r="P874" s="262"/>
      <c r="Q874" s="262" t="s">
        <v>77</v>
      </c>
      <c r="R874" s="262" t="s">
        <v>468</v>
      </c>
      <c r="S874" s="267" t="s">
        <v>468</v>
      </c>
      <c r="T874" s="268"/>
      <c r="U874" s="269"/>
      <c r="V874" s="269">
        <v>6700000</v>
      </c>
      <c r="W874" s="278">
        <v>172534727</v>
      </c>
      <c r="X874" s="270"/>
      <c r="Y874" s="262" t="s">
        <v>27</v>
      </c>
      <c r="Z874" s="271" t="s">
        <v>27</v>
      </c>
      <c r="AA874" s="287"/>
      <c r="AB874" s="287"/>
      <c r="AC874" s="272">
        <f t="shared" si="29"/>
        <v>5700000</v>
      </c>
      <c r="AD874" s="272">
        <v>5700000</v>
      </c>
      <c r="AE874" s="272">
        <f t="shared" si="30"/>
        <v>0</v>
      </c>
      <c r="AF874" s="273"/>
      <c r="AG874" s="274"/>
      <c r="AH874" s="273"/>
      <c r="AI874" s="273"/>
      <c r="AJ874" s="274"/>
      <c r="AK874" s="273"/>
      <c r="AL874" s="275">
        <v>6000000</v>
      </c>
      <c r="AM874" s="290">
        <v>5700000</v>
      </c>
      <c r="AN874" s="275"/>
      <c r="AO874" s="276"/>
      <c r="AP874" s="275"/>
      <c r="AQ874" s="275"/>
      <c r="AR874" s="275"/>
      <c r="AS874" s="275"/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H874" s="277"/>
    </row>
    <row r="875" spans="1:60" ht="16.5" customHeight="1">
      <c r="A875" s="260">
        <v>853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310</v>
      </c>
      <c r="K875" s="262"/>
      <c r="L875" s="262"/>
      <c r="M875" s="262">
        <v>18491</v>
      </c>
      <c r="N875" s="262" t="s">
        <v>22</v>
      </c>
      <c r="O875" s="262" t="s">
        <v>56</v>
      </c>
      <c r="P875" s="262"/>
      <c r="Q875" s="262" t="s">
        <v>26</v>
      </c>
      <c r="R875" s="262" t="s">
        <v>468</v>
      </c>
      <c r="S875" s="267" t="s">
        <v>468</v>
      </c>
      <c r="T875" s="268"/>
      <c r="U875" s="269"/>
      <c r="V875" s="269">
        <v>2800000</v>
      </c>
      <c r="W875" s="278">
        <v>0</v>
      </c>
      <c r="X875" s="270"/>
      <c r="Y875" s="262" t="s">
        <v>25</v>
      </c>
      <c r="Z875" s="271" t="s">
        <v>20</v>
      </c>
      <c r="AA875" s="287"/>
      <c r="AB875" s="287"/>
      <c r="AC875" s="272">
        <f t="shared" si="29"/>
        <v>0</v>
      </c>
      <c r="AD875" s="272">
        <v>0</v>
      </c>
      <c r="AE875" s="272">
        <f t="shared" si="30"/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75"/>
      <c r="AR875" s="275"/>
      <c r="AS875" s="275"/>
      <c r="AT875" s="275"/>
      <c r="AU875" s="275"/>
      <c r="AV875" s="275"/>
      <c r="AW875" s="275"/>
      <c r="AX875" s="275"/>
      <c r="AY875" s="275"/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customHeight="1">
      <c r="A876" s="260">
        <v>854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782</v>
      </c>
      <c r="K876" s="262"/>
      <c r="L876" s="262"/>
      <c r="M876" s="262">
        <v>52860</v>
      </c>
      <c r="N876" s="262" t="s">
        <v>22</v>
      </c>
      <c r="O876" s="262" t="s">
        <v>35</v>
      </c>
      <c r="P876" s="262"/>
      <c r="Q876" s="262"/>
      <c r="R876" s="262"/>
      <c r="S876" s="267" t="s">
        <v>822</v>
      </c>
      <c r="T876" s="268"/>
      <c r="U876" s="269"/>
      <c r="V876" s="269"/>
      <c r="W876" s="278">
        <v>0</v>
      </c>
      <c r="X876" s="270"/>
      <c r="Y876" s="262"/>
      <c r="Z876" s="271" t="s">
        <v>25</v>
      </c>
      <c r="AA876" s="287"/>
      <c r="AB876" s="287"/>
      <c r="AC876" s="272">
        <f t="shared" si="29"/>
        <v>10000000</v>
      </c>
      <c r="AD876" s="272">
        <v>10000000</v>
      </c>
      <c r="AE876" s="272">
        <f t="shared" si="30"/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75">
        <v>10000000</v>
      </c>
      <c r="AR876" s="275"/>
      <c r="AS876" s="275"/>
      <c r="AT876" s="275"/>
      <c r="AU876" s="275"/>
      <c r="AV876" s="275"/>
      <c r="AW876" s="275"/>
      <c r="AX876" s="275"/>
      <c r="AY876" s="275"/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customHeight="1">
      <c r="A877" s="260">
        <v>855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311</v>
      </c>
      <c r="K877" s="262"/>
      <c r="L877" s="262"/>
      <c r="M877" s="262">
        <v>3878</v>
      </c>
      <c r="N877" s="262" t="s">
        <v>22</v>
      </c>
      <c r="O877" s="262" t="s">
        <v>35</v>
      </c>
      <c r="P877" s="262"/>
      <c r="Q877" s="262" t="s">
        <v>18</v>
      </c>
      <c r="R877" s="262" t="s">
        <v>19</v>
      </c>
      <c r="S877" s="267" t="s">
        <v>19</v>
      </c>
      <c r="T877" s="268"/>
      <c r="U877" s="269"/>
      <c r="V877" s="269">
        <v>0</v>
      </c>
      <c r="W877" s="278">
        <v>0</v>
      </c>
      <c r="X877" s="270"/>
      <c r="Y877" s="262" t="s">
        <v>25</v>
      </c>
      <c r="Z877" s="271" t="s">
        <v>25</v>
      </c>
      <c r="AA877" s="287"/>
      <c r="AB877" s="287"/>
      <c r="AC877" s="272">
        <f t="shared" si="29"/>
        <v>5000000</v>
      </c>
      <c r="AD877" s="272">
        <v>5000000</v>
      </c>
      <c r="AE877" s="272">
        <f t="shared" si="30"/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75"/>
      <c r="AR877" s="275"/>
      <c r="AS877" s="275">
        <v>5000000</v>
      </c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customHeight="1">
      <c r="A878" s="260">
        <v>856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311</v>
      </c>
      <c r="K878" s="262"/>
      <c r="L878" s="262"/>
      <c r="M878" s="262">
        <v>3878</v>
      </c>
      <c r="N878" s="262" t="s">
        <v>22</v>
      </c>
      <c r="O878" s="262" t="s">
        <v>56</v>
      </c>
      <c r="P878" s="262"/>
      <c r="Q878" s="262"/>
      <c r="R878" s="262" t="s">
        <v>470</v>
      </c>
      <c r="S878" s="267" t="s">
        <v>478</v>
      </c>
      <c r="T878" s="268"/>
      <c r="U878" s="269"/>
      <c r="V878" s="269">
        <v>0</v>
      </c>
      <c r="W878" s="278">
        <v>0</v>
      </c>
      <c r="X878" s="270"/>
      <c r="Y878" s="262" t="s">
        <v>25</v>
      </c>
      <c r="Z878" s="271" t="s">
        <v>25</v>
      </c>
      <c r="AA878" s="287"/>
      <c r="AB878" s="287"/>
      <c r="AC878" s="272">
        <f t="shared" si="29"/>
        <v>5000000</v>
      </c>
      <c r="AD878" s="272">
        <v>5000000</v>
      </c>
      <c r="AE878" s="272">
        <f t="shared" si="30"/>
        <v>0</v>
      </c>
      <c r="AF878" s="273"/>
      <c r="AG878" s="274"/>
      <c r="AH878" s="273"/>
      <c r="AI878" s="273"/>
      <c r="AJ878" s="274"/>
      <c r="AK878" s="273"/>
      <c r="AL878" s="275"/>
      <c r="AM878" s="290"/>
      <c r="AN878" s="275"/>
      <c r="AO878" s="276"/>
      <c r="AP878" s="275"/>
      <c r="AQ878" s="275"/>
      <c r="AR878" s="275"/>
      <c r="AS878" s="275">
        <v>5000000</v>
      </c>
      <c r="AT878" s="275"/>
      <c r="AU878" s="275"/>
      <c r="AV878" s="275"/>
      <c r="AW878" s="275"/>
      <c r="AX878" s="275"/>
      <c r="AY878" s="275"/>
      <c r="AZ878" s="275"/>
      <c r="BA878" s="275"/>
      <c r="BB878" s="275"/>
      <c r="BC878" s="275"/>
      <c r="BD878" s="275"/>
      <c r="BE878" s="275"/>
      <c r="BF878" s="275"/>
      <c r="BH878" s="277"/>
    </row>
    <row r="879" spans="1:60" ht="16.5" customHeight="1">
      <c r="A879" s="260">
        <v>857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311</v>
      </c>
      <c r="K879" s="262"/>
      <c r="L879" s="262"/>
      <c r="M879" s="262">
        <v>3878</v>
      </c>
      <c r="N879" s="262" t="s">
        <v>22</v>
      </c>
      <c r="O879" s="262" t="s">
        <v>56</v>
      </c>
      <c r="P879" s="262"/>
      <c r="Q879" s="262"/>
      <c r="R879" s="262" t="s">
        <v>475</v>
      </c>
      <c r="S879" s="267" t="s">
        <v>830</v>
      </c>
      <c r="T879" s="268"/>
      <c r="U879" s="269"/>
      <c r="V879" s="269">
        <v>500000</v>
      </c>
      <c r="W879" s="278">
        <v>0</v>
      </c>
      <c r="X879" s="270"/>
      <c r="Y879" s="262" t="s">
        <v>25</v>
      </c>
      <c r="Z879" s="271" t="s">
        <v>25</v>
      </c>
      <c r="AA879" s="287"/>
      <c r="AB879" s="287"/>
      <c r="AC879" s="272">
        <f t="shared" si="29"/>
        <v>1000000</v>
      </c>
      <c r="AD879" s="272">
        <v>1000000</v>
      </c>
      <c r="AE879" s="272">
        <f t="shared" si="30"/>
        <v>0</v>
      </c>
      <c r="AF879" s="273"/>
      <c r="AG879" s="274"/>
      <c r="AH879" s="273"/>
      <c r="AI879" s="273"/>
      <c r="AJ879" s="274"/>
      <c r="AK879" s="273"/>
      <c r="AL879" s="275"/>
      <c r="AM879" s="290"/>
      <c r="AN879" s="275"/>
      <c r="AO879" s="276"/>
      <c r="AP879" s="275"/>
      <c r="AQ879" s="275"/>
      <c r="AR879" s="275"/>
      <c r="AS879" s="275"/>
      <c r="AT879" s="275"/>
      <c r="AU879" s="275"/>
      <c r="AV879" s="275"/>
      <c r="AW879" s="275"/>
      <c r="AX879" s="275"/>
      <c r="AY879" s="275"/>
      <c r="AZ879" s="275"/>
      <c r="BA879" s="275">
        <v>1000000</v>
      </c>
      <c r="BB879" s="275"/>
      <c r="BC879" s="275"/>
      <c r="BD879" s="275"/>
      <c r="BE879" s="275"/>
      <c r="BF879" s="275"/>
      <c r="BH879" s="277"/>
    </row>
    <row r="880" spans="1:60" ht="16.5" customHeight="1">
      <c r="A880" s="260">
        <v>858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312</v>
      </c>
      <c r="K880" s="262"/>
      <c r="L880" s="262"/>
      <c r="M880" s="262">
        <v>54502</v>
      </c>
      <c r="N880" s="262" t="s">
        <v>22</v>
      </c>
      <c r="O880" s="262" t="s">
        <v>56</v>
      </c>
      <c r="P880" s="262"/>
      <c r="Q880" s="262" t="s">
        <v>30</v>
      </c>
      <c r="R880" s="262" t="s">
        <v>31</v>
      </c>
      <c r="S880" s="267" t="s">
        <v>31</v>
      </c>
      <c r="T880" s="268"/>
      <c r="U880" s="269"/>
      <c r="V880" s="269">
        <v>5913600</v>
      </c>
      <c r="W880" s="278">
        <v>5808000</v>
      </c>
      <c r="X880" s="270"/>
      <c r="Y880" s="262" t="s">
        <v>24</v>
      </c>
      <c r="Z880" s="271" t="s">
        <v>25</v>
      </c>
      <c r="AA880" s="287"/>
      <c r="AB880" s="287"/>
      <c r="AC880" s="272">
        <f t="shared" si="29"/>
        <v>6000000</v>
      </c>
      <c r="AD880" s="272">
        <v>6000000</v>
      </c>
      <c r="AE880" s="272">
        <f t="shared" si="30"/>
        <v>0</v>
      </c>
      <c r="AF880" s="273"/>
      <c r="AG880" s="274"/>
      <c r="AH880" s="273"/>
      <c r="AI880" s="273"/>
      <c r="AJ880" s="274"/>
      <c r="AK880" s="273"/>
      <c r="AL880" s="275"/>
      <c r="AM880" s="290"/>
      <c r="AN880" s="275"/>
      <c r="AO880" s="276"/>
      <c r="AP880" s="275"/>
      <c r="AQ880" s="275"/>
      <c r="AR880" s="275"/>
      <c r="AS880" s="275"/>
      <c r="AT880" s="275"/>
      <c r="AU880" s="275"/>
      <c r="AV880" s="275"/>
      <c r="AW880" s="275"/>
      <c r="AX880" s="275"/>
      <c r="AY880" s="275"/>
      <c r="AZ880" s="275"/>
      <c r="BA880" s="275">
        <v>6000000</v>
      </c>
      <c r="BB880" s="275"/>
      <c r="BC880" s="275"/>
      <c r="BD880" s="275"/>
      <c r="BE880" s="275"/>
      <c r="BF880" s="275"/>
      <c r="BH880" s="277"/>
    </row>
    <row r="881" spans="1:60" ht="16.5" customHeight="1">
      <c r="A881" s="260">
        <v>859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312</v>
      </c>
      <c r="K881" s="262"/>
      <c r="L881" s="262"/>
      <c r="M881" s="262">
        <v>54502</v>
      </c>
      <c r="N881" s="262" t="s">
        <v>22</v>
      </c>
      <c r="O881" s="262" t="s">
        <v>35</v>
      </c>
      <c r="P881" s="262"/>
      <c r="Q881" s="262"/>
      <c r="R881" s="262" t="s">
        <v>478</v>
      </c>
      <c r="S881" s="267" t="s">
        <v>478</v>
      </c>
      <c r="T881" s="268"/>
      <c r="U881" s="269"/>
      <c r="V881" s="269">
        <v>0</v>
      </c>
      <c r="W881" s="278">
        <v>1600000</v>
      </c>
      <c r="X881" s="270"/>
      <c r="Y881" s="262" t="s">
        <v>27</v>
      </c>
      <c r="Z881" s="271" t="s">
        <v>25</v>
      </c>
      <c r="AA881" s="287"/>
      <c r="AB881" s="287"/>
      <c r="AC881" s="272">
        <f t="shared" si="29"/>
        <v>5000000</v>
      </c>
      <c r="AD881" s="272">
        <v>5000000</v>
      </c>
      <c r="AE881" s="272">
        <f t="shared" si="30"/>
        <v>0</v>
      </c>
      <c r="AF881" s="273"/>
      <c r="AG881" s="274"/>
      <c r="AH881" s="273"/>
      <c r="AI881" s="273"/>
      <c r="AJ881" s="274"/>
      <c r="AK881" s="273"/>
      <c r="AL881" s="275"/>
      <c r="AM881" s="290"/>
      <c r="AN881" s="275"/>
      <c r="AO881" s="276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>
        <v>5000000</v>
      </c>
      <c r="BB881" s="275"/>
      <c r="BC881" s="275"/>
      <c r="BD881" s="275"/>
      <c r="BE881" s="275"/>
      <c r="BF881" s="275"/>
      <c r="BH881" s="277"/>
    </row>
    <row r="882" spans="1:60" ht="16.5" customHeight="1">
      <c r="A882" s="260">
        <v>860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313</v>
      </c>
      <c r="K882" s="262"/>
      <c r="L882" s="262"/>
      <c r="M882" s="262">
        <v>4748</v>
      </c>
      <c r="N882" s="262" t="s">
        <v>22</v>
      </c>
      <c r="O882" s="262" t="s">
        <v>56</v>
      </c>
      <c r="P882" s="262"/>
      <c r="Q882" s="262" t="s">
        <v>26</v>
      </c>
      <c r="R882" s="262" t="s">
        <v>468</v>
      </c>
      <c r="S882" s="267" t="s">
        <v>468</v>
      </c>
      <c r="T882" s="268"/>
      <c r="U882" s="269"/>
      <c r="V882" s="269">
        <v>23600000</v>
      </c>
      <c r="W882" s="278">
        <v>0</v>
      </c>
      <c r="X882" s="270"/>
      <c r="Y882" s="262" t="s">
        <v>562</v>
      </c>
      <c r="Z882" s="271" t="s">
        <v>25</v>
      </c>
      <c r="AA882" s="287"/>
      <c r="AB882" s="287"/>
      <c r="AC882" s="272">
        <f t="shared" si="29"/>
        <v>10000000</v>
      </c>
      <c r="AD882" s="272">
        <v>10000000</v>
      </c>
      <c r="AE882" s="272">
        <f t="shared" si="30"/>
        <v>0</v>
      </c>
      <c r="AF882" s="273"/>
      <c r="AG882" s="274"/>
      <c r="AH882" s="273"/>
      <c r="AI882" s="273"/>
      <c r="AJ882" s="274"/>
      <c r="AK882" s="273"/>
      <c r="AL882" s="275"/>
      <c r="AM882" s="290"/>
      <c r="AN882" s="275"/>
      <c r="AO882" s="276"/>
      <c r="AP882" s="275"/>
      <c r="AQ882" s="275">
        <v>10000000</v>
      </c>
      <c r="AR882" s="275"/>
      <c r="AS882" s="275"/>
      <c r="AT882" s="275"/>
      <c r="AU882" s="275"/>
      <c r="AV882" s="275"/>
      <c r="AW882" s="275"/>
      <c r="AX882" s="275"/>
      <c r="AY882" s="275"/>
      <c r="AZ882" s="275"/>
      <c r="BA882" s="275"/>
      <c r="BB882" s="275"/>
      <c r="BC882" s="275"/>
      <c r="BD882" s="275"/>
      <c r="BE882" s="275"/>
      <c r="BF882" s="275"/>
      <c r="BH882" s="277"/>
    </row>
    <row r="883" spans="1:60" ht="16.5" customHeight="1">
      <c r="A883" s="260">
        <v>861</v>
      </c>
      <c r="B883" s="261"/>
      <c r="C883" s="261"/>
      <c r="D883" s="262" t="s">
        <v>15</v>
      </c>
      <c r="E883" s="262" t="s">
        <v>153</v>
      </c>
      <c r="F883" s="263" t="s">
        <v>15</v>
      </c>
      <c r="G883" s="264" t="s">
        <v>277</v>
      </c>
      <c r="H883" s="281"/>
      <c r="I883" s="265"/>
      <c r="J883" s="266" t="s">
        <v>783</v>
      </c>
      <c r="K883" s="262"/>
      <c r="L883" s="262"/>
      <c r="M883" s="262">
        <v>29617</v>
      </c>
      <c r="N883" s="262" t="s">
        <v>22</v>
      </c>
      <c r="O883" s="262" t="s">
        <v>35</v>
      </c>
      <c r="P883" s="262"/>
      <c r="Q883" s="262"/>
      <c r="R883" s="262"/>
      <c r="S883" s="267" t="s">
        <v>828</v>
      </c>
      <c r="T883" s="268"/>
      <c r="U883" s="269"/>
      <c r="V883" s="269"/>
      <c r="W883" s="278">
        <v>0</v>
      </c>
      <c r="X883" s="270"/>
      <c r="Y883" s="262"/>
      <c r="Z883" s="271" t="s">
        <v>25</v>
      </c>
      <c r="AA883" s="287"/>
      <c r="AB883" s="287"/>
      <c r="AC883" s="272">
        <f t="shared" si="29"/>
        <v>10000000</v>
      </c>
      <c r="AD883" s="272">
        <v>10000000</v>
      </c>
      <c r="AE883" s="272">
        <f t="shared" si="30"/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>
        <v>10000000</v>
      </c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/>
      <c r="BF883" s="275"/>
      <c r="BH883" s="277"/>
    </row>
    <row r="884" spans="1:60" ht="16.5" customHeight="1">
      <c r="A884" s="260">
        <v>862</v>
      </c>
      <c r="B884" s="261"/>
      <c r="C884" s="261"/>
      <c r="D884" s="262" t="s">
        <v>15</v>
      </c>
      <c r="E884" s="262" t="s">
        <v>153</v>
      </c>
      <c r="F884" s="263" t="s">
        <v>15</v>
      </c>
      <c r="G884" s="264" t="s">
        <v>153</v>
      </c>
      <c r="H884" s="281"/>
      <c r="I884" s="265"/>
      <c r="J884" s="266" t="s">
        <v>856</v>
      </c>
      <c r="K884" s="262"/>
      <c r="L884" s="262"/>
      <c r="M884" s="262">
        <v>8831</v>
      </c>
      <c r="N884" s="262" t="s">
        <v>22</v>
      </c>
      <c r="O884" s="262" t="s">
        <v>56</v>
      </c>
      <c r="P884" s="262" t="s">
        <v>57</v>
      </c>
      <c r="Q884" s="262" t="s">
        <v>44</v>
      </c>
      <c r="R884" s="262" t="s">
        <v>469</v>
      </c>
      <c r="S884" s="267" t="s">
        <v>469</v>
      </c>
      <c r="T884" s="268"/>
      <c r="U884" s="269"/>
      <c r="V884" s="269">
        <v>28900000</v>
      </c>
      <c r="W884" s="278">
        <v>0</v>
      </c>
      <c r="X884" s="270"/>
      <c r="Y884" s="262" t="s">
        <v>25</v>
      </c>
      <c r="Z884" s="271" t="s">
        <v>25</v>
      </c>
      <c r="AA884" s="287"/>
      <c r="AB884" s="287"/>
      <c r="AC884" s="272">
        <f t="shared" si="29"/>
        <v>10000000</v>
      </c>
      <c r="AD884" s="272">
        <v>10000000</v>
      </c>
      <c r="AE884" s="272">
        <f t="shared" si="30"/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/>
      <c r="AT884" s="275"/>
      <c r="AU884" s="275"/>
      <c r="AV884" s="275"/>
      <c r="AW884" s="275"/>
      <c r="AX884" s="275"/>
      <c r="AY884" s="275"/>
      <c r="AZ884" s="275"/>
      <c r="BA884" s="275">
        <v>10000000</v>
      </c>
      <c r="BB884" s="275"/>
      <c r="BC884" s="275"/>
      <c r="BD884" s="275"/>
      <c r="BE884" s="275"/>
      <c r="BF884" s="275"/>
      <c r="BH884" s="277"/>
    </row>
    <row r="885" spans="1:60" ht="16.5" customHeight="1">
      <c r="A885" s="260">
        <v>863</v>
      </c>
      <c r="B885" s="261"/>
      <c r="C885" s="261"/>
      <c r="D885" s="262" t="s">
        <v>15</v>
      </c>
      <c r="E885" s="262" t="s">
        <v>153</v>
      </c>
      <c r="F885" s="263" t="s">
        <v>15</v>
      </c>
      <c r="G885" s="264" t="s">
        <v>153</v>
      </c>
      <c r="H885" s="281"/>
      <c r="I885" s="265"/>
      <c r="J885" s="266" t="s">
        <v>856</v>
      </c>
      <c r="K885" s="262"/>
      <c r="L885" s="262"/>
      <c r="M885" s="262">
        <v>8831</v>
      </c>
      <c r="N885" s="262" t="s">
        <v>22</v>
      </c>
      <c r="O885" s="262" t="s">
        <v>35</v>
      </c>
      <c r="P885" s="262" t="s">
        <v>124</v>
      </c>
      <c r="Q885" s="262"/>
      <c r="R885" s="262"/>
      <c r="S885" s="267" t="s">
        <v>828</v>
      </c>
      <c r="T885" s="268"/>
      <c r="U885" s="269"/>
      <c r="V885" s="269"/>
      <c r="W885" s="278">
        <v>0</v>
      </c>
      <c r="X885" s="270"/>
      <c r="Y885" s="262"/>
      <c r="Z885" s="271" t="s">
        <v>562</v>
      </c>
      <c r="AA885" s="287"/>
      <c r="AB885" s="287"/>
      <c r="AC885" s="272">
        <f t="shared" si="29"/>
        <v>0</v>
      </c>
      <c r="AD885" s="272">
        <v>0</v>
      </c>
      <c r="AE885" s="272">
        <f t="shared" si="30"/>
        <v>0</v>
      </c>
      <c r="AF885" s="273"/>
      <c r="AG885" s="274"/>
      <c r="AH885" s="273"/>
      <c r="AI885" s="273">
        <v>20000000</v>
      </c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/>
      <c r="AT885" s="275"/>
      <c r="AU885" s="275"/>
      <c r="AV885" s="275"/>
      <c r="AW885" s="275"/>
      <c r="AX885" s="275"/>
      <c r="AY885" s="275"/>
      <c r="AZ885" s="275"/>
      <c r="BA885" s="275"/>
      <c r="BB885" s="275"/>
      <c r="BC885" s="275"/>
      <c r="BD885" s="275"/>
      <c r="BE885" s="275"/>
      <c r="BF885" s="275"/>
      <c r="BH885" s="277"/>
    </row>
    <row r="886" spans="1:60" ht="16.5" customHeight="1">
      <c r="A886" s="260">
        <v>864</v>
      </c>
      <c r="B886" s="261"/>
      <c r="C886" s="261"/>
      <c r="D886" s="262" t="s">
        <v>15</v>
      </c>
      <c r="E886" s="262" t="s">
        <v>153</v>
      </c>
      <c r="F886" s="263" t="s">
        <v>15</v>
      </c>
      <c r="G886" s="264" t="s">
        <v>153</v>
      </c>
      <c r="H886" s="281"/>
      <c r="I886" s="265"/>
      <c r="J886" s="266" t="s">
        <v>857</v>
      </c>
      <c r="K886" s="262"/>
      <c r="L886" s="262"/>
      <c r="M886" s="262">
        <v>55714</v>
      </c>
      <c r="N886" s="262" t="s">
        <v>22</v>
      </c>
      <c r="O886" s="262" t="s">
        <v>56</v>
      </c>
      <c r="P886" s="262" t="s">
        <v>57</v>
      </c>
      <c r="Q886" s="262" t="s">
        <v>18</v>
      </c>
      <c r="R886" s="262" t="s">
        <v>19</v>
      </c>
      <c r="S886" s="267" t="s">
        <v>19</v>
      </c>
      <c r="T886" s="268"/>
      <c r="U886" s="269">
        <v>3960000</v>
      </c>
      <c r="V886" s="269">
        <v>2280000</v>
      </c>
      <c r="W886" s="278">
        <v>0</v>
      </c>
      <c r="X886" s="270"/>
      <c r="Y886" s="262" t="s">
        <v>25</v>
      </c>
      <c r="Z886" s="271" t="s">
        <v>562</v>
      </c>
      <c r="AA886" s="287"/>
      <c r="AB886" s="287"/>
      <c r="AC886" s="272">
        <f t="shared" si="29"/>
        <v>10000000</v>
      </c>
      <c r="AD886" s="272">
        <v>10000000</v>
      </c>
      <c r="AE886" s="272">
        <f t="shared" si="30"/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/>
      <c r="AT886" s="275"/>
      <c r="AU886" s="275">
        <v>10000000</v>
      </c>
      <c r="AV886" s="275"/>
      <c r="AW886" s="275"/>
      <c r="AX886" s="275"/>
      <c r="AY886" s="275"/>
      <c r="AZ886" s="275"/>
      <c r="BA886" s="275"/>
      <c r="BB886" s="275"/>
      <c r="BC886" s="275"/>
      <c r="BD886" s="275"/>
      <c r="BE886" s="275"/>
      <c r="BF886" s="275"/>
      <c r="BH886" s="277"/>
    </row>
    <row r="887" spans="1:60" ht="16.5" customHeight="1">
      <c r="A887" s="260">
        <v>865</v>
      </c>
      <c r="B887" s="261"/>
      <c r="C887" s="261"/>
      <c r="D887" s="262" t="s">
        <v>15</v>
      </c>
      <c r="E887" s="262" t="s">
        <v>153</v>
      </c>
      <c r="F887" s="263" t="s">
        <v>15</v>
      </c>
      <c r="G887" s="264" t="s">
        <v>153</v>
      </c>
      <c r="H887" s="281"/>
      <c r="I887" s="265"/>
      <c r="J887" s="266" t="s">
        <v>857</v>
      </c>
      <c r="K887" s="262"/>
      <c r="L887" s="262"/>
      <c r="M887" s="262">
        <v>55714</v>
      </c>
      <c r="N887" s="262" t="s">
        <v>22</v>
      </c>
      <c r="O887" s="262" t="s">
        <v>35</v>
      </c>
      <c r="P887" s="262" t="s">
        <v>57</v>
      </c>
      <c r="Q887" s="262" t="s">
        <v>26</v>
      </c>
      <c r="R887" s="262" t="s">
        <v>468</v>
      </c>
      <c r="S887" s="267" t="s">
        <v>468</v>
      </c>
      <c r="T887" s="268"/>
      <c r="U887" s="269">
        <v>4200000</v>
      </c>
      <c r="V887" s="269">
        <v>0</v>
      </c>
      <c r="W887" s="278">
        <v>0</v>
      </c>
      <c r="X887" s="270"/>
      <c r="Y887" s="262" t="s">
        <v>25</v>
      </c>
      <c r="Z887" s="271" t="s">
        <v>562</v>
      </c>
      <c r="AA887" s="287"/>
      <c r="AB887" s="287"/>
      <c r="AC887" s="272">
        <f t="shared" si="29"/>
        <v>0</v>
      </c>
      <c r="AD887" s="272">
        <v>0</v>
      </c>
      <c r="AE887" s="272">
        <f t="shared" si="30"/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/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/>
      <c r="BF887" s="275"/>
      <c r="BH887" s="277"/>
    </row>
    <row r="888" spans="1:60" ht="16.5" customHeight="1">
      <c r="A888" s="260">
        <v>866</v>
      </c>
      <c r="B888" s="261"/>
      <c r="C888" s="261"/>
      <c r="D888" s="262" t="s">
        <v>15</v>
      </c>
      <c r="E888" s="262" t="s">
        <v>153</v>
      </c>
      <c r="F888" s="263" t="s">
        <v>15</v>
      </c>
      <c r="G888" s="264" t="s">
        <v>153</v>
      </c>
      <c r="H888" s="281"/>
      <c r="I888" s="265"/>
      <c r="J888" s="266" t="s">
        <v>857</v>
      </c>
      <c r="K888" s="262"/>
      <c r="L888" s="262"/>
      <c r="M888" s="262">
        <v>55714</v>
      </c>
      <c r="N888" s="262" t="s">
        <v>22</v>
      </c>
      <c r="O888" s="262" t="s">
        <v>35</v>
      </c>
      <c r="P888" s="262" t="s">
        <v>124</v>
      </c>
      <c r="Q888" s="262"/>
      <c r="R888" s="262" t="s">
        <v>19</v>
      </c>
      <c r="S888" s="267" t="s">
        <v>828</v>
      </c>
      <c r="T888" s="268"/>
      <c r="U888" s="269"/>
      <c r="V888" s="269"/>
      <c r="W888" s="278">
        <v>0</v>
      </c>
      <c r="X888" s="270"/>
      <c r="Y888" s="262"/>
      <c r="Z888" s="271" t="s">
        <v>562</v>
      </c>
      <c r="AA888" s="287"/>
      <c r="AB888" s="287"/>
      <c r="AC888" s="272">
        <f t="shared" si="29"/>
        <v>10000000</v>
      </c>
      <c r="AD888" s="272">
        <v>10000000</v>
      </c>
      <c r="AE888" s="272">
        <f t="shared" si="30"/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>
        <v>10000000</v>
      </c>
      <c r="AP888" s="275"/>
      <c r="AQ888" s="275"/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H888" s="277"/>
    </row>
    <row r="889" spans="1:60" ht="16.5" customHeight="1">
      <c r="A889" s="260">
        <v>867</v>
      </c>
      <c r="B889" s="261"/>
      <c r="C889" s="261"/>
      <c r="D889" s="262" t="s">
        <v>15</v>
      </c>
      <c r="E889" s="262" t="s">
        <v>153</v>
      </c>
      <c r="F889" s="263" t="s">
        <v>15</v>
      </c>
      <c r="G889" s="264" t="s">
        <v>153</v>
      </c>
      <c r="H889" s="281"/>
      <c r="I889" s="265"/>
      <c r="J889" s="266" t="s">
        <v>858</v>
      </c>
      <c r="K889" s="262"/>
      <c r="L889" s="262"/>
      <c r="M889" s="262">
        <v>54464</v>
      </c>
      <c r="N889" s="262" t="s">
        <v>22</v>
      </c>
      <c r="O889" s="262" t="s">
        <v>35</v>
      </c>
      <c r="P889" s="262" t="s">
        <v>57</v>
      </c>
      <c r="Q889" s="262" t="s">
        <v>18</v>
      </c>
      <c r="R889" s="262" t="s">
        <v>19</v>
      </c>
      <c r="S889" s="267" t="s">
        <v>19</v>
      </c>
      <c r="T889" s="268"/>
      <c r="U889" s="269">
        <v>6320000</v>
      </c>
      <c r="V889" s="269">
        <v>0</v>
      </c>
      <c r="W889" s="278">
        <v>0</v>
      </c>
      <c r="X889" s="270"/>
      <c r="Y889" s="262" t="s">
        <v>25</v>
      </c>
      <c r="Z889" s="271" t="s">
        <v>562</v>
      </c>
      <c r="AA889" s="287"/>
      <c r="AB889" s="287"/>
      <c r="AC889" s="272">
        <f t="shared" si="29"/>
        <v>0</v>
      </c>
      <c r="AD889" s="272">
        <v>0</v>
      </c>
      <c r="AE889" s="272">
        <f t="shared" si="30"/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75"/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customHeight="1">
      <c r="A890" s="260">
        <v>868</v>
      </c>
      <c r="B890" s="261"/>
      <c r="C890" s="261"/>
      <c r="D890" s="262"/>
      <c r="E890" s="262"/>
      <c r="F890" s="263" t="s">
        <v>15</v>
      </c>
      <c r="G890" s="264" t="s">
        <v>153</v>
      </c>
      <c r="H890" s="281"/>
      <c r="I890" s="265"/>
      <c r="J890" s="266" t="s">
        <v>859</v>
      </c>
      <c r="K890" s="262"/>
      <c r="L890" s="262"/>
      <c r="M890" s="262">
        <v>14057</v>
      </c>
      <c r="N890" s="262" t="s">
        <v>22</v>
      </c>
      <c r="O890" s="262" t="s">
        <v>35</v>
      </c>
      <c r="P890" s="262" t="s">
        <v>124</v>
      </c>
      <c r="Q890" s="262"/>
      <c r="R890" s="262" t="s">
        <v>19</v>
      </c>
      <c r="S890" s="267" t="s">
        <v>828</v>
      </c>
      <c r="T890" s="268"/>
      <c r="U890" s="269"/>
      <c r="V890" s="269"/>
      <c r="W890" s="278">
        <v>0</v>
      </c>
      <c r="X890" s="270"/>
      <c r="Y890" s="262"/>
      <c r="Z890" s="271" t="s">
        <v>562</v>
      </c>
      <c r="AA890" s="287"/>
      <c r="AB890" s="287"/>
      <c r="AC890" s="272">
        <f t="shared" si="29"/>
        <v>10000000</v>
      </c>
      <c r="AD890" s="272">
        <v>10000000</v>
      </c>
      <c r="AE890" s="272">
        <f t="shared" si="30"/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>
        <v>10000000</v>
      </c>
      <c r="AP890" s="275"/>
      <c r="AQ890" s="275"/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customHeight="1">
      <c r="A891" s="260">
        <v>869</v>
      </c>
      <c r="B891" s="261"/>
      <c r="C891" s="261"/>
      <c r="D891" s="262" t="s">
        <v>15</v>
      </c>
      <c r="E891" s="262" t="s">
        <v>153</v>
      </c>
      <c r="F891" s="263" t="s">
        <v>15</v>
      </c>
      <c r="G891" s="264" t="s">
        <v>153</v>
      </c>
      <c r="H891" s="281"/>
      <c r="I891" s="265"/>
      <c r="J891" s="266" t="s">
        <v>914</v>
      </c>
      <c r="K891" s="262"/>
      <c r="L891" s="262"/>
      <c r="M891" s="262">
        <v>63720</v>
      </c>
      <c r="N891" s="262"/>
      <c r="O891" s="262"/>
      <c r="P891" s="262"/>
      <c r="Q891" s="262"/>
      <c r="R891" s="262"/>
      <c r="S891" s="267" t="s">
        <v>468</v>
      </c>
      <c r="T891" s="268"/>
      <c r="U891" s="269"/>
      <c r="V891" s="269"/>
      <c r="W891" s="278">
        <v>3181818</v>
      </c>
      <c r="X891" s="270"/>
      <c r="Y891" s="262"/>
      <c r="Z891" s="271" t="s">
        <v>718</v>
      </c>
      <c r="AA891" s="287"/>
      <c r="AB891" s="287"/>
      <c r="AC891" s="272">
        <f t="shared" si="29"/>
        <v>0</v>
      </c>
      <c r="AD891" s="272">
        <v>0</v>
      </c>
      <c r="AE891" s="272">
        <f t="shared" si="30"/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75"/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customHeight="1">
      <c r="A892" s="260">
        <v>870</v>
      </c>
      <c r="B892" s="261"/>
      <c r="C892" s="261"/>
      <c r="D892" s="262" t="s">
        <v>15</v>
      </c>
      <c r="E892" s="262" t="s">
        <v>153</v>
      </c>
      <c r="F892" s="263" t="s">
        <v>15</v>
      </c>
      <c r="G892" s="264" t="s">
        <v>153</v>
      </c>
      <c r="H892" s="281"/>
      <c r="I892" s="265"/>
      <c r="J892" s="266" t="s">
        <v>860</v>
      </c>
      <c r="K892" s="262"/>
      <c r="L892" s="262"/>
      <c r="M892" s="262">
        <v>3689</v>
      </c>
      <c r="N892" s="262" t="s">
        <v>22</v>
      </c>
      <c r="O892" s="262" t="s">
        <v>56</v>
      </c>
      <c r="P892" s="262"/>
      <c r="Q892" s="262"/>
      <c r="R892" s="262" t="s">
        <v>397</v>
      </c>
      <c r="S892" s="267" t="s">
        <v>823</v>
      </c>
      <c r="T892" s="268"/>
      <c r="U892" s="269"/>
      <c r="V892" s="269"/>
      <c r="W892" s="278">
        <v>0</v>
      </c>
      <c r="X892" s="270"/>
      <c r="Y892" s="262" t="s">
        <v>74</v>
      </c>
      <c r="Z892" s="271" t="s">
        <v>562</v>
      </c>
      <c r="AA892" s="287"/>
      <c r="AB892" s="287"/>
      <c r="AC892" s="272">
        <f t="shared" si="29"/>
        <v>20000000</v>
      </c>
      <c r="AD892" s="272">
        <v>20000000</v>
      </c>
      <c r="AE892" s="272">
        <f t="shared" si="30"/>
        <v>0</v>
      </c>
      <c r="AF892" s="273"/>
      <c r="AG892" s="274"/>
      <c r="AH892" s="273"/>
      <c r="AI892" s="273"/>
      <c r="AJ892" s="274"/>
      <c r="AK892" s="273"/>
      <c r="AL892" s="275"/>
      <c r="AM892" s="290"/>
      <c r="AN892" s="275"/>
      <c r="AO892" s="276">
        <v>20000000</v>
      </c>
      <c r="AP892" s="275"/>
      <c r="AQ892" s="275"/>
      <c r="AR892" s="275"/>
      <c r="AS892" s="275"/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customHeight="1">
      <c r="A893" s="260">
        <v>871</v>
      </c>
      <c r="B893" s="261"/>
      <c r="C893" s="261"/>
      <c r="D893" s="262" t="s">
        <v>15</v>
      </c>
      <c r="E893" s="262" t="s">
        <v>153</v>
      </c>
      <c r="F893" s="263" t="s">
        <v>15</v>
      </c>
      <c r="G893" s="264" t="s">
        <v>153</v>
      </c>
      <c r="H893" s="281"/>
      <c r="I893" s="265"/>
      <c r="J893" s="266" t="s">
        <v>861</v>
      </c>
      <c r="K893" s="262"/>
      <c r="L893" s="262"/>
      <c r="M893" s="262">
        <v>3689</v>
      </c>
      <c r="N893" s="262" t="s">
        <v>22</v>
      </c>
      <c r="O893" s="262" t="s">
        <v>56</v>
      </c>
      <c r="P893" s="262" t="s">
        <v>124</v>
      </c>
      <c r="Q893" s="262" t="s">
        <v>26</v>
      </c>
      <c r="R893" s="262" t="s">
        <v>468</v>
      </c>
      <c r="S893" s="267" t="s">
        <v>468</v>
      </c>
      <c r="T893" s="268"/>
      <c r="U893" s="269"/>
      <c r="V893" s="269">
        <v>0</v>
      </c>
      <c r="W893" s="278">
        <v>0</v>
      </c>
      <c r="X893" s="270"/>
      <c r="Y893" s="262" t="s">
        <v>562</v>
      </c>
      <c r="Z893" s="271" t="s">
        <v>562</v>
      </c>
      <c r="AA893" s="287"/>
      <c r="AB893" s="287"/>
      <c r="AC893" s="272">
        <f t="shared" si="29"/>
        <v>0</v>
      </c>
      <c r="AD893" s="272">
        <v>0</v>
      </c>
      <c r="AE893" s="272">
        <f t="shared" si="30"/>
        <v>0</v>
      </c>
      <c r="AF893" s="273"/>
      <c r="AG893" s="274"/>
      <c r="AH893" s="273"/>
      <c r="AI893" s="273"/>
      <c r="AJ893" s="274"/>
      <c r="AK893" s="273"/>
      <c r="AL893" s="275"/>
      <c r="AM893" s="290"/>
      <c r="AN893" s="275"/>
      <c r="AO893" s="276"/>
      <c r="AP893" s="275"/>
      <c r="AQ893" s="275"/>
      <c r="AR893" s="275"/>
      <c r="AS893" s="275"/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customHeight="1">
      <c r="A894" s="260">
        <v>872</v>
      </c>
      <c r="B894" s="261"/>
      <c r="C894" s="261"/>
      <c r="D894" s="262" t="s">
        <v>15</v>
      </c>
      <c r="E894" s="262" t="s">
        <v>153</v>
      </c>
      <c r="F894" s="263" t="s">
        <v>15</v>
      </c>
      <c r="G894" s="264" t="s">
        <v>153</v>
      </c>
      <c r="H894" s="281"/>
      <c r="I894" s="265"/>
      <c r="J894" s="266" t="s">
        <v>862</v>
      </c>
      <c r="K894" s="262"/>
      <c r="L894" s="262"/>
      <c r="M894" s="262">
        <v>3689</v>
      </c>
      <c r="N894" s="262" t="s">
        <v>22</v>
      </c>
      <c r="O894" s="262" t="s">
        <v>56</v>
      </c>
      <c r="P894" s="262" t="s">
        <v>124</v>
      </c>
      <c r="Q894" s="262" t="s">
        <v>26</v>
      </c>
      <c r="R894" s="262" t="s">
        <v>468</v>
      </c>
      <c r="S894" s="267" t="s">
        <v>468</v>
      </c>
      <c r="T894" s="268"/>
      <c r="U894" s="269">
        <v>69625000</v>
      </c>
      <c r="V894" s="269">
        <v>0</v>
      </c>
      <c r="W894" s="278">
        <v>0</v>
      </c>
      <c r="X894" s="270"/>
      <c r="Y894" s="262" t="s">
        <v>562</v>
      </c>
      <c r="Z894" s="271" t="s">
        <v>562</v>
      </c>
      <c r="AA894" s="287"/>
      <c r="AB894" s="287"/>
      <c r="AC894" s="272">
        <f t="shared" si="29"/>
        <v>0</v>
      </c>
      <c r="AD894" s="272">
        <v>0</v>
      </c>
      <c r="AE894" s="272">
        <f t="shared" si="30"/>
        <v>0</v>
      </c>
      <c r="AF894" s="273"/>
      <c r="AG894" s="274"/>
      <c r="AH894" s="273"/>
      <c r="AI894" s="273"/>
      <c r="AJ894" s="274"/>
      <c r="AK894" s="273"/>
      <c r="AL894" s="275"/>
      <c r="AM894" s="290"/>
      <c r="AN894" s="275"/>
      <c r="AO894" s="276"/>
      <c r="AP894" s="275"/>
      <c r="AQ894" s="275"/>
      <c r="AR894" s="275"/>
      <c r="AS894" s="275"/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customHeight="1">
      <c r="A895" s="260">
        <v>873</v>
      </c>
      <c r="B895" s="261"/>
      <c r="C895" s="261"/>
      <c r="D895" s="262" t="s">
        <v>15</v>
      </c>
      <c r="E895" s="262" t="s">
        <v>153</v>
      </c>
      <c r="F895" s="263" t="s">
        <v>15</v>
      </c>
      <c r="G895" s="264" t="s">
        <v>153</v>
      </c>
      <c r="H895" s="281"/>
      <c r="I895" s="265"/>
      <c r="J895" s="266" t="s">
        <v>979</v>
      </c>
      <c r="K895" s="262"/>
      <c r="L895" s="262"/>
      <c r="M895" s="262">
        <v>3689</v>
      </c>
      <c r="N895" s="262"/>
      <c r="O895" s="262"/>
      <c r="P895" s="262"/>
      <c r="Q895" s="262"/>
      <c r="R895" s="262" t="s">
        <v>468</v>
      </c>
      <c r="S895" s="267" t="s">
        <v>468</v>
      </c>
      <c r="T895" s="268"/>
      <c r="U895" s="269"/>
      <c r="V895" s="269"/>
      <c r="W895" s="278">
        <v>62100000</v>
      </c>
      <c r="X895" s="270"/>
      <c r="Y895" s="262" t="s">
        <v>27</v>
      </c>
      <c r="Z895" s="271" t="s">
        <v>27</v>
      </c>
      <c r="AA895" s="287"/>
      <c r="AB895" s="287"/>
      <c r="AC895" s="272">
        <f t="shared" si="29"/>
        <v>350000000</v>
      </c>
      <c r="AD895" s="272">
        <v>350000000</v>
      </c>
      <c r="AE895" s="272">
        <f t="shared" si="30"/>
        <v>0</v>
      </c>
      <c r="AF895" s="273"/>
      <c r="AG895" s="274"/>
      <c r="AH895" s="273"/>
      <c r="AI895" s="273"/>
      <c r="AJ895" s="274"/>
      <c r="AK895" s="273"/>
      <c r="AL895" s="275"/>
      <c r="AM895" s="290">
        <v>6900000</v>
      </c>
      <c r="AN895" s="275"/>
      <c r="AO895" s="276">
        <v>33654000</v>
      </c>
      <c r="AP895" s="275"/>
      <c r="AQ895" s="275">
        <v>40000000</v>
      </c>
      <c r="AR895" s="275"/>
      <c r="AS895" s="275">
        <v>50000000</v>
      </c>
      <c r="AT895" s="275"/>
      <c r="AU895" s="275">
        <v>55000000</v>
      </c>
      <c r="AV895" s="275"/>
      <c r="AW895" s="275">
        <v>55000000</v>
      </c>
      <c r="AX895" s="275"/>
      <c r="AY895" s="275">
        <v>55000000</v>
      </c>
      <c r="AZ895" s="275"/>
      <c r="BA895" s="275">
        <v>54446000</v>
      </c>
      <c r="BB895" s="275"/>
      <c r="BC895" s="275"/>
      <c r="BD895" s="275"/>
      <c r="BE895" s="275"/>
      <c r="BF895" s="275"/>
      <c r="BH895" s="277"/>
    </row>
    <row r="896" spans="1:60" ht="16.5" customHeight="1">
      <c r="A896" s="260">
        <v>874</v>
      </c>
      <c r="B896" s="261"/>
      <c r="C896" s="261"/>
      <c r="D896" s="262" t="s">
        <v>15</v>
      </c>
      <c r="E896" s="262" t="s">
        <v>153</v>
      </c>
      <c r="F896" s="263" t="s">
        <v>15</v>
      </c>
      <c r="G896" s="264" t="s">
        <v>153</v>
      </c>
      <c r="H896" s="281"/>
      <c r="I896" s="265"/>
      <c r="J896" s="266" t="s">
        <v>863</v>
      </c>
      <c r="K896" s="262"/>
      <c r="L896" s="262"/>
      <c r="M896" s="262">
        <v>3689</v>
      </c>
      <c r="N896" s="262" t="s">
        <v>22</v>
      </c>
      <c r="O896" s="262" t="s">
        <v>35</v>
      </c>
      <c r="P896" s="262" t="s">
        <v>124</v>
      </c>
      <c r="Q896" s="262" t="s">
        <v>26</v>
      </c>
      <c r="R896" s="262" t="s">
        <v>468</v>
      </c>
      <c r="S896" s="267" t="s">
        <v>468</v>
      </c>
      <c r="T896" s="268"/>
      <c r="U896" s="269"/>
      <c r="V896" s="269">
        <v>0</v>
      </c>
      <c r="W896" s="278">
        <v>0</v>
      </c>
      <c r="X896" s="270"/>
      <c r="Y896" s="262" t="s">
        <v>25</v>
      </c>
      <c r="Z896" s="271" t="s">
        <v>25</v>
      </c>
      <c r="AA896" s="287"/>
      <c r="AB896" s="287"/>
      <c r="AC896" s="272">
        <f t="shared" si="29"/>
        <v>10000000</v>
      </c>
      <c r="AD896" s="272">
        <v>10000000</v>
      </c>
      <c r="AE896" s="272">
        <f t="shared" si="30"/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/>
      <c r="AP896" s="275"/>
      <c r="AQ896" s="275"/>
      <c r="AR896" s="275"/>
      <c r="AS896" s="275"/>
      <c r="AT896" s="275"/>
      <c r="AU896" s="275"/>
      <c r="AV896" s="275"/>
      <c r="AW896" s="275">
        <v>10000000</v>
      </c>
      <c r="AX896" s="275"/>
      <c r="AY896" s="275"/>
      <c r="AZ896" s="275"/>
      <c r="BA896" s="275"/>
      <c r="BB896" s="275"/>
      <c r="BC896" s="275"/>
      <c r="BD896" s="275"/>
      <c r="BE896" s="275"/>
      <c r="BF896" s="275"/>
      <c r="BH896" s="277"/>
    </row>
    <row r="897" spans="1:60" ht="16.5" customHeight="1">
      <c r="A897" s="260">
        <v>875</v>
      </c>
      <c r="B897" s="261"/>
      <c r="C897" s="261"/>
      <c r="D897" s="262" t="s">
        <v>15</v>
      </c>
      <c r="E897" s="262" t="s">
        <v>153</v>
      </c>
      <c r="F897" s="263" t="s">
        <v>15</v>
      </c>
      <c r="G897" s="264" t="s">
        <v>153</v>
      </c>
      <c r="H897" s="281"/>
      <c r="I897" s="265"/>
      <c r="J897" s="266" t="s">
        <v>165</v>
      </c>
      <c r="K897" s="262"/>
      <c r="L897" s="262"/>
      <c r="M897" s="262">
        <v>3689</v>
      </c>
      <c r="N897" s="262" t="s">
        <v>22</v>
      </c>
      <c r="O897" s="262" t="s">
        <v>56</v>
      </c>
      <c r="P897" s="262" t="s">
        <v>124</v>
      </c>
      <c r="Q897" s="262" t="s">
        <v>18</v>
      </c>
      <c r="R897" s="262" t="s">
        <v>19</v>
      </c>
      <c r="S897" s="267" t="s">
        <v>19</v>
      </c>
      <c r="T897" s="268"/>
      <c r="U897" s="269">
        <v>30000000</v>
      </c>
      <c r="V897" s="269">
        <v>101640000</v>
      </c>
      <c r="W897" s="278">
        <v>62970000</v>
      </c>
      <c r="X897" s="270"/>
      <c r="Y897" s="262" t="s">
        <v>27</v>
      </c>
      <c r="Z897" s="271" t="s">
        <v>24</v>
      </c>
      <c r="AA897" s="287"/>
      <c r="AB897" s="287"/>
      <c r="AC897" s="272">
        <f t="shared" si="29"/>
        <v>80000000</v>
      </c>
      <c r="AD897" s="272">
        <v>100000000</v>
      </c>
      <c r="AE897" s="272">
        <f t="shared" si="30"/>
        <v>-20000000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/>
      <c r="AP897" s="275"/>
      <c r="AQ897" s="275"/>
      <c r="AR897" s="275"/>
      <c r="AS897" s="275"/>
      <c r="AT897" s="275"/>
      <c r="AU897" s="275"/>
      <c r="AV897" s="275"/>
      <c r="AW897" s="275"/>
      <c r="AX897" s="275"/>
      <c r="AY897" s="275">
        <v>50000000</v>
      </c>
      <c r="AZ897" s="275"/>
      <c r="BA897" s="275"/>
      <c r="BB897" s="275"/>
      <c r="BC897" s="275">
        <v>30000000</v>
      </c>
      <c r="BD897" s="275"/>
      <c r="BE897" s="275"/>
      <c r="BF897" s="275"/>
      <c r="BH897" s="277"/>
    </row>
    <row r="898" spans="1:60" ht="16.5" customHeight="1">
      <c r="A898" s="260">
        <v>876</v>
      </c>
      <c r="B898" s="261"/>
      <c r="C898" s="261"/>
      <c r="D898" s="262" t="s">
        <v>15</v>
      </c>
      <c r="E898" s="262" t="s">
        <v>153</v>
      </c>
      <c r="F898" s="263" t="s">
        <v>15</v>
      </c>
      <c r="G898" s="264" t="s">
        <v>153</v>
      </c>
      <c r="H898" s="281"/>
      <c r="I898" s="265"/>
      <c r="J898" s="266" t="s">
        <v>864</v>
      </c>
      <c r="K898" s="262"/>
      <c r="L898" s="262"/>
      <c r="M898" s="262">
        <v>3689</v>
      </c>
      <c r="N898" s="262" t="s">
        <v>22</v>
      </c>
      <c r="O898" s="262" t="s">
        <v>56</v>
      </c>
      <c r="P898" s="262" t="s">
        <v>124</v>
      </c>
      <c r="Q898" s="262" t="s">
        <v>46</v>
      </c>
      <c r="R898" s="262" t="s">
        <v>47</v>
      </c>
      <c r="S898" s="267" t="s">
        <v>47</v>
      </c>
      <c r="T898" s="268"/>
      <c r="U898" s="269">
        <v>60580000</v>
      </c>
      <c r="V898" s="269">
        <v>1800000</v>
      </c>
      <c r="W898" s="278">
        <v>0</v>
      </c>
      <c r="X898" s="270"/>
      <c r="Y898" s="262" t="s">
        <v>25</v>
      </c>
      <c r="Z898" s="271" t="s">
        <v>562</v>
      </c>
      <c r="AA898" s="287"/>
      <c r="AB898" s="287"/>
      <c r="AC898" s="272">
        <f t="shared" si="29"/>
        <v>10000000</v>
      </c>
      <c r="AD898" s="272">
        <v>10000000</v>
      </c>
      <c r="AE898" s="272">
        <f t="shared" si="30"/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/>
      <c r="AP898" s="275"/>
      <c r="AQ898" s="275"/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>
        <v>10000000</v>
      </c>
      <c r="BF898" s="275"/>
      <c r="BH898" s="277"/>
    </row>
    <row r="899" spans="1:60" ht="16.5" customHeight="1">
      <c r="A899" s="260">
        <v>877</v>
      </c>
      <c r="B899" s="261"/>
      <c r="C899" s="261"/>
      <c r="D899" s="262" t="s">
        <v>15</v>
      </c>
      <c r="E899" s="262" t="s">
        <v>153</v>
      </c>
      <c r="F899" s="263" t="s">
        <v>15</v>
      </c>
      <c r="G899" s="264" t="s">
        <v>153</v>
      </c>
      <c r="H899" s="281"/>
      <c r="I899" s="265"/>
      <c r="J899" s="266" t="s">
        <v>919</v>
      </c>
      <c r="K899" s="262"/>
      <c r="L899" s="262"/>
      <c r="M899" s="262">
        <v>3689</v>
      </c>
      <c r="N899" s="262"/>
      <c r="O899" s="262"/>
      <c r="P899" s="262"/>
      <c r="Q899" s="262"/>
      <c r="R899" s="262"/>
      <c r="S899" s="267" t="s">
        <v>469</v>
      </c>
      <c r="T899" s="268"/>
      <c r="U899" s="269"/>
      <c r="V899" s="269"/>
      <c r="W899" s="278">
        <v>4800000</v>
      </c>
      <c r="X899" s="270"/>
      <c r="Y899" s="262"/>
      <c r="Z899" s="271" t="s">
        <v>718</v>
      </c>
      <c r="AA899" s="287"/>
      <c r="AB899" s="287"/>
      <c r="AC899" s="272">
        <f t="shared" si="29"/>
        <v>0</v>
      </c>
      <c r="AD899" s="272">
        <v>0</v>
      </c>
      <c r="AE899" s="272">
        <f t="shared" si="30"/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/>
      <c r="AP899" s="275"/>
      <c r="AQ899" s="275"/>
      <c r="AR899" s="275"/>
      <c r="AS899" s="275"/>
      <c r="AT899" s="275"/>
      <c r="AU899" s="275"/>
      <c r="AV899" s="275"/>
      <c r="AW899" s="275"/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customHeight="1">
      <c r="A900" s="260">
        <v>878</v>
      </c>
      <c r="B900" s="261"/>
      <c r="C900" s="261"/>
      <c r="D900" s="262" t="s">
        <v>15</v>
      </c>
      <c r="E900" s="262" t="s">
        <v>153</v>
      </c>
      <c r="F900" s="263" t="s">
        <v>15</v>
      </c>
      <c r="G900" s="264" t="s">
        <v>153</v>
      </c>
      <c r="H900" s="281"/>
      <c r="I900" s="265"/>
      <c r="J900" s="266" t="s">
        <v>865</v>
      </c>
      <c r="K900" s="262"/>
      <c r="L900" s="262"/>
      <c r="M900" s="262">
        <v>3689</v>
      </c>
      <c r="N900" s="262" t="s">
        <v>22</v>
      </c>
      <c r="O900" s="262" t="s">
        <v>56</v>
      </c>
      <c r="P900" s="262" t="s">
        <v>124</v>
      </c>
      <c r="Q900" s="262" t="s">
        <v>23</v>
      </c>
      <c r="R900" s="262" t="s">
        <v>397</v>
      </c>
      <c r="S900" s="267" t="s">
        <v>823</v>
      </c>
      <c r="T900" s="268"/>
      <c r="U900" s="269">
        <v>11869000</v>
      </c>
      <c r="V900" s="269">
        <v>0</v>
      </c>
      <c r="W900" s="278">
        <v>0</v>
      </c>
      <c r="X900" s="270"/>
      <c r="Y900" s="262" t="s">
        <v>21</v>
      </c>
      <c r="Z900" s="271" t="s">
        <v>562</v>
      </c>
      <c r="AA900" s="287"/>
      <c r="AB900" s="287"/>
      <c r="AC900" s="272">
        <f t="shared" si="29"/>
        <v>0</v>
      </c>
      <c r="AD900" s="272">
        <v>0</v>
      </c>
      <c r="AE900" s="272">
        <f t="shared" si="30"/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/>
      <c r="AR900" s="275"/>
      <c r="AS900" s="275"/>
      <c r="AT900" s="275"/>
      <c r="AU900" s="275"/>
      <c r="AV900" s="275"/>
      <c r="AW900" s="275"/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customHeight="1">
      <c r="A901" s="260">
        <v>879</v>
      </c>
      <c r="B901" s="261"/>
      <c r="C901" s="261"/>
      <c r="D901" s="262" t="s">
        <v>15</v>
      </c>
      <c r="E901" s="262" t="s">
        <v>153</v>
      </c>
      <c r="F901" s="263" t="s">
        <v>15</v>
      </c>
      <c r="G901" s="264" t="s">
        <v>153</v>
      </c>
      <c r="H901" s="281"/>
      <c r="I901" s="265"/>
      <c r="J901" s="266" t="s">
        <v>866</v>
      </c>
      <c r="K901" s="262"/>
      <c r="L901" s="262"/>
      <c r="M901" s="262">
        <v>3689</v>
      </c>
      <c r="N901" s="262" t="s">
        <v>22</v>
      </c>
      <c r="O901" s="262" t="s">
        <v>56</v>
      </c>
      <c r="P901" s="262" t="s">
        <v>124</v>
      </c>
      <c r="Q901" s="262" t="s">
        <v>26</v>
      </c>
      <c r="R901" s="262" t="s">
        <v>468</v>
      </c>
      <c r="S901" s="267" t="s">
        <v>468</v>
      </c>
      <c r="T901" s="268"/>
      <c r="U901" s="269"/>
      <c r="V901" s="269">
        <v>0</v>
      </c>
      <c r="W901" s="278">
        <v>0</v>
      </c>
      <c r="X901" s="270"/>
      <c r="Y901" s="262" t="s">
        <v>562</v>
      </c>
      <c r="Z901" s="271" t="s">
        <v>562</v>
      </c>
      <c r="AA901" s="287"/>
      <c r="AB901" s="287"/>
      <c r="AC901" s="272">
        <f t="shared" si="29"/>
        <v>0</v>
      </c>
      <c r="AD901" s="272">
        <v>0</v>
      </c>
      <c r="AE901" s="272">
        <f t="shared" si="30"/>
        <v>0</v>
      </c>
      <c r="AF901" s="273"/>
      <c r="AG901" s="274"/>
      <c r="AH901" s="273"/>
      <c r="AI901" s="273"/>
      <c r="AJ901" s="274"/>
      <c r="AK901" s="273"/>
      <c r="AL901" s="275"/>
      <c r="AM901" s="290"/>
      <c r="AN901" s="275"/>
      <c r="AO901" s="276"/>
      <c r="AP901" s="275"/>
      <c r="AQ901" s="275"/>
      <c r="AR901" s="275"/>
      <c r="AS901" s="275"/>
      <c r="AT901" s="275"/>
      <c r="AU901" s="275"/>
      <c r="AV901" s="275"/>
      <c r="AW901" s="275"/>
      <c r="AX901" s="275"/>
      <c r="AY901" s="275"/>
      <c r="AZ901" s="275"/>
      <c r="BA901" s="275"/>
      <c r="BB901" s="275"/>
      <c r="BC901" s="275"/>
      <c r="BD901" s="275"/>
      <c r="BE901" s="275"/>
      <c r="BF901" s="275"/>
      <c r="BH901" s="277"/>
    </row>
    <row r="902" spans="1:60" ht="16.5" customHeight="1">
      <c r="A902" s="260">
        <v>880</v>
      </c>
      <c r="B902" s="261"/>
      <c r="C902" s="261"/>
      <c r="D902" s="262" t="s">
        <v>15</v>
      </c>
      <c r="E902" s="262" t="s">
        <v>153</v>
      </c>
      <c r="F902" s="263" t="s">
        <v>15</v>
      </c>
      <c r="G902" s="264" t="s">
        <v>153</v>
      </c>
      <c r="H902" s="281"/>
      <c r="I902" s="265"/>
      <c r="J902" s="266" t="s">
        <v>166</v>
      </c>
      <c r="K902" s="262"/>
      <c r="L902" s="262"/>
      <c r="M902" s="262">
        <v>3689</v>
      </c>
      <c r="N902" s="262" t="s">
        <v>22</v>
      </c>
      <c r="O902" s="262" t="s">
        <v>56</v>
      </c>
      <c r="P902" s="262" t="s">
        <v>124</v>
      </c>
      <c r="Q902" s="262" t="s">
        <v>23</v>
      </c>
      <c r="R902" s="262" t="s">
        <v>397</v>
      </c>
      <c r="S902" s="267" t="s">
        <v>823</v>
      </c>
      <c r="T902" s="268"/>
      <c r="U902" s="269"/>
      <c r="V902" s="269">
        <v>150000000</v>
      </c>
      <c r="W902" s="278">
        <v>40432000</v>
      </c>
      <c r="X902" s="270"/>
      <c r="Y902" s="262" t="s">
        <v>27</v>
      </c>
      <c r="Z902" s="271" t="s">
        <v>27</v>
      </c>
      <c r="AA902" s="287"/>
      <c r="AB902" s="287"/>
      <c r="AC902" s="272">
        <f t="shared" si="29"/>
        <v>18000000</v>
      </c>
      <c r="AD902" s="272">
        <v>18000000</v>
      </c>
      <c r="AE902" s="272">
        <f t="shared" si="30"/>
        <v>0</v>
      </c>
      <c r="AF902" s="273"/>
      <c r="AG902" s="274"/>
      <c r="AH902" s="273"/>
      <c r="AI902" s="273"/>
      <c r="AJ902" s="274"/>
      <c r="AK902" s="273"/>
      <c r="AL902" s="275"/>
      <c r="AM902" s="290">
        <v>7500000</v>
      </c>
      <c r="AN902" s="275"/>
      <c r="AO902" s="276"/>
      <c r="AP902" s="275"/>
      <c r="AQ902" s="275"/>
      <c r="AR902" s="275"/>
      <c r="AS902" s="275">
        <v>1500000</v>
      </c>
      <c r="AT902" s="275"/>
      <c r="AU902" s="275"/>
      <c r="AV902" s="275"/>
      <c r="AW902" s="275"/>
      <c r="AX902" s="275"/>
      <c r="AY902" s="275"/>
      <c r="AZ902" s="275"/>
      <c r="BA902" s="275">
        <v>7500000</v>
      </c>
      <c r="BB902" s="275"/>
      <c r="BC902" s="275"/>
      <c r="BD902" s="275"/>
      <c r="BE902" s="275">
        <v>1500000</v>
      </c>
      <c r="BF902" s="275"/>
      <c r="BH902" s="277"/>
    </row>
    <row r="903" spans="1:60" ht="16.5" customHeight="1">
      <c r="A903" s="260">
        <v>881</v>
      </c>
      <c r="B903" s="261"/>
      <c r="C903" s="261"/>
      <c r="D903" s="262" t="s">
        <v>15</v>
      </c>
      <c r="E903" s="262" t="s">
        <v>153</v>
      </c>
      <c r="F903" s="263" t="s">
        <v>15</v>
      </c>
      <c r="G903" s="264" t="s">
        <v>153</v>
      </c>
      <c r="H903" s="281"/>
      <c r="I903" s="265"/>
      <c r="J903" s="266" t="s">
        <v>867</v>
      </c>
      <c r="K903" s="262"/>
      <c r="L903" s="262"/>
      <c r="M903" s="262">
        <v>3689</v>
      </c>
      <c r="N903" s="262" t="s">
        <v>22</v>
      </c>
      <c r="O903" s="262" t="s">
        <v>56</v>
      </c>
      <c r="P903" s="262" t="s">
        <v>124</v>
      </c>
      <c r="Q903" s="262" t="s">
        <v>18</v>
      </c>
      <c r="R903" s="262" t="s">
        <v>19</v>
      </c>
      <c r="S903" s="267" t="s">
        <v>19</v>
      </c>
      <c r="T903" s="268"/>
      <c r="U903" s="269"/>
      <c r="V903" s="269">
        <v>0</v>
      </c>
      <c r="W903" s="278">
        <v>11030000</v>
      </c>
      <c r="X903" s="270"/>
      <c r="Y903" s="262" t="s">
        <v>24</v>
      </c>
      <c r="Z903" s="271" t="s">
        <v>25</v>
      </c>
      <c r="AA903" s="287"/>
      <c r="AB903" s="287"/>
      <c r="AC903" s="272">
        <f t="shared" si="29"/>
        <v>20000000</v>
      </c>
      <c r="AD903" s="272">
        <v>20000000</v>
      </c>
      <c r="AE903" s="272">
        <f t="shared" si="30"/>
        <v>0</v>
      </c>
      <c r="AF903" s="273"/>
      <c r="AG903" s="274"/>
      <c r="AH903" s="273"/>
      <c r="AI903" s="273"/>
      <c r="AJ903" s="274"/>
      <c r="AK903" s="273"/>
      <c r="AL903" s="275"/>
      <c r="AM903" s="290"/>
      <c r="AN903" s="275"/>
      <c r="AO903" s="276"/>
      <c r="AP903" s="275"/>
      <c r="AQ903" s="275"/>
      <c r="AR903" s="275"/>
      <c r="AS903" s="275"/>
      <c r="AT903" s="275"/>
      <c r="AU903" s="275"/>
      <c r="AV903" s="275"/>
      <c r="AW903" s="275"/>
      <c r="AX903" s="275"/>
      <c r="AY903" s="275"/>
      <c r="AZ903" s="275"/>
      <c r="BA903" s="275">
        <v>20000000</v>
      </c>
      <c r="BB903" s="275"/>
      <c r="BC903" s="275"/>
      <c r="BD903" s="275"/>
      <c r="BE903" s="275"/>
      <c r="BF903" s="275"/>
      <c r="BH903" s="277"/>
    </row>
    <row r="904" spans="1:60" ht="16.5" customHeight="1">
      <c r="A904" s="260">
        <v>882</v>
      </c>
      <c r="B904" s="261"/>
      <c r="C904" s="261"/>
      <c r="D904" s="262" t="s">
        <v>15</v>
      </c>
      <c r="E904" s="262" t="s">
        <v>153</v>
      </c>
      <c r="F904" s="263" t="s">
        <v>15</v>
      </c>
      <c r="G904" s="264" t="s">
        <v>153</v>
      </c>
      <c r="H904" s="281"/>
      <c r="I904" s="265"/>
      <c r="J904" s="266" t="s">
        <v>868</v>
      </c>
      <c r="K904" s="262"/>
      <c r="L904" s="262"/>
      <c r="M904" s="262">
        <v>3689</v>
      </c>
      <c r="N904" s="262" t="s">
        <v>22</v>
      </c>
      <c r="O904" s="262" t="s">
        <v>35</v>
      </c>
      <c r="P904" s="262" t="s">
        <v>124</v>
      </c>
      <c r="Q904" s="262" t="s">
        <v>23</v>
      </c>
      <c r="R904" s="262" t="s">
        <v>397</v>
      </c>
      <c r="S904" s="267" t="s">
        <v>823</v>
      </c>
      <c r="T904" s="268"/>
      <c r="U904" s="269"/>
      <c r="V904" s="269">
        <v>0</v>
      </c>
      <c r="W904" s="278">
        <v>0</v>
      </c>
      <c r="X904" s="270"/>
      <c r="Y904" s="262" t="s">
        <v>24</v>
      </c>
      <c r="Z904" s="271" t="s">
        <v>562</v>
      </c>
      <c r="AA904" s="287"/>
      <c r="AB904" s="287"/>
      <c r="AC904" s="272">
        <f t="shared" si="29"/>
        <v>20000000</v>
      </c>
      <c r="AD904" s="272">
        <v>20000000</v>
      </c>
      <c r="AE904" s="272">
        <f t="shared" si="30"/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75">
        <v>20000000</v>
      </c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customHeight="1">
      <c r="A905" s="260">
        <v>883</v>
      </c>
      <c r="B905" s="261"/>
      <c r="C905" s="261"/>
      <c r="D905" s="262" t="s">
        <v>15</v>
      </c>
      <c r="E905" s="262" t="s">
        <v>153</v>
      </c>
      <c r="F905" s="263" t="s">
        <v>15</v>
      </c>
      <c r="G905" s="264" t="s">
        <v>153</v>
      </c>
      <c r="H905" s="281"/>
      <c r="I905" s="265"/>
      <c r="J905" s="266" t="s">
        <v>869</v>
      </c>
      <c r="K905" s="262"/>
      <c r="L905" s="262"/>
      <c r="M905" s="262">
        <v>3689</v>
      </c>
      <c r="N905" s="262" t="s">
        <v>22</v>
      </c>
      <c r="O905" s="262" t="s">
        <v>56</v>
      </c>
      <c r="P905" s="262" t="s">
        <v>124</v>
      </c>
      <c r="Q905" s="262" t="s">
        <v>26</v>
      </c>
      <c r="R905" s="262" t="s">
        <v>468</v>
      </c>
      <c r="S905" s="267" t="s">
        <v>468</v>
      </c>
      <c r="T905" s="268"/>
      <c r="U905" s="269"/>
      <c r="V905" s="269">
        <v>519282600</v>
      </c>
      <c r="W905" s="278">
        <v>0</v>
      </c>
      <c r="X905" s="270"/>
      <c r="Y905" s="262" t="s">
        <v>74</v>
      </c>
      <c r="Z905" s="271" t="s">
        <v>562</v>
      </c>
      <c r="AA905" s="287"/>
      <c r="AB905" s="287"/>
      <c r="AC905" s="272">
        <f t="shared" si="29"/>
        <v>0</v>
      </c>
      <c r="AD905" s="272">
        <v>0</v>
      </c>
      <c r="AE905" s="272">
        <f t="shared" si="30"/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75"/>
      <c r="AR905" s="275"/>
      <c r="AS905" s="275"/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customHeight="1">
      <c r="A906" s="260">
        <v>884</v>
      </c>
      <c r="B906" s="261"/>
      <c r="C906" s="261"/>
      <c r="D906" s="262" t="s">
        <v>15</v>
      </c>
      <c r="E906" s="262" t="s">
        <v>153</v>
      </c>
      <c r="F906" s="263" t="s">
        <v>15</v>
      </c>
      <c r="G906" s="264" t="s">
        <v>153</v>
      </c>
      <c r="H906" s="281"/>
      <c r="I906" s="265"/>
      <c r="J906" s="266" t="s">
        <v>870</v>
      </c>
      <c r="K906" s="262"/>
      <c r="L906" s="262"/>
      <c r="M906" s="262">
        <v>3689</v>
      </c>
      <c r="N906" s="262" t="s">
        <v>22</v>
      </c>
      <c r="O906" s="262" t="s">
        <v>56</v>
      </c>
      <c r="P906" s="262" t="s">
        <v>124</v>
      </c>
      <c r="Q906" s="262" t="s">
        <v>55</v>
      </c>
      <c r="R906" s="262" t="s">
        <v>475</v>
      </c>
      <c r="S906" s="267" t="s">
        <v>830</v>
      </c>
      <c r="T906" s="268"/>
      <c r="U906" s="269"/>
      <c r="V906" s="269">
        <v>3000000</v>
      </c>
      <c r="W906" s="278">
        <v>600000</v>
      </c>
      <c r="X906" s="270"/>
      <c r="Y906" s="262" t="s">
        <v>25</v>
      </c>
      <c r="Z906" s="271" t="s">
        <v>562</v>
      </c>
      <c r="AA906" s="287"/>
      <c r="AB906" s="287"/>
      <c r="AC906" s="272">
        <f t="shared" si="29"/>
        <v>3000000</v>
      </c>
      <c r="AD906" s="272">
        <v>3000000</v>
      </c>
      <c r="AE906" s="272">
        <f t="shared" si="30"/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/>
      <c r="AR906" s="275"/>
      <c r="AS906" s="275"/>
      <c r="AT906" s="275"/>
      <c r="AU906" s="275"/>
      <c r="AV906" s="275"/>
      <c r="AW906" s="275"/>
      <c r="AX906" s="275"/>
      <c r="AY906" s="275">
        <v>3000000</v>
      </c>
      <c r="AZ906" s="275"/>
      <c r="BA906" s="275"/>
      <c r="BB906" s="275"/>
      <c r="BC906" s="275"/>
      <c r="BD906" s="275"/>
      <c r="BE906" s="275"/>
      <c r="BF906" s="275"/>
      <c r="BH906" s="277"/>
    </row>
    <row r="907" spans="1:60" ht="16.5" customHeight="1">
      <c r="A907" s="260">
        <v>885</v>
      </c>
      <c r="B907" s="261"/>
      <c r="C907" s="261"/>
      <c r="D907" s="262" t="s">
        <v>15</v>
      </c>
      <c r="E907" s="262" t="s">
        <v>153</v>
      </c>
      <c r="F907" s="263" t="s">
        <v>15</v>
      </c>
      <c r="G907" s="264" t="s">
        <v>153</v>
      </c>
      <c r="H907" s="281"/>
      <c r="I907" s="265"/>
      <c r="J907" s="266" t="s">
        <v>315</v>
      </c>
      <c r="K907" s="262"/>
      <c r="L907" s="262"/>
      <c r="M907" s="262">
        <v>15652</v>
      </c>
      <c r="N907" s="262" t="s">
        <v>32</v>
      </c>
      <c r="O907" s="262" t="s">
        <v>56</v>
      </c>
      <c r="P907" s="262" t="s">
        <v>57</v>
      </c>
      <c r="Q907" s="262" t="s">
        <v>63</v>
      </c>
      <c r="R907" s="262" t="s">
        <v>28</v>
      </c>
      <c r="S907" s="267" t="s">
        <v>28</v>
      </c>
      <c r="T907" s="268"/>
      <c r="U907" s="269">
        <v>154636364</v>
      </c>
      <c r="V907" s="269">
        <v>151500000</v>
      </c>
      <c r="W907" s="278">
        <v>147368182</v>
      </c>
      <c r="X907" s="270"/>
      <c r="Y907" s="262" t="s">
        <v>27</v>
      </c>
      <c r="Z907" s="271" t="s">
        <v>27</v>
      </c>
      <c r="AA907" s="287"/>
      <c r="AB907" s="287"/>
      <c r="AC907" s="272">
        <f t="shared" si="29"/>
        <v>135360000</v>
      </c>
      <c r="AD907" s="272">
        <v>135360000</v>
      </c>
      <c r="AE907" s="272">
        <f t="shared" si="30"/>
        <v>0</v>
      </c>
      <c r="AF907" s="273"/>
      <c r="AG907" s="274"/>
      <c r="AH907" s="273"/>
      <c r="AI907" s="273">
        <v>81216000</v>
      </c>
      <c r="AJ907" s="274">
        <v>81216000</v>
      </c>
      <c r="AK907" s="273" t="s">
        <v>971</v>
      </c>
      <c r="AL907" s="275"/>
      <c r="AM907" s="290"/>
      <c r="AN907" s="275"/>
      <c r="AO907" s="276"/>
      <c r="AP907" s="275"/>
      <c r="AQ907" s="275"/>
      <c r="AR907" s="275"/>
      <c r="AS907" s="275"/>
      <c r="AT907" s="275"/>
      <c r="AU907" s="275"/>
      <c r="AV907" s="275"/>
      <c r="AW907" s="275"/>
      <c r="AX907" s="275"/>
      <c r="AY907" s="275"/>
      <c r="AZ907" s="275"/>
      <c r="BA907" s="275"/>
      <c r="BB907" s="275"/>
      <c r="BC907" s="275"/>
      <c r="BD907" s="275"/>
      <c r="BE907" s="275">
        <v>54144000</v>
      </c>
      <c r="BF907" s="275" t="s">
        <v>935</v>
      </c>
      <c r="BH907" s="277"/>
    </row>
    <row r="908" spans="1:60" ht="16.5" customHeight="1">
      <c r="A908" s="260">
        <v>886</v>
      </c>
      <c r="B908" s="261"/>
      <c r="C908" s="261"/>
      <c r="D908" s="262" t="s">
        <v>15</v>
      </c>
      <c r="E908" s="262" t="s">
        <v>153</v>
      </c>
      <c r="F908" s="263" t="s">
        <v>15</v>
      </c>
      <c r="G908" s="264" t="s">
        <v>153</v>
      </c>
      <c r="H908" s="281"/>
      <c r="I908" s="265"/>
      <c r="J908" s="266" t="s">
        <v>871</v>
      </c>
      <c r="K908" s="262"/>
      <c r="L908" s="262"/>
      <c r="M908" s="262">
        <v>9342</v>
      </c>
      <c r="N908" s="262" t="s">
        <v>32</v>
      </c>
      <c r="O908" s="262" t="s">
        <v>56</v>
      </c>
      <c r="P908" s="262"/>
      <c r="Q908" s="262" t="s">
        <v>18</v>
      </c>
      <c r="R908" s="262" t="s">
        <v>19</v>
      </c>
      <c r="S908" s="267" t="s">
        <v>19</v>
      </c>
      <c r="T908" s="268"/>
      <c r="U908" s="269"/>
      <c r="V908" s="269">
        <v>810000</v>
      </c>
      <c r="W908" s="278">
        <v>3680000</v>
      </c>
      <c r="X908" s="270"/>
      <c r="Y908" s="262" t="s">
        <v>24</v>
      </c>
      <c r="Z908" s="271" t="s">
        <v>25</v>
      </c>
      <c r="AA908" s="287"/>
      <c r="AB908" s="287"/>
      <c r="AC908" s="272">
        <f t="shared" si="29"/>
        <v>1000000</v>
      </c>
      <c r="AD908" s="272">
        <v>1000000</v>
      </c>
      <c r="AE908" s="272">
        <f t="shared" si="30"/>
        <v>0</v>
      </c>
      <c r="AF908" s="273"/>
      <c r="AG908" s="274"/>
      <c r="AH908" s="273"/>
      <c r="AI908" s="273"/>
      <c r="AJ908" s="274"/>
      <c r="AK908" s="273"/>
      <c r="AL908" s="275"/>
      <c r="AM908" s="290"/>
      <c r="AN908" s="275"/>
      <c r="AO908" s="276"/>
      <c r="AP908" s="275"/>
      <c r="AQ908" s="275"/>
      <c r="AR908" s="275"/>
      <c r="AS908" s="275"/>
      <c r="AT908" s="275"/>
      <c r="AU908" s="275"/>
      <c r="AV908" s="275"/>
      <c r="AW908" s="275"/>
      <c r="AX908" s="275"/>
      <c r="AY908" s="275">
        <v>1000000</v>
      </c>
      <c r="AZ908" s="275"/>
      <c r="BA908" s="275"/>
      <c r="BB908" s="275"/>
      <c r="BC908" s="275"/>
      <c r="BD908" s="275"/>
      <c r="BE908" s="275"/>
      <c r="BF908" s="275"/>
      <c r="BH908" s="277"/>
    </row>
    <row r="909" spans="1:60" ht="16.5" customHeight="1">
      <c r="A909" s="260">
        <v>887</v>
      </c>
      <c r="B909" s="261"/>
      <c r="C909" s="261"/>
      <c r="D909" s="262" t="s">
        <v>15</v>
      </c>
      <c r="E909" s="262" t="s">
        <v>153</v>
      </c>
      <c r="F909" s="263" t="s">
        <v>15</v>
      </c>
      <c r="G909" s="264" t="s">
        <v>153</v>
      </c>
      <c r="H909" s="281"/>
      <c r="I909" s="265"/>
      <c r="J909" s="266" t="s">
        <v>872</v>
      </c>
      <c r="K909" s="262"/>
      <c r="L909" s="262"/>
      <c r="M909" s="262">
        <v>699</v>
      </c>
      <c r="N909" s="262" t="s">
        <v>22</v>
      </c>
      <c r="O909" s="262" t="s">
        <v>212</v>
      </c>
      <c r="P909" s="262" t="s">
        <v>124</v>
      </c>
      <c r="Q909" s="262" t="s">
        <v>63</v>
      </c>
      <c r="R909" s="262" t="s">
        <v>28</v>
      </c>
      <c r="S909" s="267" t="s">
        <v>28</v>
      </c>
      <c r="T909" s="268" t="s">
        <v>951</v>
      </c>
      <c r="U909" s="269">
        <v>29322136</v>
      </c>
      <c r="V909" s="269">
        <v>34837934</v>
      </c>
      <c r="W909" s="278">
        <v>46983800</v>
      </c>
      <c r="X909" s="270"/>
      <c r="Y909" s="262" t="s">
        <v>27</v>
      </c>
      <c r="Z909" s="271" t="s">
        <v>27</v>
      </c>
      <c r="AA909" s="287"/>
      <c r="AB909" s="287"/>
      <c r="AC909" s="272">
        <f t="shared" si="29"/>
        <v>28205000</v>
      </c>
      <c r="AD909" s="272">
        <v>28205000</v>
      </c>
      <c r="AE909" s="272">
        <f t="shared" si="30"/>
        <v>0</v>
      </c>
      <c r="AF909" s="273">
        <v>2500000</v>
      </c>
      <c r="AG909" s="274">
        <v>1648000</v>
      </c>
      <c r="AH909" s="273" t="s">
        <v>972</v>
      </c>
      <c r="AI909" s="273">
        <v>1500000</v>
      </c>
      <c r="AJ909" s="274">
        <v>420000</v>
      </c>
      <c r="AK909" s="273"/>
      <c r="AL909" s="275">
        <v>1360000</v>
      </c>
      <c r="AM909" s="290">
        <v>3637000</v>
      </c>
      <c r="AN909" s="275"/>
      <c r="AO909" s="276">
        <v>2500000</v>
      </c>
      <c r="AP909" s="275"/>
      <c r="AQ909" s="275">
        <v>2500000</v>
      </c>
      <c r="AR909" s="275"/>
      <c r="AS909" s="275">
        <v>2500000</v>
      </c>
      <c r="AT909" s="275"/>
      <c r="AU909" s="275">
        <v>2500000</v>
      </c>
      <c r="AV909" s="275"/>
      <c r="AW909" s="275">
        <v>2500000</v>
      </c>
      <c r="AX909" s="275"/>
      <c r="AY909" s="275">
        <v>2500000</v>
      </c>
      <c r="AZ909" s="275"/>
      <c r="BA909" s="275">
        <v>2500000</v>
      </c>
      <c r="BB909" s="275"/>
      <c r="BC909" s="275">
        <v>2500000</v>
      </c>
      <c r="BD909" s="275"/>
      <c r="BE909" s="275">
        <v>2500000</v>
      </c>
      <c r="BF909" s="275"/>
      <c r="BH909" s="277"/>
    </row>
    <row r="910" spans="1:60" ht="16.5" customHeight="1">
      <c r="A910" s="260">
        <v>888</v>
      </c>
      <c r="B910" s="261"/>
      <c r="C910" s="261"/>
      <c r="D910" s="262" t="s">
        <v>15</v>
      </c>
      <c r="E910" s="262" t="s">
        <v>153</v>
      </c>
      <c r="F910" s="263" t="s">
        <v>15</v>
      </c>
      <c r="G910" s="264" t="s">
        <v>153</v>
      </c>
      <c r="H910" s="281"/>
      <c r="I910" s="265"/>
      <c r="J910" s="266" t="s">
        <v>872</v>
      </c>
      <c r="K910" s="262"/>
      <c r="L910" s="262"/>
      <c r="M910" s="262">
        <v>699</v>
      </c>
      <c r="N910" s="262" t="s">
        <v>22</v>
      </c>
      <c r="O910" s="262" t="s">
        <v>56</v>
      </c>
      <c r="P910" s="262" t="s">
        <v>124</v>
      </c>
      <c r="Q910" s="262" t="s">
        <v>30</v>
      </c>
      <c r="R910" s="262" t="s">
        <v>31</v>
      </c>
      <c r="S910" s="267" t="s">
        <v>31</v>
      </c>
      <c r="T910" s="268"/>
      <c r="U910" s="269">
        <v>15078000</v>
      </c>
      <c r="V910" s="269">
        <v>15204000</v>
      </c>
      <c r="W910" s="278">
        <v>0</v>
      </c>
      <c r="X910" s="270"/>
      <c r="Y910" s="262" t="s">
        <v>24</v>
      </c>
      <c r="Z910" s="271" t="s">
        <v>24</v>
      </c>
      <c r="AA910" s="287"/>
      <c r="AB910" s="287"/>
      <c r="AC910" s="272">
        <f t="shared" si="29"/>
        <v>15000000</v>
      </c>
      <c r="AD910" s="272">
        <v>15000000</v>
      </c>
      <c r="AE910" s="272">
        <f t="shared" si="30"/>
        <v>0</v>
      </c>
      <c r="AF910" s="273"/>
      <c r="AG910" s="274"/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/>
      <c r="AT910" s="275"/>
      <c r="AU910" s="275"/>
      <c r="AV910" s="275"/>
      <c r="AW910" s="275"/>
      <c r="AX910" s="275"/>
      <c r="AY910" s="275">
        <v>15000000</v>
      </c>
      <c r="AZ910" s="275"/>
      <c r="BA910" s="275"/>
      <c r="BB910" s="275"/>
      <c r="BC910" s="275"/>
      <c r="BD910" s="275"/>
      <c r="BE910" s="275"/>
      <c r="BF910" s="275"/>
      <c r="BH910" s="277"/>
    </row>
    <row r="911" spans="1:60" ht="16.5" customHeight="1">
      <c r="A911" s="260">
        <v>889</v>
      </c>
      <c r="B911" s="261"/>
      <c r="C911" s="261"/>
      <c r="D911" s="262" t="s">
        <v>15</v>
      </c>
      <c r="E911" s="262" t="s">
        <v>153</v>
      </c>
      <c r="F911" s="263" t="s">
        <v>15</v>
      </c>
      <c r="G911" s="264" t="s">
        <v>153</v>
      </c>
      <c r="H911" s="281"/>
      <c r="I911" s="265"/>
      <c r="J911" s="266" t="s">
        <v>316</v>
      </c>
      <c r="K911" s="262"/>
      <c r="L911" s="262"/>
      <c r="M911" s="262">
        <v>18342</v>
      </c>
      <c r="N911" s="262" t="s">
        <v>397</v>
      </c>
      <c r="O911" s="262" t="s">
        <v>397</v>
      </c>
      <c r="P911" s="262"/>
      <c r="Q911" s="262"/>
      <c r="R911" s="262" t="s">
        <v>397</v>
      </c>
      <c r="S911" s="267" t="s">
        <v>823</v>
      </c>
      <c r="T911" s="268"/>
      <c r="U911" s="269"/>
      <c r="V911" s="269"/>
      <c r="W911" s="278">
        <v>64500000</v>
      </c>
      <c r="X911" s="270"/>
      <c r="Y911" s="262"/>
      <c r="Z911" s="271" t="s">
        <v>27</v>
      </c>
      <c r="AA911" s="287"/>
      <c r="AB911" s="287"/>
      <c r="AC911" s="272">
        <f t="shared" si="29"/>
        <v>64500000</v>
      </c>
      <c r="AD911" s="272">
        <v>64500000</v>
      </c>
      <c r="AE911" s="272">
        <f t="shared" si="30"/>
        <v>0</v>
      </c>
      <c r="AF911" s="273"/>
      <c r="AG911" s="274"/>
      <c r="AH911" s="273"/>
      <c r="AI911" s="273">
        <v>32250000</v>
      </c>
      <c r="AJ911" s="274">
        <v>32250000</v>
      </c>
      <c r="AK911" s="273"/>
      <c r="AL911" s="275"/>
      <c r="AM911" s="290"/>
      <c r="AN911" s="275"/>
      <c r="AO911" s="276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>
        <v>32250000</v>
      </c>
      <c r="BF911" s="275"/>
      <c r="BH911" s="277"/>
    </row>
    <row r="912" spans="1:60" ht="16.5" customHeight="1">
      <c r="A912" s="260">
        <v>890</v>
      </c>
      <c r="B912" s="261"/>
      <c r="C912" s="261"/>
      <c r="D912" s="262" t="s">
        <v>15</v>
      </c>
      <c r="E912" s="262" t="s">
        <v>153</v>
      </c>
      <c r="F912" s="263" t="s">
        <v>15</v>
      </c>
      <c r="G912" s="264" t="s">
        <v>153</v>
      </c>
      <c r="H912" s="281"/>
      <c r="I912" s="265"/>
      <c r="J912" s="266" t="s">
        <v>316</v>
      </c>
      <c r="K912" s="262"/>
      <c r="L912" s="262"/>
      <c r="M912" s="262">
        <v>18342</v>
      </c>
      <c r="N912" s="262" t="s">
        <v>32</v>
      </c>
      <c r="O912" s="262" t="s">
        <v>56</v>
      </c>
      <c r="P912" s="262" t="s">
        <v>124</v>
      </c>
      <c r="Q912" s="262" t="s">
        <v>111</v>
      </c>
      <c r="R912" s="262" t="s">
        <v>472</v>
      </c>
      <c r="S912" s="267" t="s">
        <v>824</v>
      </c>
      <c r="T912" s="268"/>
      <c r="U912" s="269">
        <v>205154545</v>
      </c>
      <c r="V912" s="269">
        <v>186818182</v>
      </c>
      <c r="W912" s="278">
        <v>122772728</v>
      </c>
      <c r="X912" s="270"/>
      <c r="Y912" s="262" t="s">
        <v>27</v>
      </c>
      <c r="Z912" s="271" t="s">
        <v>27</v>
      </c>
      <c r="AA912" s="287"/>
      <c r="AB912" s="287"/>
      <c r="AC912" s="272">
        <f t="shared" si="29"/>
        <v>122772727</v>
      </c>
      <c r="AD912" s="272">
        <v>122772727</v>
      </c>
      <c r="AE912" s="272">
        <f t="shared" si="30"/>
        <v>0</v>
      </c>
      <c r="AF912" s="273"/>
      <c r="AG912" s="274"/>
      <c r="AH912" s="273"/>
      <c r="AI912" s="273">
        <v>61386363</v>
      </c>
      <c r="AJ912" s="274">
        <v>61386364</v>
      </c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>
        <v>61386363</v>
      </c>
      <c r="BF912" s="275"/>
      <c r="BH912" s="277"/>
    </row>
    <row r="913" spans="1:60" ht="16.5" customHeight="1">
      <c r="A913" s="260">
        <v>891</v>
      </c>
      <c r="B913" s="261"/>
      <c r="C913" s="261"/>
      <c r="D913" s="262" t="s">
        <v>15</v>
      </c>
      <c r="E913" s="262" t="s">
        <v>153</v>
      </c>
      <c r="F913" s="263" t="s">
        <v>15</v>
      </c>
      <c r="G913" s="264" t="s">
        <v>153</v>
      </c>
      <c r="H913" s="281"/>
      <c r="I913" s="265"/>
      <c r="J913" s="266" t="s">
        <v>588</v>
      </c>
      <c r="K913" s="262"/>
      <c r="L913" s="262"/>
      <c r="M913" s="262">
        <v>3806</v>
      </c>
      <c r="N913" s="262" t="s">
        <v>53</v>
      </c>
      <c r="O913" s="262" t="s">
        <v>56</v>
      </c>
      <c r="P913" s="262" t="s">
        <v>57</v>
      </c>
      <c r="Q913" s="262" t="s">
        <v>18</v>
      </c>
      <c r="R913" s="262" t="s">
        <v>19</v>
      </c>
      <c r="S913" s="267" t="s">
        <v>19</v>
      </c>
      <c r="T913" s="268"/>
      <c r="U913" s="269">
        <v>131694000</v>
      </c>
      <c r="V913" s="269">
        <v>222976430</v>
      </c>
      <c r="W913" s="278">
        <v>174265510</v>
      </c>
      <c r="X913" s="270"/>
      <c r="Y913" s="262" t="s">
        <v>27</v>
      </c>
      <c r="Z913" s="271" t="s">
        <v>27</v>
      </c>
      <c r="AA913" s="287"/>
      <c r="AB913" s="287"/>
      <c r="AC913" s="272">
        <f t="shared" si="29"/>
        <v>267000000</v>
      </c>
      <c r="AD913" s="272">
        <v>267000000</v>
      </c>
      <c r="AE913" s="272">
        <f t="shared" si="30"/>
        <v>0</v>
      </c>
      <c r="AF913" s="273"/>
      <c r="AG913" s="274"/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>
        <v>267000000</v>
      </c>
      <c r="BB913" s="275"/>
      <c r="BC913" s="275"/>
      <c r="BD913" s="275"/>
      <c r="BE913" s="275"/>
      <c r="BF913" s="275"/>
      <c r="BH913" s="277"/>
    </row>
    <row r="914" spans="1:60" ht="16.5" customHeight="1">
      <c r="A914" s="260">
        <v>892</v>
      </c>
      <c r="B914" s="261"/>
      <c r="C914" s="261"/>
      <c r="D914" s="262" t="s">
        <v>15</v>
      </c>
      <c r="E914" s="262" t="s">
        <v>153</v>
      </c>
      <c r="F914" s="263" t="s">
        <v>15</v>
      </c>
      <c r="G914" s="264" t="s">
        <v>153</v>
      </c>
      <c r="H914" s="281"/>
      <c r="I914" s="265"/>
      <c r="J914" s="266" t="s">
        <v>1016</v>
      </c>
      <c r="K914" s="262"/>
      <c r="L914" s="262"/>
      <c r="M914" s="262">
        <v>3806</v>
      </c>
      <c r="N914" s="262" t="s">
        <v>53</v>
      </c>
      <c r="O914" s="262" t="s">
        <v>56</v>
      </c>
      <c r="P914" s="262"/>
      <c r="Q914" s="262" t="s">
        <v>18</v>
      </c>
      <c r="R914" s="262" t="s">
        <v>31</v>
      </c>
      <c r="S914" s="267" t="s">
        <v>31</v>
      </c>
      <c r="T914" s="268"/>
      <c r="U914" s="269"/>
      <c r="V914" s="269">
        <v>0</v>
      </c>
      <c r="W914" s="278">
        <v>16059000</v>
      </c>
      <c r="X914" s="270"/>
      <c r="Y914" s="262" t="s">
        <v>27</v>
      </c>
      <c r="Z914" s="271" t="s">
        <v>27</v>
      </c>
      <c r="AA914" s="287"/>
      <c r="AB914" s="287"/>
      <c r="AC914" s="272">
        <f t="shared" si="29"/>
        <v>15522000</v>
      </c>
      <c r="AD914" s="272">
        <v>15522000</v>
      </c>
      <c r="AE914" s="272">
        <f t="shared" si="30"/>
        <v>0</v>
      </c>
      <c r="AF914" s="273"/>
      <c r="AG914" s="274">
        <v>2331000</v>
      </c>
      <c r="AH914" s="273" t="s">
        <v>913</v>
      </c>
      <c r="AI914" s="273"/>
      <c r="AJ914" s="274"/>
      <c r="AK914" s="273"/>
      <c r="AL914" s="275"/>
      <c r="AM914" s="290">
        <v>-1809000</v>
      </c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>
        <v>7500000</v>
      </c>
      <c r="BB914" s="275"/>
      <c r="BC914" s="275">
        <v>7500000</v>
      </c>
      <c r="BD914" s="275"/>
      <c r="BE914" s="275"/>
      <c r="BF914" s="275"/>
      <c r="BH914" s="277"/>
    </row>
    <row r="915" spans="1:60" ht="16.5" customHeight="1">
      <c r="A915" s="260">
        <v>893</v>
      </c>
      <c r="B915" s="261"/>
      <c r="C915" s="261"/>
      <c r="D915" s="262" t="s">
        <v>15</v>
      </c>
      <c r="E915" s="262" t="s">
        <v>153</v>
      </c>
      <c r="F915" s="263" t="s">
        <v>15</v>
      </c>
      <c r="G915" s="264" t="s">
        <v>153</v>
      </c>
      <c r="H915" s="281"/>
      <c r="I915" s="265"/>
      <c r="J915" s="266" t="s">
        <v>578</v>
      </c>
      <c r="K915" s="262"/>
      <c r="L915" s="262"/>
      <c r="M915" s="262">
        <v>15040</v>
      </c>
      <c r="N915" s="262" t="s">
        <v>53</v>
      </c>
      <c r="O915" s="262" t="s">
        <v>212</v>
      </c>
      <c r="P915" s="262" t="s">
        <v>57</v>
      </c>
      <c r="Q915" s="262" t="s">
        <v>63</v>
      </c>
      <c r="R915" s="262" t="s">
        <v>28</v>
      </c>
      <c r="S915" s="267" t="s">
        <v>28</v>
      </c>
      <c r="T915" s="268" t="s">
        <v>951</v>
      </c>
      <c r="U915" s="269">
        <v>34792700</v>
      </c>
      <c r="V915" s="269">
        <v>31536900</v>
      </c>
      <c r="W915" s="278">
        <v>39191700</v>
      </c>
      <c r="X915" s="270"/>
      <c r="Y915" s="262" t="s">
        <v>27</v>
      </c>
      <c r="Z915" s="271" t="s">
        <v>27</v>
      </c>
      <c r="AA915" s="287"/>
      <c r="AB915" s="287"/>
      <c r="AC915" s="272">
        <f t="shared" si="29"/>
        <v>35934800</v>
      </c>
      <c r="AD915" s="272">
        <v>35934800</v>
      </c>
      <c r="AE915" s="272">
        <f t="shared" si="30"/>
        <v>0</v>
      </c>
      <c r="AF915" s="273">
        <v>3000000</v>
      </c>
      <c r="AG915" s="274">
        <v>370000</v>
      </c>
      <c r="AH915" s="273" t="s">
        <v>972</v>
      </c>
      <c r="AI915" s="273">
        <v>3000000</v>
      </c>
      <c r="AJ915" s="274">
        <v>5463800</v>
      </c>
      <c r="AK915" s="273"/>
      <c r="AL915" s="275">
        <v>3101000</v>
      </c>
      <c r="AM915" s="290">
        <v>3101000</v>
      </c>
      <c r="AN915" s="275"/>
      <c r="AO915" s="276">
        <v>3000000</v>
      </c>
      <c r="AP915" s="275"/>
      <c r="AQ915" s="275">
        <v>3000000</v>
      </c>
      <c r="AR915" s="275"/>
      <c r="AS915" s="275">
        <v>3000000</v>
      </c>
      <c r="AT915" s="275"/>
      <c r="AU915" s="275">
        <v>3000000</v>
      </c>
      <c r="AV915" s="275"/>
      <c r="AW915" s="275">
        <v>3000000</v>
      </c>
      <c r="AX915" s="275"/>
      <c r="AY915" s="275">
        <v>3000000</v>
      </c>
      <c r="AZ915" s="275"/>
      <c r="BA915" s="275">
        <v>3000000</v>
      </c>
      <c r="BB915" s="275"/>
      <c r="BC915" s="275">
        <v>3000000</v>
      </c>
      <c r="BD915" s="275"/>
      <c r="BE915" s="275">
        <v>3000000</v>
      </c>
      <c r="BF915" s="275"/>
      <c r="BH915" s="277"/>
    </row>
    <row r="916" spans="1:60" ht="16.5" customHeight="1">
      <c r="A916" s="260">
        <v>894</v>
      </c>
      <c r="B916" s="261"/>
      <c r="C916" s="261"/>
      <c r="D916" s="262" t="s">
        <v>15</v>
      </c>
      <c r="E916" s="262" t="s">
        <v>153</v>
      </c>
      <c r="F916" s="263" t="s">
        <v>15</v>
      </c>
      <c r="G916" s="264" t="s">
        <v>153</v>
      </c>
      <c r="H916" s="281"/>
      <c r="I916" s="265"/>
      <c r="J916" s="266" t="s">
        <v>873</v>
      </c>
      <c r="K916" s="262"/>
      <c r="L916" s="262"/>
      <c r="M916" s="262">
        <v>19211</v>
      </c>
      <c r="N916" s="262" t="s">
        <v>22</v>
      </c>
      <c r="O916" s="262" t="s">
        <v>35</v>
      </c>
      <c r="P916" s="262" t="s">
        <v>156</v>
      </c>
      <c r="Q916" s="262" t="s">
        <v>18</v>
      </c>
      <c r="R916" s="262" t="s">
        <v>19</v>
      </c>
      <c r="S916" s="267" t="s">
        <v>19</v>
      </c>
      <c r="T916" s="268"/>
      <c r="U916" s="269"/>
      <c r="V916" s="269">
        <v>0</v>
      </c>
      <c r="W916" s="278">
        <v>0</v>
      </c>
      <c r="X916" s="270"/>
      <c r="Y916" s="262" t="s">
        <v>562</v>
      </c>
      <c r="Z916" s="271" t="s">
        <v>74</v>
      </c>
      <c r="AA916" s="287"/>
      <c r="AB916" s="287"/>
      <c r="AC916" s="272">
        <f t="shared" si="29"/>
        <v>0</v>
      </c>
      <c r="AD916" s="272">
        <v>0</v>
      </c>
      <c r="AE916" s="272">
        <f t="shared" si="30"/>
        <v>0</v>
      </c>
      <c r="AF916" s="273"/>
      <c r="AG916" s="274"/>
      <c r="AH916" s="273"/>
      <c r="AI916" s="273"/>
      <c r="AJ916" s="274"/>
      <c r="AK916" s="273"/>
      <c r="AL916" s="275">
        <v>20000000</v>
      </c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customHeight="1">
      <c r="A917" s="260">
        <v>895</v>
      </c>
      <c r="B917" s="261"/>
      <c r="C917" s="261"/>
      <c r="D917" s="262" t="s">
        <v>15</v>
      </c>
      <c r="E917" s="262" t="s">
        <v>153</v>
      </c>
      <c r="F917" s="263" t="s">
        <v>15</v>
      </c>
      <c r="G917" s="264" t="s">
        <v>153</v>
      </c>
      <c r="H917" s="281"/>
      <c r="I917" s="265"/>
      <c r="J917" s="266" t="s">
        <v>873</v>
      </c>
      <c r="K917" s="262"/>
      <c r="L917" s="262"/>
      <c r="M917" s="262">
        <v>19211</v>
      </c>
      <c r="N917" s="262" t="s">
        <v>22</v>
      </c>
      <c r="O917" s="262" t="s">
        <v>35</v>
      </c>
      <c r="P917" s="262" t="s">
        <v>156</v>
      </c>
      <c r="Q917" s="262" t="s">
        <v>61</v>
      </c>
      <c r="R917" s="262" t="s">
        <v>468</v>
      </c>
      <c r="S917" s="267" t="s">
        <v>468</v>
      </c>
      <c r="T917" s="268"/>
      <c r="U917" s="269"/>
      <c r="V917" s="269">
        <v>0</v>
      </c>
      <c r="W917" s="278">
        <v>0</v>
      </c>
      <c r="X917" s="270"/>
      <c r="Y917" s="262" t="s">
        <v>25</v>
      </c>
      <c r="Z917" s="271" t="s">
        <v>25</v>
      </c>
      <c r="AA917" s="287"/>
      <c r="AB917" s="287"/>
      <c r="AC917" s="272">
        <f t="shared" si="29"/>
        <v>20000000</v>
      </c>
      <c r="AD917" s="272">
        <v>20000000</v>
      </c>
      <c r="AE917" s="272">
        <f t="shared" si="30"/>
        <v>0</v>
      </c>
      <c r="AF917" s="273"/>
      <c r="AG917" s="274"/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/>
      <c r="AR917" s="275"/>
      <c r="AS917" s="275"/>
      <c r="AT917" s="275"/>
      <c r="AU917" s="275"/>
      <c r="AV917" s="275"/>
      <c r="AW917" s="275">
        <v>10000000</v>
      </c>
      <c r="AX917" s="275"/>
      <c r="AY917" s="275">
        <v>10000000</v>
      </c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customHeight="1">
      <c r="A918" s="260">
        <v>896</v>
      </c>
      <c r="B918" s="261"/>
      <c r="C918" s="261"/>
      <c r="D918" s="262" t="s">
        <v>15</v>
      </c>
      <c r="E918" s="262" t="s">
        <v>153</v>
      </c>
      <c r="F918" s="263" t="s">
        <v>15</v>
      </c>
      <c r="G918" s="264" t="s">
        <v>153</v>
      </c>
      <c r="H918" s="281"/>
      <c r="I918" s="265"/>
      <c r="J918" s="266" t="s">
        <v>874</v>
      </c>
      <c r="K918" s="262"/>
      <c r="L918" s="262"/>
      <c r="M918" s="262">
        <v>19211</v>
      </c>
      <c r="N918" s="262" t="s">
        <v>22</v>
      </c>
      <c r="O918" s="262" t="s">
        <v>35</v>
      </c>
      <c r="P918" s="262" t="s">
        <v>156</v>
      </c>
      <c r="Q918" s="262"/>
      <c r="R918" s="262" t="s">
        <v>19</v>
      </c>
      <c r="S918" s="267" t="s">
        <v>19</v>
      </c>
      <c r="T918" s="268"/>
      <c r="U918" s="269"/>
      <c r="V918" s="269">
        <v>0</v>
      </c>
      <c r="W918" s="278">
        <v>4500000</v>
      </c>
      <c r="X918" s="270"/>
      <c r="Y918" s="262" t="s">
        <v>27</v>
      </c>
      <c r="Z918" s="271" t="s">
        <v>562</v>
      </c>
      <c r="AA918" s="287"/>
      <c r="AB918" s="287"/>
      <c r="AC918" s="272">
        <f t="shared" si="29"/>
        <v>0</v>
      </c>
      <c r="AD918" s="272">
        <v>0</v>
      </c>
      <c r="AE918" s="272">
        <f t="shared" si="30"/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/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customHeight="1">
      <c r="A919" s="260">
        <v>897</v>
      </c>
      <c r="B919" s="261"/>
      <c r="C919" s="261"/>
      <c r="D919" s="262" t="s">
        <v>15</v>
      </c>
      <c r="E919" s="262" t="s">
        <v>153</v>
      </c>
      <c r="F919" s="263" t="s">
        <v>15</v>
      </c>
      <c r="G919" s="264" t="s">
        <v>153</v>
      </c>
      <c r="H919" s="281"/>
      <c r="I919" s="265"/>
      <c r="J919" s="266" t="s">
        <v>317</v>
      </c>
      <c r="K919" s="262"/>
      <c r="L919" s="262"/>
      <c r="M919" s="262">
        <v>9613</v>
      </c>
      <c r="N919" s="262" t="s">
        <v>22</v>
      </c>
      <c r="O919" s="262" t="s">
        <v>56</v>
      </c>
      <c r="P919" s="262"/>
      <c r="Q919" s="262" t="s">
        <v>61</v>
      </c>
      <c r="R919" s="262" t="s">
        <v>468</v>
      </c>
      <c r="S919" s="267" t="s">
        <v>468</v>
      </c>
      <c r="T919" s="268"/>
      <c r="U919" s="269"/>
      <c r="V919" s="269">
        <v>48807000</v>
      </c>
      <c r="W919" s="278">
        <v>0</v>
      </c>
      <c r="X919" s="270"/>
      <c r="Y919" s="262" t="s">
        <v>562</v>
      </c>
      <c r="Z919" s="271" t="s">
        <v>562</v>
      </c>
      <c r="AA919" s="287"/>
      <c r="AB919" s="287"/>
      <c r="AC919" s="272">
        <f t="shared" ref="AC919:AC982" si="31">AG919+AJ919+AM919+AO919+AQ919+AS919+AU919+AW919+AY919+BA919+BC919+BE919</f>
        <v>30000000</v>
      </c>
      <c r="AD919" s="272">
        <v>30000000</v>
      </c>
      <c r="AE919" s="272">
        <f t="shared" ref="AE919:AE982" si="32">AC919-AD919</f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>
        <v>30000000</v>
      </c>
      <c r="AP919" s="275"/>
      <c r="AQ919" s="275"/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customHeight="1">
      <c r="A920" s="260">
        <v>898</v>
      </c>
      <c r="B920" s="261"/>
      <c r="C920" s="261"/>
      <c r="D920" s="262" t="s">
        <v>15</v>
      </c>
      <c r="E920" s="262" t="s">
        <v>153</v>
      </c>
      <c r="F920" s="263" t="s">
        <v>15</v>
      </c>
      <c r="G920" s="264" t="s">
        <v>153</v>
      </c>
      <c r="H920" s="281"/>
      <c r="I920" s="265"/>
      <c r="J920" s="266" t="s">
        <v>318</v>
      </c>
      <c r="K920" s="262"/>
      <c r="L920" s="262"/>
      <c r="M920" s="262">
        <v>4710</v>
      </c>
      <c r="N920" s="262" t="s">
        <v>22</v>
      </c>
      <c r="O920" s="262" t="s">
        <v>56</v>
      </c>
      <c r="P920" s="262" t="s">
        <v>57</v>
      </c>
      <c r="Q920" s="262" t="s">
        <v>30</v>
      </c>
      <c r="R920" s="262" t="s">
        <v>31</v>
      </c>
      <c r="S920" s="267" t="s">
        <v>31</v>
      </c>
      <c r="T920" s="268"/>
      <c r="U920" s="269">
        <v>11491000</v>
      </c>
      <c r="V920" s="269">
        <v>10727000</v>
      </c>
      <c r="W920" s="278">
        <v>10398000</v>
      </c>
      <c r="X920" s="270"/>
      <c r="Y920" s="262" t="s">
        <v>27</v>
      </c>
      <c r="Z920" s="271" t="s">
        <v>27</v>
      </c>
      <c r="AA920" s="287"/>
      <c r="AB920" s="287"/>
      <c r="AC920" s="272">
        <f t="shared" si="31"/>
        <v>11000000</v>
      </c>
      <c r="AD920" s="272">
        <v>11000000</v>
      </c>
      <c r="AE920" s="272">
        <f t="shared" si="32"/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/>
      <c r="AR920" s="275"/>
      <c r="AS920" s="275"/>
      <c r="AT920" s="275"/>
      <c r="AU920" s="275">
        <v>5500000</v>
      </c>
      <c r="AV920" s="275"/>
      <c r="AW920" s="275"/>
      <c r="AX920" s="275"/>
      <c r="AY920" s="275"/>
      <c r="AZ920" s="275"/>
      <c r="BA920" s="275"/>
      <c r="BB920" s="275"/>
      <c r="BC920" s="275"/>
      <c r="BD920" s="275"/>
      <c r="BE920" s="275">
        <v>5500000</v>
      </c>
      <c r="BF920" s="275"/>
      <c r="BH920" s="277"/>
    </row>
    <row r="921" spans="1:60" ht="16.5" customHeight="1">
      <c r="A921" s="260">
        <v>899</v>
      </c>
      <c r="B921" s="261"/>
      <c r="C921" s="261"/>
      <c r="D921" s="262" t="s">
        <v>15</v>
      </c>
      <c r="E921" s="262" t="s">
        <v>153</v>
      </c>
      <c r="F921" s="263" t="s">
        <v>15</v>
      </c>
      <c r="G921" s="264" t="s">
        <v>153</v>
      </c>
      <c r="H921" s="281"/>
      <c r="I921" s="265"/>
      <c r="J921" s="266" t="s">
        <v>875</v>
      </c>
      <c r="K921" s="262"/>
      <c r="L921" s="262"/>
      <c r="M921" s="262">
        <v>4710</v>
      </c>
      <c r="N921" s="262" t="s">
        <v>22</v>
      </c>
      <c r="O921" s="262" t="s">
        <v>56</v>
      </c>
      <c r="P921" s="262" t="s">
        <v>57</v>
      </c>
      <c r="Q921" s="262" t="s">
        <v>30</v>
      </c>
      <c r="R921" s="262" t="s">
        <v>31</v>
      </c>
      <c r="S921" s="267" t="s">
        <v>31</v>
      </c>
      <c r="T921" s="268"/>
      <c r="U921" s="269"/>
      <c r="V921" s="269">
        <v>0</v>
      </c>
      <c r="W921" s="278">
        <v>80000</v>
      </c>
      <c r="X921" s="270"/>
      <c r="Y921" s="262" t="s">
        <v>27</v>
      </c>
      <c r="Z921" s="271" t="s">
        <v>562</v>
      </c>
      <c r="AA921" s="287"/>
      <c r="AB921" s="287"/>
      <c r="AC921" s="272">
        <f t="shared" si="31"/>
        <v>0</v>
      </c>
      <c r="AD921" s="272">
        <v>0</v>
      </c>
      <c r="AE921" s="272">
        <f t="shared" si="32"/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/>
      <c r="AR921" s="275"/>
      <c r="AS921" s="275"/>
      <c r="AT921" s="275"/>
      <c r="AU921" s="275"/>
      <c r="AV921" s="275"/>
      <c r="AW921" s="275"/>
      <c r="AX921" s="275"/>
      <c r="AY921" s="275"/>
      <c r="AZ921" s="275"/>
      <c r="BA921" s="275"/>
      <c r="BB921" s="275"/>
      <c r="BC921" s="275"/>
      <c r="BD921" s="275"/>
      <c r="BE921" s="275"/>
      <c r="BF921" s="275"/>
      <c r="BH921" s="277"/>
    </row>
    <row r="922" spans="1:60" ht="16.5" customHeight="1">
      <c r="A922" s="260">
        <v>900</v>
      </c>
      <c r="B922" s="261"/>
      <c r="C922" s="261"/>
      <c r="D922" s="262" t="s">
        <v>15</v>
      </c>
      <c r="E922" s="262" t="s">
        <v>153</v>
      </c>
      <c r="F922" s="263" t="s">
        <v>15</v>
      </c>
      <c r="G922" s="264" t="s">
        <v>153</v>
      </c>
      <c r="H922" s="281"/>
      <c r="I922" s="265"/>
      <c r="J922" s="266" t="s">
        <v>876</v>
      </c>
      <c r="K922" s="262"/>
      <c r="L922" s="262"/>
      <c r="M922" s="262">
        <v>3714</v>
      </c>
      <c r="N922" s="262" t="s">
        <v>22</v>
      </c>
      <c r="O922" s="262" t="s">
        <v>35</v>
      </c>
      <c r="P922" s="262" t="s">
        <v>124</v>
      </c>
      <c r="Q922" s="262" t="s">
        <v>18</v>
      </c>
      <c r="R922" s="262" t="s">
        <v>19</v>
      </c>
      <c r="S922" s="267" t="s">
        <v>19</v>
      </c>
      <c r="T922" s="268"/>
      <c r="U922" s="269"/>
      <c r="V922" s="269">
        <v>0</v>
      </c>
      <c r="W922" s="278">
        <v>0</v>
      </c>
      <c r="X922" s="270"/>
      <c r="Y922" s="262" t="s">
        <v>25</v>
      </c>
      <c r="Z922" s="271" t="s">
        <v>562</v>
      </c>
      <c r="AA922" s="287"/>
      <c r="AB922" s="287"/>
      <c r="AC922" s="272">
        <f t="shared" si="31"/>
        <v>20000000</v>
      </c>
      <c r="AD922" s="272">
        <v>20000000</v>
      </c>
      <c r="AE922" s="272">
        <f t="shared" si="32"/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>
        <v>20000000</v>
      </c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/>
      <c r="BF922" s="275"/>
      <c r="BH922" s="277"/>
    </row>
    <row r="923" spans="1:60" ht="16.5" customHeight="1">
      <c r="A923" s="260">
        <v>901</v>
      </c>
      <c r="B923" s="261"/>
      <c r="C923" s="261"/>
      <c r="D923" s="262" t="s">
        <v>15</v>
      </c>
      <c r="E923" s="262" t="s">
        <v>153</v>
      </c>
      <c r="F923" s="263" t="s">
        <v>15</v>
      </c>
      <c r="G923" s="264" t="s">
        <v>153</v>
      </c>
      <c r="H923" s="281"/>
      <c r="I923" s="265"/>
      <c r="J923" s="266" t="s">
        <v>876</v>
      </c>
      <c r="K923" s="262"/>
      <c r="L923" s="262"/>
      <c r="M923" s="262">
        <v>3714</v>
      </c>
      <c r="N923" s="262" t="s">
        <v>22</v>
      </c>
      <c r="O923" s="262" t="s">
        <v>56</v>
      </c>
      <c r="P923" s="262"/>
      <c r="Q923" s="262" t="s">
        <v>26</v>
      </c>
      <c r="R923" s="262" t="s">
        <v>478</v>
      </c>
      <c r="S923" s="267" t="s">
        <v>478</v>
      </c>
      <c r="T923" s="268"/>
      <c r="U923" s="269"/>
      <c r="V923" s="269">
        <v>18480000</v>
      </c>
      <c r="W923" s="278">
        <v>0</v>
      </c>
      <c r="X923" s="270"/>
      <c r="Y923" s="262" t="s">
        <v>20</v>
      </c>
      <c r="Z923" s="271" t="s">
        <v>25</v>
      </c>
      <c r="AA923" s="287"/>
      <c r="AB923" s="287"/>
      <c r="AC923" s="272">
        <f t="shared" si="31"/>
        <v>20000000</v>
      </c>
      <c r="AD923" s="272">
        <v>20000000</v>
      </c>
      <c r="AE923" s="272">
        <f t="shared" si="32"/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>
        <v>20000000</v>
      </c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/>
      <c r="BF923" s="275"/>
      <c r="BH923" s="277"/>
    </row>
    <row r="924" spans="1:60" ht="16.5" customHeight="1">
      <c r="A924" s="260">
        <v>902</v>
      </c>
      <c r="B924" s="261"/>
      <c r="C924" s="261"/>
      <c r="D924" s="262" t="s">
        <v>15</v>
      </c>
      <c r="E924" s="262" t="s">
        <v>153</v>
      </c>
      <c r="F924" s="263" t="s">
        <v>15</v>
      </c>
      <c r="G924" s="264" t="s">
        <v>153</v>
      </c>
      <c r="H924" s="281"/>
      <c r="I924" s="265"/>
      <c r="J924" s="266" t="s">
        <v>877</v>
      </c>
      <c r="K924" s="262"/>
      <c r="L924" s="262"/>
      <c r="M924" s="262">
        <v>41913</v>
      </c>
      <c r="N924" s="262" t="s">
        <v>22</v>
      </c>
      <c r="O924" s="262" t="s">
        <v>212</v>
      </c>
      <c r="P924" s="262" t="s">
        <v>57</v>
      </c>
      <c r="Q924" s="262" t="s">
        <v>63</v>
      </c>
      <c r="R924" s="262" t="s">
        <v>28</v>
      </c>
      <c r="S924" s="267" t="s">
        <v>28</v>
      </c>
      <c r="T924" s="268" t="s">
        <v>951</v>
      </c>
      <c r="U924" s="269">
        <v>98453926</v>
      </c>
      <c r="V924" s="269">
        <v>80051200</v>
      </c>
      <c r="W924" s="278">
        <v>51959500</v>
      </c>
      <c r="X924" s="270"/>
      <c r="Y924" s="262" t="s">
        <v>27</v>
      </c>
      <c r="Z924" s="271" t="s">
        <v>27</v>
      </c>
      <c r="AA924" s="287"/>
      <c r="AB924" s="287"/>
      <c r="AC924" s="272">
        <f t="shared" si="31"/>
        <v>63377160</v>
      </c>
      <c r="AD924" s="272">
        <v>63377160</v>
      </c>
      <c r="AE924" s="272">
        <f t="shared" si="32"/>
        <v>0</v>
      </c>
      <c r="AF924" s="273">
        <v>3000000</v>
      </c>
      <c r="AG924" s="274">
        <v>9717000</v>
      </c>
      <c r="AH924" s="273" t="s">
        <v>973</v>
      </c>
      <c r="AI924" s="273">
        <v>3000000</v>
      </c>
      <c r="AJ924" s="274">
        <v>1947160</v>
      </c>
      <c r="AK924" s="273"/>
      <c r="AL924" s="275">
        <v>713000</v>
      </c>
      <c r="AM924" s="290">
        <v>713000</v>
      </c>
      <c r="AN924" s="275"/>
      <c r="AO924" s="276">
        <v>15000000</v>
      </c>
      <c r="AP924" s="275"/>
      <c r="AQ924" s="275">
        <v>3000000</v>
      </c>
      <c r="AR924" s="275"/>
      <c r="AS924" s="275">
        <v>3000000</v>
      </c>
      <c r="AT924" s="275"/>
      <c r="AU924" s="275">
        <v>3000000</v>
      </c>
      <c r="AV924" s="275"/>
      <c r="AW924" s="275">
        <v>3000000</v>
      </c>
      <c r="AX924" s="275"/>
      <c r="AY924" s="275">
        <v>15000000</v>
      </c>
      <c r="AZ924" s="275"/>
      <c r="BA924" s="275">
        <v>3000000</v>
      </c>
      <c r="BB924" s="275"/>
      <c r="BC924" s="275">
        <v>3000000</v>
      </c>
      <c r="BD924" s="275"/>
      <c r="BE924" s="275">
        <v>3000000</v>
      </c>
      <c r="BF924" s="275"/>
      <c r="BH924" s="277"/>
    </row>
    <row r="925" spans="1:60" ht="16.5" customHeight="1">
      <c r="A925" s="260">
        <v>903</v>
      </c>
      <c r="B925" s="261"/>
      <c r="C925" s="261"/>
      <c r="D925" s="262" t="s">
        <v>15</v>
      </c>
      <c r="E925" s="262" t="s">
        <v>153</v>
      </c>
      <c r="F925" s="263" t="s">
        <v>15</v>
      </c>
      <c r="G925" s="264" t="s">
        <v>153</v>
      </c>
      <c r="H925" s="281"/>
      <c r="I925" s="265"/>
      <c r="J925" s="266" t="s">
        <v>877</v>
      </c>
      <c r="K925" s="262"/>
      <c r="L925" s="262"/>
      <c r="M925" s="262">
        <v>41913</v>
      </c>
      <c r="N925" s="262" t="s">
        <v>22</v>
      </c>
      <c r="O925" s="262" t="s">
        <v>56</v>
      </c>
      <c r="P925" s="262"/>
      <c r="Q925" s="262" t="s">
        <v>26</v>
      </c>
      <c r="R925" s="262" t="s">
        <v>468</v>
      </c>
      <c r="S925" s="267" t="s">
        <v>468</v>
      </c>
      <c r="T925" s="268"/>
      <c r="U925" s="269"/>
      <c r="V925" s="269">
        <v>0</v>
      </c>
      <c r="W925" s="278">
        <v>0</v>
      </c>
      <c r="X925" s="270"/>
      <c r="Y925" s="262" t="s">
        <v>20</v>
      </c>
      <c r="Z925" s="271" t="s">
        <v>562</v>
      </c>
      <c r="AA925" s="287"/>
      <c r="AB925" s="287"/>
      <c r="AC925" s="272">
        <f t="shared" si="31"/>
        <v>0</v>
      </c>
      <c r="AD925" s="272">
        <v>0</v>
      </c>
      <c r="AE925" s="272">
        <f t="shared" si="32"/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/>
      <c r="AP925" s="275"/>
      <c r="AQ925" s="275"/>
      <c r="AR925" s="275"/>
      <c r="AS925" s="275"/>
      <c r="AT925" s="275"/>
      <c r="AU925" s="275"/>
      <c r="AV925" s="275"/>
      <c r="AW925" s="275"/>
      <c r="AX925" s="275"/>
      <c r="AY925" s="275"/>
      <c r="AZ925" s="275"/>
      <c r="BA925" s="275"/>
      <c r="BB925" s="275"/>
      <c r="BC925" s="275"/>
      <c r="BD925" s="275"/>
      <c r="BE925" s="275"/>
      <c r="BF925" s="275"/>
      <c r="BH925" s="277"/>
    </row>
    <row r="926" spans="1:60" ht="16.5" customHeight="1">
      <c r="A926" s="260">
        <v>904</v>
      </c>
      <c r="B926" s="261"/>
      <c r="C926" s="261"/>
      <c r="D926" s="262" t="s">
        <v>15</v>
      </c>
      <c r="E926" s="262" t="s">
        <v>153</v>
      </c>
      <c r="F926" s="263" t="s">
        <v>15</v>
      </c>
      <c r="G926" s="264" t="s">
        <v>153</v>
      </c>
      <c r="H926" s="281"/>
      <c r="I926" s="265"/>
      <c r="J926" s="266" t="s">
        <v>878</v>
      </c>
      <c r="K926" s="262"/>
      <c r="L926" s="262"/>
      <c r="M926" s="262">
        <v>1246</v>
      </c>
      <c r="N926" s="262" t="s">
        <v>22</v>
      </c>
      <c r="O926" s="262" t="s">
        <v>56</v>
      </c>
      <c r="P926" s="262"/>
      <c r="Q926" s="262" t="s">
        <v>46</v>
      </c>
      <c r="R926" s="262" t="s">
        <v>47</v>
      </c>
      <c r="S926" s="267" t="s">
        <v>47</v>
      </c>
      <c r="T926" s="268"/>
      <c r="U926" s="269">
        <v>27000000</v>
      </c>
      <c r="V926" s="269">
        <v>0</v>
      </c>
      <c r="W926" s="278">
        <v>0</v>
      </c>
      <c r="X926" s="270"/>
      <c r="Y926" s="262" t="s">
        <v>21</v>
      </c>
      <c r="Z926" s="271" t="s">
        <v>562</v>
      </c>
      <c r="AA926" s="287"/>
      <c r="AB926" s="287"/>
      <c r="AC926" s="272">
        <f t="shared" si="31"/>
        <v>0</v>
      </c>
      <c r="AD926" s="272">
        <v>0</v>
      </c>
      <c r="AE926" s="272">
        <f t="shared" si="32"/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/>
      <c r="AP926" s="275"/>
      <c r="AQ926" s="275"/>
      <c r="AR926" s="275"/>
      <c r="AS926" s="275"/>
      <c r="AT926" s="275"/>
      <c r="AU926" s="275"/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/>
      <c r="BF926" s="275"/>
      <c r="BH926" s="277"/>
    </row>
    <row r="927" spans="1:60" ht="16.5" customHeight="1">
      <c r="A927" s="260">
        <v>905</v>
      </c>
      <c r="B927" s="261"/>
      <c r="C927" s="261"/>
      <c r="D927" s="262" t="s">
        <v>15</v>
      </c>
      <c r="E927" s="262" t="s">
        <v>153</v>
      </c>
      <c r="F927" s="263" t="s">
        <v>15</v>
      </c>
      <c r="G927" s="264" t="s">
        <v>153</v>
      </c>
      <c r="H927" s="281"/>
      <c r="I927" s="265"/>
      <c r="J927" s="266" t="s">
        <v>878</v>
      </c>
      <c r="K927" s="262"/>
      <c r="L927" s="262"/>
      <c r="M927" s="262">
        <v>1246</v>
      </c>
      <c r="N927" s="262" t="s">
        <v>22</v>
      </c>
      <c r="O927" s="262" t="s">
        <v>56</v>
      </c>
      <c r="P927" s="262" t="s">
        <v>156</v>
      </c>
      <c r="Q927" s="262" t="s">
        <v>61</v>
      </c>
      <c r="R927" s="262" t="s">
        <v>468</v>
      </c>
      <c r="S927" s="267" t="s">
        <v>468</v>
      </c>
      <c r="T927" s="268"/>
      <c r="U927" s="269"/>
      <c r="V927" s="269">
        <v>2000000</v>
      </c>
      <c r="W927" s="278">
        <v>0</v>
      </c>
      <c r="X927" s="270"/>
      <c r="Y927" s="262" t="s">
        <v>25</v>
      </c>
      <c r="Z927" s="271" t="s">
        <v>25</v>
      </c>
      <c r="AA927" s="287"/>
      <c r="AB927" s="287"/>
      <c r="AC927" s="272">
        <f t="shared" si="31"/>
        <v>20000000</v>
      </c>
      <c r="AD927" s="272">
        <v>20000000</v>
      </c>
      <c r="AE927" s="272">
        <f t="shared" si="32"/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/>
      <c r="AP927" s="275"/>
      <c r="AQ927" s="275">
        <v>20000000</v>
      </c>
      <c r="AR927" s="275"/>
      <c r="AS927" s="275"/>
      <c r="AT927" s="275"/>
      <c r="AU927" s="275"/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/>
      <c r="BF927" s="275"/>
      <c r="BH927" s="277"/>
    </row>
    <row r="928" spans="1:60" ht="16.5" customHeight="1">
      <c r="A928" s="260">
        <v>906</v>
      </c>
      <c r="B928" s="261"/>
      <c r="C928" s="261"/>
      <c r="D928" s="262" t="s">
        <v>15</v>
      </c>
      <c r="E928" s="262" t="s">
        <v>153</v>
      </c>
      <c r="F928" s="263" t="s">
        <v>15</v>
      </c>
      <c r="G928" s="264" t="s">
        <v>153</v>
      </c>
      <c r="H928" s="281"/>
      <c r="I928" s="265"/>
      <c r="J928" s="266" t="s">
        <v>878</v>
      </c>
      <c r="K928" s="262"/>
      <c r="L928" s="262"/>
      <c r="M928" s="262">
        <v>1246</v>
      </c>
      <c r="N928" s="262" t="s">
        <v>22</v>
      </c>
      <c r="O928" s="262" t="s">
        <v>56</v>
      </c>
      <c r="P928" s="262" t="s">
        <v>57</v>
      </c>
      <c r="Q928" s="262" t="s">
        <v>58</v>
      </c>
      <c r="R928" s="262" t="s">
        <v>470</v>
      </c>
      <c r="S928" s="267" t="s">
        <v>822</v>
      </c>
      <c r="T928" s="268"/>
      <c r="U928" s="269"/>
      <c r="V928" s="269">
        <v>20699000</v>
      </c>
      <c r="W928" s="278">
        <v>18720000</v>
      </c>
      <c r="X928" s="270"/>
      <c r="Y928" s="262" t="s">
        <v>27</v>
      </c>
      <c r="Z928" s="271" t="s">
        <v>27</v>
      </c>
      <c r="AA928" s="287"/>
      <c r="AB928" s="287"/>
      <c r="AC928" s="272">
        <f t="shared" si="31"/>
        <v>15120000</v>
      </c>
      <c r="AD928" s="272">
        <v>15120000</v>
      </c>
      <c r="AE928" s="272">
        <f t="shared" si="32"/>
        <v>0</v>
      </c>
      <c r="AF928" s="273"/>
      <c r="AG928" s="274">
        <v>15120000</v>
      </c>
      <c r="AH928" s="273"/>
      <c r="AI928" s="273">
        <v>12000000</v>
      </c>
      <c r="AJ928" s="274"/>
      <c r="AK928" s="273" t="s">
        <v>879</v>
      </c>
      <c r="AL928" s="275"/>
      <c r="AM928" s="290"/>
      <c r="AN928" s="275"/>
      <c r="AO928" s="276"/>
      <c r="AP928" s="275"/>
      <c r="AQ928" s="275"/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H928" s="277"/>
    </row>
    <row r="929" spans="1:60" ht="16.5" customHeight="1">
      <c r="A929" s="260">
        <v>907</v>
      </c>
      <c r="B929" s="261"/>
      <c r="C929" s="261"/>
      <c r="D929" s="262" t="s">
        <v>15</v>
      </c>
      <c r="E929" s="262" t="s">
        <v>153</v>
      </c>
      <c r="F929" s="263" t="s">
        <v>15</v>
      </c>
      <c r="G929" s="264" t="s">
        <v>153</v>
      </c>
      <c r="H929" s="281"/>
      <c r="I929" s="265"/>
      <c r="J929" s="266" t="s">
        <v>880</v>
      </c>
      <c r="K929" s="262"/>
      <c r="L929" s="262"/>
      <c r="M929" s="262">
        <v>1246</v>
      </c>
      <c r="N929" s="262" t="s">
        <v>22</v>
      </c>
      <c r="O929" s="262" t="s">
        <v>56</v>
      </c>
      <c r="P929" s="262"/>
      <c r="Q929" s="262" t="s">
        <v>26</v>
      </c>
      <c r="R929" s="262" t="s">
        <v>475</v>
      </c>
      <c r="S929" s="267" t="s">
        <v>830</v>
      </c>
      <c r="T929" s="268"/>
      <c r="U929" s="269"/>
      <c r="V929" s="269">
        <v>6000000</v>
      </c>
      <c r="W929" s="278">
        <v>1000000</v>
      </c>
      <c r="X929" s="270"/>
      <c r="Y929" s="262" t="s">
        <v>25</v>
      </c>
      <c r="Z929" s="271" t="s">
        <v>25</v>
      </c>
      <c r="AA929" s="287"/>
      <c r="AB929" s="287"/>
      <c r="AC929" s="272">
        <f t="shared" si="31"/>
        <v>5000000</v>
      </c>
      <c r="AD929" s="272">
        <v>5000000</v>
      </c>
      <c r="AE929" s="272">
        <f t="shared" si="32"/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75"/>
      <c r="AR929" s="275"/>
      <c r="AS929" s="275"/>
      <c r="AT929" s="275"/>
      <c r="AU929" s="275"/>
      <c r="AV929" s="275"/>
      <c r="AW929" s="275"/>
      <c r="AX929" s="275"/>
      <c r="AY929" s="275">
        <v>5000000</v>
      </c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customHeight="1">
      <c r="A930" s="260">
        <v>908</v>
      </c>
      <c r="B930" s="261"/>
      <c r="C930" s="261"/>
      <c r="D930" s="262" t="s">
        <v>15</v>
      </c>
      <c r="E930" s="262" t="s">
        <v>153</v>
      </c>
      <c r="F930" s="263" t="s">
        <v>15</v>
      </c>
      <c r="G930" s="264" t="s">
        <v>153</v>
      </c>
      <c r="H930" s="281"/>
      <c r="I930" s="265"/>
      <c r="J930" s="266" t="s">
        <v>579</v>
      </c>
      <c r="K930" s="262"/>
      <c r="L930" s="262"/>
      <c r="M930" s="262">
        <v>16894</v>
      </c>
      <c r="N930" s="262" t="s">
        <v>53</v>
      </c>
      <c r="O930" s="262" t="s">
        <v>212</v>
      </c>
      <c r="P930" s="262" t="s">
        <v>57</v>
      </c>
      <c r="Q930" s="262" t="s">
        <v>63</v>
      </c>
      <c r="R930" s="262" t="s">
        <v>28</v>
      </c>
      <c r="S930" s="267" t="s">
        <v>28</v>
      </c>
      <c r="T930" s="268" t="s">
        <v>951</v>
      </c>
      <c r="U930" s="269">
        <v>76615580</v>
      </c>
      <c r="V930" s="269">
        <v>80917800</v>
      </c>
      <c r="W930" s="278">
        <v>80922300</v>
      </c>
      <c r="X930" s="270"/>
      <c r="Y930" s="262" t="s">
        <v>27</v>
      </c>
      <c r="Z930" s="271" t="s">
        <v>27</v>
      </c>
      <c r="AA930" s="287"/>
      <c r="AB930" s="287"/>
      <c r="AC930" s="272">
        <f t="shared" si="31"/>
        <v>79404500</v>
      </c>
      <c r="AD930" s="272">
        <v>79404500</v>
      </c>
      <c r="AE930" s="272">
        <f t="shared" si="32"/>
        <v>0</v>
      </c>
      <c r="AF930" s="273">
        <v>6500000</v>
      </c>
      <c r="AG930" s="274">
        <v>6652500</v>
      </c>
      <c r="AH930" s="273"/>
      <c r="AI930" s="273">
        <v>6500000</v>
      </c>
      <c r="AJ930" s="274">
        <v>7202000</v>
      </c>
      <c r="AK930" s="273"/>
      <c r="AL930" s="275">
        <v>7050000</v>
      </c>
      <c r="AM930" s="290">
        <v>7050000</v>
      </c>
      <c r="AN930" s="275"/>
      <c r="AO930" s="276">
        <v>6500000</v>
      </c>
      <c r="AP930" s="275"/>
      <c r="AQ930" s="275">
        <v>6500000</v>
      </c>
      <c r="AR930" s="275"/>
      <c r="AS930" s="275">
        <v>6500000</v>
      </c>
      <c r="AT930" s="275"/>
      <c r="AU930" s="275">
        <v>6500000</v>
      </c>
      <c r="AV930" s="275"/>
      <c r="AW930" s="275">
        <v>6500000</v>
      </c>
      <c r="AX930" s="275"/>
      <c r="AY930" s="275">
        <v>6500000</v>
      </c>
      <c r="AZ930" s="275"/>
      <c r="BA930" s="275">
        <v>6500000</v>
      </c>
      <c r="BB930" s="275"/>
      <c r="BC930" s="275">
        <v>6500000</v>
      </c>
      <c r="BD930" s="275"/>
      <c r="BE930" s="275">
        <v>6500000</v>
      </c>
      <c r="BF930" s="275"/>
      <c r="BH930" s="277"/>
    </row>
    <row r="931" spans="1:60" ht="16.5" customHeight="1">
      <c r="A931" s="260">
        <v>909</v>
      </c>
      <c r="B931" s="261"/>
      <c r="C931" s="261"/>
      <c r="D931" s="262" t="s">
        <v>15</v>
      </c>
      <c r="E931" s="262" t="s">
        <v>153</v>
      </c>
      <c r="F931" s="263" t="s">
        <v>15</v>
      </c>
      <c r="G931" s="264" t="s">
        <v>153</v>
      </c>
      <c r="H931" s="281"/>
      <c r="I931" s="265"/>
      <c r="J931" s="266" t="s">
        <v>579</v>
      </c>
      <c r="K931" s="262"/>
      <c r="L931" s="262"/>
      <c r="M931" s="262">
        <v>16894</v>
      </c>
      <c r="N931" s="262" t="s">
        <v>53</v>
      </c>
      <c r="O931" s="262" t="s">
        <v>35</v>
      </c>
      <c r="P931" s="262" t="s">
        <v>57</v>
      </c>
      <c r="Q931" s="262"/>
      <c r="R931" s="262" t="s">
        <v>468</v>
      </c>
      <c r="S931" s="267" t="s">
        <v>468</v>
      </c>
      <c r="T931" s="268"/>
      <c r="U931" s="269"/>
      <c r="V931" s="269">
        <v>0</v>
      </c>
      <c r="W931" s="278">
        <v>0</v>
      </c>
      <c r="X931" s="270"/>
      <c r="Y931" s="262" t="s">
        <v>25</v>
      </c>
      <c r="Z931" s="271" t="s">
        <v>25</v>
      </c>
      <c r="AA931" s="287"/>
      <c r="AB931" s="287"/>
      <c r="AC931" s="272">
        <f t="shared" si="31"/>
        <v>20000000</v>
      </c>
      <c r="AD931" s="272">
        <v>20000000</v>
      </c>
      <c r="AE931" s="272">
        <f t="shared" si="32"/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75"/>
      <c r="AR931" s="275"/>
      <c r="AS931" s="275">
        <v>10000000</v>
      </c>
      <c r="AT931" s="275"/>
      <c r="AU931" s="275">
        <v>10000000</v>
      </c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customHeight="1">
      <c r="A932" s="260">
        <v>910</v>
      </c>
      <c r="B932" s="261"/>
      <c r="C932" s="261"/>
      <c r="D932" s="262" t="s">
        <v>15</v>
      </c>
      <c r="E932" s="262" t="s">
        <v>153</v>
      </c>
      <c r="F932" s="263" t="s">
        <v>15</v>
      </c>
      <c r="G932" s="264" t="s">
        <v>153</v>
      </c>
      <c r="H932" s="281"/>
      <c r="I932" s="265"/>
      <c r="J932" s="266" t="s">
        <v>881</v>
      </c>
      <c r="K932" s="262"/>
      <c r="L932" s="262"/>
      <c r="M932" s="262">
        <v>16894</v>
      </c>
      <c r="N932" s="262" t="s">
        <v>53</v>
      </c>
      <c r="O932" s="262" t="s">
        <v>212</v>
      </c>
      <c r="P932" s="262" t="s">
        <v>57</v>
      </c>
      <c r="Q932" s="262" t="s">
        <v>63</v>
      </c>
      <c r="R932" s="262" t="s">
        <v>28</v>
      </c>
      <c r="S932" s="267" t="s">
        <v>28</v>
      </c>
      <c r="T932" s="268"/>
      <c r="U932" s="269"/>
      <c r="V932" s="269">
        <v>0</v>
      </c>
      <c r="W932" s="278">
        <v>8542600</v>
      </c>
      <c r="X932" s="270"/>
      <c r="Y932" s="262" t="s">
        <v>27</v>
      </c>
      <c r="Z932" s="271" t="s">
        <v>562</v>
      </c>
      <c r="AA932" s="287"/>
      <c r="AB932" s="287"/>
      <c r="AC932" s="272">
        <f t="shared" si="31"/>
        <v>0</v>
      </c>
      <c r="AD932" s="272">
        <v>0</v>
      </c>
      <c r="AE932" s="272">
        <f t="shared" si="32"/>
        <v>0</v>
      </c>
      <c r="AF932" s="273"/>
      <c r="AG932" s="274"/>
      <c r="AH932" s="273"/>
      <c r="AI932" s="273"/>
      <c r="AJ932" s="274"/>
      <c r="AK932" s="273"/>
      <c r="AL932" s="275"/>
      <c r="AM932" s="290"/>
      <c r="AN932" s="275"/>
      <c r="AO932" s="276"/>
      <c r="AP932" s="275"/>
      <c r="AQ932" s="275"/>
      <c r="AR932" s="275"/>
      <c r="AS932" s="275"/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customHeight="1">
      <c r="A933" s="260">
        <v>911</v>
      </c>
      <c r="B933" s="261"/>
      <c r="C933" s="261"/>
      <c r="D933" s="262" t="s">
        <v>15</v>
      </c>
      <c r="E933" s="262" t="s">
        <v>153</v>
      </c>
      <c r="F933" s="263" t="s">
        <v>15</v>
      </c>
      <c r="G933" s="264" t="s">
        <v>153</v>
      </c>
      <c r="H933" s="281"/>
      <c r="I933" s="265"/>
      <c r="J933" s="266" t="s">
        <v>977</v>
      </c>
      <c r="K933" s="262"/>
      <c r="L933" s="262"/>
      <c r="M933" s="262">
        <v>10148</v>
      </c>
      <c r="N933" s="262" t="s">
        <v>22</v>
      </c>
      <c r="O933" s="262" t="s">
        <v>35</v>
      </c>
      <c r="P933" s="262" t="s">
        <v>156</v>
      </c>
      <c r="Q933" s="262" t="s">
        <v>46</v>
      </c>
      <c r="R933" s="262" t="s">
        <v>47</v>
      </c>
      <c r="S933" s="267" t="s">
        <v>47</v>
      </c>
      <c r="T933" s="268"/>
      <c r="U933" s="269"/>
      <c r="V933" s="269"/>
      <c r="W933" s="278">
        <v>0</v>
      </c>
      <c r="X933" s="270"/>
      <c r="Y933" s="262" t="s">
        <v>74</v>
      </c>
      <c r="Z933" s="271" t="s">
        <v>562</v>
      </c>
      <c r="AA933" s="287"/>
      <c r="AB933" s="287"/>
      <c r="AC933" s="272">
        <f t="shared" si="31"/>
        <v>20000000</v>
      </c>
      <c r="AD933" s="272">
        <v>20000000</v>
      </c>
      <c r="AE933" s="272">
        <f t="shared" si="32"/>
        <v>0</v>
      </c>
      <c r="AF933" s="273"/>
      <c r="AG933" s="274"/>
      <c r="AH933" s="273"/>
      <c r="AI933" s="273"/>
      <c r="AJ933" s="274"/>
      <c r="AK933" s="273"/>
      <c r="AL933" s="275"/>
      <c r="AM933" s="290"/>
      <c r="AN933" s="275"/>
      <c r="AO933" s="276"/>
      <c r="AP933" s="275"/>
      <c r="AQ933" s="275">
        <v>20000000</v>
      </c>
      <c r="AR933" s="275"/>
      <c r="AS933" s="275"/>
      <c r="AT933" s="275"/>
      <c r="AU933" s="275"/>
      <c r="AV933" s="275"/>
      <c r="AW933" s="275"/>
      <c r="AX933" s="275"/>
      <c r="AY933" s="275"/>
      <c r="AZ933" s="275"/>
      <c r="BA933" s="275"/>
      <c r="BB933" s="275"/>
      <c r="BC933" s="275"/>
      <c r="BD933" s="275"/>
      <c r="BE933" s="275"/>
      <c r="BF933" s="275"/>
      <c r="BH933" s="277"/>
    </row>
    <row r="934" spans="1:60" ht="16.5" customHeight="1">
      <c r="A934" s="260">
        <v>912</v>
      </c>
      <c r="B934" s="261"/>
      <c r="C934" s="261"/>
      <c r="D934" s="262" t="s">
        <v>15</v>
      </c>
      <c r="E934" s="262" t="s">
        <v>153</v>
      </c>
      <c r="F934" s="263" t="s">
        <v>15</v>
      </c>
      <c r="G934" s="264" t="s">
        <v>153</v>
      </c>
      <c r="H934" s="281"/>
      <c r="I934" s="265"/>
      <c r="J934" s="266" t="s">
        <v>977</v>
      </c>
      <c r="K934" s="262"/>
      <c r="L934" s="262"/>
      <c r="M934" s="262">
        <v>10148</v>
      </c>
      <c r="N934" s="262" t="s">
        <v>22</v>
      </c>
      <c r="O934" s="262" t="s">
        <v>35</v>
      </c>
      <c r="P934" s="262" t="s">
        <v>124</v>
      </c>
      <c r="Q934" s="262"/>
      <c r="R934" s="262" t="s">
        <v>468</v>
      </c>
      <c r="S934" s="267" t="s">
        <v>468</v>
      </c>
      <c r="T934" s="268"/>
      <c r="U934" s="269"/>
      <c r="V934" s="269"/>
      <c r="W934" s="278"/>
      <c r="X934" s="270"/>
      <c r="Y934" s="262" t="s">
        <v>25</v>
      </c>
      <c r="Z934" s="271" t="s">
        <v>25</v>
      </c>
      <c r="AA934" s="287"/>
      <c r="AB934" s="287"/>
      <c r="AC934" s="272">
        <f t="shared" si="31"/>
        <v>10000000</v>
      </c>
      <c r="AD934" s="272">
        <v>10000000</v>
      </c>
      <c r="AE934" s="272">
        <f t="shared" si="32"/>
        <v>0</v>
      </c>
      <c r="AF934" s="273"/>
      <c r="AG934" s="274"/>
      <c r="AH934" s="273"/>
      <c r="AI934" s="273"/>
      <c r="AJ934" s="274"/>
      <c r="AK934" s="273"/>
      <c r="AL934" s="275"/>
      <c r="AM934" s="290"/>
      <c r="AN934" s="275"/>
      <c r="AO934" s="276"/>
      <c r="AP934" s="275"/>
      <c r="AQ934" s="275">
        <v>10000000</v>
      </c>
      <c r="AR934" s="275"/>
      <c r="AS934" s="275"/>
      <c r="AT934" s="275"/>
      <c r="AU934" s="275"/>
      <c r="AV934" s="275"/>
      <c r="AW934" s="275"/>
      <c r="AX934" s="275"/>
      <c r="AY934" s="275"/>
      <c r="AZ934" s="275"/>
      <c r="BA934" s="275"/>
      <c r="BB934" s="275"/>
      <c r="BC934" s="275"/>
      <c r="BD934" s="275"/>
      <c r="BE934" s="275"/>
      <c r="BF934" s="275"/>
      <c r="BH934" s="277"/>
    </row>
    <row r="935" spans="1:60" ht="16.5" customHeight="1">
      <c r="A935" s="260">
        <v>913</v>
      </c>
      <c r="B935" s="261"/>
      <c r="C935" s="261"/>
      <c r="D935" s="262" t="s">
        <v>15</v>
      </c>
      <c r="E935" s="262" t="s">
        <v>153</v>
      </c>
      <c r="F935" s="263" t="s">
        <v>15</v>
      </c>
      <c r="G935" s="264" t="s">
        <v>153</v>
      </c>
      <c r="H935" s="281"/>
      <c r="I935" s="265"/>
      <c r="J935" s="266" t="s">
        <v>977</v>
      </c>
      <c r="K935" s="262"/>
      <c r="L935" s="262"/>
      <c r="M935" s="262">
        <v>10148</v>
      </c>
      <c r="N935" s="262" t="s">
        <v>22</v>
      </c>
      <c r="O935" s="262" t="s">
        <v>35</v>
      </c>
      <c r="P935" s="262" t="s">
        <v>156</v>
      </c>
      <c r="Q935" s="262"/>
      <c r="R935" s="262"/>
      <c r="S935" s="267" t="s">
        <v>828</v>
      </c>
      <c r="T935" s="268"/>
      <c r="U935" s="269"/>
      <c r="V935" s="269"/>
      <c r="W935" s="278"/>
      <c r="X935" s="270"/>
      <c r="Y935" s="262"/>
      <c r="Z935" s="271" t="s">
        <v>562</v>
      </c>
      <c r="AA935" s="287"/>
      <c r="AB935" s="287"/>
      <c r="AC935" s="272">
        <f t="shared" si="31"/>
        <v>20000000</v>
      </c>
      <c r="AD935" s="272">
        <v>20000000</v>
      </c>
      <c r="AE935" s="272">
        <f t="shared" si="32"/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>
        <v>20000000</v>
      </c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/>
      <c r="BD935" s="275"/>
      <c r="BE935" s="275"/>
      <c r="BF935" s="275"/>
      <c r="BH935" s="277"/>
    </row>
    <row r="936" spans="1:60" ht="16.5" customHeight="1">
      <c r="A936" s="260">
        <v>914</v>
      </c>
      <c r="B936" s="261"/>
      <c r="C936" s="261"/>
      <c r="D936" s="262" t="s">
        <v>15</v>
      </c>
      <c r="E936" s="262" t="s">
        <v>153</v>
      </c>
      <c r="F936" s="263" t="s">
        <v>15</v>
      </c>
      <c r="G936" s="264" t="s">
        <v>153</v>
      </c>
      <c r="H936" s="281"/>
      <c r="I936" s="265"/>
      <c r="J936" s="266" t="s">
        <v>647</v>
      </c>
      <c r="K936" s="262"/>
      <c r="L936" s="262"/>
      <c r="M936" s="262">
        <v>893</v>
      </c>
      <c r="N936" s="262" t="s">
        <v>32</v>
      </c>
      <c r="O936" s="262" t="s">
        <v>56</v>
      </c>
      <c r="P936" s="262" t="s">
        <v>57</v>
      </c>
      <c r="Q936" s="262" t="s">
        <v>23</v>
      </c>
      <c r="R936" s="262" t="s">
        <v>397</v>
      </c>
      <c r="S936" s="267" t="s">
        <v>823</v>
      </c>
      <c r="T936" s="268"/>
      <c r="U936" s="269">
        <v>1300000</v>
      </c>
      <c r="V936" s="269">
        <v>19900000</v>
      </c>
      <c r="W936" s="278">
        <v>9900000</v>
      </c>
      <c r="X936" s="270"/>
      <c r="Y936" s="262" t="s">
        <v>27</v>
      </c>
      <c r="Z936" s="271" t="s">
        <v>562</v>
      </c>
      <c r="AA936" s="287"/>
      <c r="AB936" s="287"/>
      <c r="AC936" s="272">
        <f t="shared" si="31"/>
        <v>10000000</v>
      </c>
      <c r="AD936" s="272">
        <v>10000000</v>
      </c>
      <c r="AE936" s="272">
        <f t="shared" si="32"/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>
        <v>10000000</v>
      </c>
      <c r="AP936" s="275"/>
      <c r="AQ936" s="275"/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/>
      <c r="BD936" s="275"/>
      <c r="BE936" s="275"/>
      <c r="BF936" s="275"/>
      <c r="BH936" s="277"/>
    </row>
    <row r="937" spans="1:60" ht="16.5" customHeight="1">
      <c r="A937" s="260">
        <v>915</v>
      </c>
      <c r="B937" s="261"/>
      <c r="C937" s="261"/>
      <c r="D937" s="262" t="s">
        <v>15</v>
      </c>
      <c r="E937" s="262" t="s">
        <v>153</v>
      </c>
      <c r="F937" s="263" t="s">
        <v>15</v>
      </c>
      <c r="G937" s="264" t="s">
        <v>153</v>
      </c>
      <c r="H937" s="281"/>
      <c r="I937" s="265"/>
      <c r="J937" s="266" t="s">
        <v>882</v>
      </c>
      <c r="K937" s="262"/>
      <c r="L937" s="262"/>
      <c r="M937" s="262">
        <v>893</v>
      </c>
      <c r="N937" s="262" t="s">
        <v>32</v>
      </c>
      <c r="O937" s="262" t="s">
        <v>56</v>
      </c>
      <c r="P937" s="262" t="s">
        <v>57</v>
      </c>
      <c r="Q937" s="262" t="s">
        <v>63</v>
      </c>
      <c r="R937" s="262" t="s">
        <v>28</v>
      </c>
      <c r="S937" s="267" t="s">
        <v>28</v>
      </c>
      <c r="T937" s="268"/>
      <c r="U937" s="269">
        <v>652876981</v>
      </c>
      <c r="V937" s="269">
        <v>360584934</v>
      </c>
      <c r="W937" s="278">
        <v>0</v>
      </c>
      <c r="X937" s="270"/>
      <c r="Y937" s="262" t="s">
        <v>20</v>
      </c>
      <c r="Z937" s="271" t="s">
        <v>24</v>
      </c>
      <c r="AA937" s="287"/>
      <c r="AB937" s="287"/>
      <c r="AC937" s="272">
        <f t="shared" si="31"/>
        <v>405000000</v>
      </c>
      <c r="AD937" s="272">
        <v>405000000</v>
      </c>
      <c r="AE937" s="272">
        <f t="shared" si="32"/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>
        <v>45000000</v>
      </c>
      <c r="AP937" s="275"/>
      <c r="AQ937" s="275">
        <v>45000000</v>
      </c>
      <c r="AR937" s="275"/>
      <c r="AS937" s="275">
        <v>45000000</v>
      </c>
      <c r="AT937" s="275"/>
      <c r="AU937" s="275">
        <v>45000000</v>
      </c>
      <c r="AV937" s="275"/>
      <c r="AW937" s="275">
        <v>45000000</v>
      </c>
      <c r="AX937" s="275"/>
      <c r="AY937" s="275">
        <v>45000000</v>
      </c>
      <c r="AZ937" s="275"/>
      <c r="BA937" s="275">
        <v>45000000</v>
      </c>
      <c r="BB937" s="275"/>
      <c r="BC937" s="275">
        <v>45000000</v>
      </c>
      <c r="BD937" s="275"/>
      <c r="BE937" s="275">
        <v>45000000</v>
      </c>
      <c r="BF937" s="275"/>
      <c r="BH937" s="277"/>
    </row>
    <row r="938" spans="1:60" ht="16.5" customHeight="1">
      <c r="A938" s="260">
        <v>916</v>
      </c>
      <c r="B938" s="261"/>
      <c r="C938" s="261"/>
      <c r="D938" s="262" t="s">
        <v>15</v>
      </c>
      <c r="E938" s="262" t="s">
        <v>153</v>
      </c>
      <c r="F938" s="263" t="s">
        <v>15</v>
      </c>
      <c r="G938" s="264" t="s">
        <v>153</v>
      </c>
      <c r="H938" s="281"/>
      <c r="I938" s="265"/>
      <c r="J938" s="266" t="s">
        <v>883</v>
      </c>
      <c r="K938" s="262"/>
      <c r="L938" s="262"/>
      <c r="M938" s="262">
        <v>893</v>
      </c>
      <c r="N938" s="262" t="s">
        <v>32</v>
      </c>
      <c r="O938" s="262" t="s">
        <v>56</v>
      </c>
      <c r="P938" s="262" t="s">
        <v>57</v>
      </c>
      <c r="Q938" s="262" t="s">
        <v>26</v>
      </c>
      <c r="R938" s="262" t="s">
        <v>468</v>
      </c>
      <c r="S938" s="267" t="s">
        <v>468</v>
      </c>
      <c r="T938" s="268"/>
      <c r="U938" s="269">
        <v>44761455</v>
      </c>
      <c r="V938" s="269">
        <v>12024788</v>
      </c>
      <c r="W938" s="278">
        <v>0</v>
      </c>
      <c r="X938" s="270"/>
      <c r="Y938" s="262" t="s">
        <v>74</v>
      </c>
      <c r="Z938" s="271" t="s">
        <v>562</v>
      </c>
      <c r="AA938" s="287"/>
      <c r="AB938" s="287"/>
      <c r="AC938" s="272">
        <f t="shared" si="31"/>
        <v>0</v>
      </c>
      <c r="AD938" s="272">
        <v>0</v>
      </c>
      <c r="AE938" s="272">
        <f t="shared" si="32"/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/>
      <c r="BD938" s="275"/>
      <c r="BE938" s="275"/>
      <c r="BF938" s="275"/>
      <c r="BH938" s="277"/>
    </row>
    <row r="939" spans="1:60" ht="16.5" customHeight="1">
      <c r="A939" s="260">
        <v>917</v>
      </c>
      <c r="B939" s="261"/>
      <c r="C939" s="261"/>
      <c r="D939" s="262" t="s">
        <v>15</v>
      </c>
      <c r="E939" s="262" t="s">
        <v>153</v>
      </c>
      <c r="F939" s="263" t="s">
        <v>15</v>
      </c>
      <c r="G939" s="264" t="s">
        <v>153</v>
      </c>
      <c r="H939" s="281"/>
      <c r="I939" s="265"/>
      <c r="J939" s="266" t="s">
        <v>884</v>
      </c>
      <c r="K939" s="262"/>
      <c r="L939" s="262"/>
      <c r="M939" s="262">
        <v>49625</v>
      </c>
      <c r="N939" s="262" t="s">
        <v>32</v>
      </c>
      <c r="O939" s="262" t="s">
        <v>56</v>
      </c>
      <c r="P939" s="262"/>
      <c r="Q939" s="262" t="s">
        <v>44</v>
      </c>
      <c r="R939" s="262" t="s">
        <v>469</v>
      </c>
      <c r="S939" s="267" t="s">
        <v>469</v>
      </c>
      <c r="T939" s="268"/>
      <c r="U939" s="269"/>
      <c r="V939" s="269">
        <v>4090909</v>
      </c>
      <c r="W939" s="278">
        <v>0</v>
      </c>
      <c r="X939" s="270"/>
      <c r="Y939" s="262" t="s">
        <v>20</v>
      </c>
      <c r="Z939" s="271" t="s">
        <v>562</v>
      </c>
      <c r="AA939" s="287"/>
      <c r="AB939" s="287"/>
      <c r="AC939" s="272">
        <f t="shared" si="31"/>
        <v>0</v>
      </c>
      <c r="AD939" s="272">
        <v>0</v>
      </c>
      <c r="AE939" s="272">
        <f t="shared" si="32"/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/>
      <c r="BD939" s="275"/>
      <c r="BE939" s="275"/>
      <c r="BF939" s="275"/>
      <c r="BH939" s="277"/>
    </row>
    <row r="940" spans="1:60" ht="16.5" customHeight="1">
      <c r="A940" s="260">
        <v>918</v>
      </c>
      <c r="B940" s="261"/>
      <c r="C940" s="261"/>
      <c r="D940" s="262" t="s">
        <v>15</v>
      </c>
      <c r="E940" s="262" t="s">
        <v>153</v>
      </c>
      <c r="F940" s="263" t="s">
        <v>15</v>
      </c>
      <c r="G940" s="264" t="s">
        <v>153</v>
      </c>
      <c r="H940" s="281"/>
      <c r="I940" s="265"/>
      <c r="J940" s="266" t="s">
        <v>885</v>
      </c>
      <c r="K940" s="262"/>
      <c r="L940" s="262"/>
      <c r="M940" s="262">
        <v>13618</v>
      </c>
      <c r="N940" s="262" t="s">
        <v>32</v>
      </c>
      <c r="O940" s="262" t="s">
        <v>35</v>
      </c>
      <c r="P940" s="262" t="s">
        <v>156</v>
      </c>
      <c r="Q940" s="262"/>
      <c r="R940" s="262" t="s">
        <v>28</v>
      </c>
      <c r="S940" s="267" t="s">
        <v>28</v>
      </c>
      <c r="T940" s="268"/>
      <c r="U940" s="269"/>
      <c r="V940" s="269"/>
      <c r="W940" s="278">
        <v>0</v>
      </c>
      <c r="X940" s="270"/>
      <c r="Y940" s="262" t="s">
        <v>25</v>
      </c>
      <c r="Z940" s="271" t="s">
        <v>27</v>
      </c>
      <c r="AA940" s="287"/>
      <c r="AB940" s="287"/>
      <c r="AC940" s="272">
        <f t="shared" si="31"/>
        <v>1621790880</v>
      </c>
      <c r="AD940" s="272">
        <v>1621790880</v>
      </c>
      <c r="AE940" s="272">
        <f t="shared" si="32"/>
        <v>0</v>
      </c>
      <c r="AF940" s="273">
        <v>0</v>
      </c>
      <c r="AG940" s="274"/>
      <c r="AH940" s="273" t="s">
        <v>974</v>
      </c>
      <c r="AI940" s="273">
        <v>89043374</v>
      </c>
      <c r="AJ940" s="274">
        <v>89070174</v>
      </c>
      <c r="AK940" s="273" t="s">
        <v>975</v>
      </c>
      <c r="AL940" s="275">
        <v>123504912</v>
      </c>
      <c r="AM940" s="290">
        <v>123504920</v>
      </c>
      <c r="AN940" s="275"/>
      <c r="AO940" s="276">
        <v>169215786</v>
      </c>
      <c r="AP940" s="275"/>
      <c r="AQ940" s="275">
        <v>170000000</v>
      </c>
      <c r="AR940" s="275"/>
      <c r="AS940" s="275">
        <v>150000000</v>
      </c>
      <c r="AT940" s="275"/>
      <c r="AU940" s="275">
        <v>150000000</v>
      </c>
      <c r="AV940" s="275"/>
      <c r="AW940" s="275">
        <v>150000000</v>
      </c>
      <c r="AX940" s="275"/>
      <c r="AY940" s="275">
        <v>150000000</v>
      </c>
      <c r="AZ940" s="275"/>
      <c r="BA940" s="275">
        <v>150000000</v>
      </c>
      <c r="BB940" s="275"/>
      <c r="BC940" s="275">
        <v>150000000</v>
      </c>
      <c r="BD940" s="275"/>
      <c r="BE940" s="275">
        <v>170000000</v>
      </c>
      <c r="BF940" s="275"/>
      <c r="BH940" s="277"/>
    </row>
    <row r="941" spans="1:60" ht="16.5" customHeight="1">
      <c r="A941" s="260">
        <v>919</v>
      </c>
      <c r="B941" s="261"/>
      <c r="C941" s="261"/>
      <c r="D941" s="262" t="s">
        <v>15</v>
      </c>
      <c r="E941" s="262" t="s">
        <v>153</v>
      </c>
      <c r="F941" s="263" t="s">
        <v>15</v>
      </c>
      <c r="G941" s="264" t="s">
        <v>153</v>
      </c>
      <c r="H941" s="281"/>
      <c r="I941" s="265"/>
      <c r="J941" s="266" t="s">
        <v>319</v>
      </c>
      <c r="K941" s="262"/>
      <c r="L941" s="262"/>
      <c r="M941" s="262">
        <v>19227</v>
      </c>
      <c r="N941" s="262" t="s">
        <v>22</v>
      </c>
      <c r="O941" s="262" t="s">
        <v>35</v>
      </c>
      <c r="P941" s="262"/>
      <c r="Q941" s="262" t="s">
        <v>61</v>
      </c>
      <c r="R941" s="262" t="s">
        <v>468</v>
      </c>
      <c r="S941" s="267" t="s">
        <v>468</v>
      </c>
      <c r="T941" s="268"/>
      <c r="U941" s="269"/>
      <c r="V941" s="269">
        <v>0</v>
      </c>
      <c r="W941" s="278">
        <v>81430000</v>
      </c>
      <c r="X941" s="270"/>
      <c r="Y941" s="262" t="s">
        <v>25</v>
      </c>
      <c r="Z941" s="271" t="s">
        <v>27</v>
      </c>
      <c r="AA941" s="287"/>
      <c r="AB941" s="287"/>
      <c r="AC941" s="272">
        <f t="shared" si="31"/>
        <v>25000000</v>
      </c>
      <c r="AD941" s="272">
        <v>25000000</v>
      </c>
      <c r="AE941" s="272">
        <f t="shared" si="32"/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75"/>
      <c r="AR941" s="275"/>
      <c r="AS941" s="275">
        <v>25000000</v>
      </c>
      <c r="AT941" s="275"/>
      <c r="AU941" s="275"/>
      <c r="AV941" s="275"/>
      <c r="AW941" s="275"/>
      <c r="AX941" s="275"/>
      <c r="AY941" s="275"/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customHeight="1">
      <c r="A942" s="260">
        <v>920</v>
      </c>
      <c r="B942" s="261"/>
      <c r="C942" s="261"/>
      <c r="D942" s="262" t="s">
        <v>15</v>
      </c>
      <c r="E942" s="262" t="s">
        <v>153</v>
      </c>
      <c r="F942" s="263" t="s">
        <v>15</v>
      </c>
      <c r="G942" s="264" t="s">
        <v>153</v>
      </c>
      <c r="H942" s="281"/>
      <c r="I942" s="265"/>
      <c r="J942" s="266" t="s">
        <v>319</v>
      </c>
      <c r="K942" s="262"/>
      <c r="L942" s="262"/>
      <c r="M942" s="262">
        <v>19227</v>
      </c>
      <c r="N942" s="262" t="s">
        <v>22</v>
      </c>
      <c r="O942" s="262" t="s">
        <v>56</v>
      </c>
      <c r="P942" s="262"/>
      <c r="Q942" s="262" t="s">
        <v>61</v>
      </c>
      <c r="R942" s="262" t="s">
        <v>468</v>
      </c>
      <c r="S942" s="267" t="s">
        <v>468</v>
      </c>
      <c r="T942" s="268"/>
      <c r="U942" s="269"/>
      <c r="V942" s="269">
        <v>83200000</v>
      </c>
      <c r="W942" s="278">
        <v>0</v>
      </c>
      <c r="X942" s="270"/>
      <c r="Y942" s="262" t="s">
        <v>27</v>
      </c>
      <c r="Z942" s="271" t="s">
        <v>74</v>
      </c>
      <c r="AA942" s="287"/>
      <c r="AB942" s="287"/>
      <c r="AC942" s="272">
        <f t="shared" si="31"/>
        <v>80000000</v>
      </c>
      <c r="AD942" s="272">
        <v>80000000</v>
      </c>
      <c r="AE942" s="272">
        <f t="shared" si="32"/>
        <v>0</v>
      </c>
      <c r="AF942" s="273"/>
      <c r="AG942" s="274"/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>
        <v>80000000</v>
      </c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customHeight="1">
      <c r="A943" s="260">
        <v>921</v>
      </c>
      <c r="B943" s="261"/>
      <c r="C943" s="261"/>
      <c r="D943" s="262"/>
      <c r="E943" s="262"/>
      <c r="F943" s="263" t="s">
        <v>15</v>
      </c>
      <c r="G943" s="264" t="s">
        <v>153</v>
      </c>
      <c r="H943" s="281"/>
      <c r="I943" s="265"/>
      <c r="J943" s="266" t="s">
        <v>886</v>
      </c>
      <c r="K943" s="262"/>
      <c r="L943" s="262"/>
      <c r="M943" s="262">
        <v>3699</v>
      </c>
      <c r="N943" s="262" t="s">
        <v>22</v>
      </c>
      <c r="O943" s="262" t="s">
        <v>35</v>
      </c>
      <c r="P943" s="262" t="s">
        <v>124</v>
      </c>
      <c r="Q943" s="262" t="s">
        <v>18</v>
      </c>
      <c r="R943" s="262" t="s">
        <v>19</v>
      </c>
      <c r="S943" s="267" t="s">
        <v>19</v>
      </c>
      <c r="T943" s="268"/>
      <c r="U943" s="269">
        <v>31680000</v>
      </c>
      <c r="V943" s="269">
        <v>0</v>
      </c>
      <c r="W943" s="278">
        <v>0</v>
      </c>
      <c r="X943" s="270"/>
      <c r="Y943" s="262" t="s">
        <v>562</v>
      </c>
      <c r="Z943" s="271" t="s">
        <v>562</v>
      </c>
      <c r="AA943" s="287"/>
      <c r="AB943" s="287"/>
      <c r="AC943" s="272">
        <f t="shared" si="31"/>
        <v>20000000</v>
      </c>
      <c r="AD943" s="272">
        <v>20000000</v>
      </c>
      <c r="AE943" s="272">
        <f t="shared" si="32"/>
        <v>0</v>
      </c>
      <c r="AF943" s="273"/>
      <c r="AG943" s="274"/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>
        <v>20000000</v>
      </c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customHeight="1">
      <c r="A944" s="260">
        <v>922</v>
      </c>
      <c r="B944" s="261"/>
      <c r="C944" s="261"/>
      <c r="D944" s="262"/>
      <c r="E944" s="262"/>
      <c r="F944" s="263" t="s">
        <v>15</v>
      </c>
      <c r="G944" s="264" t="s">
        <v>153</v>
      </c>
      <c r="H944" s="281"/>
      <c r="I944" s="265"/>
      <c r="J944" s="266" t="s">
        <v>887</v>
      </c>
      <c r="K944" s="262"/>
      <c r="L944" s="262"/>
      <c r="M944" s="262">
        <v>3699</v>
      </c>
      <c r="N944" s="262" t="s">
        <v>22</v>
      </c>
      <c r="O944" s="262" t="s">
        <v>35</v>
      </c>
      <c r="P944" s="262" t="s">
        <v>124</v>
      </c>
      <c r="Q944" s="262" t="s">
        <v>23</v>
      </c>
      <c r="R944" s="262" t="s">
        <v>397</v>
      </c>
      <c r="S944" s="267" t="s">
        <v>823</v>
      </c>
      <c r="T944" s="268"/>
      <c r="U944" s="269"/>
      <c r="V944" s="269">
        <v>0</v>
      </c>
      <c r="W944" s="278">
        <v>0</v>
      </c>
      <c r="X944" s="270"/>
      <c r="Y944" s="262" t="s">
        <v>74</v>
      </c>
      <c r="Z944" s="271" t="s">
        <v>562</v>
      </c>
      <c r="AA944" s="287"/>
      <c r="AB944" s="287"/>
      <c r="AC944" s="272">
        <f t="shared" si="31"/>
        <v>0</v>
      </c>
      <c r="AD944" s="272">
        <v>0</v>
      </c>
      <c r="AE944" s="272">
        <f t="shared" si="32"/>
        <v>0</v>
      </c>
      <c r="AF944" s="273"/>
      <c r="AG944" s="274"/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/>
      <c r="AR944" s="275"/>
      <c r="AS944" s="275"/>
      <c r="AT944" s="275"/>
      <c r="AU944" s="275"/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customHeight="1">
      <c r="A945" s="260">
        <v>923</v>
      </c>
      <c r="B945" s="261"/>
      <c r="C945" s="261"/>
      <c r="D945" s="262" t="s">
        <v>15</v>
      </c>
      <c r="E945" s="262" t="s">
        <v>153</v>
      </c>
      <c r="F945" s="263" t="s">
        <v>15</v>
      </c>
      <c r="G945" s="264" t="s">
        <v>153</v>
      </c>
      <c r="H945" s="281"/>
      <c r="I945" s="265"/>
      <c r="J945" s="266" t="s">
        <v>999</v>
      </c>
      <c r="K945" s="262"/>
      <c r="L945" s="262"/>
      <c r="M945" s="262">
        <v>3699</v>
      </c>
      <c r="N945" s="262"/>
      <c r="O945" s="262"/>
      <c r="P945" s="262"/>
      <c r="Q945" s="262"/>
      <c r="R945" s="262"/>
      <c r="S945" s="267" t="s">
        <v>468</v>
      </c>
      <c r="T945" s="268"/>
      <c r="U945" s="269"/>
      <c r="V945" s="269"/>
      <c r="W945" s="278"/>
      <c r="X945" s="270"/>
      <c r="Y945" s="262"/>
      <c r="Z945" s="271" t="s">
        <v>27</v>
      </c>
      <c r="AA945" s="287"/>
      <c r="AB945" s="287"/>
      <c r="AC945" s="272">
        <f t="shared" si="31"/>
        <v>1875000</v>
      </c>
      <c r="AD945" s="272">
        <v>1800000</v>
      </c>
      <c r="AE945" s="272">
        <f t="shared" si="32"/>
        <v>75000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>
        <v>1875000</v>
      </c>
      <c r="AR945" s="275" t="s">
        <v>1043</v>
      </c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customHeight="1">
      <c r="A946" s="260">
        <v>924</v>
      </c>
      <c r="B946" s="261"/>
      <c r="C946" s="261"/>
      <c r="D946" s="262" t="s">
        <v>15</v>
      </c>
      <c r="E946" s="262" t="s">
        <v>153</v>
      </c>
      <c r="F946" s="263" t="s">
        <v>15</v>
      </c>
      <c r="G946" s="264" t="s">
        <v>153</v>
      </c>
      <c r="H946" s="281"/>
      <c r="I946" s="265"/>
      <c r="J946" s="266" t="s">
        <v>976</v>
      </c>
      <c r="K946" s="262"/>
      <c r="L946" s="262"/>
      <c r="M946" s="262">
        <v>3699</v>
      </c>
      <c r="N946" s="262"/>
      <c r="O946" s="262"/>
      <c r="P946" s="262"/>
      <c r="Q946" s="262"/>
      <c r="R946" s="262"/>
      <c r="S946" s="267" t="s">
        <v>19</v>
      </c>
      <c r="T946" s="268"/>
      <c r="U946" s="269"/>
      <c r="V946" s="269"/>
      <c r="W946" s="278">
        <v>0</v>
      </c>
      <c r="X946" s="270"/>
      <c r="Y946" s="262"/>
      <c r="Z946" s="271" t="s">
        <v>27</v>
      </c>
      <c r="AA946" s="287"/>
      <c r="AB946" s="287"/>
      <c r="AC946" s="272">
        <f t="shared" si="31"/>
        <v>16000000</v>
      </c>
      <c r="AD946" s="272">
        <v>20000000</v>
      </c>
      <c r="AE946" s="272">
        <f t="shared" si="32"/>
        <v>-4000000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/>
      <c r="AR946" s="275"/>
      <c r="AS946" s="275"/>
      <c r="AT946" s="275"/>
      <c r="AU946" s="275">
        <v>8000000</v>
      </c>
      <c r="AV946" s="275" t="s">
        <v>1044</v>
      </c>
      <c r="AW946" s="275"/>
      <c r="AX946" s="275"/>
      <c r="AY946" s="275"/>
      <c r="AZ946" s="275"/>
      <c r="BA946" s="275">
        <v>8000000</v>
      </c>
      <c r="BB946" s="275"/>
      <c r="BC946" s="275"/>
      <c r="BD946" s="275"/>
      <c r="BE946" s="275"/>
      <c r="BF946" s="275"/>
      <c r="BH946" s="277"/>
    </row>
    <row r="947" spans="1:60" ht="16.5" customHeight="1">
      <c r="A947" s="260">
        <v>925</v>
      </c>
      <c r="B947" s="261"/>
      <c r="C947" s="261"/>
      <c r="D947" s="262" t="s">
        <v>15</v>
      </c>
      <c r="E947" s="262" t="s">
        <v>153</v>
      </c>
      <c r="F947" s="263" t="s">
        <v>15</v>
      </c>
      <c r="G947" s="264" t="s">
        <v>153</v>
      </c>
      <c r="H947" s="281"/>
      <c r="I947" s="265"/>
      <c r="J947" s="266" t="s">
        <v>179</v>
      </c>
      <c r="K947" s="262"/>
      <c r="L947" s="262"/>
      <c r="M947" s="262">
        <v>4083</v>
      </c>
      <c r="N947" s="262" t="s">
        <v>22</v>
      </c>
      <c r="O947" s="262" t="s">
        <v>56</v>
      </c>
      <c r="P947" s="262" t="s">
        <v>124</v>
      </c>
      <c r="Q947" s="262" t="s">
        <v>26</v>
      </c>
      <c r="R947" s="262" t="s">
        <v>468</v>
      </c>
      <c r="S947" s="267" t="s">
        <v>468</v>
      </c>
      <c r="T947" s="268"/>
      <c r="U947" s="269"/>
      <c r="V947" s="269">
        <v>5250000</v>
      </c>
      <c r="W947" s="278">
        <v>3450000</v>
      </c>
      <c r="X947" s="270"/>
      <c r="Y947" s="262" t="s">
        <v>27</v>
      </c>
      <c r="Z947" s="271" t="s">
        <v>562</v>
      </c>
      <c r="AA947" s="287"/>
      <c r="AB947" s="287"/>
      <c r="AC947" s="272">
        <f t="shared" si="31"/>
        <v>3000000</v>
      </c>
      <c r="AD947" s="272">
        <v>3000000</v>
      </c>
      <c r="AE947" s="272">
        <f t="shared" si="32"/>
        <v>0</v>
      </c>
      <c r="AF947" s="273"/>
      <c r="AG947" s="274"/>
      <c r="AH947" s="273"/>
      <c r="AI947" s="273"/>
      <c r="AJ947" s="274"/>
      <c r="AK947" s="273"/>
      <c r="AL947" s="275"/>
      <c r="AM947" s="290"/>
      <c r="AN947" s="275"/>
      <c r="AO947" s="276">
        <v>3000000</v>
      </c>
      <c r="AP947" s="275"/>
      <c r="AQ947" s="275"/>
      <c r="AR947" s="275"/>
      <c r="AS947" s="275"/>
      <c r="AT947" s="275"/>
      <c r="AU947" s="275"/>
      <c r="AV947" s="275"/>
      <c r="AW947" s="275"/>
      <c r="AX947" s="275"/>
      <c r="AY947" s="275"/>
      <c r="AZ947" s="275"/>
      <c r="BA947" s="275"/>
      <c r="BB947" s="275"/>
      <c r="BC947" s="275"/>
      <c r="BD947" s="275"/>
      <c r="BE947" s="275"/>
      <c r="BF947" s="275"/>
      <c r="BH947" s="277"/>
    </row>
    <row r="948" spans="1:60" ht="16.5" customHeight="1">
      <c r="A948" s="260">
        <v>926</v>
      </c>
      <c r="B948" s="261"/>
      <c r="C948" s="261"/>
      <c r="D948" s="262" t="s">
        <v>15</v>
      </c>
      <c r="E948" s="262" t="s">
        <v>153</v>
      </c>
      <c r="F948" s="263" t="s">
        <v>15</v>
      </c>
      <c r="G948" s="264" t="s">
        <v>153</v>
      </c>
      <c r="H948" s="281"/>
      <c r="I948" s="265"/>
      <c r="J948" s="266" t="s">
        <v>180</v>
      </c>
      <c r="K948" s="262"/>
      <c r="L948" s="262"/>
      <c r="M948" s="262">
        <v>4083</v>
      </c>
      <c r="N948" s="262" t="s">
        <v>22</v>
      </c>
      <c r="O948" s="262" t="s">
        <v>35</v>
      </c>
      <c r="P948" s="262" t="s">
        <v>124</v>
      </c>
      <c r="Q948" s="262" t="s">
        <v>44</v>
      </c>
      <c r="R948" s="262" t="s">
        <v>469</v>
      </c>
      <c r="S948" s="267" t="s">
        <v>469</v>
      </c>
      <c r="T948" s="268"/>
      <c r="U948" s="269">
        <v>45000000</v>
      </c>
      <c r="V948" s="269">
        <v>6500000</v>
      </c>
      <c r="W948" s="278">
        <v>26000000</v>
      </c>
      <c r="X948" s="270"/>
      <c r="Y948" s="262" t="s">
        <v>27</v>
      </c>
      <c r="Z948" s="271" t="s">
        <v>27</v>
      </c>
      <c r="AA948" s="287"/>
      <c r="AB948" s="287"/>
      <c r="AC948" s="272">
        <f t="shared" si="31"/>
        <v>23000000</v>
      </c>
      <c r="AD948" s="272">
        <v>23000000</v>
      </c>
      <c r="AE948" s="272">
        <f t="shared" si="32"/>
        <v>0</v>
      </c>
      <c r="AF948" s="273"/>
      <c r="AG948" s="274"/>
      <c r="AH948" s="273"/>
      <c r="AI948" s="273"/>
      <c r="AJ948" s="274"/>
      <c r="AK948" s="273"/>
      <c r="AL948" s="275">
        <v>25300000</v>
      </c>
      <c r="AM948" s="290">
        <v>23000000</v>
      </c>
      <c r="AN948" s="275"/>
      <c r="AO948" s="276"/>
      <c r="AP948" s="275"/>
      <c r="AQ948" s="275"/>
      <c r="AR948" s="275"/>
      <c r="AS948" s="275"/>
      <c r="AT948" s="275"/>
      <c r="AU948" s="275"/>
      <c r="AV948" s="275"/>
      <c r="AW948" s="275"/>
      <c r="AX948" s="275"/>
      <c r="AY948" s="275"/>
      <c r="AZ948" s="275"/>
      <c r="BA948" s="275"/>
      <c r="BB948" s="275"/>
      <c r="BC948" s="275"/>
      <c r="BD948" s="275"/>
      <c r="BE948" s="275"/>
      <c r="BF948" s="275"/>
      <c r="BH948" s="277"/>
    </row>
    <row r="949" spans="1:60" ht="16.5" customHeight="1">
      <c r="A949" s="260">
        <v>927</v>
      </c>
      <c r="B949" s="261"/>
      <c r="C949" s="261"/>
      <c r="D949" s="262" t="s">
        <v>15</v>
      </c>
      <c r="E949" s="262" t="s">
        <v>153</v>
      </c>
      <c r="F949" s="263" t="s">
        <v>15</v>
      </c>
      <c r="G949" s="264" t="s">
        <v>153</v>
      </c>
      <c r="H949" s="281"/>
      <c r="I949" s="265"/>
      <c r="J949" s="266" t="s">
        <v>888</v>
      </c>
      <c r="K949" s="262"/>
      <c r="L949" s="262"/>
      <c r="M949" s="262">
        <v>4083</v>
      </c>
      <c r="N949" s="262" t="s">
        <v>22</v>
      </c>
      <c r="O949" s="262" t="s">
        <v>56</v>
      </c>
      <c r="P949" s="262" t="s">
        <v>124</v>
      </c>
      <c r="Q949" s="262" t="s">
        <v>44</v>
      </c>
      <c r="R949" s="262" t="s">
        <v>469</v>
      </c>
      <c r="S949" s="267" t="s">
        <v>469</v>
      </c>
      <c r="T949" s="268"/>
      <c r="U949" s="269"/>
      <c r="V949" s="269">
        <v>0</v>
      </c>
      <c r="W949" s="278">
        <v>0</v>
      </c>
      <c r="X949" s="270"/>
      <c r="Y949" s="262" t="s">
        <v>20</v>
      </c>
      <c r="Z949" s="271" t="s">
        <v>74</v>
      </c>
      <c r="AA949" s="287"/>
      <c r="AB949" s="287"/>
      <c r="AC949" s="272">
        <f t="shared" si="31"/>
        <v>10000000</v>
      </c>
      <c r="AD949" s="272">
        <v>10000000</v>
      </c>
      <c r="AE949" s="272">
        <f t="shared" si="32"/>
        <v>0</v>
      </c>
      <c r="AF949" s="273"/>
      <c r="AG949" s="274"/>
      <c r="AH949" s="273"/>
      <c r="AI949" s="273"/>
      <c r="AJ949" s="274"/>
      <c r="AK949" s="273"/>
      <c r="AL949" s="275"/>
      <c r="AM949" s="290"/>
      <c r="AN949" s="275"/>
      <c r="AO949" s="276"/>
      <c r="AP949" s="275"/>
      <c r="AQ949" s="275"/>
      <c r="AR949" s="275"/>
      <c r="AS949" s="275"/>
      <c r="AT949" s="275"/>
      <c r="AU949" s="275"/>
      <c r="AV949" s="275"/>
      <c r="AW949" s="275">
        <v>10000000</v>
      </c>
      <c r="AX949" s="275"/>
      <c r="AY949" s="275"/>
      <c r="AZ949" s="275"/>
      <c r="BA949" s="275"/>
      <c r="BB949" s="275"/>
      <c r="BC949" s="275"/>
      <c r="BD949" s="275"/>
      <c r="BE949" s="275"/>
      <c r="BF949" s="275"/>
      <c r="BH949" s="277"/>
    </row>
    <row r="950" spans="1:60" ht="16.5" customHeight="1">
      <c r="A950" s="260">
        <v>928</v>
      </c>
      <c r="B950" s="261"/>
      <c r="C950" s="261"/>
      <c r="D950" s="262" t="s">
        <v>15</v>
      </c>
      <c r="E950" s="262" t="s">
        <v>153</v>
      </c>
      <c r="F950" s="263" t="s">
        <v>15</v>
      </c>
      <c r="G950" s="264" t="s">
        <v>153</v>
      </c>
      <c r="H950" s="281"/>
      <c r="I950" s="265"/>
      <c r="J950" s="266" t="s">
        <v>687</v>
      </c>
      <c r="K950" s="262"/>
      <c r="L950" s="262"/>
      <c r="M950" s="262">
        <v>21561</v>
      </c>
      <c r="N950" s="262"/>
      <c r="O950" s="262"/>
      <c r="P950" s="262"/>
      <c r="Q950" s="262"/>
      <c r="R950" s="262" t="s">
        <v>397</v>
      </c>
      <c r="S950" s="267" t="s">
        <v>823</v>
      </c>
      <c r="T950" s="268"/>
      <c r="U950" s="269"/>
      <c r="V950" s="269"/>
      <c r="W950" s="278">
        <v>25791000</v>
      </c>
      <c r="X950" s="270"/>
      <c r="Y950" s="262" t="s">
        <v>27</v>
      </c>
      <c r="Z950" s="271" t="s">
        <v>562</v>
      </c>
      <c r="AA950" s="287"/>
      <c r="AB950" s="287"/>
      <c r="AC950" s="272">
        <f t="shared" si="31"/>
        <v>0</v>
      </c>
      <c r="AD950" s="272">
        <v>0</v>
      </c>
      <c r="AE950" s="272">
        <f t="shared" si="32"/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/>
      <c r="AR950" s="275"/>
      <c r="AS950" s="275"/>
      <c r="AT950" s="275"/>
      <c r="AU950" s="275"/>
      <c r="AV950" s="275"/>
      <c r="AW950" s="275"/>
      <c r="AX950" s="275"/>
      <c r="AY950" s="275"/>
      <c r="AZ950" s="275"/>
      <c r="BA950" s="275"/>
      <c r="BB950" s="275"/>
      <c r="BC950" s="275"/>
      <c r="BD950" s="275"/>
      <c r="BE950" s="275"/>
      <c r="BF950" s="275"/>
      <c r="BH950" s="277"/>
    </row>
    <row r="951" spans="1:60" ht="16.5" customHeight="1">
      <c r="A951" s="260">
        <v>929</v>
      </c>
      <c r="B951" s="261"/>
      <c r="C951" s="261"/>
      <c r="D951" s="262" t="s">
        <v>15</v>
      </c>
      <c r="E951" s="262" t="s">
        <v>153</v>
      </c>
      <c r="F951" s="263" t="s">
        <v>15</v>
      </c>
      <c r="G951" s="264" t="s">
        <v>153</v>
      </c>
      <c r="H951" s="281"/>
      <c r="I951" s="265"/>
      <c r="J951" s="266" t="s">
        <v>889</v>
      </c>
      <c r="K951" s="262"/>
      <c r="L951" s="262"/>
      <c r="M951" s="262">
        <v>59584</v>
      </c>
      <c r="N951" s="262" t="s">
        <v>22</v>
      </c>
      <c r="O951" s="262" t="s">
        <v>56</v>
      </c>
      <c r="P951" s="262"/>
      <c r="Q951" s="262" t="s">
        <v>18</v>
      </c>
      <c r="R951" s="262" t="s">
        <v>19</v>
      </c>
      <c r="S951" s="267" t="s">
        <v>19</v>
      </c>
      <c r="T951" s="268"/>
      <c r="U951" s="269">
        <v>2000000</v>
      </c>
      <c r="V951" s="269">
        <v>2015000</v>
      </c>
      <c r="W951" s="278">
        <v>2000000</v>
      </c>
      <c r="X951" s="270"/>
      <c r="Y951" s="262" t="s">
        <v>25</v>
      </c>
      <c r="Z951" s="271" t="s">
        <v>25</v>
      </c>
      <c r="AA951" s="287"/>
      <c r="AB951" s="287"/>
      <c r="AC951" s="272">
        <f t="shared" si="31"/>
        <v>2000000</v>
      </c>
      <c r="AD951" s="272">
        <v>2000000</v>
      </c>
      <c r="AE951" s="272">
        <f t="shared" si="32"/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/>
      <c r="AR951" s="275"/>
      <c r="AS951" s="275"/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/>
      <c r="BD951" s="275"/>
      <c r="BE951" s="275">
        <v>2000000</v>
      </c>
      <c r="BF951" s="275"/>
      <c r="BH951" s="277"/>
    </row>
    <row r="952" spans="1:60" ht="16.5" customHeight="1">
      <c r="A952" s="260">
        <v>930</v>
      </c>
      <c r="B952" s="261"/>
      <c r="C952" s="261"/>
      <c r="D952" s="262" t="s">
        <v>15</v>
      </c>
      <c r="E952" s="262" t="s">
        <v>153</v>
      </c>
      <c r="F952" s="263" t="s">
        <v>15</v>
      </c>
      <c r="G952" s="264" t="s">
        <v>153</v>
      </c>
      <c r="H952" s="281"/>
      <c r="I952" s="265"/>
      <c r="J952" s="266" t="s">
        <v>890</v>
      </c>
      <c r="K952" s="262"/>
      <c r="L952" s="262"/>
      <c r="M952" s="262">
        <v>619</v>
      </c>
      <c r="N952" s="262"/>
      <c r="O952" s="262"/>
      <c r="P952" s="262"/>
      <c r="Q952" s="262"/>
      <c r="R952" s="262" t="s">
        <v>28</v>
      </c>
      <c r="S952" s="267" t="s">
        <v>28</v>
      </c>
      <c r="T952" s="268"/>
      <c r="U952" s="269"/>
      <c r="V952" s="269"/>
      <c r="W952" s="278">
        <v>12840078</v>
      </c>
      <c r="X952" s="270"/>
      <c r="Y952" s="262" t="s">
        <v>27</v>
      </c>
      <c r="Z952" s="271" t="s">
        <v>718</v>
      </c>
      <c r="AA952" s="287"/>
      <c r="AB952" s="287"/>
      <c r="AC952" s="272">
        <f t="shared" si="31"/>
        <v>0</v>
      </c>
      <c r="AD952" s="272">
        <v>0</v>
      </c>
      <c r="AE952" s="272">
        <f t="shared" si="32"/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/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H952" s="277"/>
    </row>
    <row r="953" spans="1:60" ht="16.5" customHeight="1">
      <c r="A953" s="260">
        <v>931</v>
      </c>
      <c r="B953" s="261"/>
      <c r="C953" s="261"/>
      <c r="D953" s="262" t="s">
        <v>15</v>
      </c>
      <c r="E953" s="262" t="s">
        <v>153</v>
      </c>
      <c r="F953" s="263" t="s">
        <v>15</v>
      </c>
      <c r="G953" s="264" t="s">
        <v>153</v>
      </c>
      <c r="H953" s="281"/>
      <c r="I953" s="265"/>
      <c r="J953" s="266" t="s">
        <v>891</v>
      </c>
      <c r="K953" s="262"/>
      <c r="L953" s="262"/>
      <c r="M953" s="262">
        <v>619</v>
      </c>
      <c r="N953" s="262" t="s">
        <v>22</v>
      </c>
      <c r="O953" s="262" t="s">
        <v>178</v>
      </c>
      <c r="P953" s="262" t="s">
        <v>124</v>
      </c>
      <c r="Q953" s="262" t="s">
        <v>44</v>
      </c>
      <c r="R953" s="262" t="s">
        <v>469</v>
      </c>
      <c r="S953" s="267" t="s">
        <v>469</v>
      </c>
      <c r="T953" s="268"/>
      <c r="U953" s="269">
        <v>20160000</v>
      </c>
      <c r="V953" s="269">
        <v>0</v>
      </c>
      <c r="W953" s="278">
        <v>28000000</v>
      </c>
      <c r="X953" s="270"/>
      <c r="Y953" s="262" t="s">
        <v>25</v>
      </c>
      <c r="Z953" s="271" t="s">
        <v>74</v>
      </c>
      <c r="AA953" s="287"/>
      <c r="AB953" s="287"/>
      <c r="AC953" s="272">
        <f t="shared" si="31"/>
        <v>20000000</v>
      </c>
      <c r="AD953" s="272">
        <v>20000000</v>
      </c>
      <c r="AE953" s="272">
        <f t="shared" si="32"/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/>
      <c r="AT953" s="275"/>
      <c r="AU953" s="275"/>
      <c r="AV953" s="275"/>
      <c r="AW953" s="275"/>
      <c r="AX953" s="275"/>
      <c r="AY953" s="275"/>
      <c r="AZ953" s="275"/>
      <c r="BA953" s="275"/>
      <c r="BB953" s="275"/>
      <c r="BC953" s="275"/>
      <c r="BD953" s="275"/>
      <c r="BE953" s="275">
        <v>20000000</v>
      </c>
      <c r="BF953" s="275"/>
      <c r="BH953" s="277"/>
    </row>
    <row r="954" spans="1:60" ht="16.5" customHeight="1">
      <c r="A954" s="260">
        <v>932</v>
      </c>
      <c r="B954" s="261"/>
      <c r="C954" s="261"/>
      <c r="D954" s="262" t="s">
        <v>15</v>
      </c>
      <c r="E954" s="262" t="s">
        <v>153</v>
      </c>
      <c r="F954" s="263" t="s">
        <v>15</v>
      </c>
      <c r="G954" s="264" t="s">
        <v>153</v>
      </c>
      <c r="H954" s="281"/>
      <c r="I954" s="265"/>
      <c r="J954" s="266" t="s">
        <v>892</v>
      </c>
      <c r="K954" s="262"/>
      <c r="L954" s="262"/>
      <c r="M954" s="262">
        <v>619</v>
      </c>
      <c r="N954" s="262" t="s">
        <v>22</v>
      </c>
      <c r="O954" s="262" t="s">
        <v>56</v>
      </c>
      <c r="P954" s="262" t="s">
        <v>124</v>
      </c>
      <c r="Q954" s="262" t="s">
        <v>44</v>
      </c>
      <c r="R954" s="262" t="s">
        <v>469</v>
      </c>
      <c r="S954" s="267" t="s">
        <v>469</v>
      </c>
      <c r="T954" s="268"/>
      <c r="U954" s="269">
        <v>0</v>
      </c>
      <c r="V954" s="269">
        <v>132393067</v>
      </c>
      <c r="W954" s="278">
        <v>2000000</v>
      </c>
      <c r="X954" s="270"/>
      <c r="Y954" s="262" t="s">
        <v>27</v>
      </c>
      <c r="Z954" s="271" t="s">
        <v>74</v>
      </c>
      <c r="AA954" s="287"/>
      <c r="AB954" s="287"/>
      <c r="AC954" s="272">
        <f t="shared" si="31"/>
        <v>0</v>
      </c>
      <c r="AD954" s="272">
        <v>0</v>
      </c>
      <c r="AE954" s="272">
        <f t="shared" si="32"/>
        <v>0</v>
      </c>
      <c r="AF954" s="273"/>
      <c r="AG954" s="274"/>
      <c r="AH954" s="273"/>
      <c r="AI954" s="273">
        <v>2000000</v>
      </c>
      <c r="AJ954" s="274"/>
      <c r="AK954" s="273"/>
      <c r="AL954" s="275"/>
      <c r="AM954" s="290"/>
      <c r="AN954" s="275"/>
      <c r="AO954" s="276"/>
      <c r="AP954" s="275"/>
      <c r="AQ954" s="275"/>
      <c r="AR954" s="275"/>
      <c r="AS954" s="275"/>
      <c r="AT954" s="275"/>
      <c r="AU954" s="275"/>
      <c r="AV954" s="275"/>
      <c r="AW954" s="275"/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customHeight="1">
      <c r="A955" s="260">
        <v>933</v>
      </c>
      <c r="B955" s="261"/>
      <c r="C955" s="261"/>
      <c r="D955" s="262" t="s">
        <v>15</v>
      </c>
      <c r="E955" s="262" t="s">
        <v>153</v>
      </c>
      <c r="F955" s="263" t="s">
        <v>15</v>
      </c>
      <c r="G955" s="264" t="s">
        <v>153</v>
      </c>
      <c r="H955" s="281"/>
      <c r="I955" s="265"/>
      <c r="J955" s="266" t="s">
        <v>181</v>
      </c>
      <c r="K955" s="262"/>
      <c r="L955" s="262"/>
      <c r="M955" s="262">
        <v>619</v>
      </c>
      <c r="N955" s="262" t="s">
        <v>22</v>
      </c>
      <c r="O955" s="262" t="s">
        <v>56</v>
      </c>
      <c r="P955" s="262" t="s">
        <v>124</v>
      </c>
      <c r="Q955" s="262" t="s">
        <v>44</v>
      </c>
      <c r="R955" s="262" t="s">
        <v>469</v>
      </c>
      <c r="S955" s="267" t="s">
        <v>469</v>
      </c>
      <c r="T955" s="268"/>
      <c r="U955" s="269">
        <v>26000000</v>
      </c>
      <c r="V955" s="269">
        <v>0</v>
      </c>
      <c r="W955" s="278">
        <v>0</v>
      </c>
      <c r="X955" s="270"/>
      <c r="Y955" s="262" t="s">
        <v>27</v>
      </c>
      <c r="Z955" s="271" t="s">
        <v>24</v>
      </c>
      <c r="AA955" s="287"/>
      <c r="AB955" s="287"/>
      <c r="AC955" s="272">
        <f t="shared" si="31"/>
        <v>10000000</v>
      </c>
      <c r="AD955" s="272">
        <v>10000000</v>
      </c>
      <c r="AE955" s="272">
        <f t="shared" si="32"/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>
        <v>10000000</v>
      </c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customHeight="1">
      <c r="A956" s="260">
        <v>934</v>
      </c>
      <c r="B956" s="261"/>
      <c r="C956" s="261"/>
      <c r="D956" s="262" t="s">
        <v>15</v>
      </c>
      <c r="E956" s="262" t="s">
        <v>153</v>
      </c>
      <c r="F956" s="263" t="s">
        <v>15</v>
      </c>
      <c r="G956" s="264" t="s">
        <v>153</v>
      </c>
      <c r="H956" s="281"/>
      <c r="I956" s="265"/>
      <c r="J956" s="266" t="s">
        <v>893</v>
      </c>
      <c r="K956" s="262"/>
      <c r="L956" s="262"/>
      <c r="M956" s="262">
        <v>619</v>
      </c>
      <c r="N956" s="262" t="s">
        <v>22</v>
      </c>
      <c r="O956" s="262" t="s">
        <v>35</v>
      </c>
      <c r="P956" s="262"/>
      <c r="Q956" s="262" t="s">
        <v>44</v>
      </c>
      <c r="R956" s="262" t="s">
        <v>469</v>
      </c>
      <c r="S956" s="267" t="s">
        <v>469</v>
      </c>
      <c r="T956" s="268"/>
      <c r="U956" s="269"/>
      <c r="V956" s="269">
        <v>0</v>
      </c>
      <c r="W956" s="278">
        <v>0</v>
      </c>
      <c r="X956" s="270"/>
      <c r="Y956" s="262" t="s">
        <v>25</v>
      </c>
      <c r="Z956" s="271" t="s">
        <v>562</v>
      </c>
      <c r="AA956" s="287"/>
      <c r="AB956" s="287"/>
      <c r="AC956" s="272">
        <f t="shared" si="31"/>
        <v>10000000</v>
      </c>
      <c r="AD956" s="272">
        <v>10000000</v>
      </c>
      <c r="AE956" s="272">
        <f t="shared" si="32"/>
        <v>0</v>
      </c>
      <c r="AF956" s="273"/>
      <c r="AG956" s="274"/>
      <c r="AH956" s="273"/>
      <c r="AI956" s="273"/>
      <c r="AJ956" s="274"/>
      <c r="AK956" s="273"/>
      <c r="AL956" s="275"/>
      <c r="AM956" s="290"/>
      <c r="AN956" s="275"/>
      <c r="AO956" s="276">
        <v>10000000</v>
      </c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customHeight="1">
      <c r="A957" s="260">
        <v>935</v>
      </c>
      <c r="B957" s="261"/>
      <c r="C957" s="261"/>
      <c r="D957" s="262"/>
      <c r="E957" s="262"/>
      <c r="F957" s="263" t="s">
        <v>15</v>
      </c>
      <c r="G957" s="264" t="s">
        <v>153</v>
      </c>
      <c r="H957" s="281"/>
      <c r="I957" s="265"/>
      <c r="J957" s="266" t="s">
        <v>894</v>
      </c>
      <c r="K957" s="262"/>
      <c r="L957" s="262"/>
      <c r="M957" s="262">
        <v>619</v>
      </c>
      <c r="N957" s="262" t="s">
        <v>22</v>
      </c>
      <c r="O957" s="262" t="s">
        <v>212</v>
      </c>
      <c r="P957" s="262" t="s">
        <v>124</v>
      </c>
      <c r="Q957" s="262" t="s">
        <v>44</v>
      </c>
      <c r="R957" s="262" t="s">
        <v>469</v>
      </c>
      <c r="S957" s="267" t="s">
        <v>469</v>
      </c>
      <c r="T957" s="268"/>
      <c r="U957" s="269">
        <v>76403746</v>
      </c>
      <c r="V957" s="269">
        <v>0</v>
      </c>
      <c r="W957" s="278">
        <v>98622764</v>
      </c>
      <c r="X957" s="270"/>
      <c r="Y957" s="262" t="s">
        <v>27</v>
      </c>
      <c r="Z957" s="271" t="s">
        <v>27</v>
      </c>
      <c r="AA957" s="287"/>
      <c r="AB957" s="287"/>
      <c r="AC957" s="272">
        <f t="shared" si="31"/>
        <v>74978878</v>
      </c>
      <c r="AD957" s="272">
        <v>74978878</v>
      </c>
      <c r="AE957" s="272">
        <f t="shared" si="32"/>
        <v>0</v>
      </c>
      <c r="AF957" s="273">
        <v>6500000</v>
      </c>
      <c r="AG957" s="274">
        <v>2725660</v>
      </c>
      <c r="AH957" s="273" t="s">
        <v>978</v>
      </c>
      <c r="AI957" s="273">
        <v>6500000</v>
      </c>
      <c r="AJ957" s="274">
        <v>5543152</v>
      </c>
      <c r="AK957" s="273"/>
      <c r="AL957" s="275">
        <v>6183066</v>
      </c>
      <c r="AM957" s="290">
        <v>6210066</v>
      </c>
      <c r="AN957" s="275" t="s">
        <v>1002</v>
      </c>
      <c r="AO957" s="276">
        <v>7500000</v>
      </c>
      <c r="AP957" s="275"/>
      <c r="AQ957" s="275">
        <v>6500000</v>
      </c>
      <c r="AR957" s="275"/>
      <c r="AS957" s="275">
        <v>6500000</v>
      </c>
      <c r="AT957" s="275"/>
      <c r="AU957" s="275">
        <v>6500000</v>
      </c>
      <c r="AV957" s="275"/>
      <c r="AW957" s="275">
        <v>6500000</v>
      </c>
      <c r="AX957" s="275"/>
      <c r="AY957" s="275">
        <v>7500000</v>
      </c>
      <c r="AZ957" s="275"/>
      <c r="BA957" s="275">
        <v>6500000</v>
      </c>
      <c r="BB957" s="275"/>
      <c r="BC957" s="275">
        <v>6500000</v>
      </c>
      <c r="BD957" s="275"/>
      <c r="BE957" s="275">
        <v>6500000</v>
      </c>
      <c r="BF957" s="275"/>
      <c r="BH957" s="277"/>
    </row>
    <row r="958" spans="1:60" ht="16.5" customHeight="1">
      <c r="A958" s="260">
        <v>936</v>
      </c>
      <c r="B958" s="261"/>
      <c r="C958" s="261"/>
      <c r="D958" s="262" t="s">
        <v>15</v>
      </c>
      <c r="E958" s="262" t="s">
        <v>153</v>
      </c>
      <c r="F958" s="263" t="s">
        <v>15</v>
      </c>
      <c r="G958" s="264" t="s">
        <v>153</v>
      </c>
      <c r="H958" s="281"/>
      <c r="I958" s="265"/>
      <c r="J958" s="266" t="s">
        <v>182</v>
      </c>
      <c r="K958" s="262"/>
      <c r="L958" s="262"/>
      <c r="M958" s="262">
        <v>3739</v>
      </c>
      <c r="N958" s="262" t="s">
        <v>22</v>
      </c>
      <c r="O958" s="262" t="s">
        <v>35</v>
      </c>
      <c r="P958" s="262" t="s">
        <v>124</v>
      </c>
      <c r="Q958" s="262" t="s">
        <v>46</v>
      </c>
      <c r="R958" s="262" t="s">
        <v>468</v>
      </c>
      <c r="S958" s="267" t="s">
        <v>468</v>
      </c>
      <c r="T958" s="268"/>
      <c r="U958" s="269" t="s">
        <v>154</v>
      </c>
      <c r="V958" s="269">
        <v>0</v>
      </c>
      <c r="W958" s="278">
        <v>30115000</v>
      </c>
      <c r="X958" s="270"/>
      <c r="Y958" s="262" t="s">
        <v>27</v>
      </c>
      <c r="Z958" s="271" t="s">
        <v>562</v>
      </c>
      <c r="AA958" s="287"/>
      <c r="AB958" s="287"/>
      <c r="AC958" s="272">
        <f t="shared" si="31"/>
        <v>0</v>
      </c>
      <c r="AD958" s="272">
        <v>0</v>
      </c>
      <c r="AE958" s="272">
        <f t="shared" si="32"/>
        <v>0</v>
      </c>
      <c r="AF958" s="273"/>
      <c r="AG958" s="274"/>
      <c r="AH958" s="273"/>
      <c r="AI958" s="273"/>
      <c r="AJ958" s="274"/>
      <c r="AK958" s="273"/>
      <c r="AL958" s="275"/>
      <c r="AM958" s="290"/>
      <c r="AN958" s="275"/>
      <c r="AO958" s="276"/>
      <c r="AP958" s="275"/>
      <c r="AQ958" s="275"/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customHeight="1">
      <c r="A959" s="260">
        <v>937</v>
      </c>
      <c r="B959" s="261"/>
      <c r="C959" s="261"/>
      <c r="D959" s="262"/>
      <c r="E959" s="262"/>
      <c r="F959" s="263" t="s">
        <v>15</v>
      </c>
      <c r="G959" s="264" t="s">
        <v>153</v>
      </c>
      <c r="H959" s="281"/>
      <c r="I959" s="265"/>
      <c r="J959" s="266" t="s">
        <v>1015</v>
      </c>
      <c r="K959" s="262"/>
      <c r="L959" s="262"/>
      <c r="M959" s="262">
        <v>3739</v>
      </c>
      <c r="N959" s="262"/>
      <c r="O959" s="262"/>
      <c r="P959" s="262"/>
      <c r="Q959" s="262"/>
      <c r="R959" s="262"/>
      <c r="S959" s="267" t="s">
        <v>837</v>
      </c>
      <c r="T959" s="268"/>
      <c r="U959" s="269"/>
      <c r="V959" s="269"/>
      <c r="W959" s="278"/>
      <c r="X959" s="270"/>
      <c r="Y959" s="262"/>
      <c r="Z959" s="271" t="s">
        <v>27</v>
      </c>
      <c r="AA959" s="287"/>
      <c r="AB959" s="287"/>
      <c r="AC959" s="272">
        <f t="shared" si="31"/>
        <v>1600000</v>
      </c>
      <c r="AD959" s="272">
        <v>1600000</v>
      </c>
      <c r="AE959" s="272">
        <f t="shared" si="32"/>
        <v>0</v>
      </c>
      <c r="AF959" s="273"/>
      <c r="AG959" s="274"/>
      <c r="AH959" s="273"/>
      <c r="AI959" s="273"/>
      <c r="AJ959" s="274"/>
      <c r="AK959" s="273"/>
      <c r="AL959" s="275"/>
      <c r="AM959" s="290">
        <v>1600000</v>
      </c>
      <c r="AN959" s="275"/>
      <c r="AO959" s="276"/>
      <c r="AP959" s="275"/>
      <c r="AQ959" s="275"/>
      <c r="AR959" s="275"/>
      <c r="AS959" s="275"/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customHeight="1">
      <c r="A960" s="260">
        <v>938</v>
      </c>
      <c r="B960" s="261"/>
      <c r="C960" s="261"/>
      <c r="D960" s="262" t="s">
        <v>15</v>
      </c>
      <c r="E960" s="262" t="s">
        <v>153</v>
      </c>
      <c r="F960" s="263" t="s">
        <v>15</v>
      </c>
      <c r="G960" s="264" t="s">
        <v>153</v>
      </c>
      <c r="H960" s="281"/>
      <c r="I960" s="265"/>
      <c r="J960" s="266" t="s">
        <v>980</v>
      </c>
      <c r="K960" s="262"/>
      <c r="L960" s="262"/>
      <c r="M960" s="262">
        <v>46891</v>
      </c>
      <c r="N960" s="262"/>
      <c r="O960" s="262"/>
      <c r="P960" s="262"/>
      <c r="Q960" s="262"/>
      <c r="R960" s="262"/>
      <c r="S960" s="267" t="s">
        <v>468</v>
      </c>
      <c r="T960" s="268"/>
      <c r="U960" s="269"/>
      <c r="V960" s="269"/>
      <c r="W960" s="278">
        <v>0</v>
      </c>
      <c r="X960" s="270"/>
      <c r="Y960" s="262"/>
      <c r="Z960" s="271" t="s">
        <v>27</v>
      </c>
      <c r="AA960" s="287"/>
      <c r="AB960" s="287"/>
      <c r="AC960" s="272">
        <f t="shared" si="31"/>
        <v>45000000</v>
      </c>
      <c r="AD960" s="272">
        <v>50000000</v>
      </c>
      <c r="AE960" s="272">
        <f t="shared" si="32"/>
        <v>-5000000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75"/>
      <c r="AR960" s="275"/>
      <c r="AS960" s="275">
        <v>23000000</v>
      </c>
      <c r="AT960" s="275" t="s">
        <v>1045</v>
      </c>
      <c r="AU960" s="275"/>
      <c r="AV960" s="275"/>
      <c r="AW960" s="275"/>
      <c r="AX960" s="275"/>
      <c r="AY960" s="275"/>
      <c r="AZ960" s="275"/>
      <c r="BA960" s="275">
        <v>22000000</v>
      </c>
      <c r="BB960" s="275"/>
      <c r="BC960" s="275"/>
      <c r="BD960" s="275"/>
      <c r="BE960" s="275"/>
      <c r="BF960" s="275"/>
      <c r="BH960" s="277"/>
    </row>
    <row r="961" spans="1:60" ht="16.5" customHeight="1">
      <c r="A961" s="260">
        <v>939</v>
      </c>
      <c r="B961" s="261"/>
      <c r="C961" s="261"/>
      <c r="D961" s="262" t="s">
        <v>15</v>
      </c>
      <c r="E961" s="262" t="s">
        <v>153</v>
      </c>
      <c r="F961" s="263" t="s">
        <v>15</v>
      </c>
      <c r="G961" s="264" t="s">
        <v>153</v>
      </c>
      <c r="H961" s="281"/>
      <c r="I961" s="265"/>
      <c r="J961" s="266" t="s">
        <v>895</v>
      </c>
      <c r="K961" s="262"/>
      <c r="L961" s="262"/>
      <c r="M961" s="262">
        <v>46891</v>
      </c>
      <c r="N961" s="262" t="s">
        <v>22</v>
      </c>
      <c r="O961" s="262" t="s">
        <v>56</v>
      </c>
      <c r="P961" s="262" t="s">
        <v>124</v>
      </c>
      <c r="Q961" s="262" t="s">
        <v>30</v>
      </c>
      <c r="R961" s="262" t="s">
        <v>31</v>
      </c>
      <c r="S961" s="267" t="s">
        <v>31</v>
      </c>
      <c r="T961" s="268"/>
      <c r="U961" s="269"/>
      <c r="V961" s="269">
        <v>87534233</v>
      </c>
      <c r="W961" s="278">
        <v>45900000</v>
      </c>
      <c r="X961" s="270"/>
      <c r="Y961" s="262" t="s">
        <v>24</v>
      </c>
      <c r="Z961" s="271" t="s">
        <v>24</v>
      </c>
      <c r="AA961" s="287"/>
      <c r="AB961" s="287"/>
      <c r="AC961" s="272">
        <f t="shared" si="31"/>
        <v>50000000</v>
      </c>
      <c r="AD961" s="272">
        <v>50000000</v>
      </c>
      <c r="AE961" s="272">
        <f t="shared" si="32"/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/>
      <c r="AT961" s="275"/>
      <c r="AU961" s="275"/>
      <c r="AV961" s="275"/>
      <c r="AW961" s="275">
        <v>50000000</v>
      </c>
      <c r="AX961" s="275"/>
      <c r="AY961" s="275"/>
      <c r="AZ961" s="275"/>
      <c r="BA961" s="275"/>
      <c r="BB961" s="275"/>
      <c r="BC961" s="275"/>
      <c r="BD961" s="275"/>
      <c r="BE961" s="275"/>
      <c r="BF961" s="275"/>
      <c r="BH961" s="277"/>
    </row>
    <row r="962" spans="1:60" ht="16.5" customHeight="1">
      <c r="A962" s="260">
        <v>940</v>
      </c>
      <c r="B962" s="261"/>
      <c r="C962" s="261"/>
      <c r="D962" s="262" t="s">
        <v>15</v>
      </c>
      <c r="E962" s="262" t="s">
        <v>153</v>
      </c>
      <c r="F962" s="263" t="s">
        <v>15</v>
      </c>
      <c r="G962" s="264" t="s">
        <v>153</v>
      </c>
      <c r="H962" s="281"/>
      <c r="I962" s="265"/>
      <c r="J962" s="266" t="s">
        <v>896</v>
      </c>
      <c r="K962" s="262"/>
      <c r="L962" s="262"/>
      <c r="M962" s="262">
        <v>46891</v>
      </c>
      <c r="N962" s="262" t="s">
        <v>22</v>
      </c>
      <c r="O962" s="262" t="s">
        <v>35</v>
      </c>
      <c r="P962" s="262" t="s">
        <v>124</v>
      </c>
      <c r="Q962" s="262" t="s">
        <v>26</v>
      </c>
      <c r="R962" s="262" t="s">
        <v>468</v>
      </c>
      <c r="S962" s="267" t="s">
        <v>468</v>
      </c>
      <c r="T962" s="268"/>
      <c r="U962" s="269"/>
      <c r="V962" s="269">
        <v>0</v>
      </c>
      <c r="W962" s="278">
        <v>0</v>
      </c>
      <c r="X962" s="270"/>
      <c r="Y962" s="262" t="s">
        <v>25</v>
      </c>
      <c r="Z962" s="271" t="s">
        <v>25</v>
      </c>
      <c r="AA962" s="287"/>
      <c r="AB962" s="287"/>
      <c r="AC962" s="272">
        <f t="shared" si="31"/>
        <v>50000000</v>
      </c>
      <c r="AD962" s="272">
        <v>50000000</v>
      </c>
      <c r="AE962" s="272">
        <f t="shared" si="32"/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>
        <v>50000000</v>
      </c>
      <c r="AZ962" s="275"/>
      <c r="BA962" s="275"/>
      <c r="BB962" s="275"/>
      <c r="BC962" s="275"/>
      <c r="BD962" s="275"/>
      <c r="BE962" s="275"/>
      <c r="BF962" s="275"/>
      <c r="BH962" s="277"/>
    </row>
    <row r="963" spans="1:60" ht="16.5" customHeight="1">
      <c r="A963" s="260">
        <v>941</v>
      </c>
      <c r="B963" s="261"/>
      <c r="C963" s="261"/>
      <c r="D963" s="262" t="s">
        <v>15</v>
      </c>
      <c r="E963" s="262" t="s">
        <v>153</v>
      </c>
      <c r="F963" s="263" t="s">
        <v>15</v>
      </c>
      <c r="G963" s="264" t="s">
        <v>153</v>
      </c>
      <c r="H963" s="281"/>
      <c r="I963" s="265"/>
      <c r="J963" s="266" t="s">
        <v>896</v>
      </c>
      <c r="K963" s="262"/>
      <c r="L963" s="262"/>
      <c r="M963" s="262">
        <v>46891</v>
      </c>
      <c r="N963" s="262" t="s">
        <v>22</v>
      </c>
      <c r="O963" s="262" t="s">
        <v>35</v>
      </c>
      <c r="P963" s="262" t="s">
        <v>124</v>
      </c>
      <c r="Q963" s="262"/>
      <c r="R963" s="262"/>
      <c r="S963" s="267" t="s">
        <v>822</v>
      </c>
      <c r="T963" s="268"/>
      <c r="U963" s="269"/>
      <c r="V963" s="269"/>
      <c r="W963" s="278">
        <v>0</v>
      </c>
      <c r="X963" s="270"/>
      <c r="Y963" s="262"/>
      <c r="Z963" s="271" t="s">
        <v>562</v>
      </c>
      <c r="AA963" s="287"/>
      <c r="AB963" s="287"/>
      <c r="AC963" s="272">
        <f t="shared" si="31"/>
        <v>0</v>
      </c>
      <c r="AD963" s="272">
        <v>0</v>
      </c>
      <c r="AE963" s="272">
        <f t="shared" si="32"/>
        <v>0</v>
      </c>
      <c r="AF963" s="273"/>
      <c r="AG963" s="274"/>
      <c r="AH963" s="273"/>
      <c r="AI963" s="273">
        <v>30000000</v>
      </c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/>
      <c r="BB963" s="275"/>
      <c r="BC963" s="275"/>
      <c r="BD963" s="275"/>
      <c r="BE963" s="275"/>
      <c r="BF963" s="275"/>
      <c r="BH963" s="277"/>
    </row>
    <row r="964" spans="1:60" ht="16.5" customHeight="1">
      <c r="A964" s="260">
        <v>942</v>
      </c>
      <c r="B964" s="261"/>
      <c r="C964" s="261"/>
      <c r="D964" s="262" t="s">
        <v>15</v>
      </c>
      <c r="E964" s="262" t="s">
        <v>153</v>
      </c>
      <c r="F964" s="263" t="s">
        <v>15</v>
      </c>
      <c r="G964" s="264" t="s">
        <v>153</v>
      </c>
      <c r="H964" s="281"/>
      <c r="I964" s="265"/>
      <c r="J964" s="266" t="s">
        <v>896</v>
      </c>
      <c r="K964" s="262"/>
      <c r="L964" s="262"/>
      <c r="M964" s="262">
        <v>46891</v>
      </c>
      <c r="N964" s="262" t="s">
        <v>22</v>
      </c>
      <c r="O964" s="262" t="s">
        <v>35</v>
      </c>
      <c r="P964" s="262" t="s">
        <v>124</v>
      </c>
      <c r="Q964" s="262"/>
      <c r="R964" s="262"/>
      <c r="S964" s="267" t="s">
        <v>828</v>
      </c>
      <c r="T964" s="268"/>
      <c r="U964" s="269"/>
      <c r="V964" s="269"/>
      <c r="W964" s="278">
        <v>0</v>
      </c>
      <c r="X964" s="270"/>
      <c r="Y964" s="262"/>
      <c r="Z964" s="271" t="s">
        <v>562</v>
      </c>
      <c r="AA964" s="287"/>
      <c r="AB964" s="287"/>
      <c r="AC964" s="272">
        <f t="shared" si="31"/>
        <v>0</v>
      </c>
      <c r="AD964" s="272">
        <v>0</v>
      </c>
      <c r="AE964" s="272">
        <f t="shared" si="32"/>
        <v>0</v>
      </c>
      <c r="AF964" s="273"/>
      <c r="AG964" s="274"/>
      <c r="AH964" s="273"/>
      <c r="AI964" s="273">
        <v>30000000</v>
      </c>
      <c r="AJ964" s="274"/>
      <c r="AK964" s="273"/>
      <c r="AL964" s="275"/>
      <c r="AM964" s="290"/>
      <c r="AN964" s="275"/>
      <c r="AO964" s="276"/>
      <c r="AP964" s="275"/>
      <c r="AQ964" s="275"/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/>
      <c r="BB964" s="275"/>
      <c r="BC964" s="275"/>
      <c r="BD964" s="275"/>
      <c r="BE964" s="275"/>
      <c r="BF964" s="275"/>
      <c r="BH964" s="277"/>
    </row>
    <row r="965" spans="1:60" ht="16.5" customHeight="1">
      <c r="A965" s="260">
        <v>943</v>
      </c>
      <c r="B965" s="261"/>
      <c r="C965" s="261"/>
      <c r="D965" s="262" t="s">
        <v>15</v>
      </c>
      <c r="E965" s="262" t="s">
        <v>153</v>
      </c>
      <c r="F965" s="263" t="s">
        <v>15</v>
      </c>
      <c r="G965" s="264" t="s">
        <v>153</v>
      </c>
      <c r="H965" s="281"/>
      <c r="I965" s="265"/>
      <c r="J965" s="266" t="s">
        <v>183</v>
      </c>
      <c r="K965" s="262"/>
      <c r="L965" s="262"/>
      <c r="M965" s="262">
        <v>46891</v>
      </c>
      <c r="N965" s="262" t="s">
        <v>22</v>
      </c>
      <c r="O965" s="262" t="s">
        <v>35</v>
      </c>
      <c r="P965" s="262" t="s">
        <v>124</v>
      </c>
      <c r="Q965" s="262" t="s">
        <v>23</v>
      </c>
      <c r="R965" s="262" t="s">
        <v>397</v>
      </c>
      <c r="S965" s="267" t="s">
        <v>823</v>
      </c>
      <c r="T965" s="268"/>
      <c r="U965" s="269"/>
      <c r="V965" s="269">
        <v>0</v>
      </c>
      <c r="W965" s="278">
        <v>68888000</v>
      </c>
      <c r="X965" s="270"/>
      <c r="Y965" s="262" t="s">
        <v>27</v>
      </c>
      <c r="Z965" s="271" t="s">
        <v>562</v>
      </c>
      <c r="AA965" s="287"/>
      <c r="AB965" s="287"/>
      <c r="AC965" s="272">
        <f t="shared" si="31"/>
        <v>0</v>
      </c>
      <c r="AD965" s="272">
        <v>0</v>
      </c>
      <c r="AE965" s="272">
        <f t="shared" si="32"/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75"/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H965" s="277"/>
    </row>
    <row r="966" spans="1:60" ht="16.5" customHeight="1">
      <c r="A966" s="260">
        <v>944</v>
      </c>
      <c r="B966" s="261"/>
      <c r="C966" s="261"/>
      <c r="D966" s="262" t="s">
        <v>15</v>
      </c>
      <c r="E966" s="262" t="s">
        <v>153</v>
      </c>
      <c r="F966" s="263" t="s">
        <v>15</v>
      </c>
      <c r="G966" s="264" t="s">
        <v>153</v>
      </c>
      <c r="H966" s="281"/>
      <c r="I966" s="265"/>
      <c r="J966" s="266" t="s">
        <v>184</v>
      </c>
      <c r="K966" s="262"/>
      <c r="L966" s="262"/>
      <c r="M966" s="262">
        <v>46891</v>
      </c>
      <c r="N966" s="262" t="s">
        <v>22</v>
      </c>
      <c r="O966" s="262" t="s">
        <v>56</v>
      </c>
      <c r="P966" s="262" t="s">
        <v>124</v>
      </c>
      <c r="Q966" s="262" t="s">
        <v>23</v>
      </c>
      <c r="R966" s="262" t="s">
        <v>397</v>
      </c>
      <c r="S966" s="267" t="s">
        <v>823</v>
      </c>
      <c r="T966" s="268"/>
      <c r="U966" s="269"/>
      <c r="V966" s="269">
        <v>322206000</v>
      </c>
      <c r="W966" s="278">
        <v>13000000</v>
      </c>
      <c r="X966" s="270"/>
      <c r="Y966" s="262" t="s">
        <v>27</v>
      </c>
      <c r="Z966" s="271" t="s">
        <v>562</v>
      </c>
      <c r="AA966" s="287"/>
      <c r="AB966" s="287"/>
      <c r="AC966" s="272">
        <f t="shared" si="31"/>
        <v>20000000</v>
      </c>
      <c r="AD966" s="272">
        <v>20000000</v>
      </c>
      <c r="AE966" s="272">
        <f t="shared" si="32"/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>
        <v>20000000</v>
      </c>
      <c r="AP966" s="275"/>
      <c r="AQ966" s="275"/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/>
      <c r="BB966" s="275"/>
      <c r="BC966" s="275"/>
      <c r="BD966" s="275"/>
      <c r="BE966" s="275"/>
      <c r="BF966" s="275"/>
      <c r="BH966" s="277"/>
    </row>
    <row r="967" spans="1:60" ht="16.5" customHeight="1">
      <c r="A967" s="260">
        <v>945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153</v>
      </c>
      <c r="H967" s="281"/>
      <c r="I967" s="265"/>
      <c r="J967" s="266" t="s">
        <v>185</v>
      </c>
      <c r="K967" s="262"/>
      <c r="L967" s="262"/>
      <c r="M967" s="262">
        <v>46891</v>
      </c>
      <c r="N967" s="262" t="s">
        <v>22</v>
      </c>
      <c r="O967" s="262" t="s">
        <v>56</v>
      </c>
      <c r="P967" s="262" t="s">
        <v>124</v>
      </c>
      <c r="Q967" s="262" t="s">
        <v>23</v>
      </c>
      <c r="R967" s="262" t="s">
        <v>397</v>
      </c>
      <c r="S967" s="267" t="s">
        <v>823</v>
      </c>
      <c r="T967" s="268"/>
      <c r="U967" s="269"/>
      <c r="V967" s="269">
        <v>0</v>
      </c>
      <c r="W967" s="278">
        <v>0</v>
      </c>
      <c r="X967" s="270"/>
      <c r="Y967" s="262" t="s">
        <v>24</v>
      </c>
      <c r="Z967" s="271" t="s">
        <v>562</v>
      </c>
      <c r="AA967" s="287"/>
      <c r="AB967" s="287"/>
      <c r="AC967" s="272">
        <f t="shared" si="31"/>
        <v>0</v>
      </c>
      <c r="AD967" s="272">
        <v>0</v>
      </c>
      <c r="AE967" s="272">
        <f t="shared" si="32"/>
        <v>0</v>
      </c>
      <c r="AF967" s="273"/>
      <c r="AG967" s="274"/>
      <c r="AH967" s="273"/>
      <c r="AI967" s="273"/>
      <c r="AJ967" s="274"/>
      <c r="AK967" s="273"/>
      <c r="AL967" s="275"/>
      <c r="AM967" s="290"/>
      <c r="AN967" s="275"/>
      <c r="AO967" s="276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/>
      <c r="BB967" s="275"/>
      <c r="BC967" s="275"/>
      <c r="BD967" s="275"/>
      <c r="BE967" s="275"/>
      <c r="BF967" s="275"/>
      <c r="BH967" s="277"/>
    </row>
    <row r="968" spans="1:60" ht="16.5" customHeight="1">
      <c r="A968" s="260">
        <v>946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897</v>
      </c>
      <c r="K968" s="262"/>
      <c r="L968" s="262"/>
      <c r="M968" s="262">
        <v>46891</v>
      </c>
      <c r="N968" s="262" t="s">
        <v>22</v>
      </c>
      <c r="O968" s="262" t="s">
        <v>35</v>
      </c>
      <c r="P968" s="262"/>
      <c r="Q968" s="262"/>
      <c r="R968" s="262" t="s">
        <v>397</v>
      </c>
      <c r="S968" s="267" t="s">
        <v>823</v>
      </c>
      <c r="T968" s="268"/>
      <c r="U968" s="269"/>
      <c r="V968" s="269">
        <v>0</v>
      </c>
      <c r="W968" s="278">
        <v>36500000</v>
      </c>
      <c r="X968" s="270"/>
      <c r="Y968" s="262" t="s">
        <v>27</v>
      </c>
      <c r="Z968" s="271" t="s">
        <v>562</v>
      </c>
      <c r="AA968" s="287"/>
      <c r="AB968" s="287"/>
      <c r="AC968" s="272">
        <f t="shared" si="31"/>
        <v>30000000</v>
      </c>
      <c r="AD968" s="272">
        <v>30000000</v>
      </c>
      <c r="AE968" s="272">
        <f t="shared" si="32"/>
        <v>0</v>
      </c>
      <c r="AF968" s="273"/>
      <c r="AG968" s="274"/>
      <c r="AH968" s="273"/>
      <c r="AI968" s="273"/>
      <c r="AJ968" s="274"/>
      <c r="AK968" s="273"/>
      <c r="AL968" s="275"/>
      <c r="AM968" s="290"/>
      <c r="AN968" s="275"/>
      <c r="AO968" s="276">
        <v>30000000</v>
      </c>
      <c r="AP968" s="275"/>
      <c r="AQ968" s="275"/>
      <c r="AR968" s="275"/>
      <c r="AS968" s="275"/>
      <c r="AT968" s="275"/>
      <c r="AU968" s="275"/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H968" s="277"/>
    </row>
    <row r="969" spans="1:60" ht="16.5" customHeight="1">
      <c r="A969" s="260">
        <v>947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665</v>
      </c>
      <c r="K969" s="262"/>
      <c r="L969" s="262"/>
      <c r="M969" s="262">
        <v>46891</v>
      </c>
      <c r="N969" s="262" t="s">
        <v>22</v>
      </c>
      <c r="O969" s="262" t="s">
        <v>35</v>
      </c>
      <c r="P969" s="262"/>
      <c r="Q969" s="262"/>
      <c r="R969" s="262" t="s">
        <v>397</v>
      </c>
      <c r="S969" s="267" t="s">
        <v>19</v>
      </c>
      <c r="T969" s="268"/>
      <c r="U969" s="269"/>
      <c r="V969" s="269"/>
      <c r="W969" s="278">
        <v>23840000</v>
      </c>
      <c r="X969" s="270"/>
      <c r="Y969" s="262" t="s">
        <v>27</v>
      </c>
      <c r="Z969" s="271" t="s">
        <v>27</v>
      </c>
      <c r="AA969" s="287"/>
      <c r="AB969" s="287"/>
      <c r="AC969" s="272">
        <f t="shared" si="31"/>
        <v>10000000</v>
      </c>
      <c r="AD969" s="272">
        <v>10000000</v>
      </c>
      <c r="AE969" s="272">
        <f t="shared" si="32"/>
        <v>0</v>
      </c>
      <c r="AF969" s="273"/>
      <c r="AG969" s="274"/>
      <c r="AH969" s="273"/>
      <c r="AI969" s="273"/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>
        <v>5000000</v>
      </c>
      <c r="AT969" s="275"/>
      <c r="AU969" s="275"/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>
        <v>5000000</v>
      </c>
      <c r="BF969" s="275"/>
      <c r="BH969" s="277"/>
    </row>
    <row r="970" spans="1:60" ht="16.5" customHeight="1">
      <c r="A970" s="260">
        <v>948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898</v>
      </c>
      <c r="K970" s="262"/>
      <c r="L970" s="262"/>
      <c r="M970" s="262">
        <v>46891</v>
      </c>
      <c r="N970" s="262" t="s">
        <v>22</v>
      </c>
      <c r="O970" s="262" t="s">
        <v>56</v>
      </c>
      <c r="P970" s="262" t="s">
        <v>124</v>
      </c>
      <c r="Q970" s="262" t="s">
        <v>26</v>
      </c>
      <c r="R970" s="262" t="s">
        <v>468</v>
      </c>
      <c r="S970" s="267" t="s">
        <v>468</v>
      </c>
      <c r="T970" s="268"/>
      <c r="U970" s="269"/>
      <c r="V970" s="269">
        <v>0</v>
      </c>
      <c r="W970" s="278">
        <v>0</v>
      </c>
      <c r="X970" s="270"/>
      <c r="Y970" s="262" t="s">
        <v>562</v>
      </c>
      <c r="Z970" s="271" t="s">
        <v>599</v>
      </c>
      <c r="AA970" s="287"/>
      <c r="AB970" s="287"/>
      <c r="AC970" s="272">
        <f t="shared" si="31"/>
        <v>0</v>
      </c>
      <c r="AD970" s="272">
        <v>0</v>
      </c>
      <c r="AE970" s="272">
        <f t="shared" si="32"/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/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customHeight="1">
      <c r="A971" s="260">
        <v>949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899</v>
      </c>
      <c r="K971" s="262"/>
      <c r="L971" s="262"/>
      <c r="M971" s="262">
        <v>46891</v>
      </c>
      <c r="N971" s="262" t="s">
        <v>22</v>
      </c>
      <c r="O971" s="262" t="s">
        <v>56</v>
      </c>
      <c r="P971" s="262" t="s">
        <v>124</v>
      </c>
      <c r="Q971" s="262" t="s">
        <v>26</v>
      </c>
      <c r="R971" s="262" t="s">
        <v>468</v>
      </c>
      <c r="S971" s="267" t="s">
        <v>468</v>
      </c>
      <c r="T971" s="268"/>
      <c r="U971" s="269"/>
      <c r="V971" s="269">
        <v>0</v>
      </c>
      <c r="W971" s="278">
        <v>0</v>
      </c>
      <c r="X971" s="270"/>
      <c r="Y971" s="262" t="s">
        <v>20</v>
      </c>
      <c r="Z971" s="271" t="s">
        <v>562</v>
      </c>
      <c r="AA971" s="287"/>
      <c r="AB971" s="287"/>
      <c r="AC971" s="272">
        <f t="shared" si="31"/>
        <v>0</v>
      </c>
      <c r="AD971" s="272">
        <v>0</v>
      </c>
      <c r="AE971" s="272">
        <f t="shared" si="32"/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/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customHeight="1">
      <c r="A972" s="260">
        <v>950</v>
      </c>
      <c r="B972" s="261"/>
      <c r="C972" s="261"/>
      <c r="D972" s="262" t="s">
        <v>15</v>
      </c>
      <c r="E972" s="262" t="s">
        <v>153</v>
      </c>
      <c r="F972" s="263" t="s">
        <v>15</v>
      </c>
      <c r="G972" s="264" t="s">
        <v>153</v>
      </c>
      <c r="H972" s="281"/>
      <c r="I972" s="265"/>
      <c r="J972" s="266" t="s">
        <v>900</v>
      </c>
      <c r="K972" s="262"/>
      <c r="L972" s="262"/>
      <c r="M972" s="262">
        <v>46891</v>
      </c>
      <c r="N972" s="262" t="s">
        <v>22</v>
      </c>
      <c r="O972" s="262" t="s">
        <v>56</v>
      </c>
      <c r="P972" s="262" t="s">
        <v>124</v>
      </c>
      <c r="Q972" s="262" t="s">
        <v>26</v>
      </c>
      <c r="R972" s="262" t="s">
        <v>19</v>
      </c>
      <c r="S972" s="267" t="s">
        <v>19</v>
      </c>
      <c r="T972" s="268"/>
      <c r="U972" s="269"/>
      <c r="V972" s="269">
        <v>69706500</v>
      </c>
      <c r="W972" s="278">
        <v>2583000</v>
      </c>
      <c r="X972" s="270"/>
      <c r="Y972" s="262" t="s">
        <v>27</v>
      </c>
      <c r="Z972" s="271" t="s">
        <v>24</v>
      </c>
      <c r="AA972" s="287"/>
      <c r="AB972" s="287"/>
      <c r="AC972" s="272">
        <f t="shared" si="31"/>
        <v>2000000</v>
      </c>
      <c r="AD972" s="272">
        <v>2000000</v>
      </c>
      <c r="AE972" s="272">
        <f t="shared" si="32"/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/>
      <c r="AP972" s="275"/>
      <c r="AQ972" s="275"/>
      <c r="AR972" s="275"/>
      <c r="AS972" s="275">
        <v>500000</v>
      </c>
      <c r="AT972" s="275"/>
      <c r="AU972" s="275">
        <v>500000</v>
      </c>
      <c r="AV972" s="275"/>
      <c r="AW972" s="275">
        <v>500000</v>
      </c>
      <c r="AX972" s="275"/>
      <c r="AY972" s="275">
        <v>500000</v>
      </c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customHeight="1">
      <c r="A973" s="260">
        <v>951</v>
      </c>
      <c r="B973" s="261"/>
      <c r="C973" s="261"/>
      <c r="D973" s="262" t="s">
        <v>15</v>
      </c>
      <c r="E973" s="262" t="s">
        <v>153</v>
      </c>
      <c r="F973" s="263" t="s">
        <v>15</v>
      </c>
      <c r="G973" s="264" t="s">
        <v>153</v>
      </c>
      <c r="H973" s="281"/>
      <c r="I973" s="265"/>
      <c r="J973" s="266" t="s">
        <v>901</v>
      </c>
      <c r="K973" s="262"/>
      <c r="L973" s="262"/>
      <c r="M973" s="262">
        <v>49701</v>
      </c>
      <c r="N973" s="262" t="s">
        <v>53</v>
      </c>
      <c r="O973" s="262" t="s">
        <v>178</v>
      </c>
      <c r="P973" s="262"/>
      <c r="Q973" s="262" t="s">
        <v>26</v>
      </c>
      <c r="R973" s="262" t="s">
        <v>468</v>
      </c>
      <c r="S973" s="267" t="s">
        <v>468</v>
      </c>
      <c r="T973" s="268"/>
      <c r="U973" s="269">
        <v>9460000</v>
      </c>
      <c r="V973" s="269">
        <v>0</v>
      </c>
      <c r="W973" s="278">
        <v>0</v>
      </c>
      <c r="X973" s="270"/>
      <c r="Y973" s="262" t="s">
        <v>21</v>
      </c>
      <c r="Z973" s="271" t="s">
        <v>562</v>
      </c>
      <c r="AA973" s="287"/>
      <c r="AB973" s="287"/>
      <c r="AC973" s="272">
        <f t="shared" si="31"/>
        <v>0</v>
      </c>
      <c r="AD973" s="272">
        <v>0</v>
      </c>
      <c r="AE973" s="272">
        <f t="shared" si="32"/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/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customHeight="1">
      <c r="A974" s="260">
        <v>952</v>
      </c>
      <c r="B974" s="261"/>
      <c r="C974" s="261"/>
      <c r="D974" s="262" t="s">
        <v>15</v>
      </c>
      <c r="E974" s="262" t="s">
        <v>153</v>
      </c>
      <c r="F974" s="263" t="s">
        <v>15</v>
      </c>
      <c r="G974" s="264" t="s">
        <v>153</v>
      </c>
      <c r="H974" s="281"/>
      <c r="I974" s="265"/>
      <c r="J974" s="266" t="s">
        <v>902</v>
      </c>
      <c r="K974" s="262"/>
      <c r="L974" s="262"/>
      <c r="M974" s="262">
        <v>46891</v>
      </c>
      <c r="N974" s="262" t="s">
        <v>22</v>
      </c>
      <c r="O974" s="262" t="s">
        <v>56</v>
      </c>
      <c r="P974" s="262" t="s">
        <v>124</v>
      </c>
      <c r="Q974" s="262" t="s">
        <v>23</v>
      </c>
      <c r="R974" s="262" t="s">
        <v>397</v>
      </c>
      <c r="S974" s="267" t="s">
        <v>823</v>
      </c>
      <c r="T974" s="268"/>
      <c r="U974" s="269">
        <v>162400000</v>
      </c>
      <c r="V974" s="269">
        <v>0</v>
      </c>
      <c r="W974" s="278">
        <v>0</v>
      </c>
      <c r="X974" s="270"/>
      <c r="Y974" s="262" t="s">
        <v>24</v>
      </c>
      <c r="Z974" s="271" t="s">
        <v>25</v>
      </c>
      <c r="AA974" s="287"/>
      <c r="AB974" s="287"/>
      <c r="AC974" s="272">
        <f t="shared" si="31"/>
        <v>50000000</v>
      </c>
      <c r="AD974" s="272">
        <v>50000000</v>
      </c>
      <c r="AE974" s="272">
        <f t="shared" si="32"/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/>
      <c r="AP974" s="275"/>
      <c r="AQ974" s="275"/>
      <c r="AR974" s="275"/>
      <c r="AS974" s="275"/>
      <c r="AT974" s="275"/>
      <c r="AU974" s="275">
        <v>50000000</v>
      </c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customHeight="1">
      <c r="A975" s="260">
        <v>953</v>
      </c>
      <c r="B975" s="261"/>
      <c r="C975" s="261"/>
      <c r="D975" s="262"/>
      <c r="E975" s="262"/>
      <c r="F975" s="263" t="s">
        <v>15</v>
      </c>
      <c r="G975" s="264" t="s">
        <v>153</v>
      </c>
      <c r="H975" s="281"/>
      <c r="I975" s="265"/>
      <c r="J975" s="266" t="s">
        <v>903</v>
      </c>
      <c r="K975" s="262"/>
      <c r="L975" s="262"/>
      <c r="M975" s="262">
        <v>46891</v>
      </c>
      <c r="N975" s="262" t="s">
        <v>32</v>
      </c>
      <c r="O975" s="262" t="s">
        <v>35</v>
      </c>
      <c r="P975" s="262" t="s">
        <v>124</v>
      </c>
      <c r="Q975" s="262" t="s">
        <v>18</v>
      </c>
      <c r="R975" s="262" t="s">
        <v>19</v>
      </c>
      <c r="S975" s="267" t="s">
        <v>19</v>
      </c>
      <c r="T975" s="268"/>
      <c r="U975" s="269"/>
      <c r="V975" s="269">
        <v>0</v>
      </c>
      <c r="W975" s="278">
        <v>0</v>
      </c>
      <c r="X975" s="270"/>
      <c r="Y975" s="262" t="s">
        <v>25</v>
      </c>
      <c r="Z975" s="271" t="s">
        <v>562</v>
      </c>
      <c r="AA975" s="287"/>
      <c r="AB975" s="287"/>
      <c r="AC975" s="272">
        <f t="shared" si="31"/>
        <v>0</v>
      </c>
      <c r="AD975" s="272">
        <v>0</v>
      </c>
      <c r="AE975" s="272">
        <f t="shared" si="32"/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/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customHeight="1">
      <c r="A976" s="260">
        <v>954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903</v>
      </c>
      <c r="K976" s="262"/>
      <c r="L976" s="262"/>
      <c r="M976" s="262">
        <v>46891</v>
      </c>
      <c r="N976" s="262"/>
      <c r="O976" s="262"/>
      <c r="P976" s="262"/>
      <c r="Q976" s="262"/>
      <c r="R976" s="262"/>
      <c r="S976" s="267" t="s">
        <v>825</v>
      </c>
      <c r="T976" s="268"/>
      <c r="U976" s="269"/>
      <c r="V976" s="269"/>
      <c r="W976" s="278">
        <v>15200000</v>
      </c>
      <c r="X976" s="270"/>
      <c r="Y976" s="262"/>
      <c r="Z976" s="271" t="s">
        <v>718</v>
      </c>
      <c r="AA976" s="287"/>
      <c r="AB976" s="287"/>
      <c r="AC976" s="272">
        <f t="shared" si="31"/>
        <v>0</v>
      </c>
      <c r="AD976" s="272">
        <v>0</v>
      </c>
      <c r="AE976" s="272">
        <f t="shared" si="32"/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customHeight="1">
      <c r="A977" s="260">
        <v>955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904</v>
      </c>
      <c r="K977" s="262"/>
      <c r="L977" s="262"/>
      <c r="M977" s="262">
        <v>46891</v>
      </c>
      <c r="N977" s="262" t="s">
        <v>32</v>
      </c>
      <c r="O977" s="262" t="s">
        <v>35</v>
      </c>
      <c r="P977" s="262" t="s">
        <v>124</v>
      </c>
      <c r="Q977" s="262" t="s">
        <v>18</v>
      </c>
      <c r="R977" s="262" t="s">
        <v>19</v>
      </c>
      <c r="S977" s="267" t="s">
        <v>19</v>
      </c>
      <c r="T977" s="268"/>
      <c r="U977" s="269"/>
      <c r="V977" s="269">
        <v>0</v>
      </c>
      <c r="W977" s="278">
        <v>0</v>
      </c>
      <c r="X977" s="270"/>
      <c r="Y977" s="262" t="s">
        <v>25</v>
      </c>
      <c r="Z977" s="271" t="s">
        <v>562</v>
      </c>
      <c r="AA977" s="287"/>
      <c r="AB977" s="287"/>
      <c r="AC977" s="272">
        <f t="shared" si="31"/>
        <v>0</v>
      </c>
      <c r="AD977" s="272">
        <v>0</v>
      </c>
      <c r="AE977" s="272">
        <f t="shared" si="32"/>
        <v>0</v>
      </c>
      <c r="AF977" s="273"/>
      <c r="AG977" s="274"/>
      <c r="AH977" s="273"/>
      <c r="AI977" s="273"/>
      <c r="AJ977" s="274"/>
      <c r="AK977" s="273"/>
      <c r="AL977" s="275"/>
      <c r="AM977" s="290"/>
      <c r="AN977" s="275"/>
      <c r="AO977" s="276"/>
      <c r="AP977" s="275"/>
      <c r="AQ977" s="275"/>
      <c r="AR977" s="275"/>
      <c r="AS977" s="275"/>
      <c r="AT977" s="275"/>
      <c r="AU977" s="275"/>
      <c r="AV977" s="275"/>
      <c r="AW977" s="275"/>
      <c r="AX977" s="275"/>
      <c r="AY977" s="275"/>
      <c r="AZ977" s="275"/>
      <c r="BA977" s="275"/>
      <c r="BB977" s="275"/>
      <c r="BC977" s="275"/>
      <c r="BD977" s="275"/>
      <c r="BE977" s="275"/>
      <c r="BF977" s="275"/>
      <c r="BH977" s="277"/>
    </row>
    <row r="978" spans="1:60" ht="16.5" customHeight="1">
      <c r="A978" s="260">
        <v>956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905</v>
      </c>
      <c r="K978" s="262"/>
      <c r="L978" s="262"/>
      <c r="M978" s="262">
        <v>774</v>
      </c>
      <c r="N978" s="262" t="s">
        <v>22</v>
      </c>
      <c r="O978" s="262" t="s">
        <v>56</v>
      </c>
      <c r="P978" s="262" t="s">
        <v>124</v>
      </c>
      <c r="Q978" s="262" t="s">
        <v>26</v>
      </c>
      <c r="R978" s="262" t="s">
        <v>468</v>
      </c>
      <c r="S978" s="267" t="s">
        <v>468</v>
      </c>
      <c r="T978" s="268"/>
      <c r="U978" s="269"/>
      <c r="V978" s="269">
        <v>3000000</v>
      </c>
      <c r="W978" s="278">
        <v>0</v>
      </c>
      <c r="X978" s="270"/>
      <c r="Y978" s="262" t="s">
        <v>562</v>
      </c>
      <c r="Z978" s="271" t="s">
        <v>562</v>
      </c>
      <c r="AA978" s="287"/>
      <c r="AB978" s="287"/>
      <c r="AC978" s="272">
        <f t="shared" si="31"/>
        <v>0</v>
      </c>
      <c r="AD978" s="272">
        <v>0</v>
      </c>
      <c r="AE978" s="272">
        <f t="shared" si="32"/>
        <v>0</v>
      </c>
      <c r="AF978" s="273"/>
      <c r="AG978" s="274"/>
      <c r="AH978" s="273"/>
      <c r="AI978" s="273"/>
      <c r="AJ978" s="274"/>
      <c r="AK978" s="273"/>
      <c r="AL978" s="275"/>
      <c r="AM978" s="290"/>
      <c r="AN978" s="275"/>
      <c r="AO978" s="276"/>
      <c r="AP978" s="275"/>
      <c r="AQ978" s="275"/>
      <c r="AR978" s="275"/>
      <c r="AS978" s="275"/>
      <c r="AT978" s="275"/>
      <c r="AU978" s="275"/>
      <c r="AV978" s="275"/>
      <c r="AW978" s="275"/>
      <c r="AX978" s="275"/>
      <c r="AY978" s="275"/>
      <c r="AZ978" s="275"/>
      <c r="BA978" s="275"/>
      <c r="BB978" s="275"/>
      <c r="BC978" s="275"/>
      <c r="BD978" s="275"/>
      <c r="BE978" s="275"/>
      <c r="BF978" s="275"/>
      <c r="BH978" s="277"/>
    </row>
    <row r="979" spans="1:60" ht="16.5" customHeight="1">
      <c r="A979" s="260">
        <v>957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906</v>
      </c>
      <c r="K979" s="262"/>
      <c r="L979" s="262"/>
      <c r="M979" s="262">
        <v>774</v>
      </c>
      <c r="N979" s="262" t="s">
        <v>22</v>
      </c>
      <c r="O979" s="262" t="s">
        <v>56</v>
      </c>
      <c r="P979" s="262" t="s">
        <v>124</v>
      </c>
      <c r="Q979" s="262" t="s">
        <v>26</v>
      </c>
      <c r="R979" s="262" t="s">
        <v>468</v>
      </c>
      <c r="S979" s="267" t="s">
        <v>468</v>
      </c>
      <c r="T979" s="268"/>
      <c r="U979" s="269"/>
      <c r="V979" s="269">
        <v>0</v>
      </c>
      <c r="W979" s="278">
        <v>0</v>
      </c>
      <c r="X979" s="270"/>
      <c r="Y979" s="262" t="s">
        <v>20</v>
      </c>
      <c r="Z979" s="271" t="s">
        <v>562</v>
      </c>
      <c r="AA979" s="287"/>
      <c r="AB979" s="287"/>
      <c r="AC979" s="272">
        <f t="shared" si="31"/>
        <v>0</v>
      </c>
      <c r="AD979" s="272">
        <v>0</v>
      </c>
      <c r="AE979" s="272">
        <f t="shared" si="32"/>
        <v>0</v>
      </c>
      <c r="AF979" s="273"/>
      <c r="AG979" s="274"/>
      <c r="AH979" s="273"/>
      <c r="AI979" s="273"/>
      <c r="AJ979" s="274"/>
      <c r="AK979" s="273"/>
      <c r="AL979" s="275"/>
      <c r="AM979" s="290"/>
      <c r="AN979" s="275"/>
      <c r="AO979" s="276"/>
      <c r="AP979" s="275"/>
      <c r="AQ979" s="275"/>
      <c r="AR979" s="275"/>
      <c r="AS979" s="275"/>
      <c r="AT979" s="275"/>
      <c r="AU979" s="275"/>
      <c r="AV979" s="275"/>
      <c r="AW979" s="275"/>
      <c r="AX979" s="275"/>
      <c r="AY979" s="275"/>
      <c r="AZ979" s="275"/>
      <c r="BA979" s="275"/>
      <c r="BB979" s="275"/>
      <c r="BC979" s="275"/>
      <c r="BD979" s="275"/>
      <c r="BE979" s="275"/>
      <c r="BF979" s="275"/>
      <c r="BH979" s="277"/>
    </row>
    <row r="980" spans="1:60" ht="16.5" customHeight="1">
      <c r="A980" s="260">
        <v>958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907</v>
      </c>
      <c r="K980" s="262"/>
      <c r="L980" s="262"/>
      <c r="M980" s="262">
        <v>774</v>
      </c>
      <c r="N980" s="262" t="s">
        <v>22</v>
      </c>
      <c r="O980" s="262" t="s">
        <v>56</v>
      </c>
      <c r="P980" s="262" t="s">
        <v>124</v>
      </c>
      <c r="Q980" s="262" t="s">
        <v>23</v>
      </c>
      <c r="R980" s="262" t="s">
        <v>397</v>
      </c>
      <c r="S980" s="267" t="s">
        <v>823</v>
      </c>
      <c r="T980" s="268"/>
      <c r="U980" s="269">
        <v>266731000</v>
      </c>
      <c r="V980" s="269">
        <v>329000000</v>
      </c>
      <c r="W980" s="278">
        <v>0</v>
      </c>
      <c r="X980" s="270"/>
      <c r="Y980" s="262" t="s">
        <v>24</v>
      </c>
      <c r="Z980" s="271" t="s">
        <v>27</v>
      </c>
      <c r="AA980" s="287"/>
      <c r="AB980" s="287"/>
      <c r="AC980" s="272">
        <f t="shared" si="31"/>
        <v>100000000</v>
      </c>
      <c r="AD980" s="272">
        <v>100000000</v>
      </c>
      <c r="AE980" s="272">
        <f t="shared" si="32"/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>
        <v>100000000</v>
      </c>
      <c r="AV980" s="275"/>
      <c r="AW980" s="275"/>
      <c r="AX980" s="275"/>
      <c r="AY980" s="275"/>
      <c r="AZ980" s="275"/>
      <c r="BA980" s="275"/>
      <c r="BB980" s="275"/>
      <c r="BC980" s="275"/>
      <c r="BD980" s="275"/>
      <c r="BE980" s="275"/>
      <c r="BF980" s="275"/>
      <c r="BH980" s="277"/>
    </row>
    <row r="981" spans="1:60" ht="16.5" customHeight="1">
      <c r="A981" s="260">
        <v>959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908</v>
      </c>
      <c r="K981" s="262"/>
      <c r="L981" s="262"/>
      <c r="M981" s="262">
        <v>46794</v>
      </c>
      <c r="N981" s="262" t="s">
        <v>22</v>
      </c>
      <c r="O981" s="262" t="s">
        <v>56</v>
      </c>
      <c r="P981" s="262" t="s">
        <v>124</v>
      </c>
      <c r="Q981" s="262" t="s">
        <v>44</v>
      </c>
      <c r="R981" s="262" t="s">
        <v>469</v>
      </c>
      <c r="S981" s="267" t="s">
        <v>469</v>
      </c>
      <c r="T981" s="268"/>
      <c r="U981" s="269">
        <v>42000000</v>
      </c>
      <c r="V981" s="269">
        <v>0</v>
      </c>
      <c r="W981" s="278">
        <v>0</v>
      </c>
      <c r="X981" s="270"/>
      <c r="Y981" s="262" t="s">
        <v>562</v>
      </c>
      <c r="Z981" s="271" t="s">
        <v>562</v>
      </c>
      <c r="AA981" s="287"/>
      <c r="AB981" s="287"/>
      <c r="AC981" s="272">
        <f t="shared" si="31"/>
        <v>0</v>
      </c>
      <c r="AD981" s="272">
        <v>0</v>
      </c>
      <c r="AE981" s="272">
        <f t="shared" si="32"/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/>
      <c r="BF981" s="275"/>
      <c r="BH981" s="277"/>
    </row>
    <row r="982" spans="1:60" ht="16.5" customHeight="1">
      <c r="A982" s="260">
        <v>960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909</v>
      </c>
      <c r="K982" s="262"/>
      <c r="L982" s="262"/>
      <c r="M982" s="262">
        <v>774</v>
      </c>
      <c r="N982" s="262" t="s">
        <v>22</v>
      </c>
      <c r="O982" s="262" t="s">
        <v>56</v>
      </c>
      <c r="P982" s="262" t="s">
        <v>124</v>
      </c>
      <c r="Q982" s="262"/>
      <c r="R982" s="262" t="s">
        <v>468</v>
      </c>
      <c r="S982" s="267" t="s">
        <v>468</v>
      </c>
      <c r="T982" s="268"/>
      <c r="U982" s="269" t="s">
        <v>154</v>
      </c>
      <c r="V982" s="269">
        <v>0</v>
      </c>
      <c r="W982" s="278">
        <v>0</v>
      </c>
      <c r="X982" s="270"/>
      <c r="Y982" s="262" t="s">
        <v>562</v>
      </c>
      <c r="Z982" s="271" t="s">
        <v>562</v>
      </c>
      <c r="AA982" s="287"/>
      <c r="AB982" s="287"/>
      <c r="AC982" s="272">
        <f t="shared" si="31"/>
        <v>0</v>
      </c>
      <c r="AD982" s="272">
        <v>0</v>
      </c>
      <c r="AE982" s="272">
        <f t="shared" si="32"/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H982" s="277"/>
    </row>
    <row r="983" spans="1:60" ht="16.5" customHeight="1">
      <c r="A983" s="260">
        <v>961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910</v>
      </c>
      <c r="K983" s="262"/>
      <c r="L983" s="262"/>
      <c r="M983" s="262">
        <v>774</v>
      </c>
      <c r="N983" s="262" t="s">
        <v>22</v>
      </c>
      <c r="O983" s="262" t="s">
        <v>56</v>
      </c>
      <c r="P983" s="262" t="s">
        <v>124</v>
      </c>
      <c r="Q983" s="262" t="s">
        <v>23</v>
      </c>
      <c r="R983" s="262" t="s">
        <v>397</v>
      </c>
      <c r="S983" s="267" t="s">
        <v>823</v>
      </c>
      <c r="T983" s="268"/>
      <c r="U983" s="269"/>
      <c r="V983" s="269">
        <v>0</v>
      </c>
      <c r="W983" s="278">
        <v>104000000</v>
      </c>
      <c r="X983" s="270"/>
      <c r="Y983" s="262" t="s">
        <v>24</v>
      </c>
      <c r="Z983" s="271" t="s">
        <v>562</v>
      </c>
      <c r="AA983" s="287"/>
      <c r="AB983" s="287"/>
      <c r="AC983" s="272">
        <f t="shared" ref="AC983:AC1046" si="33">AG983+AJ983+AM983+AO983+AQ983+AS983+AU983+AW983+AY983+BA983+BC983+BE983</f>
        <v>50000000</v>
      </c>
      <c r="AD983" s="272">
        <v>50000000</v>
      </c>
      <c r="AE983" s="272">
        <f t="shared" ref="AE983:AE1046" si="34">AC983-AD983</f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>
        <v>50000000</v>
      </c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customHeight="1">
      <c r="A984" s="260">
        <v>962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911</v>
      </c>
      <c r="K984" s="262"/>
      <c r="L984" s="262"/>
      <c r="M984" s="262">
        <v>3842</v>
      </c>
      <c r="N984" s="262" t="s">
        <v>22</v>
      </c>
      <c r="O984" s="262" t="s">
        <v>56</v>
      </c>
      <c r="P984" s="262" t="s">
        <v>124</v>
      </c>
      <c r="Q984" s="262" t="s">
        <v>18</v>
      </c>
      <c r="R984" s="262" t="s">
        <v>19</v>
      </c>
      <c r="S984" s="267" t="s">
        <v>19</v>
      </c>
      <c r="T984" s="268"/>
      <c r="U984" s="269" t="s">
        <v>154</v>
      </c>
      <c r="V984" s="269">
        <v>0</v>
      </c>
      <c r="W984" s="278">
        <v>0</v>
      </c>
      <c r="X984" s="270"/>
      <c r="Y984" s="262" t="s">
        <v>599</v>
      </c>
      <c r="Z984" s="271" t="s">
        <v>562</v>
      </c>
      <c r="AA984" s="287"/>
      <c r="AB984" s="287"/>
      <c r="AC984" s="272">
        <f t="shared" si="33"/>
        <v>0</v>
      </c>
      <c r="AD984" s="272">
        <v>0</v>
      </c>
      <c r="AE984" s="272">
        <f t="shared" si="34"/>
        <v>0</v>
      </c>
      <c r="AF984" s="273"/>
      <c r="AG984" s="274"/>
      <c r="AH984" s="273"/>
      <c r="AI984" s="273"/>
      <c r="AJ984" s="274"/>
      <c r="AK984" s="273"/>
      <c r="AL984" s="275"/>
      <c r="AM984" s="290"/>
      <c r="AN984" s="275"/>
      <c r="AO984" s="276"/>
      <c r="AP984" s="275"/>
      <c r="AQ984" s="275"/>
      <c r="AR984" s="275"/>
      <c r="AS984" s="275"/>
      <c r="AT984" s="275"/>
      <c r="AU984" s="275"/>
      <c r="AV984" s="275"/>
      <c r="AW984" s="275"/>
      <c r="AX984" s="275"/>
      <c r="AY984" s="275"/>
      <c r="AZ984" s="275"/>
      <c r="BA984" s="275"/>
      <c r="BB984" s="275"/>
      <c r="BC984" s="275"/>
      <c r="BD984" s="275"/>
      <c r="BE984" s="275"/>
      <c r="BF984" s="275"/>
      <c r="BH984" s="277"/>
    </row>
    <row r="985" spans="1:60" ht="16.5" customHeight="1">
      <c r="A985" s="260">
        <v>963</v>
      </c>
      <c r="B985" s="261"/>
      <c r="C985" s="261"/>
      <c r="D985" s="262"/>
      <c r="E985" s="262"/>
      <c r="F985" s="263" t="s">
        <v>15</v>
      </c>
      <c r="G985" s="264" t="s">
        <v>153</v>
      </c>
      <c r="H985" s="281"/>
      <c r="I985" s="265"/>
      <c r="J985" s="266" t="s">
        <v>911</v>
      </c>
      <c r="K985" s="262"/>
      <c r="L985" s="262"/>
      <c r="M985" s="262">
        <v>3842</v>
      </c>
      <c r="N985" s="262" t="s">
        <v>22</v>
      </c>
      <c r="O985" s="262" t="s">
        <v>56</v>
      </c>
      <c r="P985" s="262" t="s">
        <v>124</v>
      </c>
      <c r="Q985" s="262" t="s">
        <v>30</v>
      </c>
      <c r="R985" s="262" t="s">
        <v>31</v>
      </c>
      <c r="S985" s="267" t="s">
        <v>31</v>
      </c>
      <c r="T985" s="268"/>
      <c r="U985" s="269" t="s">
        <v>154</v>
      </c>
      <c r="V985" s="269">
        <v>21141000</v>
      </c>
      <c r="W985" s="278">
        <v>0</v>
      </c>
      <c r="X985" s="270"/>
      <c r="Y985" s="262" t="s">
        <v>25</v>
      </c>
      <c r="Z985" s="271" t="s">
        <v>25</v>
      </c>
      <c r="AA985" s="287"/>
      <c r="AB985" s="287"/>
      <c r="AC985" s="272">
        <f t="shared" si="33"/>
        <v>20000000</v>
      </c>
      <c r="AD985" s="272">
        <v>20000000</v>
      </c>
      <c r="AE985" s="272">
        <f t="shared" si="34"/>
        <v>0</v>
      </c>
      <c r="AF985" s="273"/>
      <c r="AG985" s="274"/>
      <c r="AH985" s="273"/>
      <c r="AI985" s="273"/>
      <c r="AJ985" s="274"/>
      <c r="AK985" s="273"/>
      <c r="AL985" s="275"/>
      <c r="AM985" s="290"/>
      <c r="AN985" s="275"/>
      <c r="AO985" s="276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/>
      <c r="BB985" s="275"/>
      <c r="BC985" s="275"/>
      <c r="BD985" s="275"/>
      <c r="BE985" s="275">
        <v>20000000</v>
      </c>
      <c r="BF985" s="275"/>
      <c r="BH985" s="277"/>
    </row>
    <row r="986" spans="1:60" ht="16.5" customHeight="1">
      <c r="A986" s="260">
        <v>964</v>
      </c>
      <c r="B986" s="261"/>
      <c r="C986" s="261"/>
      <c r="D986" s="262" t="s">
        <v>15</v>
      </c>
      <c r="E986" s="262" t="s">
        <v>0</v>
      </c>
      <c r="F986" s="263" t="s">
        <v>15</v>
      </c>
      <c r="G986" s="264" t="s">
        <v>153</v>
      </c>
      <c r="H986" s="281"/>
      <c r="I986" s="265"/>
      <c r="J986" s="266" t="s">
        <v>912</v>
      </c>
      <c r="K986" s="262"/>
      <c r="L986" s="262"/>
      <c r="M986" s="262">
        <v>3842</v>
      </c>
      <c r="N986" s="262" t="s">
        <v>22</v>
      </c>
      <c r="O986" s="262" t="s">
        <v>35</v>
      </c>
      <c r="P986" s="262" t="s">
        <v>124</v>
      </c>
      <c r="Q986" s="262" t="s">
        <v>73</v>
      </c>
      <c r="R986" s="262" t="s">
        <v>468</v>
      </c>
      <c r="S986" s="267" t="s">
        <v>468</v>
      </c>
      <c r="T986" s="268"/>
      <c r="U986" s="269" t="s">
        <v>154</v>
      </c>
      <c r="V986" s="269">
        <v>0</v>
      </c>
      <c r="W986" s="278">
        <v>0</v>
      </c>
      <c r="X986" s="270"/>
      <c r="Y986" s="262" t="s">
        <v>25</v>
      </c>
      <c r="Z986" s="271" t="s">
        <v>562</v>
      </c>
      <c r="AA986" s="287"/>
      <c r="AB986" s="287"/>
      <c r="AC986" s="272">
        <f t="shared" si="33"/>
        <v>0</v>
      </c>
      <c r="AD986" s="272">
        <v>0</v>
      </c>
      <c r="AE986" s="272">
        <f t="shared" si="34"/>
        <v>0</v>
      </c>
      <c r="AF986" s="273"/>
      <c r="AG986" s="274"/>
      <c r="AH986" s="273"/>
      <c r="AI986" s="273"/>
      <c r="AJ986" s="274"/>
      <c r="AK986" s="273"/>
      <c r="AL986" s="275"/>
      <c r="AM986" s="290"/>
      <c r="AN986" s="275"/>
      <c r="AO986" s="276"/>
      <c r="AP986" s="275"/>
      <c r="AQ986" s="275"/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/>
      <c r="BB986" s="275"/>
      <c r="BC986" s="275"/>
      <c r="BD986" s="275"/>
      <c r="BE986" s="275"/>
      <c r="BF986" s="275"/>
      <c r="BH986" s="277"/>
    </row>
    <row r="987" spans="1:60" ht="16.5" customHeight="1">
      <c r="A987" s="260">
        <v>965</v>
      </c>
      <c r="B987" s="261"/>
      <c r="C987" s="261"/>
      <c r="D987" s="262" t="s">
        <v>15</v>
      </c>
      <c r="E987" s="262" t="s">
        <v>456</v>
      </c>
      <c r="F987" s="263" t="s">
        <v>15</v>
      </c>
      <c r="G987" s="264" t="s">
        <v>456</v>
      </c>
      <c r="H987" s="281"/>
      <c r="I987" s="265"/>
      <c r="J987" s="266" t="s">
        <v>187</v>
      </c>
      <c r="K987" s="262"/>
      <c r="L987" s="262"/>
      <c r="M987" s="262">
        <v>7507</v>
      </c>
      <c r="N987" s="262" t="s">
        <v>22</v>
      </c>
      <c r="O987" s="262" t="s">
        <v>212</v>
      </c>
      <c r="P987" s="262" t="s">
        <v>57</v>
      </c>
      <c r="Q987" s="262" t="s">
        <v>18</v>
      </c>
      <c r="R987" s="262" t="s">
        <v>28</v>
      </c>
      <c r="S987" s="267" t="s">
        <v>28</v>
      </c>
      <c r="T987" s="268"/>
      <c r="U987" s="269">
        <v>47907140</v>
      </c>
      <c r="V987" s="269">
        <v>32878360</v>
      </c>
      <c r="W987" s="278">
        <v>34235200</v>
      </c>
      <c r="X987" s="270"/>
      <c r="Y987" s="262" t="s">
        <v>27</v>
      </c>
      <c r="Z987" s="271" t="s">
        <v>27</v>
      </c>
      <c r="AA987" s="287"/>
      <c r="AB987" s="287"/>
      <c r="AC987" s="272">
        <f t="shared" si="33"/>
        <v>8184400</v>
      </c>
      <c r="AD987" s="272">
        <v>8184400</v>
      </c>
      <c r="AE987" s="272">
        <f t="shared" si="34"/>
        <v>0</v>
      </c>
      <c r="AF987" s="273"/>
      <c r="AG987" s="274"/>
      <c r="AH987" s="273"/>
      <c r="AI987" s="273">
        <v>5000000</v>
      </c>
      <c r="AJ987" s="274">
        <v>5367400</v>
      </c>
      <c r="AK987" s="273"/>
      <c r="AL987" s="275">
        <v>2817000</v>
      </c>
      <c r="AM987" s="290">
        <v>2817000</v>
      </c>
      <c r="AN987" s="275"/>
      <c r="AO987" s="276"/>
      <c r="AP987" s="275"/>
      <c r="AQ987" s="275"/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H987" s="277"/>
    </row>
    <row r="988" spans="1:60" ht="16.5" customHeight="1">
      <c r="A988" s="260">
        <v>966</v>
      </c>
      <c r="B988" s="261"/>
      <c r="C988" s="261"/>
      <c r="D988" s="262"/>
      <c r="E988" s="262"/>
      <c r="F988" s="263" t="s">
        <v>15</v>
      </c>
      <c r="G988" s="264" t="s">
        <v>456</v>
      </c>
      <c r="H988" s="281"/>
      <c r="I988" s="265"/>
      <c r="J988" s="266" t="s">
        <v>924</v>
      </c>
      <c r="K988" s="262"/>
      <c r="L988" s="262"/>
      <c r="M988" s="262">
        <v>63425</v>
      </c>
      <c r="N988" s="262"/>
      <c r="O988" s="262"/>
      <c r="P988" s="262"/>
      <c r="Q988" s="262"/>
      <c r="R988" s="262"/>
      <c r="S988" s="267" t="s">
        <v>31</v>
      </c>
      <c r="T988" s="268"/>
      <c r="U988" s="269"/>
      <c r="V988" s="269"/>
      <c r="W988" s="278">
        <v>2180000</v>
      </c>
      <c r="X988" s="270"/>
      <c r="Y988" s="262"/>
      <c r="Z988" s="271" t="s">
        <v>718</v>
      </c>
      <c r="AA988" s="287"/>
      <c r="AB988" s="287"/>
      <c r="AC988" s="272">
        <f t="shared" si="33"/>
        <v>0</v>
      </c>
      <c r="AD988" s="272">
        <v>0</v>
      </c>
      <c r="AE988" s="272">
        <f t="shared" si="34"/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/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customHeight="1">
      <c r="A989" s="260">
        <v>967</v>
      </c>
      <c r="B989" s="261"/>
      <c r="C989" s="261"/>
      <c r="D989" s="262" t="s">
        <v>15</v>
      </c>
      <c r="E989" s="262" t="s">
        <v>456</v>
      </c>
      <c r="F989" s="263" t="s">
        <v>15</v>
      </c>
      <c r="G989" s="264" t="s">
        <v>456</v>
      </c>
      <c r="H989" s="281"/>
      <c r="I989" s="265"/>
      <c r="J989" s="266" t="s">
        <v>784</v>
      </c>
      <c r="K989" s="262"/>
      <c r="L989" s="262"/>
      <c r="M989" s="262">
        <v>58930</v>
      </c>
      <c r="N989" s="262" t="s">
        <v>22</v>
      </c>
      <c r="O989" s="262" t="s">
        <v>56</v>
      </c>
      <c r="P989" s="262"/>
      <c r="Q989" s="262" t="s">
        <v>30</v>
      </c>
      <c r="R989" s="262" t="s">
        <v>31</v>
      </c>
      <c r="S989" s="267" t="s">
        <v>31</v>
      </c>
      <c r="T989" s="268"/>
      <c r="U989" s="269"/>
      <c r="V989" s="269">
        <v>459000</v>
      </c>
      <c r="W989" s="278">
        <v>456000</v>
      </c>
      <c r="X989" s="270"/>
      <c r="Y989" s="262" t="s">
        <v>27</v>
      </c>
      <c r="Z989" s="271" t="s">
        <v>27</v>
      </c>
      <c r="AA989" s="287"/>
      <c r="AB989" s="287"/>
      <c r="AC989" s="272">
        <f t="shared" si="33"/>
        <v>402000</v>
      </c>
      <c r="AD989" s="272">
        <v>402000</v>
      </c>
      <c r="AE989" s="272">
        <f t="shared" si="34"/>
        <v>0</v>
      </c>
      <c r="AF989" s="273"/>
      <c r="AG989" s="274"/>
      <c r="AH989" s="273"/>
      <c r="AI989" s="273"/>
      <c r="AJ989" s="274"/>
      <c r="AK989" s="273"/>
      <c r="AL989" s="275">
        <v>102000</v>
      </c>
      <c r="AM989" s="290">
        <v>102000</v>
      </c>
      <c r="AN989" s="275"/>
      <c r="AO989" s="276"/>
      <c r="AP989" s="275"/>
      <c r="AQ989" s="275"/>
      <c r="AR989" s="275"/>
      <c r="AS989" s="275">
        <v>300000</v>
      </c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/>
      <c r="BF989" s="275"/>
      <c r="BH989" s="277"/>
    </row>
    <row r="990" spans="1:60" ht="16.5" customHeight="1">
      <c r="A990" s="260">
        <v>968</v>
      </c>
      <c r="B990" s="261"/>
      <c r="C990" s="261"/>
      <c r="D990" s="262" t="s">
        <v>15</v>
      </c>
      <c r="E990" s="262" t="s">
        <v>456</v>
      </c>
      <c r="F990" s="263" t="s">
        <v>15</v>
      </c>
      <c r="G990" s="264" t="s">
        <v>456</v>
      </c>
      <c r="H990" s="281"/>
      <c r="I990" s="265"/>
      <c r="J990" s="266" t="s">
        <v>188</v>
      </c>
      <c r="K990" s="262"/>
      <c r="L990" s="262"/>
      <c r="M990" s="262">
        <v>46549</v>
      </c>
      <c r="N990" s="262" t="s">
        <v>53</v>
      </c>
      <c r="O990" s="262" t="s">
        <v>212</v>
      </c>
      <c r="P990" s="262" t="s">
        <v>57</v>
      </c>
      <c r="Q990" s="262" t="s">
        <v>18</v>
      </c>
      <c r="R990" s="262" t="s">
        <v>19</v>
      </c>
      <c r="S990" s="267" t="s">
        <v>19</v>
      </c>
      <c r="T990" s="268" t="s">
        <v>951</v>
      </c>
      <c r="U990" s="269">
        <v>4004820</v>
      </c>
      <c r="V990" s="269">
        <v>3292620</v>
      </c>
      <c r="W990" s="278">
        <v>3299340</v>
      </c>
      <c r="X990" s="270"/>
      <c r="Y990" s="262" t="s">
        <v>27</v>
      </c>
      <c r="Z990" s="271" t="s">
        <v>27</v>
      </c>
      <c r="AA990" s="287"/>
      <c r="AB990" s="287"/>
      <c r="AC990" s="272">
        <f t="shared" si="33"/>
        <v>2250960</v>
      </c>
      <c r="AD990" s="272">
        <v>2250960</v>
      </c>
      <c r="AE990" s="272">
        <f t="shared" si="34"/>
        <v>0</v>
      </c>
      <c r="AF990" s="273">
        <v>110000</v>
      </c>
      <c r="AG990" s="274">
        <v>110000</v>
      </c>
      <c r="AH990" s="273"/>
      <c r="AI990" s="273">
        <v>200000</v>
      </c>
      <c r="AJ990" s="274">
        <v>176600</v>
      </c>
      <c r="AK990" s="273"/>
      <c r="AL990" s="275">
        <v>164360</v>
      </c>
      <c r="AM990" s="290">
        <v>164360</v>
      </c>
      <c r="AN990" s="275"/>
      <c r="AO990" s="276">
        <v>200000</v>
      </c>
      <c r="AP990" s="275"/>
      <c r="AQ990" s="275">
        <v>200000</v>
      </c>
      <c r="AR990" s="275"/>
      <c r="AS990" s="275">
        <v>200000</v>
      </c>
      <c r="AT990" s="275"/>
      <c r="AU990" s="275">
        <v>200000</v>
      </c>
      <c r="AV990" s="275"/>
      <c r="AW990" s="275">
        <v>200000</v>
      </c>
      <c r="AX990" s="275"/>
      <c r="AY990" s="275">
        <v>200000</v>
      </c>
      <c r="AZ990" s="275"/>
      <c r="BA990" s="275">
        <v>200000</v>
      </c>
      <c r="BB990" s="275"/>
      <c r="BC990" s="275">
        <v>200000</v>
      </c>
      <c r="BD990" s="275"/>
      <c r="BE990" s="275">
        <v>200000</v>
      </c>
      <c r="BF990" s="275"/>
      <c r="BH990" s="277"/>
    </row>
    <row r="991" spans="1:60" ht="16.5" customHeight="1">
      <c r="A991" s="260">
        <v>969</v>
      </c>
      <c r="B991" s="261"/>
      <c r="C991" s="261"/>
      <c r="D991" s="262" t="s">
        <v>15</v>
      </c>
      <c r="E991" s="262" t="s">
        <v>456</v>
      </c>
      <c r="F991" s="263" t="s">
        <v>15</v>
      </c>
      <c r="G991" s="264" t="s">
        <v>456</v>
      </c>
      <c r="H991" s="281"/>
      <c r="I991" s="265"/>
      <c r="J991" s="266" t="s">
        <v>189</v>
      </c>
      <c r="K991" s="262"/>
      <c r="L991" s="262"/>
      <c r="M991" s="262">
        <v>5034</v>
      </c>
      <c r="N991" s="262" t="s">
        <v>22</v>
      </c>
      <c r="O991" s="262" t="s">
        <v>212</v>
      </c>
      <c r="P991" s="262" t="s">
        <v>57</v>
      </c>
      <c r="Q991" s="262" t="s">
        <v>18</v>
      </c>
      <c r="R991" s="262" t="s">
        <v>28</v>
      </c>
      <c r="S991" s="267" t="s">
        <v>28</v>
      </c>
      <c r="T991" s="268" t="s">
        <v>951</v>
      </c>
      <c r="U991" s="269">
        <v>146816410</v>
      </c>
      <c r="V991" s="269">
        <v>206510650</v>
      </c>
      <c r="W991" s="278">
        <v>171468390</v>
      </c>
      <c r="X991" s="270"/>
      <c r="Y991" s="262" t="s">
        <v>27</v>
      </c>
      <c r="Z991" s="271" t="s">
        <v>27</v>
      </c>
      <c r="AA991" s="287"/>
      <c r="AB991" s="287"/>
      <c r="AC991" s="272">
        <f t="shared" si="33"/>
        <v>232505560</v>
      </c>
      <c r="AD991" s="272">
        <v>232505560</v>
      </c>
      <c r="AE991" s="272">
        <f t="shared" si="34"/>
        <v>0</v>
      </c>
      <c r="AF991" s="273">
        <v>1054820</v>
      </c>
      <c r="AG991" s="274">
        <v>1054820</v>
      </c>
      <c r="AH991" s="273"/>
      <c r="AI991" s="273"/>
      <c r="AJ991" s="274">
        <v>635240</v>
      </c>
      <c r="AK991" s="273"/>
      <c r="AL991" s="275">
        <v>1815500</v>
      </c>
      <c r="AM991" s="290">
        <v>1815500</v>
      </c>
      <c r="AN991" s="275"/>
      <c r="AO991" s="276">
        <v>29000000</v>
      </c>
      <c r="AP991" s="275"/>
      <c r="AQ991" s="275">
        <v>25000000</v>
      </c>
      <c r="AR991" s="275"/>
      <c r="AS991" s="275">
        <v>20000000</v>
      </c>
      <c r="AT991" s="275"/>
      <c r="AU991" s="275">
        <v>20000000</v>
      </c>
      <c r="AV991" s="275"/>
      <c r="AW991" s="275">
        <v>20000000</v>
      </c>
      <c r="AX991" s="275"/>
      <c r="AY991" s="275">
        <v>25000000</v>
      </c>
      <c r="AZ991" s="275"/>
      <c r="BA991" s="275">
        <v>30000000</v>
      </c>
      <c r="BB991" s="275"/>
      <c r="BC991" s="275">
        <v>30000000</v>
      </c>
      <c r="BD991" s="275"/>
      <c r="BE991" s="275">
        <v>30000000</v>
      </c>
      <c r="BF991" s="275"/>
      <c r="BH991" s="277"/>
    </row>
    <row r="992" spans="1:60" ht="16.5" customHeight="1">
      <c r="A992" s="260">
        <v>970</v>
      </c>
      <c r="B992" s="261"/>
      <c r="C992" s="261"/>
      <c r="D992" s="262" t="s">
        <v>15</v>
      </c>
      <c r="E992" s="262" t="s">
        <v>456</v>
      </c>
      <c r="F992" s="263" t="s">
        <v>15</v>
      </c>
      <c r="G992" s="264" t="s">
        <v>456</v>
      </c>
      <c r="H992" s="281"/>
      <c r="I992" s="265"/>
      <c r="J992" s="266" t="s">
        <v>189</v>
      </c>
      <c r="K992" s="262"/>
      <c r="L992" s="262"/>
      <c r="M992" s="262">
        <v>5034</v>
      </c>
      <c r="N992" s="262" t="s">
        <v>22</v>
      </c>
      <c r="O992" s="262" t="s">
        <v>212</v>
      </c>
      <c r="P992" s="262" t="s">
        <v>57</v>
      </c>
      <c r="Q992" s="262" t="s">
        <v>46</v>
      </c>
      <c r="R992" s="262" t="s">
        <v>47</v>
      </c>
      <c r="S992" s="267" t="s">
        <v>47</v>
      </c>
      <c r="T992" s="268"/>
      <c r="U992" s="269">
        <v>8750000</v>
      </c>
      <c r="V992" s="269">
        <v>17500000</v>
      </c>
      <c r="W992" s="278">
        <v>17500000</v>
      </c>
      <c r="X992" s="270"/>
      <c r="Y992" s="262" t="s">
        <v>27</v>
      </c>
      <c r="Z992" s="271" t="s">
        <v>24</v>
      </c>
      <c r="AA992" s="287"/>
      <c r="AB992" s="287"/>
      <c r="AC992" s="272">
        <f t="shared" si="33"/>
        <v>17500000</v>
      </c>
      <c r="AD992" s="272">
        <v>17500000</v>
      </c>
      <c r="AE992" s="272">
        <f t="shared" si="34"/>
        <v>0</v>
      </c>
      <c r="AF992" s="273"/>
      <c r="AG992" s="274"/>
      <c r="AH992" s="273"/>
      <c r="AI992" s="273"/>
      <c r="AJ992" s="274"/>
      <c r="AK992" s="273"/>
      <c r="AL992" s="275"/>
      <c r="AM992" s="290"/>
      <c r="AN992" s="275"/>
      <c r="AO992" s="276"/>
      <c r="AP992" s="275"/>
      <c r="AQ992" s="275">
        <v>8750000</v>
      </c>
      <c r="AR992" s="275"/>
      <c r="AS992" s="275"/>
      <c r="AT992" s="275"/>
      <c r="AU992" s="275"/>
      <c r="AV992" s="275"/>
      <c r="AW992" s="275"/>
      <c r="AX992" s="275"/>
      <c r="AY992" s="275"/>
      <c r="AZ992" s="275"/>
      <c r="BA992" s="275"/>
      <c r="BB992" s="275"/>
      <c r="BC992" s="275"/>
      <c r="BD992" s="275"/>
      <c r="BE992" s="275">
        <v>8750000</v>
      </c>
      <c r="BF992" s="275"/>
      <c r="BH992" s="277"/>
    </row>
    <row r="993" spans="1:60" ht="16.5" customHeight="1">
      <c r="A993" s="260">
        <v>971</v>
      </c>
      <c r="B993" s="261"/>
      <c r="C993" s="261"/>
      <c r="D993" s="262" t="s">
        <v>15</v>
      </c>
      <c r="E993" s="262" t="s">
        <v>456</v>
      </c>
      <c r="F993" s="263" t="s">
        <v>15</v>
      </c>
      <c r="G993" s="264" t="s">
        <v>456</v>
      </c>
      <c r="H993" s="281"/>
      <c r="I993" s="265"/>
      <c r="J993" s="266" t="s">
        <v>189</v>
      </c>
      <c r="K993" s="262"/>
      <c r="L993" s="262"/>
      <c r="M993" s="262">
        <v>5034</v>
      </c>
      <c r="N993" s="262" t="s">
        <v>22</v>
      </c>
      <c r="O993" s="262" t="s">
        <v>56</v>
      </c>
      <c r="P993" s="262"/>
      <c r="Q993" s="262" t="s">
        <v>44</v>
      </c>
      <c r="R993" s="262" t="s">
        <v>469</v>
      </c>
      <c r="S993" s="267" t="s">
        <v>469</v>
      </c>
      <c r="T993" s="268"/>
      <c r="U993" s="269">
        <v>10000000</v>
      </c>
      <c r="V993" s="269">
        <v>0</v>
      </c>
      <c r="W993" s="278">
        <v>0</v>
      </c>
      <c r="X993" s="270"/>
      <c r="Y993" s="262" t="s">
        <v>25</v>
      </c>
      <c r="Z993" s="271" t="s">
        <v>20</v>
      </c>
      <c r="AA993" s="287"/>
      <c r="AB993" s="287"/>
      <c r="AC993" s="272">
        <f t="shared" si="33"/>
        <v>0</v>
      </c>
      <c r="AD993" s="272">
        <v>0</v>
      </c>
      <c r="AE993" s="272">
        <f t="shared" si="34"/>
        <v>0</v>
      </c>
      <c r="AF993" s="273"/>
      <c r="AG993" s="274"/>
      <c r="AH993" s="273"/>
      <c r="AI993" s="273"/>
      <c r="AJ993" s="274"/>
      <c r="AK993" s="273"/>
      <c r="AL993" s="275"/>
      <c r="AM993" s="290"/>
      <c r="AN993" s="275"/>
      <c r="AO993" s="276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/>
      <c r="AZ993" s="275"/>
      <c r="BA993" s="275"/>
      <c r="BB993" s="275"/>
      <c r="BC993" s="275"/>
      <c r="BD993" s="275"/>
      <c r="BE993" s="275"/>
      <c r="BF993" s="275"/>
      <c r="BH993" s="277"/>
    </row>
    <row r="994" spans="1:60" ht="16.5" customHeight="1">
      <c r="A994" s="260">
        <v>972</v>
      </c>
      <c r="B994" s="261"/>
      <c r="C994" s="261"/>
      <c r="D994" s="262" t="s">
        <v>15</v>
      </c>
      <c r="E994" s="262" t="s">
        <v>456</v>
      </c>
      <c r="F994" s="263" t="s">
        <v>15</v>
      </c>
      <c r="G994" s="264" t="s">
        <v>456</v>
      </c>
      <c r="H994" s="281"/>
      <c r="I994" s="265"/>
      <c r="J994" s="266" t="s">
        <v>189</v>
      </c>
      <c r="K994" s="262"/>
      <c r="L994" s="262"/>
      <c r="M994" s="262">
        <v>5034</v>
      </c>
      <c r="N994" s="262" t="s">
        <v>22</v>
      </c>
      <c r="O994" s="262" t="s">
        <v>212</v>
      </c>
      <c r="P994" s="262" t="s">
        <v>57</v>
      </c>
      <c r="Q994" s="262" t="s">
        <v>26</v>
      </c>
      <c r="R994" s="262" t="s">
        <v>468</v>
      </c>
      <c r="S994" s="267" t="s">
        <v>468</v>
      </c>
      <c r="T994" s="268"/>
      <c r="U994" s="269"/>
      <c r="V994" s="269">
        <v>0</v>
      </c>
      <c r="W994" s="278">
        <v>21120000</v>
      </c>
      <c r="X994" s="270"/>
      <c r="Y994" s="262" t="s">
        <v>27</v>
      </c>
      <c r="Z994" s="271" t="s">
        <v>25</v>
      </c>
      <c r="AA994" s="287"/>
      <c r="AB994" s="287"/>
      <c r="AC994" s="272">
        <f t="shared" si="33"/>
        <v>20000000</v>
      </c>
      <c r="AD994" s="272">
        <v>20000000</v>
      </c>
      <c r="AE994" s="272">
        <f t="shared" si="34"/>
        <v>0</v>
      </c>
      <c r="AF994" s="273"/>
      <c r="AG994" s="274"/>
      <c r="AH994" s="273"/>
      <c r="AI994" s="273"/>
      <c r="AJ994" s="274"/>
      <c r="AK994" s="273"/>
      <c r="AL994" s="275"/>
      <c r="AM994" s="290"/>
      <c r="AN994" s="275"/>
      <c r="AO994" s="276"/>
      <c r="AP994" s="275"/>
      <c r="AQ994" s="275">
        <v>10000000</v>
      </c>
      <c r="AR994" s="275"/>
      <c r="AS994" s="275"/>
      <c r="AT994" s="275"/>
      <c r="AU994" s="275"/>
      <c r="AV994" s="275"/>
      <c r="AW994" s="275">
        <v>10000000</v>
      </c>
      <c r="AX994" s="275"/>
      <c r="AY994" s="275"/>
      <c r="AZ994" s="275"/>
      <c r="BA994" s="275"/>
      <c r="BB994" s="275"/>
      <c r="BC994" s="275"/>
      <c r="BD994" s="275"/>
      <c r="BE994" s="275"/>
      <c r="BF994" s="275"/>
      <c r="BH994" s="277"/>
    </row>
    <row r="995" spans="1:60" ht="16.5" customHeight="1">
      <c r="A995" s="260">
        <v>973</v>
      </c>
      <c r="B995" s="261"/>
      <c r="C995" s="261"/>
      <c r="D995" s="262" t="s">
        <v>15</v>
      </c>
      <c r="E995" s="262" t="s">
        <v>456</v>
      </c>
      <c r="F995" s="263" t="s">
        <v>15</v>
      </c>
      <c r="G995" s="264" t="s">
        <v>456</v>
      </c>
      <c r="H995" s="281"/>
      <c r="I995" s="265"/>
      <c r="J995" s="266" t="s">
        <v>189</v>
      </c>
      <c r="K995" s="262"/>
      <c r="L995" s="262"/>
      <c r="M995" s="262">
        <v>5034</v>
      </c>
      <c r="N995" s="262" t="s">
        <v>22</v>
      </c>
      <c r="O995" s="262" t="s">
        <v>35</v>
      </c>
      <c r="P995" s="262"/>
      <c r="Q995" s="262"/>
      <c r="R995" s="262"/>
      <c r="S995" s="267" t="s">
        <v>828</v>
      </c>
      <c r="T995" s="268"/>
      <c r="U995" s="269"/>
      <c r="V995" s="269"/>
      <c r="W995" s="278">
        <v>0</v>
      </c>
      <c r="X995" s="270"/>
      <c r="Y995" s="262"/>
      <c r="Z995" s="271" t="s">
        <v>25</v>
      </c>
      <c r="AA995" s="287"/>
      <c r="AB995" s="287"/>
      <c r="AC995" s="272">
        <f t="shared" si="33"/>
        <v>5000000</v>
      </c>
      <c r="AD995" s="272">
        <v>5000000</v>
      </c>
      <c r="AE995" s="272">
        <f t="shared" si="34"/>
        <v>0</v>
      </c>
      <c r="AF995" s="273"/>
      <c r="AG995" s="274"/>
      <c r="AH995" s="273"/>
      <c r="AI995" s="273"/>
      <c r="AJ995" s="274"/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>
        <v>5000000</v>
      </c>
      <c r="AV995" s="275"/>
      <c r="AW995" s="275"/>
      <c r="AX995" s="275"/>
      <c r="AY995" s="275"/>
      <c r="AZ995" s="275"/>
      <c r="BA995" s="275"/>
      <c r="BB995" s="275"/>
      <c r="BC995" s="275"/>
      <c r="BD995" s="275"/>
      <c r="BE995" s="275"/>
      <c r="BF995" s="275"/>
      <c r="BH995" s="277"/>
    </row>
    <row r="996" spans="1:60" ht="16.5" customHeight="1">
      <c r="A996" s="260">
        <v>974</v>
      </c>
      <c r="B996" s="261"/>
      <c r="C996" s="261"/>
      <c r="D996" s="262" t="s">
        <v>15</v>
      </c>
      <c r="E996" s="262" t="s">
        <v>456</v>
      </c>
      <c r="F996" s="263" t="s">
        <v>15</v>
      </c>
      <c r="G996" s="264" t="s">
        <v>456</v>
      </c>
      <c r="H996" s="281"/>
      <c r="I996" s="265"/>
      <c r="J996" s="266" t="s">
        <v>189</v>
      </c>
      <c r="K996" s="262"/>
      <c r="L996" s="262"/>
      <c r="M996" s="262">
        <v>5034</v>
      </c>
      <c r="N996" s="262" t="s">
        <v>22</v>
      </c>
      <c r="O996" s="262" t="s">
        <v>56</v>
      </c>
      <c r="P996" s="262"/>
      <c r="Q996" s="262" t="s">
        <v>23</v>
      </c>
      <c r="R996" s="262" t="s">
        <v>397</v>
      </c>
      <c r="S996" s="267" t="s">
        <v>823</v>
      </c>
      <c r="T996" s="268"/>
      <c r="U996" s="269"/>
      <c r="V996" s="269">
        <v>1231000</v>
      </c>
      <c r="W996" s="278">
        <v>0</v>
      </c>
      <c r="X996" s="270"/>
      <c r="Y996" s="262" t="s">
        <v>20</v>
      </c>
      <c r="Z996" s="271" t="s">
        <v>27</v>
      </c>
      <c r="AA996" s="287"/>
      <c r="AB996" s="287"/>
      <c r="AC996" s="272">
        <f t="shared" si="33"/>
        <v>300000</v>
      </c>
      <c r="AD996" s="272">
        <v>300000</v>
      </c>
      <c r="AE996" s="272">
        <f t="shared" si="34"/>
        <v>0</v>
      </c>
      <c r="AF996" s="273"/>
      <c r="AG996" s="274"/>
      <c r="AH996" s="273"/>
      <c r="AI996" s="273"/>
      <c r="AJ996" s="274"/>
      <c r="AK996" s="273"/>
      <c r="AL996" s="275"/>
      <c r="AM996" s="290"/>
      <c r="AN996" s="275"/>
      <c r="AO996" s="276">
        <v>300000</v>
      </c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/>
      <c r="BB996" s="275"/>
      <c r="BC996" s="275"/>
      <c r="BD996" s="275"/>
      <c r="BE996" s="275"/>
      <c r="BF996" s="275"/>
      <c r="BH996" s="277"/>
    </row>
    <row r="997" spans="1:60" ht="16.5" customHeight="1">
      <c r="A997" s="260">
        <v>975</v>
      </c>
      <c r="B997" s="261"/>
      <c r="C997" s="261"/>
      <c r="D997" s="262" t="s">
        <v>15</v>
      </c>
      <c r="E997" s="262" t="s">
        <v>456</v>
      </c>
      <c r="F997" s="263" t="s">
        <v>15</v>
      </c>
      <c r="G997" s="264" t="s">
        <v>456</v>
      </c>
      <c r="H997" s="281"/>
      <c r="I997" s="265"/>
      <c r="J997" s="266" t="s">
        <v>321</v>
      </c>
      <c r="K997" s="262"/>
      <c r="L997" s="262"/>
      <c r="M997" s="262">
        <v>10339</v>
      </c>
      <c r="N997" s="262" t="s">
        <v>32</v>
      </c>
      <c r="O997" s="262" t="s">
        <v>56</v>
      </c>
      <c r="P997" s="262"/>
      <c r="Q997" s="262" t="s">
        <v>23</v>
      </c>
      <c r="R997" s="262" t="s">
        <v>397</v>
      </c>
      <c r="S997" s="267" t="s">
        <v>823</v>
      </c>
      <c r="T997" s="268"/>
      <c r="U997" s="269"/>
      <c r="V997" s="269">
        <v>895454545</v>
      </c>
      <c r="W997" s="278">
        <v>947827273</v>
      </c>
      <c r="X997" s="270"/>
      <c r="Y997" s="262" t="s">
        <v>27</v>
      </c>
      <c r="Z997" s="271" t="s">
        <v>562</v>
      </c>
      <c r="AA997" s="287"/>
      <c r="AB997" s="287"/>
      <c r="AC997" s="272">
        <f t="shared" si="33"/>
        <v>900000000</v>
      </c>
      <c r="AD997" s="272">
        <v>900000000</v>
      </c>
      <c r="AE997" s="272">
        <f t="shared" si="34"/>
        <v>0</v>
      </c>
      <c r="AF997" s="273"/>
      <c r="AG997" s="274"/>
      <c r="AH997" s="273"/>
      <c r="AI997" s="273"/>
      <c r="AJ997" s="274"/>
      <c r="AK997" s="273"/>
      <c r="AL997" s="275"/>
      <c r="AM997" s="290"/>
      <c r="AN997" s="275"/>
      <c r="AO997" s="276"/>
      <c r="AP997" s="275"/>
      <c r="AQ997" s="275"/>
      <c r="AR997" s="275"/>
      <c r="AS997" s="275"/>
      <c r="AT997" s="275"/>
      <c r="AU997" s="275">
        <v>600000000</v>
      </c>
      <c r="AV997" s="275"/>
      <c r="AW997" s="275"/>
      <c r="AX997" s="275"/>
      <c r="AY997" s="275"/>
      <c r="AZ997" s="275"/>
      <c r="BA997" s="275"/>
      <c r="BB997" s="275"/>
      <c r="BC997" s="275"/>
      <c r="BD997" s="275"/>
      <c r="BE997" s="275">
        <v>300000000</v>
      </c>
      <c r="BF997" s="275"/>
      <c r="BH997" s="277"/>
    </row>
    <row r="998" spans="1:60" ht="16.5" customHeight="1">
      <c r="A998" s="260">
        <v>976</v>
      </c>
      <c r="B998" s="261"/>
      <c r="C998" s="261"/>
      <c r="D998" s="262" t="s">
        <v>15</v>
      </c>
      <c r="E998" s="262" t="s">
        <v>456</v>
      </c>
      <c r="F998" s="263" t="s">
        <v>15</v>
      </c>
      <c r="G998" s="264" t="s">
        <v>456</v>
      </c>
      <c r="H998" s="281"/>
      <c r="I998" s="265"/>
      <c r="J998" s="266" t="s">
        <v>321</v>
      </c>
      <c r="K998" s="262"/>
      <c r="L998" s="262"/>
      <c r="M998" s="262">
        <v>10339</v>
      </c>
      <c r="N998" s="262" t="s">
        <v>32</v>
      </c>
      <c r="O998" s="262" t="s">
        <v>56</v>
      </c>
      <c r="P998" s="262"/>
      <c r="Q998" s="262" t="s">
        <v>111</v>
      </c>
      <c r="R998" s="262" t="s">
        <v>472</v>
      </c>
      <c r="S998" s="267" t="s">
        <v>824</v>
      </c>
      <c r="T998" s="268"/>
      <c r="U998" s="269"/>
      <c r="V998" s="269">
        <v>935798800</v>
      </c>
      <c r="W998" s="278">
        <v>126718182</v>
      </c>
      <c r="X998" s="270"/>
      <c r="Y998" s="262" t="s">
        <v>27</v>
      </c>
      <c r="Z998" s="271" t="s">
        <v>24</v>
      </c>
      <c r="AA998" s="287"/>
      <c r="AB998" s="287"/>
      <c r="AC998" s="272">
        <f t="shared" si="33"/>
        <v>170000000</v>
      </c>
      <c r="AD998" s="272">
        <v>170000000</v>
      </c>
      <c r="AE998" s="272">
        <f t="shared" si="34"/>
        <v>0</v>
      </c>
      <c r="AF998" s="273"/>
      <c r="AG998" s="274"/>
      <c r="AH998" s="273"/>
      <c r="AI998" s="273"/>
      <c r="AJ998" s="274"/>
      <c r="AK998" s="273"/>
      <c r="AL998" s="275"/>
      <c r="AM998" s="290"/>
      <c r="AN998" s="275"/>
      <c r="AO998" s="276"/>
      <c r="AP998" s="275"/>
      <c r="AQ998" s="275"/>
      <c r="AR998" s="275"/>
      <c r="AS998" s="275"/>
      <c r="AT998" s="275"/>
      <c r="AU998" s="275">
        <v>70000000</v>
      </c>
      <c r="AV998" s="275"/>
      <c r="AW998" s="275"/>
      <c r="AX998" s="275"/>
      <c r="AY998" s="275"/>
      <c r="AZ998" s="275"/>
      <c r="BA998" s="275"/>
      <c r="BB998" s="275"/>
      <c r="BC998" s="275"/>
      <c r="BD998" s="275"/>
      <c r="BE998" s="275">
        <v>100000000</v>
      </c>
      <c r="BF998" s="275"/>
      <c r="BH998" s="277"/>
    </row>
    <row r="999" spans="1:60" ht="16.5" customHeight="1">
      <c r="A999" s="260">
        <v>977</v>
      </c>
      <c r="B999" s="261"/>
      <c r="C999" s="261"/>
      <c r="D999" s="262" t="s">
        <v>15</v>
      </c>
      <c r="E999" s="262" t="s">
        <v>456</v>
      </c>
      <c r="F999" s="263" t="s">
        <v>15</v>
      </c>
      <c r="G999" s="264" t="s">
        <v>456</v>
      </c>
      <c r="H999" s="281"/>
      <c r="I999" s="265"/>
      <c r="J999" s="266" t="s">
        <v>662</v>
      </c>
      <c r="K999" s="262"/>
      <c r="L999" s="262"/>
      <c r="M999" s="262">
        <v>63261</v>
      </c>
      <c r="N999" s="262" t="s">
        <v>22</v>
      </c>
      <c r="O999" s="262" t="s">
        <v>35</v>
      </c>
      <c r="P999" s="262"/>
      <c r="Q999" s="262"/>
      <c r="R999" s="262" t="s">
        <v>476</v>
      </c>
      <c r="S999" s="267" t="s">
        <v>825</v>
      </c>
      <c r="T999" s="268"/>
      <c r="U999" s="269"/>
      <c r="V999" s="269"/>
      <c r="W999" s="278">
        <v>11000000</v>
      </c>
      <c r="X999" s="270"/>
      <c r="Y999" s="262" t="s">
        <v>27</v>
      </c>
      <c r="Z999" s="271" t="s">
        <v>718</v>
      </c>
      <c r="AA999" s="287"/>
      <c r="AB999" s="287"/>
      <c r="AC999" s="272">
        <f t="shared" si="33"/>
        <v>0</v>
      </c>
      <c r="AD999" s="272">
        <v>0</v>
      </c>
      <c r="AE999" s="272">
        <f t="shared" si="34"/>
        <v>0</v>
      </c>
      <c r="AF999" s="273"/>
      <c r="AG999" s="274"/>
      <c r="AH999" s="273"/>
      <c r="AI999" s="273"/>
      <c r="AJ999" s="274"/>
      <c r="AK999" s="273"/>
      <c r="AL999" s="275"/>
      <c r="AM999" s="290"/>
      <c r="AN999" s="275"/>
      <c r="AO999" s="276"/>
      <c r="AP999" s="275"/>
      <c r="AQ999" s="275"/>
      <c r="AR999" s="275"/>
      <c r="AS999" s="275"/>
      <c r="AT999" s="275"/>
      <c r="AU999" s="275"/>
      <c r="AV999" s="275"/>
      <c r="AW999" s="275"/>
      <c r="AX999" s="275"/>
      <c r="AY999" s="275"/>
      <c r="AZ999" s="275"/>
      <c r="BA999" s="275"/>
      <c r="BB999" s="275"/>
      <c r="BC999" s="275"/>
      <c r="BD999" s="275"/>
      <c r="BE999" s="275"/>
      <c r="BF999" s="275"/>
      <c r="BH999" s="277"/>
    </row>
    <row r="1000" spans="1:60" ht="16.5" customHeight="1">
      <c r="A1000" s="260">
        <v>978</v>
      </c>
      <c r="B1000" s="261"/>
      <c r="C1000" s="261"/>
      <c r="D1000" s="262" t="s">
        <v>15</v>
      </c>
      <c r="E1000" s="262" t="s">
        <v>456</v>
      </c>
      <c r="F1000" s="263" t="s">
        <v>15</v>
      </c>
      <c r="G1000" s="264" t="s">
        <v>456</v>
      </c>
      <c r="H1000" s="281"/>
      <c r="I1000" s="265"/>
      <c r="J1000" s="266" t="s">
        <v>785</v>
      </c>
      <c r="K1000" s="262"/>
      <c r="L1000" s="262"/>
      <c r="M1000" s="262">
        <v>64093</v>
      </c>
      <c r="N1000" s="262"/>
      <c r="O1000" s="262"/>
      <c r="P1000" s="262"/>
      <c r="Q1000" s="262"/>
      <c r="R1000" s="262" t="s">
        <v>468</v>
      </c>
      <c r="S1000" s="267" t="s">
        <v>468</v>
      </c>
      <c r="T1000" s="268"/>
      <c r="U1000" s="269"/>
      <c r="V1000" s="269"/>
      <c r="W1000" s="278">
        <v>3005000</v>
      </c>
      <c r="X1000" s="270"/>
      <c r="Y1000" s="262" t="s">
        <v>27</v>
      </c>
      <c r="Z1000" s="271" t="s">
        <v>718</v>
      </c>
      <c r="AA1000" s="287"/>
      <c r="AB1000" s="287"/>
      <c r="AC1000" s="272">
        <f t="shared" si="33"/>
        <v>0</v>
      </c>
      <c r="AD1000" s="272">
        <v>0</v>
      </c>
      <c r="AE1000" s="272">
        <f t="shared" si="34"/>
        <v>0</v>
      </c>
      <c r="AF1000" s="273"/>
      <c r="AG1000" s="274"/>
      <c r="AH1000" s="273"/>
      <c r="AI1000" s="273"/>
      <c r="AJ1000" s="274"/>
      <c r="AK1000" s="273"/>
      <c r="AL1000" s="275"/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/>
      <c r="AX1000" s="275"/>
      <c r="AY1000" s="275"/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customHeight="1">
      <c r="A1001" s="260">
        <v>979</v>
      </c>
      <c r="B1001" s="261"/>
      <c r="C1001" s="261"/>
      <c r="D1001" s="262" t="s">
        <v>15</v>
      </c>
      <c r="E1001" s="262" t="s">
        <v>456</v>
      </c>
      <c r="F1001" s="263" t="s">
        <v>15</v>
      </c>
      <c r="G1001" s="264" t="s">
        <v>456</v>
      </c>
      <c r="H1001" s="281"/>
      <c r="I1001" s="265"/>
      <c r="J1001" s="266" t="s">
        <v>67</v>
      </c>
      <c r="K1001" s="262"/>
      <c r="L1001" s="262"/>
      <c r="M1001" s="262">
        <v>23529</v>
      </c>
      <c r="N1001" s="262" t="s">
        <v>22</v>
      </c>
      <c r="O1001" s="262" t="s">
        <v>56</v>
      </c>
      <c r="P1001" s="262"/>
      <c r="Q1001" s="262" t="s">
        <v>30</v>
      </c>
      <c r="R1001" s="262" t="s">
        <v>31</v>
      </c>
      <c r="S1001" s="267" t="s">
        <v>31</v>
      </c>
      <c r="T1001" s="268"/>
      <c r="U1001" s="269">
        <v>5257000</v>
      </c>
      <c r="V1001" s="269">
        <v>4224000</v>
      </c>
      <c r="W1001" s="278">
        <v>0</v>
      </c>
      <c r="X1001" s="270"/>
      <c r="Y1001" s="262" t="s">
        <v>74</v>
      </c>
      <c r="Z1001" s="271" t="s">
        <v>25</v>
      </c>
      <c r="AA1001" s="287"/>
      <c r="AB1001" s="287"/>
      <c r="AC1001" s="272">
        <f t="shared" si="33"/>
        <v>4000000</v>
      </c>
      <c r="AD1001" s="272">
        <v>4000000</v>
      </c>
      <c r="AE1001" s="272">
        <f t="shared" si="34"/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/>
      <c r="AP1001" s="275"/>
      <c r="AQ1001" s="275"/>
      <c r="AR1001" s="275"/>
      <c r="AS1001" s="275"/>
      <c r="AT1001" s="275"/>
      <c r="AU1001" s="275">
        <v>4000000</v>
      </c>
      <c r="AV1001" s="275"/>
      <c r="AW1001" s="275"/>
      <c r="AX1001" s="275"/>
      <c r="AY1001" s="275"/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customHeight="1">
      <c r="A1002" s="260">
        <v>980</v>
      </c>
      <c r="B1002" s="261"/>
      <c r="C1002" s="261"/>
      <c r="D1002" s="262" t="s">
        <v>15</v>
      </c>
      <c r="E1002" s="262" t="s">
        <v>456</v>
      </c>
      <c r="F1002" s="263" t="s">
        <v>15</v>
      </c>
      <c r="G1002" s="264" t="s">
        <v>456</v>
      </c>
      <c r="H1002" s="281"/>
      <c r="I1002" s="265"/>
      <c r="J1002" s="266" t="s">
        <v>559</v>
      </c>
      <c r="K1002" s="262"/>
      <c r="L1002" s="262"/>
      <c r="M1002" s="262">
        <v>19263</v>
      </c>
      <c r="N1002" s="262" t="s">
        <v>32</v>
      </c>
      <c r="O1002" s="262" t="s">
        <v>56</v>
      </c>
      <c r="P1002" s="262"/>
      <c r="Q1002" s="262" t="s">
        <v>73</v>
      </c>
      <c r="R1002" s="262" t="s">
        <v>468</v>
      </c>
      <c r="S1002" s="267" t="s">
        <v>468</v>
      </c>
      <c r="T1002" s="268"/>
      <c r="U1002" s="269"/>
      <c r="V1002" s="269">
        <v>800000</v>
      </c>
      <c r="W1002" s="278">
        <v>0</v>
      </c>
      <c r="X1002" s="270"/>
      <c r="Y1002" s="262" t="s">
        <v>20</v>
      </c>
      <c r="Z1002" s="271" t="s">
        <v>20</v>
      </c>
      <c r="AA1002" s="287"/>
      <c r="AB1002" s="287"/>
      <c r="AC1002" s="272">
        <f t="shared" si="33"/>
        <v>0</v>
      </c>
      <c r="AD1002" s="272">
        <v>0</v>
      </c>
      <c r="AE1002" s="272">
        <f t="shared" si="34"/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/>
      <c r="AP1002" s="275"/>
      <c r="AQ1002" s="275"/>
      <c r="AR1002" s="275"/>
      <c r="AS1002" s="275"/>
      <c r="AT1002" s="275"/>
      <c r="AU1002" s="275"/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/>
      <c r="BF1002" s="275"/>
      <c r="BH1002" s="277"/>
    </row>
    <row r="1003" spans="1:60" ht="16.5" customHeight="1">
      <c r="A1003" s="260">
        <v>981</v>
      </c>
      <c r="B1003" s="261"/>
      <c r="C1003" s="261"/>
      <c r="D1003" s="262" t="s">
        <v>15</v>
      </c>
      <c r="E1003" s="262" t="s">
        <v>456</v>
      </c>
      <c r="F1003" s="263" t="s">
        <v>15</v>
      </c>
      <c r="G1003" s="264" t="s">
        <v>456</v>
      </c>
      <c r="H1003" s="281"/>
      <c r="I1003" s="265"/>
      <c r="J1003" s="266" t="s">
        <v>559</v>
      </c>
      <c r="K1003" s="262"/>
      <c r="L1003" s="262"/>
      <c r="M1003" s="262">
        <v>19263</v>
      </c>
      <c r="N1003" s="262" t="s">
        <v>32</v>
      </c>
      <c r="O1003" s="262" t="s">
        <v>56</v>
      </c>
      <c r="P1003" s="262"/>
      <c r="Q1003" s="262" t="s">
        <v>55</v>
      </c>
      <c r="R1003" s="262" t="s">
        <v>466</v>
      </c>
      <c r="S1003" s="267" t="s">
        <v>829</v>
      </c>
      <c r="T1003" s="268"/>
      <c r="U1003" s="269"/>
      <c r="V1003" s="269">
        <v>17272728</v>
      </c>
      <c r="W1003" s="278">
        <v>0</v>
      </c>
      <c r="X1003" s="270"/>
      <c r="Y1003" s="262" t="s">
        <v>24</v>
      </c>
      <c r="Z1003" s="271" t="s">
        <v>718</v>
      </c>
      <c r="AA1003" s="287"/>
      <c r="AB1003" s="287"/>
      <c r="AC1003" s="272">
        <f t="shared" si="33"/>
        <v>0</v>
      </c>
      <c r="AD1003" s="272">
        <v>0</v>
      </c>
      <c r="AE1003" s="272">
        <f t="shared" si="34"/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/>
      <c r="AP1003" s="275"/>
      <c r="AQ1003" s="275"/>
      <c r="AR1003" s="275"/>
      <c r="AS1003" s="275"/>
      <c r="AT1003" s="275"/>
      <c r="AU1003" s="275"/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/>
      <c r="BF1003" s="275"/>
      <c r="BH1003" s="277"/>
    </row>
    <row r="1004" spans="1:60" ht="16.5" customHeight="1">
      <c r="A1004" s="260">
        <v>982</v>
      </c>
      <c r="B1004" s="261"/>
      <c r="C1004" s="261"/>
      <c r="D1004" s="262" t="s">
        <v>15</v>
      </c>
      <c r="E1004" s="262" t="s">
        <v>456</v>
      </c>
      <c r="F1004" s="263" t="s">
        <v>15</v>
      </c>
      <c r="G1004" s="264" t="s">
        <v>456</v>
      </c>
      <c r="H1004" s="281"/>
      <c r="I1004" s="265"/>
      <c r="J1004" s="266" t="s">
        <v>936</v>
      </c>
      <c r="K1004" s="262"/>
      <c r="L1004" s="262"/>
      <c r="M1004" s="262">
        <v>19263</v>
      </c>
      <c r="N1004" s="262" t="s">
        <v>32</v>
      </c>
      <c r="O1004" s="262" t="s">
        <v>56</v>
      </c>
      <c r="P1004" s="262"/>
      <c r="Q1004" s="262" t="s">
        <v>73</v>
      </c>
      <c r="R1004" s="262"/>
      <c r="S1004" s="267" t="s">
        <v>828</v>
      </c>
      <c r="T1004" s="268"/>
      <c r="U1004" s="269"/>
      <c r="V1004" s="269"/>
      <c r="W1004" s="278">
        <v>0</v>
      </c>
      <c r="X1004" s="270"/>
      <c r="Y1004" s="262"/>
      <c r="Z1004" s="271" t="s">
        <v>27</v>
      </c>
      <c r="AA1004" s="287"/>
      <c r="AB1004" s="287"/>
      <c r="AC1004" s="272">
        <f t="shared" si="33"/>
        <v>4472727</v>
      </c>
      <c r="AD1004" s="272">
        <v>4472727</v>
      </c>
      <c r="AE1004" s="272">
        <f t="shared" si="34"/>
        <v>0</v>
      </c>
      <c r="AF1004" s="273">
        <v>4472727</v>
      </c>
      <c r="AG1004" s="274">
        <v>4472727</v>
      </c>
      <c r="AH1004" s="273"/>
      <c r="AI1004" s="273"/>
      <c r="AJ1004" s="274"/>
      <c r="AK1004" s="273"/>
      <c r="AL1004" s="275"/>
      <c r="AM1004" s="290"/>
      <c r="AN1004" s="275"/>
      <c r="AO1004" s="276"/>
      <c r="AP1004" s="275"/>
      <c r="AQ1004" s="275"/>
      <c r="AR1004" s="275"/>
      <c r="AS1004" s="275"/>
      <c r="AT1004" s="275"/>
      <c r="AU1004" s="275"/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/>
      <c r="BF1004" s="275"/>
      <c r="BH1004" s="277"/>
    </row>
    <row r="1005" spans="1:60" ht="16.5" customHeight="1">
      <c r="A1005" s="260">
        <v>983</v>
      </c>
      <c r="B1005" s="261"/>
      <c r="C1005" s="261"/>
      <c r="D1005" s="262" t="s">
        <v>15</v>
      </c>
      <c r="E1005" s="262" t="s">
        <v>456</v>
      </c>
      <c r="F1005" s="263" t="s">
        <v>15</v>
      </c>
      <c r="G1005" s="264" t="s">
        <v>456</v>
      </c>
      <c r="H1005" s="281"/>
      <c r="I1005" s="265"/>
      <c r="J1005" s="266" t="s">
        <v>936</v>
      </c>
      <c r="K1005" s="262"/>
      <c r="L1005" s="262"/>
      <c r="M1005" s="262">
        <v>19263</v>
      </c>
      <c r="N1005" s="262" t="s">
        <v>32</v>
      </c>
      <c r="O1005" s="262" t="s">
        <v>35</v>
      </c>
      <c r="P1005" s="262"/>
      <c r="Q1005" s="262" t="s">
        <v>23</v>
      </c>
      <c r="R1005" s="262" t="s">
        <v>397</v>
      </c>
      <c r="S1005" s="267" t="s">
        <v>823</v>
      </c>
      <c r="T1005" s="268"/>
      <c r="U1005" s="269"/>
      <c r="V1005" s="269">
        <v>38000000</v>
      </c>
      <c r="W1005" s="278">
        <v>154127273</v>
      </c>
      <c r="X1005" s="270"/>
      <c r="Y1005" s="262" t="s">
        <v>27</v>
      </c>
      <c r="Z1005" s="271" t="s">
        <v>27</v>
      </c>
      <c r="AA1005" s="287"/>
      <c r="AB1005" s="287"/>
      <c r="AC1005" s="272">
        <f t="shared" si="33"/>
        <v>140145453</v>
      </c>
      <c r="AD1005" s="272">
        <v>140145453</v>
      </c>
      <c r="AE1005" s="272">
        <f t="shared" si="34"/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>
        <v>98101817</v>
      </c>
      <c r="AP1005" s="275"/>
      <c r="AQ1005" s="275"/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>
        <v>42043636</v>
      </c>
      <c r="BF1005" s="275"/>
      <c r="BH1005" s="277"/>
    </row>
    <row r="1006" spans="1:60" ht="16.5" customHeight="1">
      <c r="A1006" s="260">
        <v>984</v>
      </c>
      <c r="B1006" s="261"/>
      <c r="C1006" s="261"/>
      <c r="D1006" s="262" t="s">
        <v>15</v>
      </c>
      <c r="E1006" s="262" t="s">
        <v>456</v>
      </c>
      <c r="F1006" s="263" t="s">
        <v>15</v>
      </c>
      <c r="G1006" s="264" t="s">
        <v>456</v>
      </c>
      <c r="H1006" s="281"/>
      <c r="I1006" s="265"/>
      <c r="J1006" s="266" t="s">
        <v>190</v>
      </c>
      <c r="K1006" s="262"/>
      <c r="L1006" s="262"/>
      <c r="M1006" s="262">
        <v>59741</v>
      </c>
      <c r="N1006" s="262" t="s">
        <v>32</v>
      </c>
      <c r="O1006" s="262" t="s">
        <v>35</v>
      </c>
      <c r="P1006" s="262" t="s">
        <v>124</v>
      </c>
      <c r="Q1006" s="262"/>
      <c r="R1006" s="262" t="s">
        <v>397</v>
      </c>
      <c r="S1006" s="267" t="s">
        <v>823</v>
      </c>
      <c r="T1006" s="268"/>
      <c r="U1006" s="269"/>
      <c r="V1006" s="269">
        <v>0</v>
      </c>
      <c r="W1006" s="278">
        <v>0</v>
      </c>
      <c r="X1006" s="270"/>
      <c r="Y1006" s="262" t="s">
        <v>599</v>
      </c>
      <c r="Z1006" s="271" t="s">
        <v>599</v>
      </c>
      <c r="AA1006" s="287"/>
      <c r="AB1006" s="287"/>
      <c r="AC1006" s="272">
        <f t="shared" si="33"/>
        <v>100000000</v>
      </c>
      <c r="AD1006" s="272">
        <v>100000000</v>
      </c>
      <c r="AE1006" s="272">
        <f t="shared" si="34"/>
        <v>0</v>
      </c>
      <c r="AF1006" s="273"/>
      <c r="AG1006" s="274"/>
      <c r="AH1006" s="273"/>
      <c r="AI1006" s="273"/>
      <c r="AJ1006" s="274"/>
      <c r="AK1006" s="273"/>
      <c r="AL1006" s="275"/>
      <c r="AM1006" s="290"/>
      <c r="AN1006" s="275"/>
      <c r="AO1006" s="276"/>
      <c r="AP1006" s="275"/>
      <c r="AQ1006" s="275">
        <v>70000000</v>
      </c>
      <c r="AR1006" s="275"/>
      <c r="AS1006" s="275"/>
      <c r="AT1006" s="275"/>
      <c r="AU1006" s="275"/>
      <c r="AV1006" s="275"/>
      <c r="AW1006" s="275"/>
      <c r="AX1006" s="275"/>
      <c r="AY1006" s="275"/>
      <c r="AZ1006" s="275"/>
      <c r="BA1006" s="275"/>
      <c r="BB1006" s="275"/>
      <c r="BC1006" s="275"/>
      <c r="BD1006" s="275"/>
      <c r="BE1006" s="275">
        <v>30000000</v>
      </c>
      <c r="BF1006" s="275"/>
      <c r="BH1006" s="277"/>
    </row>
    <row r="1007" spans="1:60" ht="16.5" customHeight="1">
      <c r="A1007" s="260">
        <v>985</v>
      </c>
      <c r="B1007" s="261"/>
      <c r="C1007" s="261"/>
      <c r="D1007" s="262" t="s">
        <v>15</v>
      </c>
      <c r="E1007" s="262" t="s">
        <v>456</v>
      </c>
      <c r="F1007" s="263" t="s">
        <v>15</v>
      </c>
      <c r="G1007" s="264" t="s">
        <v>456</v>
      </c>
      <c r="H1007" s="281"/>
      <c r="I1007" s="265"/>
      <c r="J1007" s="266" t="s">
        <v>191</v>
      </c>
      <c r="K1007" s="262"/>
      <c r="L1007" s="262"/>
      <c r="M1007" s="262">
        <v>3608</v>
      </c>
      <c r="N1007" s="262" t="s">
        <v>32</v>
      </c>
      <c r="O1007" s="262" t="s">
        <v>35</v>
      </c>
      <c r="P1007" s="262" t="s">
        <v>124</v>
      </c>
      <c r="Q1007" s="262"/>
      <c r="R1007" s="262" t="s">
        <v>469</v>
      </c>
      <c r="S1007" s="267" t="s">
        <v>469</v>
      </c>
      <c r="T1007" s="268"/>
      <c r="U1007" s="269"/>
      <c r="V1007" s="269">
        <v>0</v>
      </c>
      <c r="W1007" s="278">
        <v>0</v>
      </c>
      <c r="X1007" s="270"/>
      <c r="Y1007" s="262" t="s">
        <v>562</v>
      </c>
      <c r="Z1007" s="271" t="s">
        <v>25</v>
      </c>
      <c r="AA1007" s="287"/>
      <c r="AB1007" s="287"/>
      <c r="AC1007" s="272">
        <f t="shared" si="33"/>
        <v>10000000</v>
      </c>
      <c r="AD1007" s="272">
        <v>10000000</v>
      </c>
      <c r="AE1007" s="272">
        <f t="shared" si="34"/>
        <v>0</v>
      </c>
      <c r="AF1007" s="273"/>
      <c r="AG1007" s="274"/>
      <c r="AH1007" s="273"/>
      <c r="AI1007" s="273"/>
      <c r="AJ1007" s="274"/>
      <c r="AK1007" s="273"/>
      <c r="AL1007" s="275"/>
      <c r="AM1007" s="290"/>
      <c r="AN1007" s="275"/>
      <c r="AO1007" s="276"/>
      <c r="AP1007" s="275"/>
      <c r="AQ1007" s="275"/>
      <c r="AR1007" s="275"/>
      <c r="AS1007" s="275"/>
      <c r="AT1007" s="275"/>
      <c r="AU1007" s="275"/>
      <c r="AV1007" s="275"/>
      <c r="AW1007" s="275"/>
      <c r="AX1007" s="275"/>
      <c r="AY1007" s="275"/>
      <c r="AZ1007" s="275"/>
      <c r="BA1007" s="275">
        <v>10000000</v>
      </c>
      <c r="BB1007" s="275"/>
      <c r="BC1007" s="275"/>
      <c r="BD1007" s="275"/>
      <c r="BE1007" s="275"/>
      <c r="BF1007" s="275"/>
      <c r="BH1007" s="277"/>
    </row>
    <row r="1008" spans="1:60" ht="16.5" customHeight="1">
      <c r="A1008" s="260">
        <v>986</v>
      </c>
      <c r="B1008" s="261"/>
      <c r="C1008" s="261"/>
      <c r="D1008" s="262" t="s">
        <v>15</v>
      </c>
      <c r="E1008" s="262" t="s">
        <v>456</v>
      </c>
      <c r="F1008" s="263" t="s">
        <v>15</v>
      </c>
      <c r="G1008" s="264" t="s">
        <v>456</v>
      </c>
      <c r="H1008" s="281"/>
      <c r="I1008" s="265"/>
      <c r="J1008" s="266" t="s">
        <v>191</v>
      </c>
      <c r="K1008" s="262"/>
      <c r="L1008" s="262"/>
      <c r="M1008" s="262">
        <v>3608</v>
      </c>
      <c r="N1008" s="262" t="s">
        <v>32</v>
      </c>
      <c r="O1008" s="262" t="s">
        <v>56</v>
      </c>
      <c r="P1008" s="262"/>
      <c r="Q1008" s="262" t="s">
        <v>26</v>
      </c>
      <c r="R1008" s="262" t="s">
        <v>468</v>
      </c>
      <c r="S1008" s="267" t="s">
        <v>468</v>
      </c>
      <c r="T1008" s="268"/>
      <c r="U1008" s="269"/>
      <c r="V1008" s="269">
        <v>18000000</v>
      </c>
      <c r="W1008" s="278">
        <v>0</v>
      </c>
      <c r="X1008" s="270"/>
      <c r="Y1008" s="262" t="s">
        <v>24</v>
      </c>
      <c r="Z1008" s="271" t="s">
        <v>25</v>
      </c>
      <c r="AA1008" s="287"/>
      <c r="AB1008" s="287"/>
      <c r="AC1008" s="272">
        <f t="shared" si="33"/>
        <v>10000000</v>
      </c>
      <c r="AD1008" s="272">
        <v>10000000</v>
      </c>
      <c r="AE1008" s="272">
        <f t="shared" si="34"/>
        <v>0</v>
      </c>
      <c r="AF1008" s="273"/>
      <c r="AG1008" s="274"/>
      <c r="AH1008" s="273"/>
      <c r="AI1008" s="273"/>
      <c r="AJ1008" s="274"/>
      <c r="AK1008" s="273"/>
      <c r="AL1008" s="275"/>
      <c r="AM1008" s="290"/>
      <c r="AN1008" s="275"/>
      <c r="AO1008" s="276"/>
      <c r="AP1008" s="275"/>
      <c r="AQ1008" s="275"/>
      <c r="AR1008" s="275"/>
      <c r="AS1008" s="275"/>
      <c r="AT1008" s="275"/>
      <c r="AU1008" s="275">
        <v>10000000</v>
      </c>
      <c r="AV1008" s="275"/>
      <c r="AW1008" s="275"/>
      <c r="AX1008" s="275"/>
      <c r="AY1008" s="275"/>
      <c r="AZ1008" s="275"/>
      <c r="BA1008" s="275"/>
      <c r="BB1008" s="275"/>
      <c r="BC1008" s="275"/>
      <c r="BD1008" s="275"/>
      <c r="BE1008" s="275"/>
      <c r="BF1008" s="275"/>
      <c r="BH1008" s="277"/>
    </row>
    <row r="1009" spans="1:60" ht="16.5" customHeight="1">
      <c r="A1009" s="260">
        <v>987</v>
      </c>
      <c r="B1009" s="261"/>
      <c r="C1009" s="261"/>
      <c r="D1009" s="262" t="s">
        <v>15</v>
      </c>
      <c r="E1009" s="262" t="s">
        <v>456</v>
      </c>
      <c r="F1009" s="263" t="s">
        <v>15</v>
      </c>
      <c r="G1009" s="264" t="s">
        <v>456</v>
      </c>
      <c r="H1009" s="281"/>
      <c r="I1009" s="265"/>
      <c r="J1009" s="266" t="s">
        <v>191</v>
      </c>
      <c r="K1009" s="262"/>
      <c r="L1009" s="262"/>
      <c r="M1009" s="262">
        <v>3608</v>
      </c>
      <c r="N1009" s="262" t="s">
        <v>32</v>
      </c>
      <c r="O1009" s="262" t="s">
        <v>56</v>
      </c>
      <c r="P1009" s="262" t="s">
        <v>124</v>
      </c>
      <c r="Q1009" s="262" t="s">
        <v>23</v>
      </c>
      <c r="R1009" s="262" t="s">
        <v>397</v>
      </c>
      <c r="S1009" s="267" t="s">
        <v>823</v>
      </c>
      <c r="T1009" s="268"/>
      <c r="U1009" s="269"/>
      <c r="V1009" s="269">
        <v>18000000</v>
      </c>
      <c r="W1009" s="278">
        <v>0</v>
      </c>
      <c r="X1009" s="270"/>
      <c r="Y1009" s="262" t="s">
        <v>599</v>
      </c>
      <c r="Z1009" s="271" t="s">
        <v>599</v>
      </c>
      <c r="AA1009" s="287"/>
      <c r="AB1009" s="287"/>
      <c r="AC1009" s="272">
        <f t="shared" si="33"/>
        <v>100000000</v>
      </c>
      <c r="AD1009" s="272">
        <v>100000000</v>
      </c>
      <c r="AE1009" s="272">
        <f t="shared" si="34"/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>
        <v>70000000</v>
      </c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>
        <v>30000000</v>
      </c>
      <c r="BF1009" s="275"/>
      <c r="BH1009" s="277"/>
    </row>
    <row r="1010" spans="1:60" ht="16.5" customHeight="1">
      <c r="A1010" s="260">
        <v>988</v>
      </c>
      <c r="B1010" s="261"/>
      <c r="C1010" s="261"/>
      <c r="D1010" s="262" t="s">
        <v>15</v>
      </c>
      <c r="E1010" s="262" t="s">
        <v>456</v>
      </c>
      <c r="F1010" s="263" t="s">
        <v>15</v>
      </c>
      <c r="G1010" s="264" t="s">
        <v>456</v>
      </c>
      <c r="H1010" s="281"/>
      <c r="I1010" s="265"/>
      <c r="J1010" s="266" t="s">
        <v>786</v>
      </c>
      <c r="K1010" s="262"/>
      <c r="L1010" s="262"/>
      <c r="M1010" s="262">
        <v>3608</v>
      </c>
      <c r="N1010" s="262" t="s">
        <v>32</v>
      </c>
      <c r="O1010" s="262" t="s">
        <v>56</v>
      </c>
      <c r="P1010" s="262"/>
      <c r="Q1010" s="262" t="s">
        <v>59</v>
      </c>
      <c r="R1010" s="262" t="s">
        <v>476</v>
      </c>
      <c r="S1010" s="267" t="s">
        <v>825</v>
      </c>
      <c r="T1010" s="268"/>
      <c r="U1010" s="269"/>
      <c r="V1010" s="269">
        <v>19090909</v>
      </c>
      <c r="W1010" s="278">
        <v>0</v>
      </c>
      <c r="X1010" s="270"/>
      <c r="Y1010" s="262" t="s">
        <v>562</v>
      </c>
      <c r="Z1010" s="271" t="s">
        <v>20</v>
      </c>
      <c r="AA1010" s="287"/>
      <c r="AB1010" s="287"/>
      <c r="AC1010" s="272">
        <f t="shared" si="33"/>
        <v>0</v>
      </c>
      <c r="AD1010" s="272">
        <v>0</v>
      </c>
      <c r="AE1010" s="272">
        <f t="shared" si="34"/>
        <v>0</v>
      </c>
      <c r="AF1010" s="273"/>
      <c r="AG1010" s="274"/>
      <c r="AH1010" s="273"/>
      <c r="AI1010" s="273"/>
      <c r="AJ1010" s="274"/>
      <c r="AK1010" s="273"/>
      <c r="AL1010" s="275"/>
      <c r="AM1010" s="290"/>
      <c r="AN1010" s="275"/>
      <c r="AO1010" s="276"/>
      <c r="AP1010" s="275"/>
      <c r="AQ1010" s="275"/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customHeight="1">
      <c r="A1011" s="260">
        <v>989</v>
      </c>
      <c r="B1011" s="261"/>
      <c r="C1011" s="261"/>
      <c r="D1011" s="262" t="s">
        <v>15</v>
      </c>
      <c r="E1011" s="262" t="s">
        <v>456</v>
      </c>
      <c r="F1011" s="263" t="s">
        <v>15</v>
      </c>
      <c r="G1011" s="264" t="s">
        <v>456</v>
      </c>
      <c r="H1011" s="281"/>
      <c r="I1011" s="265"/>
      <c r="J1011" s="266" t="s">
        <v>167</v>
      </c>
      <c r="K1011" s="262"/>
      <c r="L1011" s="262"/>
      <c r="M1011" s="262">
        <v>17829</v>
      </c>
      <c r="N1011" s="262" t="s">
        <v>22</v>
      </c>
      <c r="O1011" s="262" t="s">
        <v>212</v>
      </c>
      <c r="P1011" s="262" t="s">
        <v>57</v>
      </c>
      <c r="Q1011" s="262" t="s">
        <v>18</v>
      </c>
      <c r="R1011" s="262" t="s">
        <v>19</v>
      </c>
      <c r="S1011" s="267" t="s">
        <v>19</v>
      </c>
      <c r="T1011" s="268"/>
      <c r="U1011" s="269">
        <v>5604060</v>
      </c>
      <c r="V1011" s="269">
        <v>11085216</v>
      </c>
      <c r="W1011" s="278">
        <v>11533482</v>
      </c>
      <c r="X1011" s="270"/>
      <c r="Y1011" s="262" t="s">
        <v>27</v>
      </c>
      <c r="Z1011" s="271" t="s">
        <v>27</v>
      </c>
      <c r="AA1011" s="287"/>
      <c r="AB1011" s="287"/>
      <c r="AC1011" s="272">
        <f t="shared" si="33"/>
        <v>11035140</v>
      </c>
      <c r="AD1011" s="272">
        <v>11035140</v>
      </c>
      <c r="AE1011" s="272">
        <f t="shared" si="34"/>
        <v>0</v>
      </c>
      <c r="AF1011" s="273">
        <v>417140</v>
      </c>
      <c r="AG1011" s="274">
        <v>417140</v>
      </c>
      <c r="AH1011" s="273"/>
      <c r="AI1011" s="273"/>
      <c r="AJ1011" s="274">
        <v>889000</v>
      </c>
      <c r="AK1011" s="273"/>
      <c r="AL1011" s="275">
        <v>729000</v>
      </c>
      <c r="AM1011" s="290">
        <v>729000</v>
      </c>
      <c r="AN1011" s="275"/>
      <c r="AO1011" s="276">
        <v>1000000</v>
      </c>
      <c r="AP1011" s="275"/>
      <c r="AQ1011" s="275">
        <v>1000000</v>
      </c>
      <c r="AR1011" s="275"/>
      <c r="AS1011" s="275">
        <v>1000000</v>
      </c>
      <c r="AT1011" s="275"/>
      <c r="AU1011" s="275">
        <v>1000000</v>
      </c>
      <c r="AV1011" s="275"/>
      <c r="AW1011" s="275">
        <v>1000000</v>
      </c>
      <c r="AX1011" s="275"/>
      <c r="AY1011" s="275">
        <v>1000000</v>
      </c>
      <c r="AZ1011" s="275"/>
      <c r="BA1011" s="275">
        <v>1000000</v>
      </c>
      <c r="BB1011" s="275"/>
      <c r="BC1011" s="275">
        <v>1000000</v>
      </c>
      <c r="BD1011" s="275"/>
      <c r="BE1011" s="275">
        <v>1000000</v>
      </c>
      <c r="BF1011" s="275"/>
      <c r="BH1011" s="277"/>
    </row>
    <row r="1012" spans="1:60" ht="16.5" customHeight="1">
      <c r="A1012" s="260">
        <v>990</v>
      </c>
      <c r="B1012" s="261"/>
      <c r="C1012" s="261"/>
      <c r="D1012" s="262" t="s">
        <v>15</v>
      </c>
      <c r="E1012" s="262" t="s">
        <v>456</v>
      </c>
      <c r="F1012" s="263" t="s">
        <v>15</v>
      </c>
      <c r="G1012" s="264" t="s">
        <v>456</v>
      </c>
      <c r="H1012" s="281"/>
      <c r="I1012" s="265"/>
      <c r="J1012" s="266" t="s">
        <v>167</v>
      </c>
      <c r="K1012" s="262"/>
      <c r="L1012" s="262"/>
      <c r="M1012" s="262">
        <v>17829</v>
      </c>
      <c r="N1012" s="262" t="s">
        <v>22</v>
      </c>
      <c r="O1012" s="262" t="s">
        <v>35</v>
      </c>
      <c r="P1012" s="262" t="s">
        <v>57</v>
      </c>
      <c r="Q1012" s="262" t="s">
        <v>61</v>
      </c>
      <c r="R1012" s="262" t="s">
        <v>468</v>
      </c>
      <c r="S1012" s="267" t="s">
        <v>468</v>
      </c>
      <c r="T1012" s="268"/>
      <c r="U1012" s="269"/>
      <c r="V1012" s="269">
        <v>0</v>
      </c>
      <c r="W1012" s="278">
        <v>0</v>
      </c>
      <c r="X1012" s="270"/>
      <c r="Y1012" s="262" t="s">
        <v>24</v>
      </c>
      <c r="Z1012" s="271" t="s">
        <v>25</v>
      </c>
      <c r="AA1012" s="287"/>
      <c r="AB1012" s="287"/>
      <c r="AC1012" s="272">
        <f t="shared" si="33"/>
        <v>10000000</v>
      </c>
      <c r="AD1012" s="272">
        <v>10000000</v>
      </c>
      <c r="AE1012" s="272">
        <f t="shared" si="34"/>
        <v>0</v>
      </c>
      <c r="AF1012" s="273"/>
      <c r="AG1012" s="274"/>
      <c r="AH1012" s="273"/>
      <c r="AI1012" s="273"/>
      <c r="AJ1012" s="274"/>
      <c r="AK1012" s="273"/>
      <c r="AL1012" s="275"/>
      <c r="AM1012" s="290"/>
      <c r="AN1012" s="275"/>
      <c r="AO1012" s="276"/>
      <c r="AP1012" s="275"/>
      <c r="AQ1012" s="275"/>
      <c r="AR1012" s="275"/>
      <c r="AS1012" s="275">
        <v>5000000</v>
      </c>
      <c r="AT1012" s="275"/>
      <c r="AU1012" s="275"/>
      <c r="AV1012" s="275"/>
      <c r="AW1012" s="275"/>
      <c r="AX1012" s="275"/>
      <c r="AY1012" s="275"/>
      <c r="AZ1012" s="275"/>
      <c r="BA1012" s="275"/>
      <c r="BB1012" s="275"/>
      <c r="BC1012" s="275"/>
      <c r="BD1012" s="275"/>
      <c r="BE1012" s="275">
        <v>5000000</v>
      </c>
      <c r="BF1012" s="275"/>
      <c r="BH1012" s="277"/>
    </row>
    <row r="1013" spans="1:60" ht="16.5" customHeight="1">
      <c r="A1013" s="260">
        <v>991</v>
      </c>
      <c r="B1013" s="261"/>
      <c r="C1013" s="261"/>
      <c r="D1013" s="262" t="s">
        <v>15</v>
      </c>
      <c r="E1013" s="262" t="s">
        <v>456</v>
      </c>
      <c r="F1013" s="263" t="s">
        <v>15</v>
      </c>
      <c r="G1013" s="264" t="s">
        <v>456</v>
      </c>
      <c r="H1013" s="281"/>
      <c r="I1013" s="265"/>
      <c r="J1013" s="266" t="s">
        <v>673</v>
      </c>
      <c r="K1013" s="262"/>
      <c r="L1013" s="262"/>
      <c r="M1013" s="262">
        <v>3894</v>
      </c>
      <c r="N1013" s="262" t="s">
        <v>22</v>
      </c>
      <c r="O1013" s="262" t="s">
        <v>35</v>
      </c>
      <c r="P1013" s="262"/>
      <c r="Q1013" s="262"/>
      <c r="R1013" s="262" t="s">
        <v>468</v>
      </c>
      <c r="S1013" s="267" t="s">
        <v>468</v>
      </c>
      <c r="T1013" s="268"/>
      <c r="U1013" s="269"/>
      <c r="V1013" s="269"/>
      <c r="W1013" s="278">
        <v>10884600</v>
      </c>
      <c r="X1013" s="270"/>
      <c r="Y1013" s="262" t="s">
        <v>24</v>
      </c>
      <c r="Z1013" s="271" t="s">
        <v>24</v>
      </c>
      <c r="AA1013" s="287"/>
      <c r="AB1013" s="287"/>
      <c r="AC1013" s="272">
        <f t="shared" si="33"/>
        <v>10000000</v>
      </c>
      <c r="AD1013" s="272">
        <v>10000000</v>
      </c>
      <c r="AE1013" s="272">
        <f t="shared" si="34"/>
        <v>0</v>
      </c>
      <c r="AF1013" s="273"/>
      <c r="AG1013" s="274"/>
      <c r="AH1013" s="273"/>
      <c r="AI1013" s="273"/>
      <c r="AJ1013" s="274"/>
      <c r="AK1013" s="273"/>
      <c r="AL1013" s="275"/>
      <c r="AM1013" s="290"/>
      <c r="AN1013" s="275"/>
      <c r="AO1013" s="276"/>
      <c r="AP1013" s="275"/>
      <c r="AQ1013" s="275"/>
      <c r="AR1013" s="275"/>
      <c r="AS1013" s="275"/>
      <c r="AT1013" s="275"/>
      <c r="AU1013" s="275"/>
      <c r="AV1013" s="275"/>
      <c r="AW1013" s="275"/>
      <c r="AX1013" s="275"/>
      <c r="AY1013" s="275"/>
      <c r="AZ1013" s="275"/>
      <c r="BA1013" s="275">
        <v>10000000</v>
      </c>
      <c r="BB1013" s="275"/>
      <c r="BC1013" s="275"/>
      <c r="BD1013" s="275"/>
      <c r="BE1013" s="275"/>
      <c r="BF1013" s="275"/>
      <c r="BH1013" s="277"/>
    </row>
    <row r="1014" spans="1:60" ht="16.5" customHeight="1">
      <c r="A1014" s="260">
        <v>992</v>
      </c>
      <c r="B1014" s="261"/>
      <c r="C1014" s="261"/>
      <c r="D1014" s="262" t="s">
        <v>15</v>
      </c>
      <c r="E1014" s="262" t="s">
        <v>456</v>
      </c>
      <c r="F1014" s="263" t="s">
        <v>15</v>
      </c>
      <c r="G1014" s="264" t="s">
        <v>456</v>
      </c>
      <c r="H1014" s="281"/>
      <c r="I1014" s="265"/>
      <c r="J1014" s="266" t="s">
        <v>673</v>
      </c>
      <c r="K1014" s="262"/>
      <c r="L1014" s="262"/>
      <c r="M1014" s="262">
        <v>3894</v>
      </c>
      <c r="N1014" s="262" t="s">
        <v>22</v>
      </c>
      <c r="O1014" s="262" t="s">
        <v>35</v>
      </c>
      <c r="P1014" s="262"/>
      <c r="Q1014" s="262"/>
      <c r="R1014" s="262"/>
      <c r="S1014" s="267" t="s">
        <v>828</v>
      </c>
      <c r="T1014" s="268"/>
      <c r="U1014" s="269"/>
      <c r="V1014" s="269"/>
      <c r="W1014" s="278">
        <v>0</v>
      </c>
      <c r="X1014" s="270"/>
      <c r="Y1014" s="262"/>
      <c r="Z1014" s="271" t="s">
        <v>25</v>
      </c>
      <c r="AA1014" s="287"/>
      <c r="AB1014" s="287"/>
      <c r="AC1014" s="272">
        <f t="shared" si="33"/>
        <v>3000000</v>
      </c>
      <c r="AD1014" s="272">
        <v>3000000</v>
      </c>
      <c r="AE1014" s="272">
        <f t="shared" si="34"/>
        <v>0</v>
      </c>
      <c r="AF1014" s="273"/>
      <c r="AG1014" s="274"/>
      <c r="AH1014" s="273"/>
      <c r="AI1014" s="273"/>
      <c r="AJ1014" s="274"/>
      <c r="AK1014" s="273"/>
      <c r="AL1014" s="275"/>
      <c r="AM1014" s="290"/>
      <c r="AN1014" s="275"/>
      <c r="AO1014" s="276"/>
      <c r="AP1014" s="275"/>
      <c r="AQ1014" s="275">
        <v>3000000</v>
      </c>
      <c r="AR1014" s="275"/>
      <c r="AS1014" s="275"/>
      <c r="AT1014" s="275"/>
      <c r="AU1014" s="275"/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H1014" s="277"/>
    </row>
    <row r="1015" spans="1:60" ht="16.5" customHeight="1">
      <c r="A1015" s="260">
        <v>993</v>
      </c>
      <c r="B1015" s="261"/>
      <c r="C1015" s="261"/>
      <c r="D1015" s="262" t="s">
        <v>15</v>
      </c>
      <c r="E1015" s="262" t="s">
        <v>456</v>
      </c>
      <c r="F1015" s="263" t="s">
        <v>15</v>
      </c>
      <c r="G1015" s="264" t="s">
        <v>456</v>
      </c>
      <c r="H1015" s="281"/>
      <c r="I1015" s="265"/>
      <c r="J1015" s="266" t="s">
        <v>673</v>
      </c>
      <c r="K1015" s="262"/>
      <c r="L1015" s="262"/>
      <c r="M1015" s="262">
        <v>3894</v>
      </c>
      <c r="N1015" s="262" t="s">
        <v>22</v>
      </c>
      <c r="O1015" s="262" t="s">
        <v>35</v>
      </c>
      <c r="P1015" s="262"/>
      <c r="Q1015" s="262"/>
      <c r="R1015" s="262"/>
      <c r="S1015" s="267" t="s">
        <v>829</v>
      </c>
      <c r="T1015" s="268"/>
      <c r="U1015" s="269"/>
      <c r="V1015" s="269"/>
      <c r="W1015" s="278">
        <v>0</v>
      </c>
      <c r="X1015" s="270"/>
      <c r="Y1015" s="262"/>
      <c r="Z1015" s="271" t="s">
        <v>25</v>
      </c>
      <c r="AA1015" s="287"/>
      <c r="AB1015" s="287"/>
      <c r="AC1015" s="272">
        <f t="shared" si="33"/>
        <v>10000000</v>
      </c>
      <c r="AD1015" s="272">
        <v>10000000</v>
      </c>
      <c r="AE1015" s="272">
        <f t="shared" si="34"/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/>
      <c r="AR1015" s="275"/>
      <c r="AS1015" s="275"/>
      <c r="AT1015" s="275"/>
      <c r="AU1015" s="275"/>
      <c r="AV1015" s="275"/>
      <c r="AW1015" s="275"/>
      <c r="AX1015" s="275"/>
      <c r="AY1015" s="275">
        <v>10000000</v>
      </c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customHeight="1">
      <c r="A1016" s="260">
        <v>994</v>
      </c>
      <c r="B1016" s="261"/>
      <c r="C1016" s="261"/>
      <c r="D1016" s="262" t="s">
        <v>15</v>
      </c>
      <c r="E1016" s="262" t="s">
        <v>175</v>
      </c>
      <c r="F1016" s="263" t="s">
        <v>15</v>
      </c>
      <c r="G1016" s="264" t="s">
        <v>456</v>
      </c>
      <c r="H1016" s="281"/>
      <c r="I1016" s="265"/>
      <c r="J1016" s="266" t="s">
        <v>341</v>
      </c>
      <c r="K1016" s="262"/>
      <c r="L1016" s="262"/>
      <c r="M1016" s="262">
        <v>14776</v>
      </c>
      <c r="N1016" s="262" t="s">
        <v>22</v>
      </c>
      <c r="O1016" s="262" t="s">
        <v>56</v>
      </c>
      <c r="P1016" s="262" t="s">
        <v>57</v>
      </c>
      <c r="Q1016" s="262" t="s">
        <v>30</v>
      </c>
      <c r="R1016" s="262" t="s">
        <v>31</v>
      </c>
      <c r="S1016" s="267" t="s">
        <v>31</v>
      </c>
      <c r="T1016" s="268"/>
      <c r="U1016" s="269">
        <v>2805000</v>
      </c>
      <c r="V1016" s="269">
        <v>3270000</v>
      </c>
      <c r="W1016" s="278">
        <v>0</v>
      </c>
      <c r="X1016" s="270"/>
      <c r="Y1016" s="262" t="s">
        <v>24</v>
      </c>
      <c r="Z1016" s="271" t="s">
        <v>20</v>
      </c>
      <c r="AA1016" s="287"/>
      <c r="AB1016" s="287"/>
      <c r="AC1016" s="272">
        <f t="shared" si="33"/>
        <v>0</v>
      </c>
      <c r="AD1016" s="272">
        <v>0</v>
      </c>
      <c r="AE1016" s="272">
        <f t="shared" si="34"/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/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customHeight="1">
      <c r="A1017" s="260">
        <v>995</v>
      </c>
      <c r="B1017" s="261"/>
      <c r="C1017" s="261"/>
      <c r="D1017" s="262" t="s">
        <v>15</v>
      </c>
      <c r="E1017" s="262" t="s">
        <v>456</v>
      </c>
      <c r="F1017" s="263" t="s">
        <v>15</v>
      </c>
      <c r="G1017" s="264" t="s">
        <v>456</v>
      </c>
      <c r="H1017" s="281"/>
      <c r="I1017" s="265"/>
      <c r="J1017" s="266" t="s">
        <v>723</v>
      </c>
      <c r="K1017" s="262"/>
      <c r="L1017" s="262"/>
      <c r="M1017" s="262">
        <v>28980</v>
      </c>
      <c r="N1017" s="262" t="s">
        <v>22</v>
      </c>
      <c r="O1017" s="262" t="s">
        <v>35</v>
      </c>
      <c r="P1017" s="262"/>
      <c r="Q1017" s="262"/>
      <c r="R1017" s="262"/>
      <c r="S1017" s="267" t="s">
        <v>468</v>
      </c>
      <c r="T1017" s="268"/>
      <c r="U1017" s="269"/>
      <c r="V1017" s="269"/>
      <c r="W1017" s="278">
        <v>0</v>
      </c>
      <c r="X1017" s="270"/>
      <c r="Y1017" s="262"/>
      <c r="Z1017" s="271" t="s">
        <v>25</v>
      </c>
      <c r="AA1017" s="287"/>
      <c r="AB1017" s="287"/>
      <c r="AC1017" s="272">
        <f t="shared" si="33"/>
        <v>50000000</v>
      </c>
      <c r="AD1017" s="272">
        <v>50000000</v>
      </c>
      <c r="AE1017" s="272">
        <f t="shared" si="34"/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/>
      <c r="AP1017" s="275"/>
      <c r="AQ1017" s="275"/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>
        <v>50000000</v>
      </c>
      <c r="BB1017" s="275"/>
      <c r="BC1017" s="275"/>
      <c r="BD1017" s="275"/>
      <c r="BE1017" s="275"/>
      <c r="BF1017" s="275"/>
      <c r="BH1017" s="277"/>
    </row>
    <row r="1018" spans="1:60" ht="16.5" customHeight="1">
      <c r="A1018" s="260">
        <v>996</v>
      </c>
      <c r="B1018" s="261"/>
      <c r="C1018" s="261"/>
      <c r="D1018" s="262"/>
      <c r="E1018" s="262"/>
      <c r="F1018" s="263" t="s">
        <v>15</v>
      </c>
      <c r="G1018" s="264" t="s">
        <v>456</v>
      </c>
      <c r="H1018" s="281"/>
      <c r="I1018" s="265"/>
      <c r="J1018" s="266" t="s">
        <v>920</v>
      </c>
      <c r="K1018" s="262"/>
      <c r="L1018" s="262"/>
      <c r="M1018" s="262">
        <v>65842</v>
      </c>
      <c r="N1018" s="262"/>
      <c r="O1018" s="262"/>
      <c r="P1018" s="262"/>
      <c r="Q1018" s="262"/>
      <c r="R1018" s="262"/>
      <c r="S1018" s="267" t="s">
        <v>31</v>
      </c>
      <c r="T1018" s="268"/>
      <c r="U1018" s="269"/>
      <c r="V1018" s="269"/>
      <c r="W1018" s="278">
        <v>280000</v>
      </c>
      <c r="X1018" s="270"/>
      <c r="Y1018" s="262"/>
      <c r="Z1018" s="271" t="s">
        <v>718</v>
      </c>
      <c r="AA1018" s="287"/>
      <c r="AB1018" s="287"/>
      <c r="AC1018" s="272">
        <f t="shared" si="33"/>
        <v>0</v>
      </c>
      <c r="AD1018" s="272">
        <v>0</v>
      </c>
      <c r="AE1018" s="272">
        <f t="shared" si="34"/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/>
      <c r="AP1018" s="275"/>
      <c r="AQ1018" s="275"/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customHeight="1">
      <c r="A1019" s="260">
        <v>997</v>
      </c>
      <c r="B1019" s="261"/>
      <c r="C1019" s="261"/>
      <c r="D1019" s="262" t="s">
        <v>15</v>
      </c>
      <c r="E1019" s="262" t="s">
        <v>175</v>
      </c>
      <c r="F1019" s="263" t="s">
        <v>15</v>
      </c>
      <c r="G1019" s="264" t="s">
        <v>456</v>
      </c>
      <c r="H1019" s="281"/>
      <c r="I1019" s="265"/>
      <c r="J1019" s="266" t="s">
        <v>168</v>
      </c>
      <c r="K1019" s="262"/>
      <c r="L1019" s="262"/>
      <c r="M1019" s="262">
        <v>4235</v>
      </c>
      <c r="N1019" s="262" t="s">
        <v>22</v>
      </c>
      <c r="O1019" s="262" t="s">
        <v>35</v>
      </c>
      <c r="P1019" s="262" t="s">
        <v>156</v>
      </c>
      <c r="Q1019" s="262" t="s">
        <v>46</v>
      </c>
      <c r="R1019" s="262" t="s">
        <v>47</v>
      </c>
      <c r="S1019" s="267" t="s">
        <v>47</v>
      </c>
      <c r="T1019" s="268"/>
      <c r="U1019" s="269"/>
      <c r="V1019" s="269">
        <v>0</v>
      </c>
      <c r="W1019" s="278">
        <v>0</v>
      </c>
      <c r="X1019" s="270"/>
      <c r="Y1019" s="262" t="s">
        <v>25</v>
      </c>
      <c r="Z1019" s="271" t="s">
        <v>25</v>
      </c>
      <c r="AA1019" s="287"/>
      <c r="AB1019" s="287"/>
      <c r="AC1019" s="272">
        <f t="shared" si="33"/>
        <v>0</v>
      </c>
      <c r="AD1019" s="272">
        <v>0</v>
      </c>
      <c r="AE1019" s="272">
        <f t="shared" si="34"/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/>
      <c r="AP1019" s="275"/>
      <c r="AQ1019" s="275"/>
      <c r="AR1019" s="275"/>
      <c r="AS1019" s="275"/>
      <c r="AT1019" s="275"/>
      <c r="AU1019" s="275"/>
      <c r="AV1019" s="275"/>
      <c r="AW1019" s="275"/>
      <c r="AX1019" s="275"/>
      <c r="AY1019" s="275"/>
      <c r="AZ1019" s="275"/>
      <c r="BA1019" s="275"/>
      <c r="BB1019" s="275"/>
      <c r="BC1019" s="275"/>
      <c r="BD1019" s="275"/>
      <c r="BE1019" s="275"/>
      <c r="BF1019" s="275"/>
      <c r="BH1019" s="277"/>
    </row>
    <row r="1020" spans="1:60" ht="16.5" customHeight="1">
      <c r="A1020" s="260">
        <v>998</v>
      </c>
      <c r="B1020" s="261"/>
      <c r="C1020" s="261"/>
      <c r="D1020" s="262"/>
      <c r="E1020" s="262"/>
      <c r="F1020" s="263" t="s">
        <v>15</v>
      </c>
      <c r="G1020" s="264" t="s">
        <v>456</v>
      </c>
      <c r="H1020" s="281"/>
      <c r="I1020" s="265"/>
      <c r="J1020" s="266" t="s">
        <v>925</v>
      </c>
      <c r="K1020" s="262"/>
      <c r="L1020" s="262"/>
      <c r="M1020" s="262">
        <v>64596</v>
      </c>
      <c r="N1020" s="262"/>
      <c r="O1020" s="262"/>
      <c r="P1020" s="262"/>
      <c r="Q1020" s="262"/>
      <c r="R1020" s="262"/>
      <c r="S1020" s="267" t="s">
        <v>28</v>
      </c>
      <c r="T1020" s="268"/>
      <c r="U1020" s="269"/>
      <c r="V1020" s="269"/>
      <c r="W1020" s="278">
        <v>85000</v>
      </c>
      <c r="X1020" s="270"/>
      <c r="Y1020" s="262"/>
      <c r="Z1020" s="271" t="s">
        <v>718</v>
      </c>
      <c r="AA1020" s="287"/>
      <c r="AB1020" s="287"/>
      <c r="AC1020" s="272">
        <f t="shared" si="33"/>
        <v>0</v>
      </c>
      <c r="AD1020" s="272">
        <v>0</v>
      </c>
      <c r="AE1020" s="272">
        <f t="shared" si="34"/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/>
      <c r="AP1020" s="275"/>
      <c r="AQ1020" s="275"/>
      <c r="AR1020" s="275"/>
      <c r="AS1020" s="275"/>
      <c r="AT1020" s="275"/>
      <c r="AU1020" s="275"/>
      <c r="AV1020" s="275"/>
      <c r="AW1020" s="275"/>
      <c r="AX1020" s="275"/>
      <c r="AY1020" s="275"/>
      <c r="AZ1020" s="275"/>
      <c r="BA1020" s="275"/>
      <c r="BB1020" s="275"/>
      <c r="BC1020" s="275"/>
      <c r="BD1020" s="275"/>
      <c r="BE1020" s="275"/>
      <c r="BF1020" s="275"/>
      <c r="BH1020" s="277"/>
    </row>
    <row r="1021" spans="1:60" ht="16.5" customHeight="1">
      <c r="A1021" s="260">
        <v>999</v>
      </c>
      <c r="B1021" s="261"/>
      <c r="C1021" s="261"/>
      <c r="D1021" s="262" t="s">
        <v>15</v>
      </c>
      <c r="E1021" s="262" t="s">
        <v>456</v>
      </c>
      <c r="F1021" s="263" t="s">
        <v>15</v>
      </c>
      <c r="G1021" s="264" t="s">
        <v>456</v>
      </c>
      <c r="H1021" s="281"/>
      <c r="I1021" s="265"/>
      <c r="J1021" s="266" t="s">
        <v>214</v>
      </c>
      <c r="K1021" s="262"/>
      <c r="L1021" s="262"/>
      <c r="M1021" s="262">
        <v>11297</v>
      </c>
      <c r="N1021" s="262" t="s">
        <v>17</v>
      </c>
      <c r="O1021" s="262" t="s">
        <v>212</v>
      </c>
      <c r="P1021" s="262" t="s">
        <v>57</v>
      </c>
      <c r="Q1021" s="262" t="s">
        <v>30</v>
      </c>
      <c r="R1021" s="262" t="s">
        <v>31</v>
      </c>
      <c r="S1021" s="267" t="s">
        <v>31</v>
      </c>
      <c r="T1021" s="268"/>
      <c r="U1021" s="269">
        <v>4066000</v>
      </c>
      <c r="V1021" s="269">
        <v>5606000</v>
      </c>
      <c r="W1021" s="278">
        <v>0</v>
      </c>
      <c r="X1021" s="270"/>
      <c r="Y1021" s="262" t="s">
        <v>27</v>
      </c>
      <c r="Z1021" s="271" t="s">
        <v>27</v>
      </c>
      <c r="AA1021" s="287"/>
      <c r="AB1021" s="287"/>
      <c r="AC1021" s="272">
        <f t="shared" si="33"/>
        <v>5128000</v>
      </c>
      <c r="AD1021" s="272">
        <v>5128000</v>
      </c>
      <c r="AE1021" s="272">
        <f t="shared" si="34"/>
        <v>0</v>
      </c>
      <c r="AF1021" s="273">
        <v>5128000</v>
      </c>
      <c r="AG1021" s="274">
        <v>5128000</v>
      </c>
      <c r="AH1021" s="273"/>
      <c r="AI1021" s="273"/>
      <c r="AJ1021" s="274"/>
      <c r="AK1021" s="273"/>
      <c r="AL1021" s="275"/>
      <c r="AM1021" s="290"/>
      <c r="AN1021" s="275"/>
      <c r="AO1021" s="276"/>
      <c r="AP1021" s="275"/>
      <c r="AQ1021" s="275"/>
      <c r="AR1021" s="275"/>
      <c r="AS1021" s="275"/>
      <c r="AT1021" s="275"/>
      <c r="AU1021" s="275"/>
      <c r="AV1021" s="275"/>
      <c r="AW1021" s="275"/>
      <c r="AX1021" s="275"/>
      <c r="AY1021" s="275"/>
      <c r="AZ1021" s="275"/>
      <c r="BA1021" s="275"/>
      <c r="BB1021" s="275"/>
      <c r="BC1021" s="275"/>
      <c r="BD1021" s="275"/>
      <c r="BE1021" s="275"/>
      <c r="BF1021" s="275"/>
      <c r="BH1021" s="277"/>
    </row>
    <row r="1022" spans="1:60" ht="16.5" customHeight="1">
      <c r="A1022" s="260">
        <v>1000</v>
      </c>
      <c r="B1022" s="261"/>
      <c r="C1022" s="261"/>
      <c r="D1022" s="262" t="s">
        <v>15</v>
      </c>
      <c r="E1022" s="262" t="s">
        <v>456</v>
      </c>
      <c r="F1022" s="263" t="s">
        <v>15</v>
      </c>
      <c r="G1022" s="264" t="s">
        <v>456</v>
      </c>
      <c r="H1022" s="281"/>
      <c r="I1022" s="265"/>
      <c r="J1022" s="266" t="s">
        <v>194</v>
      </c>
      <c r="K1022" s="262"/>
      <c r="L1022" s="262"/>
      <c r="M1022" s="262">
        <v>1375</v>
      </c>
      <c r="N1022" s="262" t="s">
        <v>22</v>
      </c>
      <c r="O1022" s="262" t="s">
        <v>178</v>
      </c>
      <c r="P1022" s="262" t="s">
        <v>156</v>
      </c>
      <c r="Q1022" s="262" t="s">
        <v>61</v>
      </c>
      <c r="R1022" s="262" t="s">
        <v>468</v>
      </c>
      <c r="S1022" s="267" t="s">
        <v>468</v>
      </c>
      <c r="T1022" s="268"/>
      <c r="U1022" s="269">
        <v>8512000</v>
      </c>
      <c r="V1022" s="269">
        <v>0</v>
      </c>
      <c r="W1022" s="278">
        <v>0</v>
      </c>
      <c r="X1022" s="270"/>
      <c r="Y1022" s="262" t="s">
        <v>25</v>
      </c>
      <c r="Z1022" s="271" t="s">
        <v>25</v>
      </c>
      <c r="AA1022" s="287"/>
      <c r="AB1022" s="287"/>
      <c r="AC1022" s="272">
        <f t="shared" si="33"/>
        <v>5000000</v>
      </c>
      <c r="AD1022" s="272">
        <v>5000000</v>
      </c>
      <c r="AE1022" s="272">
        <f t="shared" si="34"/>
        <v>0</v>
      </c>
      <c r="AF1022" s="273"/>
      <c r="AG1022" s="274"/>
      <c r="AH1022" s="273"/>
      <c r="AI1022" s="273"/>
      <c r="AJ1022" s="274"/>
      <c r="AK1022" s="273"/>
      <c r="AL1022" s="275"/>
      <c r="AM1022" s="290"/>
      <c r="AN1022" s="275"/>
      <c r="AO1022" s="276"/>
      <c r="AP1022" s="275"/>
      <c r="AQ1022" s="275"/>
      <c r="AR1022" s="275"/>
      <c r="AS1022" s="275">
        <v>5000000</v>
      </c>
      <c r="AT1022" s="275"/>
      <c r="AU1022" s="275"/>
      <c r="AV1022" s="275"/>
      <c r="AW1022" s="275"/>
      <c r="AX1022" s="275"/>
      <c r="AY1022" s="275"/>
      <c r="AZ1022" s="275"/>
      <c r="BA1022" s="275"/>
      <c r="BB1022" s="275"/>
      <c r="BC1022" s="275"/>
      <c r="BD1022" s="275"/>
      <c r="BE1022" s="275"/>
      <c r="BF1022" s="275"/>
      <c r="BH1022" s="277"/>
    </row>
    <row r="1023" spans="1:60" ht="16.5" customHeight="1">
      <c r="A1023" s="260">
        <v>1001</v>
      </c>
      <c r="B1023" s="261"/>
      <c r="C1023" s="261"/>
      <c r="D1023" s="262" t="s">
        <v>15</v>
      </c>
      <c r="E1023" s="262" t="s">
        <v>456</v>
      </c>
      <c r="F1023" s="263" t="s">
        <v>15</v>
      </c>
      <c r="G1023" s="264" t="s">
        <v>456</v>
      </c>
      <c r="H1023" s="281"/>
      <c r="I1023" s="265"/>
      <c r="J1023" s="266" t="s">
        <v>194</v>
      </c>
      <c r="K1023" s="262"/>
      <c r="L1023" s="262"/>
      <c r="M1023" s="262">
        <v>1375</v>
      </c>
      <c r="N1023" s="262" t="s">
        <v>22</v>
      </c>
      <c r="O1023" s="262" t="s">
        <v>35</v>
      </c>
      <c r="P1023" s="262"/>
      <c r="Q1023" s="262"/>
      <c r="R1023" s="262"/>
      <c r="S1023" s="267" t="s">
        <v>822</v>
      </c>
      <c r="T1023" s="268"/>
      <c r="U1023" s="269"/>
      <c r="V1023" s="269"/>
      <c r="W1023" s="278">
        <v>0</v>
      </c>
      <c r="X1023" s="270"/>
      <c r="Y1023" s="262"/>
      <c r="Z1023" s="271" t="s">
        <v>25</v>
      </c>
      <c r="AA1023" s="287"/>
      <c r="AB1023" s="287"/>
      <c r="AC1023" s="272">
        <f t="shared" si="33"/>
        <v>20000000</v>
      </c>
      <c r="AD1023" s="272">
        <v>20000000</v>
      </c>
      <c r="AE1023" s="272">
        <f t="shared" si="34"/>
        <v>0</v>
      </c>
      <c r="AF1023" s="273"/>
      <c r="AG1023" s="274"/>
      <c r="AH1023" s="273"/>
      <c r="AI1023" s="273"/>
      <c r="AJ1023" s="274"/>
      <c r="AK1023" s="273"/>
      <c r="AL1023" s="275"/>
      <c r="AM1023" s="290"/>
      <c r="AN1023" s="275"/>
      <c r="AO1023" s="276"/>
      <c r="AP1023" s="275"/>
      <c r="AQ1023" s="275"/>
      <c r="AR1023" s="275"/>
      <c r="AS1023" s="275">
        <v>5000000</v>
      </c>
      <c r="AT1023" s="275"/>
      <c r="AU1023" s="275"/>
      <c r="AV1023" s="275"/>
      <c r="AW1023" s="275"/>
      <c r="AX1023" s="275"/>
      <c r="AY1023" s="275">
        <v>10000000</v>
      </c>
      <c r="AZ1023" s="275"/>
      <c r="BA1023" s="275"/>
      <c r="BB1023" s="275"/>
      <c r="BC1023" s="275"/>
      <c r="BD1023" s="275"/>
      <c r="BE1023" s="275">
        <v>5000000</v>
      </c>
      <c r="BF1023" s="275"/>
      <c r="BH1023" s="277"/>
    </row>
    <row r="1024" spans="1:60" ht="16.5" customHeight="1">
      <c r="A1024" s="260">
        <v>1002</v>
      </c>
      <c r="B1024" s="261"/>
      <c r="C1024" s="261"/>
      <c r="D1024" s="262" t="s">
        <v>15</v>
      </c>
      <c r="E1024" s="262" t="s">
        <v>456</v>
      </c>
      <c r="F1024" s="263" t="s">
        <v>15</v>
      </c>
      <c r="G1024" s="264" t="s">
        <v>456</v>
      </c>
      <c r="H1024" s="281"/>
      <c r="I1024" s="265"/>
      <c r="J1024" s="266" t="s">
        <v>992</v>
      </c>
      <c r="K1024" s="262"/>
      <c r="L1024" s="262"/>
      <c r="M1024" s="262">
        <v>3557</v>
      </c>
      <c r="N1024" s="262" t="s">
        <v>17</v>
      </c>
      <c r="O1024" s="262" t="s">
        <v>56</v>
      </c>
      <c r="P1024" s="262" t="s">
        <v>156</v>
      </c>
      <c r="Q1024" s="262" t="s">
        <v>18</v>
      </c>
      <c r="R1024" s="262" t="s">
        <v>19</v>
      </c>
      <c r="S1024" s="267" t="s">
        <v>31</v>
      </c>
      <c r="T1024" s="268"/>
      <c r="U1024" s="269"/>
      <c r="V1024" s="269">
        <v>25552000</v>
      </c>
      <c r="W1024" s="278">
        <v>24150000</v>
      </c>
      <c r="X1024" s="270"/>
      <c r="Y1024" s="262" t="s">
        <v>27</v>
      </c>
      <c r="Z1024" s="271" t="s">
        <v>27</v>
      </c>
      <c r="AA1024" s="287"/>
      <c r="AB1024" s="287"/>
      <c r="AC1024" s="272">
        <f t="shared" si="33"/>
        <v>4000000</v>
      </c>
      <c r="AD1024" s="272">
        <v>4000000</v>
      </c>
      <c r="AE1024" s="272">
        <f t="shared" si="34"/>
        <v>0</v>
      </c>
      <c r="AF1024" s="273"/>
      <c r="AG1024" s="274"/>
      <c r="AH1024" s="273"/>
      <c r="AI1024" s="273">
        <v>20000000</v>
      </c>
      <c r="AJ1024" s="274"/>
      <c r="AK1024" s="273"/>
      <c r="AL1024" s="275"/>
      <c r="AM1024" s="290"/>
      <c r="AN1024" s="275"/>
      <c r="AO1024" s="276"/>
      <c r="AP1024" s="275"/>
      <c r="AQ1024" s="275"/>
      <c r="AR1024" s="275"/>
      <c r="AS1024" s="275"/>
      <c r="AT1024" s="275"/>
      <c r="AU1024" s="275"/>
      <c r="AV1024" s="275"/>
      <c r="AW1024" s="275"/>
      <c r="AX1024" s="275"/>
      <c r="AY1024" s="275"/>
      <c r="AZ1024" s="275"/>
      <c r="BA1024" s="275"/>
      <c r="BB1024" s="275"/>
      <c r="BC1024" s="275"/>
      <c r="BD1024" s="275"/>
      <c r="BE1024" s="275">
        <v>4000000</v>
      </c>
      <c r="BF1024" s="275"/>
      <c r="BH1024" s="277"/>
    </row>
    <row r="1025" spans="1:60" ht="16.5" customHeight="1">
      <c r="A1025" s="260">
        <v>1003</v>
      </c>
      <c r="B1025" s="261"/>
      <c r="C1025" s="261"/>
      <c r="D1025" s="262" t="s">
        <v>15</v>
      </c>
      <c r="E1025" s="262" t="s">
        <v>456</v>
      </c>
      <c r="F1025" s="263" t="s">
        <v>15</v>
      </c>
      <c r="G1025" s="264" t="s">
        <v>456</v>
      </c>
      <c r="H1025" s="281"/>
      <c r="I1025" s="265"/>
      <c r="J1025" s="266" t="s">
        <v>216</v>
      </c>
      <c r="K1025" s="262"/>
      <c r="L1025" s="262"/>
      <c r="M1025" s="262">
        <v>18757</v>
      </c>
      <c r="N1025" s="262" t="s">
        <v>32</v>
      </c>
      <c r="O1025" s="262" t="s">
        <v>178</v>
      </c>
      <c r="P1025" s="262"/>
      <c r="Q1025" s="262" t="s">
        <v>26</v>
      </c>
      <c r="R1025" s="262" t="s">
        <v>468</v>
      </c>
      <c r="S1025" s="267" t="s">
        <v>468</v>
      </c>
      <c r="T1025" s="268"/>
      <c r="U1025" s="269">
        <v>13454545</v>
      </c>
      <c r="V1025" s="269">
        <v>0</v>
      </c>
      <c r="W1025" s="278">
        <v>0</v>
      </c>
      <c r="X1025" s="270"/>
      <c r="Y1025" s="262" t="s">
        <v>25</v>
      </c>
      <c r="Z1025" s="271" t="s">
        <v>25</v>
      </c>
      <c r="AA1025" s="287"/>
      <c r="AB1025" s="287"/>
      <c r="AC1025" s="272">
        <f t="shared" si="33"/>
        <v>5000000</v>
      </c>
      <c r="AD1025" s="272">
        <v>5000000</v>
      </c>
      <c r="AE1025" s="272">
        <f t="shared" si="34"/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>
        <v>5000000</v>
      </c>
      <c r="AR1025" s="275"/>
      <c r="AS1025" s="275"/>
      <c r="AT1025" s="275"/>
      <c r="AU1025" s="275"/>
      <c r="AV1025" s="275"/>
      <c r="AW1025" s="275"/>
      <c r="AX1025" s="275"/>
      <c r="AY1025" s="275"/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customHeight="1">
      <c r="A1026" s="260">
        <v>1004</v>
      </c>
      <c r="B1026" s="261"/>
      <c r="C1026" s="261"/>
      <c r="D1026" s="262"/>
      <c r="E1026" s="262"/>
      <c r="F1026" s="263" t="s">
        <v>15</v>
      </c>
      <c r="G1026" s="264" t="s">
        <v>456</v>
      </c>
      <c r="H1026" s="281"/>
      <c r="I1026" s="265"/>
      <c r="J1026" s="266" t="s">
        <v>724</v>
      </c>
      <c r="K1026" s="262"/>
      <c r="L1026" s="262"/>
      <c r="M1026" s="262">
        <v>16030</v>
      </c>
      <c r="N1026" s="262"/>
      <c r="O1026" s="262"/>
      <c r="P1026" s="262"/>
      <c r="Q1026" s="262"/>
      <c r="R1026" s="262"/>
      <c r="S1026" s="267" t="s">
        <v>19</v>
      </c>
      <c r="T1026" s="268"/>
      <c r="U1026" s="269"/>
      <c r="V1026" s="269"/>
      <c r="W1026" s="278">
        <v>4470000</v>
      </c>
      <c r="X1026" s="270"/>
      <c r="Y1026" s="262"/>
      <c r="Z1026" s="271" t="s">
        <v>718</v>
      </c>
      <c r="AA1026" s="287"/>
      <c r="AB1026" s="287"/>
      <c r="AC1026" s="272">
        <f t="shared" si="33"/>
        <v>0</v>
      </c>
      <c r="AD1026" s="272">
        <v>0</v>
      </c>
      <c r="AE1026" s="272">
        <f t="shared" si="34"/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/>
      <c r="AR1026" s="275"/>
      <c r="AS1026" s="275"/>
      <c r="AT1026" s="275"/>
      <c r="AU1026" s="275"/>
      <c r="AV1026" s="275"/>
      <c r="AW1026" s="275"/>
      <c r="AX1026" s="275"/>
      <c r="AY1026" s="275"/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customHeight="1">
      <c r="A1027" s="260">
        <v>1005</v>
      </c>
      <c r="B1027" s="261"/>
      <c r="C1027" s="261"/>
      <c r="D1027" s="262" t="s">
        <v>15</v>
      </c>
      <c r="E1027" s="262" t="s">
        <v>456</v>
      </c>
      <c r="F1027" s="263" t="s">
        <v>15</v>
      </c>
      <c r="G1027" s="264" t="s">
        <v>456</v>
      </c>
      <c r="H1027" s="281"/>
      <c r="I1027" s="265"/>
      <c r="J1027" s="266" t="s">
        <v>724</v>
      </c>
      <c r="K1027" s="262"/>
      <c r="L1027" s="262"/>
      <c r="M1027" s="262">
        <v>16030</v>
      </c>
      <c r="N1027" s="262" t="s">
        <v>22</v>
      </c>
      <c r="O1027" s="262" t="s">
        <v>56</v>
      </c>
      <c r="P1027" s="262"/>
      <c r="Q1027" s="262" t="s">
        <v>30</v>
      </c>
      <c r="R1027" s="262" t="s">
        <v>31</v>
      </c>
      <c r="S1027" s="267" t="s">
        <v>31</v>
      </c>
      <c r="T1027" s="268"/>
      <c r="U1027" s="269"/>
      <c r="V1027" s="269">
        <v>4230000</v>
      </c>
      <c r="W1027" s="278">
        <v>0</v>
      </c>
      <c r="X1027" s="270"/>
      <c r="Y1027" s="262" t="s">
        <v>20</v>
      </c>
      <c r="Z1027" s="271" t="s">
        <v>25</v>
      </c>
      <c r="AA1027" s="287"/>
      <c r="AB1027" s="287"/>
      <c r="AC1027" s="272">
        <f t="shared" si="33"/>
        <v>4000000</v>
      </c>
      <c r="AD1027" s="272">
        <v>4000000</v>
      </c>
      <c r="AE1027" s="272">
        <f t="shared" si="34"/>
        <v>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75"/>
      <c r="AR1027" s="275"/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>
        <v>4000000</v>
      </c>
      <c r="BF1027" s="275"/>
      <c r="BH1027" s="277"/>
    </row>
    <row r="1028" spans="1:60" ht="16.5" customHeight="1">
      <c r="A1028" s="260">
        <v>1006</v>
      </c>
      <c r="B1028" s="261"/>
      <c r="C1028" s="261"/>
      <c r="D1028" s="262" t="s">
        <v>15</v>
      </c>
      <c r="E1028" s="262" t="s">
        <v>456</v>
      </c>
      <c r="F1028" s="263" t="s">
        <v>15</v>
      </c>
      <c r="G1028" s="264" t="s">
        <v>456</v>
      </c>
      <c r="H1028" s="281"/>
      <c r="I1028" s="265"/>
      <c r="J1028" s="266" t="s">
        <v>724</v>
      </c>
      <c r="K1028" s="262"/>
      <c r="L1028" s="262"/>
      <c r="M1028" s="262">
        <v>16030</v>
      </c>
      <c r="N1028" s="262" t="s">
        <v>22</v>
      </c>
      <c r="O1028" s="262" t="s">
        <v>35</v>
      </c>
      <c r="P1028" s="262"/>
      <c r="Q1028" s="262"/>
      <c r="R1028" s="262"/>
      <c r="S1028" s="267" t="s">
        <v>822</v>
      </c>
      <c r="T1028" s="268"/>
      <c r="U1028" s="269"/>
      <c r="V1028" s="269"/>
      <c r="W1028" s="278">
        <v>0</v>
      </c>
      <c r="X1028" s="270"/>
      <c r="Y1028" s="262" t="s">
        <v>20</v>
      </c>
      <c r="Z1028" s="271" t="s">
        <v>25</v>
      </c>
      <c r="AA1028" s="287"/>
      <c r="AB1028" s="287"/>
      <c r="AC1028" s="272">
        <f t="shared" si="33"/>
        <v>5000000</v>
      </c>
      <c r="AD1028" s="272">
        <v>5000000</v>
      </c>
      <c r="AE1028" s="272">
        <f t="shared" si="34"/>
        <v>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/>
      <c r="AR1028" s="275"/>
      <c r="AS1028" s="275"/>
      <c r="AT1028" s="275"/>
      <c r="AU1028" s="275"/>
      <c r="AV1028" s="275"/>
      <c r="AW1028" s="275"/>
      <c r="AX1028" s="275"/>
      <c r="AY1028" s="275"/>
      <c r="AZ1028" s="275"/>
      <c r="BA1028" s="275">
        <v>5000000</v>
      </c>
      <c r="BB1028" s="275"/>
      <c r="BC1028" s="275"/>
      <c r="BD1028" s="275"/>
      <c r="BE1028" s="275"/>
      <c r="BF1028" s="275"/>
      <c r="BH1028" s="277"/>
    </row>
    <row r="1029" spans="1:60" ht="16.5" customHeight="1">
      <c r="A1029" s="260">
        <v>1007</v>
      </c>
      <c r="B1029" s="261"/>
      <c r="C1029" s="261"/>
      <c r="D1029" s="262" t="s">
        <v>15</v>
      </c>
      <c r="E1029" s="262" t="s">
        <v>456</v>
      </c>
      <c r="F1029" s="263" t="s">
        <v>15</v>
      </c>
      <c r="G1029" s="264" t="s">
        <v>456</v>
      </c>
      <c r="H1029" s="281"/>
      <c r="I1029" s="265"/>
      <c r="J1029" s="266" t="s">
        <v>787</v>
      </c>
      <c r="K1029" s="262"/>
      <c r="L1029" s="262"/>
      <c r="M1029" s="262">
        <v>58931</v>
      </c>
      <c r="N1029" s="262" t="s">
        <v>22</v>
      </c>
      <c r="O1029" s="262" t="s">
        <v>56</v>
      </c>
      <c r="P1029" s="262"/>
      <c r="Q1029" s="262" t="s">
        <v>30</v>
      </c>
      <c r="R1029" s="262" t="s">
        <v>31</v>
      </c>
      <c r="S1029" s="267" t="s">
        <v>31</v>
      </c>
      <c r="T1029" s="268"/>
      <c r="U1029" s="269"/>
      <c r="V1029" s="269">
        <v>237000</v>
      </c>
      <c r="W1029" s="278">
        <v>222000</v>
      </c>
      <c r="X1029" s="270"/>
      <c r="Y1029" s="262" t="s">
        <v>27</v>
      </c>
      <c r="Z1029" s="271" t="s">
        <v>27</v>
      </c>
      <c r="AA1029" s="287"/>
      <c r="AB1029" s="287"/>
      <c r="AC1029" s="272">
        <f t="shared" si="33"/>
        <v>359000</v>
      </c>
      <c r="AD1029" s="272">
        <v>359000</v>
      </c>
      <c r="AE1029" s="272">
        <f t="shared" si="34"/>
        <v>0</v>
      </c>
      <c r="AF1029" s="273"/>
      <c r="AG1029" s="274"/>
      <c r="AH1029" s="273"/>
      <c r="AI1029" s="273"/>
      <c r="AJ1029" s="274">
        <v>159000</v>
      </c>
      <c r="AK1029" s="273"/>
      <c r="AL1029" s="275"/>
      <c r="AM1029" s="290"/>
      <c r="AN1029" s="275"/>
      <c r="AO1029" s="276"/>
      <c r="AP1029" s="275"/>
      <c r="AQ1029" s="275"/>
      <c r="AR1029" s="275"/>
      <c r="AS1029" s="275">
        <v>200000</v>
      </c>
      <c r="AT1029" s="275"/>
      <c r="AU1029" s="275"/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customHeight="1">
      <c r="A1030" s="260">
        <v>1008</v>
      </c>
      <c r="B1030" s="261"/>
      <c r="C1030" s="261"/>
      <c r="D1030" s="262" t="s">
        <v>15</v>
      </c>
      <c r="E1030" s="262" t="s">
        <v>456</v>
      </c>
      <c r="F1030" s="263" t="s">
        <v>15</v>
      </c>
      <c r="G1030" s="264" t="s">
        <v>456</v>
      </c>
      <c r="H1030" s="281"/>
      <c r="I1030" s="265"/>
      <c r="J1030" s="266" t="s">
        <v>788</v>
      </c>
      <c r="K1030" s="262"/>
      <c r="L1030" s="262"/>
      <c r="M1030" s="262">
        <v>1573</v>
      </c>
      <c r="N1030" s="262" t="s">
        <v>22</v>
      </c>
      <c r="O1030" s="262" t="s">
        <v>56</v>
      </c>
      <c r="P1030" s="262"/>
      <c r="Q1030" s="262" t="s">
        <v>30</v>
      </c>
      <c r="R1030" s="262" t="s">
        <v>31</v>
      </c>
      <c r="S1030" s="267" t="s">
        <v>31</v>
      </c>
      <c r="T1030" s="268"/>
      <c r="U1030" s="269"/>
      <c r="V1030" s="269">
        <v>1815000</v>
      </c>
      <c r="W1030" s="278">
        <v>1350000</v>
      </c>
      <c r="X1030" s="270"/>
      <c r="Y1030" s="262" t="s">
        <v>20</v>
      </c>
      <c r="Z1030" s="271" t="s">
        <v>25</v>
      </c>
      <c r="AA1030" s="287"/>
      <c r="AB1030" s="287"/>
      <c r="AC1030" s="272">
        <f t="shared" si="33"/>
        <v>1000000</v>
      </c>
      <c r="AD1030" s="272">
        <v>1000000</v>
      </c>
      <c r="AE1030" s="272">
        <f t="shared" si="34"/>
        <v>0</v>
      </c>
      <c r="AF1030" s="273"/>
      <c r="AG1030" s="274"/>
      <c r="AH1030" s="273"/>
      <c r="AI1030" s="273"/>
      <c r="AJ1030" s="274"/>
      <c r="AK1030" s="273"/>
      <c r="AL1030" s="275"/>
      <c r="AM1030" s="290"/>
      <c r="AN1030" s="275"/>
      <c r="AO1030" s="276"/>
      <c r="AP1030" s="275"/>
      <c r="AQ1030" s="275"/>
      <c r="AR1030" s="275"/>
      <c r="AS1030" s="275"/>
      <c r="AT1030" s="275"/>
      <c r="AU1030" s="275"/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>
        <v>1000000</v>
      </c>
      <c r="BF1030" s="275"/>
      <c r="BH1030" s="277"/>
    </row>
    <row r="1031" spans="1:60" ht="16.5" customHeight="1">
      <c r="A1031" s="260">
        <v>1009</v>
      </c>
      <c r="B1031" s="261"/>
      <c r="C1031" s="261"/>
      <c r="D1031" s="262" t="s">
        <v>15</v>
      </c>
      <c r="E1031" s="262" t="s">
        <v>456</v>
      </c>
      <c r="F1031" s="263" t="s">
        <v>15</v>
      </c>
      <c r="G1031" s="264" t="s">
        <v>456</v>
      </c>
      <c r="H1031" s="281"/>
      <c r="I1031" s="265"/>
      <c r="J1031" s="266" t="s">
        <v>219</v>
      </c>
      <c r="K1031" s="262"/>
      <c r="L1031" s="262"/>
      <c r="M1031" s="262">
        <v>54321</v>
      </c>
      <c r="N1031" s="262" t="s">
        <v>32</v>
      </c>
      <c r="O1031" s="262" t="s">
        <v>35</v>
      </c>
      <c r="P1031" s="262" t="s">
        <v>156</v>
      </c>
      <c r="Q1031" s="262" t="s">
        <v>18</v>
      </c>
      <c r="R1031" s="262" t="s">
        <v>19</v>
      </c>
      <c r="S1031" s="267" t="s">
        <v>19</v>
      </c>
      <c r="T1031" s="268"/>
      <c r="U1031" s="269" t="s">
        <v>154</v>
      </c>
      <c r="V1031" s="269">
        <v>0</v>
      </c>
      <c r="W1031" s="278">
        <v>0</v>
      </c>
      <c r="X1031" s="270"/>
      <c r="Y1031" s="262" t="s">
        <v>25</v>
      </c>
      <c r="Z1031" s="271" t="s">
        <v>25</v>
      </c>
      <c r="AA1031" s="287"/>
      <c r="AB1031" s="287"/>
      <c r="AC1031" s="272">
        <f t="shared" si="33"/>
        <v>5000000</v>
      </c>
      <c r="AD1031" s="272">
        <v>5000000</v>
      </c>
      <c r="AE1031" s="272">
        <f t="shared" si="34"/>
        <v>0</v>
      </c>
      <c r="AF1031" s="273"/>
      <c r="AG1031" s="274"/>
      <c r="AH1031" s="273"/>
      <c r="AI1031" s="273"/>
      <c r="AJ1031" s="274"/>
      <c r="AK1031" s="273"/>
      <c r="AL1031" s="275"/>
      <c r="AM1031" s="290"/>
      <c r="AN1031" s="275"/>
      <c r="AO1031" s="276"/>
      <c r="AP1031" s="275"/>
      <c r="AQ1031" s="275"/>
      <c r="AR1031" s="275"/>
      <c r="AS1031" s="275"/>
      <c r="AT1031" s="275"/>
      <c r="AU1031" s="275"/>
      <c r="AV1031" s="275"/>
      <c r="AW1031" s="275"/>
      <c r="AX1031" s="275"/>
      <c r="AY1031" s="275"/>
      <c r="AZ1031" s="275"/>
      <c r="BA1031" s="275"/>
      <c r="BB1031" s="275"/>
      <c r="BC1031" s="275"/>
      <c r="BD1031" s="275"/>
      <c r="BE1031" s="275">
        <v>5000000</v>
      </c>
      <c r="BF1031" s="275"/>
      <c r="BH1031" s="277"/>
    </row>
    <row r="1032" spans="1:60" ht="16.5" customHeight="1">
      <c r="A1032" s="260">
        <v>1010</v>
      </c>
      <c r="B1032" s="261"/>
      <c r="C1032" s="261"/>
      <c r="D1032" s="262" t="s">
        <v>15</v>
      </c>
      <c r="E1032" s="262" t="s">
        <v>456</v>
      </c>
      <c r="F1032" s="263" t="s">
        <v>15</v>
      </c>
      <c r="G1032" s="264" t="s">
        <v>456</v>
      </c>
      <c r="H1032" s="281"/>
      <c r="I1032" s="265"/>
      <c r="J1032" s="266" t="s">
        <v>981</v>
      </c>
      <c r="K1032" s="262"/>
      <c r="L1032" s="262"/>
      <c r="M1032" s="262">
        <v>19027</v>
      </c>
      <c r="N1032" s="262"/>
      <c r="O1032" s="262"/>
      <c r="P1032" s="262"/>
      <c r="Q1032" s="262"/>
      <c r="R1032" s="262"/>
      <c r="S1032" s="267" t="s">
        <v>19</v>
      </c>
      <c r="T1032" s="268"/>
      <c r="U1032" s="269"/>
      <c r="V1032" s="269"/>
      <c r="W1032" s="278">
        <v>0</v>
      </c>
      <c r="X1032" s="270"/>
      <c r="Y1032" s="262"/>
      <c r="Z1032" s="271" t="s">
        <v>27</v>
      </c>
      <c r="AA1032" s="287"/>
      <c r="AB1032" s="287"/>
      <c r="AC1032" s="272">
        <f t="shared" si="33"/>
        <v>2000000</v>
      </c>
      <c r="AD1032" s="272">
        <v>2000000</v>
      </c>
      <c r="AE1032" s="272">
        <f t="shared" si="34"/>
        <v>0</v>
      </c>
      <c r="AF1032" s="273"/>
      <c r="AG1032" s="274"/>
      <c r="AH1032" s="273"/>
      <c r="AI1032" s="273"/>
      <c r="AJ1032" s="274"/>
      <c r="AK1032" s="273"/>
      <c r="AL1032" s="275"/>
      <c r="AM1032" s="290"/>
      <c r="AN1032" s="275"/>
      <c r="AO1032" s="276">
        <v>2000000</v>
      </c>
      <c r="AP1032" s="275"/>
      <c r="AQ1032" s="275"/>
      <c r="AR1032" s="275"/>
      <c r="AS1032" s="275"/>
      <c r="AT1032" s="275"/>
      <c r="AU1032" s="275"/>
      <c r="AV1032" s="275"/>
      <c r="AW1032" s="275"/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customHeight="1">
      <c r="A1033" s="260">
        <v>1011</v>
      </c>
      <c r="B1033" s="261"/>
      <c r="C1033" s="261"/>
      <c r="D1033" s="262" t="s">
        <v>15</v>
      </c>
      <c r="E1033" s="262" t="s">
        <v>456</v>
      </c>
      <c r="F1033" s="263" t="s">
        <v>15</v>
      </c>
      <c r="G1033" s="264" t="s">
        <v>456</v>
      </c>
      <c r="H1033" s="281"/>
      <c r="I1033" s="265"/>
      <c r="J1033" s="266" t="s">
        <v>347</v>
      </c>
      <c r="K1033" s="262"/>
      <c r="L1033" s="262"/>
      <c r="M1033" s="262">
        <v>1558</v>
      </c>
      <c r="N1033" s="262" t="s">
        <v>53</v>
      </c>
      <c r="O1033" s="262" t="s">
        <v>212</v>
      </c>
      <c r="P1033" s="262"/>
      <c r="Q1033" s="262" t="s">
        <v>18</v>
      </c>
      <c r="R1033" s="262" t="s">
        <v>28</v>
      </c>
      <c r="S1033" s="267" t="s">
        <v>28</v>
      </c>
      <c r="T1033" s="268" t="s">
        <v>951</v>
      </c>
      <c r="U1033" s="269">
        <v>51650500</v>
      </c>
      <c r="V1033" s="269">
        <v>0</v>
      </c>
      <c r="W1033" s="278">
        <v>28034200</v>
      </c>
      <c r="X1033" s="270"/>
      <c r="Y1033" s="262" t="s">
        <v>27</v>
      </c>
      <c r="Z1033" s="271" t="s">
        <v>27</v>
      </c>
      <c r="AA1033" s="287"/>
      <c r="AB1033" s="287"/>
      <c r="AC1033" s="272">
        <f t="shared" si="33"/>
        <v>41023545</v>
      </c>
      <c r="AD1033" s="272">
        <v>41023545</v>
      </c>
      <c r="AE1033" s="272">
        <f t="shared" si="34"/>
        <v>0</v>
      </c>
      <c r="AF1033" s="273">
        <v>3259545</v>
      </c>
      <c r="AG1033" s="274">
        <v>3259545</v>
      </c>
      <c r="AH1033" s="273"/>
      <c r="AI1033" s="273">
        <v>3000000</v>
      </c>
      <c r="AJ1033" s="274">
        <v>865000</v>
      </c>
      <c r="AK1033" s="273"/>
      <c r="AL1033" s="275">
        <v>899000</v>
      </c>
      <c r="AM1033" s="290">
        <v>899000</v>
      </c>
      <c r="AN1033" s="275"/>
      <c r="AO1033" s="276">
        <v>4000000</v>
      </c>
      <c r="AP1033" s="275"/>
      <c r="AQ1033" s="275">
        <v>4000000</v>
      </c>
      <c r="AR1033" s="275"/>
      <c r="AS1033" s="275">
        <v>5000000</v>
      </c>
      <c r="AT1033" s="275"/>
      <c r="AU1033" s="275">
        <v>3000000</v>
      </c>
      <c r="AV1033" s="275"/>
      <c r="AW1033" s="275">
        <v>3000000</v>
      </c>
      <c r="AX1033" s="275"/>
      <c r="AY1033" s="275">
        <v>4000000</v>
      </c>
      <c r="AZ1033" s="275"/>
      <c r="BA1033" s="275">
        <v>4000000</v>
      </c>
      <c r="BB1033" s="275"/>
      <c r="BC1033" s="275">
        <v>4000000</v>
      </c>
      <c r="BD1033" s="275"/>
      <c r="BE1033" s="275">
        <v>5000000</v>
      </c>
      <c r="BF1033" s="275"/>
      <c r="BH1033" s="277"/>
    </row>
    <row r="1034" spans="1:60" ht="16.5" customHeight="1">
      <c r="A1034" s="260">
        <v>1012</v>
      </c>
      <c r="B1034" s="261"/>
      <c r="C1034" s="261"/>
      <c r="D1034" s="262" t="s">
        <v>15</v>
      </c>
      <c r="E1034" s="262" t="s">
        <v>456</v>
      </c>
      <c r="F1034" s="263" t="s">
        <v>15</v>
      </c>
      <c r="G1034" s="264" t="s">
        <v>456</v>
      </c>
      <c r="H1034" s="281"/>
      <c r="I1034" s="265"/>
      <c r="J1034" s="266" t="s">
        <v>347</v>
      </c>
      <c r="K1034" s="262"/>
      <c r="L1034" s="262"/>
      <c r="M1034" s="262">
        <v>1558</v>
      </c>
      <c r="N1034" s="262" t="s">
        <v>53</v>
      </c>
      <c r="O1034" s="262" t="s">
        <v>212</v>
      </c>
      <c r="P1034" s="262"/>
      <c r="Q1034" s="262" t="s">
        <v>18</v>
      </c>
      <c r="R1034" s="262" t="s">
        <v>19</v>
      </c>
      <c r="S1034" s="267" t="s">
        <v>19</v>
      </c>
      <c r="T1034" s="268"/>
      <c r="U1034" s="269"/>
      <c r="V1034" s="269">
        <v>59866260</v>
      </c>
      <c r="W1034" s="278">
        <v>4976500</v>
      </c>
      <c r="X1034" s="270"/>
      <c r="Y1034" s="262" t="s">
        <v>27</v>
      </c>
      <c r="Z1034" s="271" t="s">
        <v>25</v>
      </c>
      <c r="AA1034" s="287"/>
      <c r="AB1034" s="287"/>
      <c r="AC1034" s="272">
        <f t="shared" si="33"/>
        <v>5000000</v>
      </c>
      <c r="AD1034" s="272">
        <v>5000000</v>
      </c>
      <c r="AE1034" s="272">
        <f t="shared" si="34"/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>
        <v>2500000</v>
      </c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>
        <v>2500000</v>
      </c>
      <c r="BD1034" s="275"/>
      <c r="BE1034" s="275"/>
      <c r="BF1034" s="275"/>
      <c r="BH1034" s="277"/>
    </row>
    <row r="1035" spans="1:60" ht="16.5" customHeight="1">
      <c r="A1035" s="260">
        <v>1013</v>
      </c>
      <c r="B1035" s="261"/>
      <c r="C1035" s="261"/>
      <c r="D1035" s="262" t="s">
        <v>15</v>
      </c>
      <c r="E1035" s="262" t="s">
        <v>456</v>
      </c>
      <c r="F1035" s="263" t="s">
        <v>15</v>
      </c>
      <c r="G1035" s="264" t="s">
        <v>456</v>
      </c>
      <c r="H1035" s="281"/>
      <c r="I1035" s="265"/>
      <c r="J1035" s="266" t="s">
        <v>347</v>
      </c>
      <c r="K1035" s="262"/>
      <c r="L1035" s="262"/>
      <c r="M1035" s="262">
        <v>1558</v>
      </c>
      <c r="N1035" s="262" t="s">
        <v>22</v>
      </c>
      <c r="O1035" s="262" t="s">
        <v>35</v>
      </c>
      <c r="P1035" s="262"/>
      <c r="Q1035" s="262"/>
      <c r="R1035" s="262" t="s">
        <v>468</v>
      </c>
      <c r="S1035" s="267" t="s">
        <v>468</v>
      </c>
      <c r="T1035" s="268"/>
      <c r="U1035" s="269"/>
      <c r="V1035" s="269"/>
      <c r="W1035" s="278">
        <v>3670000</v>
      </c>
      <c r="X1035" s="270"/>
      <c r="Y1035" s="262" t="s">
        <v>27</v>
      </c>
      <c r="Z1035" s="271" t="s">
        <v>25</v>
      </c>
      <c r="AA1035" s="287"/>
      <c r="AB1035" s="287"/>
      <c r="AC1035" s="272">
        <f t="shared" si="33"/>
        <v>3000000</v>
      </c>
      <c r="AD1035" s="272">
        <v>3000000</v>
      </c>
      <c r="AE1035" s="272">
        <f t="shared" si="34"/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>
        <v>3000000</v>
      </c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/>
      <c r="BF1035" s="275"/>
      <c r="BH1035" s="277"/>
    </row>
    <row r="1036" spans="1:60" ht="16.5" customHeight="1">
      <c r="A1036" s="260">
        <v>1014</v>
      </c>
      <c r="B1036" s="261"/>
      <c r="C1036" s="261"/>
      <c r="D1036" s="262" t="s">
        <v>15</v>
      </c>
      <c r="E1036" s="262" t="s">
        <v>456</v>
      </c>
      <c r="F1036" s="263" t="s">
        <v>15</v>
      </c>
      <c r="G1036" s="264" t="s">
        <v>456</v>
      </c>
      <c r="H1036" s="281"/>
      <c r="I1036" s="265"/>
      <c r="J1036" s="266" t="s">
        <v>347</v>
      </c>
      <c r="K1036" s="262"/>
      <c r="L1036" s="262"/>
      <c r="M1036" s="262">
        <v>1558</v>
      </c>
      <c r="N1036" s="262" t="s">
        <v>53</v>
      </c>
      <c r="O1036" s="262" t="s">
        <v>35</v>
      </c>
      <c r="P1036" s="262"/>
      <c r="Q1036" s="262" t="s">
        <v>18</v>
      </c>
      <c r="R1036" s="262" t="s">
        <v>470</v>
      </c>
      <c r="S1036" s="267" t="s">
        <v>822</v>
      </c>
      <c r="T1036" s="268"/>
      <c r="U1036" s="269"/>
      <c r="V1036" s="269">
        <v>0</v>
      </c>
      <c r="W1036" s="278">
        <v>454545</v>
      </c>
      <c r="X1036" s="270"/>
      <c r="Y1036" s="262" t="s">
        <v>27</v>
      </c>
      <c r="Z1036" s="271" t="s">
        <v>25</v>
      </c>
      <c r="AA1036" s="287"/>
      <c r="AB1036" s="287"/>
      <c r="AC1036" s="272">
        <f t="shared" si="33"/>
        <v>500000</v>
      </c>
      <c r="AD1036" s="272">
        <v>500000</v>
      </c>
      <c r="AE1036" s="272">
        <f t="shared" si="34"/>
        <v>0</v>
      </c>
      <c r="AF1036" s="273"/>
      <c r="AG1036" s="274"/>
      <c r="AH1036" s="273"/>
      <c r="AI1036" s="273"/>
      <c r="AJ1036" s="274"/>
      <c r="AK1036" s="273"/>
      <c r="AL1036" s="275"/>
      <c r="AM1036" s="290"/>
      <c r="AN1036" s="275"/>
      <c r="AO1036" s="276"/>
      <c r="AP1036" s="275"/>
      <c r="AQ1036" s="275">
        <v>500000</v>
      </c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/>
      <c r="BF1036" s="275"/>
      <c r="BH1036" s="277"/>
    </row>
    <row r="1037" spans="1:60" ht="16.5" customHeight="1">
      <c r="A1037" s="260">
        <v>1015</v>
      </c>
      <c r="B1037" s="261"/>
      <c r="C1037" s="261"/>
      <c r="D1037" s="262" t="s">
        <v>15</v>
      </c>
      <c r="E1037" s="262" t="s">
        <v>456</v>
      </c>
      <c r="F1037" s="263" t="s">
        <v>15</v>
      </c>
      <c r="G1037" s="264" t="s">
        <v>456</v>
      </c>
      <c r="H1037" s="281"/>
      <c r="I1037" s="265"/>
      <c r="J1037" s="266" t="s">
        <v>348</v>
      </c>
      <c r="K1037" s="262"/>
      <c r="L1037" s="262"/>
      <c r="M1037" s="262">
        <v>27811</v>
      </c>
      <c r="N1037" s="262" t="s">
        <v>42</v>
      </c>
      <c r="O1037" s="262" t="s">
        <v>56</v>
      </c>
      <c r="P1037" s="262" t="s">
        <v>57</v>
      </c>
      <c r="Q1037" s="262" t="s">
        <v>18</v>
      </c>
      <c r="R1037" s="262" t="s">
        <v>19</v>
      </c>
      <c r="S1037" s="267" t="s">
        <v>19</v>
      </c>
      <c r="T1037" s="268"/>
      <c r="U1037" s="269"/>
      <c r="V1037" s="269">
        <v>4570000</v>
      </c>
      <c r="W1037" s="278">
        <v>0</v>
      </c>
      <c r="X1037" s="270"/>
      <c r="Y1037" s="262" t="s">
        <v>24</v>
      </c>
      <c r="Z1037" s="271" t="s">
        <v>25</v>
      </c>
      <c r="AA1037" s="287"/>
      <c r="AB1037" s="287"/>
      <c r="AC1037" s="272">
        <f t="shared" si="33"/>
        <v>1000000</v>
      </c>
      <c r="AD1037" s="272">
        <v>1000000</v>
      </c>
      <c r="AE1037" s="272">
        <f t="shared" si="34"/>
        <v>0</v>
      </c>
      <c r="AF1037" s="273"/>
      <c r="AG1037" s="274"/>
      <c r="AH1037" s="273"/>
      <c r="AI1037" s="273"/>
      <c r="AJ1037" s="274"/>
      <c r="AK1037" s="273"/>
      <c r="AL1037" s="275"/>
      <c r="AM1037" s="290"/>
      <c r="AN1037" s="275"/>
      <c r="AO1037" s="276"/>
      <c r="AP1037" s="275"/>
      <c r="AQ1037" s="275"/>
      <c r="AR1037" s="275"/>
      <c r="AS1037" s="275">
        <v>1000000</v>
      </c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H1037" s="277"/>
    </row>
    <row r="1038" spans="1:60" ht="16.5" customHeight="1">
      <c r="A1038" s="260">
        <v>1016</v>
      </c>
      <c r="B1038" s="261"/>
      <c r="C1038" s="261"/>
      <c r="D1038" s="262" t="s">
        <v>15</v>
      </c>
      <c r="E1038" s="262" t="s">
        <v>456</v>
      </c>
      <c r="F1038" s="263" t="s">
        <v>15</v>
      </c>
      <c r="G1038" s="264" t="s">
        <v>456</v>
      </c>
      <c r="H1038" s="281"/>
      <c r="I1038" s="265"/>
      <c r="J1038" s="266" t="s">
        <v>348</v>
      </c>
      <c r="K1038" s="262"/>
      <c r="L1038" s="262"/>
      <c r="M1038" s="262">
        <v>27811</v>
      </c>
      <c r="N1038" s="262" t="s">
        <v>42</v>
      </c>
      <c r="O1038" s="262" t="s">
        <v>56</v>
      </c>
      <c r="P1038" s="262"/>
      <c r="Q1038" s="262" t="s">
        <v>18</v>
      </c>
      <c r="R1038" s="262" t="s">
        <v>19</v>
      </c>
      <c r="S1038" s="267" t="s">
        <v>19</v>
      </c>
      <c r="T1038" s="268"/>
      <c r="U1038" s="269">
        <v>5679000</v>
      </c>
      <c r="V1038" s="269">
        <v>0</v>
      </c>
      <c r="W1038" s="278">
        <v>8080600</v>
      </c>
      <c r="X1038" s="270"/>
      <c r="Y1038" s="262" t="s">
        <v>27</v>
      </c>
      <c r="Z1038" s="271" t="s">
        <v>25</v>
      </c>
      <c r="AA1038" s="287"/>
      <c r="AB1038" s="287"/>
      <c r="AC1038" s="272">
        <f t="shared" si="33"/>
        <v>500000</v>
      </c>
      <c r="AD1038" s="272">
        <v>500000</v>
      </c>
      <c r="AE1038" s="272">
        <f t="shared" si="34"/>
        <v>0</v>
      </c>
      <c r="AF1038" s="273"/>
      <c r="AG1038" s="274"/>
      <c r="AH1038" s="273"/>
      <c r="AI1038" s="273"/>
      <c r="AJ1038" s="274"/>
      <c r="AK1038" s="273"/>
      <c r="AL1038" s="275"/>
      <c r="AM1038" s="290"/>
      <c r="AN1038" s="275"/>
      <c r="AO1038" s="276"/>
      <c r="AP1038" s="275"/>
      <c r="AQ1038" s="275"/>
      <c r="AR1038" s="275"/>
      <c r="AS1038" s="275">
        <v>500000</v>
      </c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customHeight="1">
      <c r="A1039" s="260">
        <v>1017</v>
      </c>
      <c r="B1039" s="261"/>
      <c r="C1039" s="261"/>
      <c r="D1039" s="262" t="s">
        <v>15</v>
      </c>
      <c r="E1039" s="262" t="s">
        <v>456</v>
      </c>
      <c r="F1039" s="263" t="s">
        <v>15</v>
      </c>
      <c r="G1039" s="264" t="s">
        <v>456</v>
      </c>
      <c r="H1039" s="281"/>
      <c r="I1039" s="265"/>
      <c r="J1039" s="266" t="s">
        <v>349</v>
      </c>
      <c r="K1039" s="262"/>
      <c r="L1039" s="262"/>
      <c r="M1039" s="262">
        <v>53409</v>
      </c>
      <c r="N1039" s="262" t="s">
        <v>22</v>
      </c>
      <c r="O1039" s="262" t="s">
        <v>56</v>
      </c>
      <c r="P1039" s="262"/>
      <c r="Q1039" s="262" t="s">
        <v>18</v>
      </c>
      <c r="R1039" s="262" t="s">
        <v>19</v>
      </c>
      <c r="S1039" s="267" t="s">
        <v>19</v>
      </c>
      <c r="T1039" s="268"/>
      <c r="U1039" s="269">
        <v>531000</v>
      </c>
      <c r="V1039" s="269">
        <v>0</v>
      </c>
      <c r="W1039" s="278">
        <v>288000</v>
      </c>
      <c r="X1039" s="270"/>
      <c r="Y1039" s="262" t="s">
        <v>24</v>
      </c>
      <c r="Z1039" s="271" t="s">
        <v>27</v>
      </c>
      <c r="AA1039" s="287"/>
      <c r="AB1039" s="287"/>
      <c r="AC1039" s="272">
        <f t="shared" si="33"/>
        <v>1111000</v>
      </c>
      <c r="AD1039" s="272">
        <v>1111000</v>
      </c>
      <c r="AE1039" s="272">
        <f t="shared" si="34"/>
        <v>0</v>
      </c>
      <c r="AF1039" s="273">
        <v>111000</v>
      </c>
      <c r="AG1039" s="274">
        <v>111000</v>
      </c>
      <c r="AH1039" s="273"/>
      <c r="AI1039" s="273"/>
      <c r="AJ1039" s="274"/>
      <c r="AK1039" s="273"/>
      <c r="AL1039" s="275"/>
      <c r="AM1039" s="290"/>
      <c r="AN1039" s="275"/>
      <c r="AO1039" s="276"/>
      <c r="AP1039" s="275"/>
      <c r="AQ1039" s="275"/>
      <c r="AR1039" s="275"/>
      <c r="AS1039" s="275">
        <v>1000000</v>
      </c>
      <c r="AT1039" s="275"/>
      <c r="AU1039" s="275"/>
      <c r="AV1039" s="275"/>
      <c r="AW1039" s="275"/>
      <c r="AX1039" s="275"/>
      <c r="AY1039" s="275"/>
      <c r="AZ1039" s="275"/>
      <c r="BA1039" s="275"/>
      <c r="BB1039" s="275"/>
      <c r="BC1039" s="275"/>
      <c r="BD1039" s="275"/>
      <c r="BE1039" s="275"/>
      <c r="BF1039" s="275"/>
      <c r="BH1039" s="277"/>
    </row>
    <row r="1040" spans="1:60" ht="16.5" customHeight="1">
      <c r="A1040" s="260">
        <v>1018</v>
      </c>
      <c r="B1040" s="261"/>
      <c r="C1040" s="261"/>
      <c r="D1040" s="262"/>
      <c r="E1040" s="262"/>
      <c r="F1040" s="263" t="s">
        <v>15</v>
      </c>
      <c r="G1040" s="264" t="s">
        <v>456</v>
      </c>
      <c r="H1040" s="281"/>
      <c r="I1040" s="265"/>
      <c r="J1040" s="266" t="s">
        <v>220</v>
      </c>
      <c r="K1040" s="262"/>
      <c r="L1040" s="262"/>
      <c r="M1040" s="262">
        <v>7701</v>
      </c>
      <c r="N1040" s="262"/>
      <c r="O1040" s="262"/>
      <c r="P1040" s="262"/>
      <c r="Q1040" s="262"/>
      <c r="R1040" s="262"/>
      <c r="S1040" s="267" t="s">
        <v>28</v>
      </c>
      <c r="T1040" s="268"/>
      <c r="U1040" s="269"/>
      <c r="V1040" s="269"/>
      <c r="W1040" s="278">
        <v>826000</v>
      </c>
      <c r="X1040" s="270"/>
      <c r="Y1040" s="262"/>
      <c r="Z1040" s="271" t="s">
        <v>718</v>
      </c>
      <c r="AA1040" s="287"/>
      <c r="AB1040" s="287"/>
      <c r="AC1040" s="272">
        <f t="shared" si="33"/>
        <v>0</v>
      </c>
      <c r="AD1040" s="272">
        <v>0</v>
      </c>
      <c r="AE1040" s="272">
        <f t="shared" si="34"/>
        <v>0</v>
      </c>
      <c r="AF1040" s="273"/>
      <c r="AG1040" s="274"/>
      <c r="AH1040" s="273"/>
      <c r="AI1040" s="273"/>
      <c r="AJ1040" s="274"/>
      <c r="AK1040" s="273"/>
      <c r="AL1040" s="275"/>
      <c r="AM1040" s="290"/>
      <c r="AN1040" s="275"/>
      <c r="AO1040" s="276"/>
      <c r="AP1040" s="275"/>
      <c r="AQ1040" s="275"/>
      <c r="AR1040" s="275"/>
      <c r="AS1040" s="275"/>
      <c r="AT1040" s="275"/>
      <c r="AU1040" s="275"/>
      <c r="AV1040" s="275"/>
      <c r="AW1040" s="275"/>
      <c r="AX1040" s="275"/>
      <c r="AY1040" s="275"/>
      <c r="AZ1040" s="275"/>
      <c r="BA1040" s="275"/>
      <c r="BB1040" s="275"/>
      <c r="BC1040" s="275"/>
      <c r="BD1040" s="275"/>
      <c r="BE1040" s="275"/>
      <c r="BF1040" s="275"/>
      <c r="BH1040" s="277"/>
    </row>
    <row r="1041" spans="1:60" ht="16.5" customHeight="1">
      <c r="A1041" s="260">
        <v>1019</v>
      </c>
      <c r="B1041" s="261"/>
      <c r="C1041" s="261"/>
      <c r="D1041" s="262" t="s">
        <v>15</v>
      </c>
      <c r="E1041" s="262" t="s">
        <v>456</v>
      </c>
      <c r="F1041" s="263" t="s">
        <v>15</v>
      </c>
      <c r="G1041" s="264" t="s">
        <v>456</v>
      </c>
      <c r="H1041" s="281"/>
      <c r="I1041" s="265"/>
      <c r="J1041" s="266" t="s">
        <v>220</v>
      </c>
      <c r="K1041" s="262"/>
      <c r="L1041" s="262"/>
      <c r="M1041" s="262">
        <v>7701</v>
      </c>
      <c r="N1041" s="262" t="s">
        <v>32</v>
      </c>
      <c r="O1041" s="262" t="s">
        <v>35</v>
      </c>
      <c r="P1041" s="262"/>
      <c r="Q1041" s="262"/>
      <c r="R1041" s="262" t="s">
        <v>19</v>
      </c>
      <c r="S1041" s="267" t="s">
        <v>19</v>
      </c>
      <c r="T1041" s="268"/>
      <c r="U1041" s="269"/>
      <c r="V1041" s="269">
        <v>0</v>
      </c>
      <c r="W1041" s="278">
        <v>0</v>
      </c>
      <c r="X1041" s="270"/>
      <c r="Y1041" s="262" t="s">
        <v>27</v>
      </c>
      <c r="Z1041" s="271" t="s">
        <v>25</v>
      </c>
      <c r="AA1041" s="287"/>
      <c r="AB1041" s="287"/>
      <c r="AC1041" s="272">
        <f t="shared" si="33"/>
        <v>1000000</v>
      </c>
      <c r="AD1041" s="272">
        <v>1000000</v>
      </c>
      <c r="AE1041" s="272">
        <f t="shared" si="34"/>
        <v>0</v>
      </c>
      <c r="AF1041" s="273"/>
      <c r="AG1041" s="274"/>
      <c r="AH1041" s="273"/>
      <c r="AI1041" s="273"/>
      <c r="AJ1041" s="274"/>
      <c r="AK1041" s="273"/>
      <c r="AL1041" s="275"/>
      <c r="AM1041" s="290"/>
      <c r="AN1041" s="275"/>
      <c r="AO1041" s="276"/>
      <c r="AP1041" s="275"/>
      <c r="AQ1041" s="275">
        <v>1000000</v>
      </c>
      <c r="AR1041" s="275"/>
      <c r="AS1041" s="275"/>
      <c r="AT1041" s="275"/>
      <c r="AU1041" s="275"/>
      <c r="AV1041" s="275"/>
      <c r="AW1041" s="275"/>
      <c r="AX1041" s="275"/>
      <c r="AY1041" s="275"/>
      <c r="AZ1041" s="275"/>
      <c r="BA1041" s="275"/>
      <c r="BB1041" s="275"/>
      <c r="BC1041" s="275"/>
      <c r="BD1041" s="275"/>
      <c r="BE1041" s="275"/>
      <c r="BF1041" s="275"/>
      <c r="BH1041" s="277"/>
    </row>
    <row r="1042" spans="1:60" ht="16.5" customHeight="1">
      <c r="A1042" s="260">
        <v>1020</v>
      </c>
      <c r="B1042" s="261"/>
      <c r="C1042" s="261"/>
      <c r="D1042" s="262" t="s">
        <v>15</v>
      </c>
      <c r="E1042" s="262" t="s">
        <v>456</v>
      </c>
      <c r="F1042" s="263" t="s">
        <v>15</v>
      </c>
      <c r="G1042" s="264" t="s">
        <v>456</v>
      </c>
      <c r="H1042" s="281"/>
      <c r="I1042" s="265"/>
      <c r="J1042" s="266" t="s">
        <v>220</v>
      </c>
      <c r="K1042" s="262"/>
      <c r="L1042" s="262"/>
      <c r="M1042" s="262">
        <v>7701</v>
      </c>
      <c r="N1042" s="262" t="s">
        <v>32</v>
      </c>
      <c r="O1042" s="262" t="s">
        <v>56</v>
      </c>
      <c r="P1042" s="262" t="s">
        <v>57</v>
      </c>
      <c r="Q1042" s="262" t="s">
        <v>30</v>
      </c>
      <c r="R1042" s="262" t="s">
        <v>31</v>
      </c>
      <c r="S1042" s="267" t="s">
        <v>31</v>
      </c>
      <c r="T1042" s="268"/>
      <c r="U1042" s="269">
        <v>18555500</v>
      </c>
      <c r="V1042" s="269">
        <v>18735000</v>
      </c>
      <c r="W1042" s="278">
        <v>0</v>
      </c>
      <c r="X1042" s="270"/>
      <c r="Y1042" s="262" t="s">
        <v>24</v>
      </c>
      <c r="Z1042" s="271" t="s">
        <v>25</v>
      </c>
      <c r="AA1042" s="287"/>
      <c r="AB1042" s="287"/>
      <c r="AC1042" s="272">
        <f t="shared" si="33"/>
        <v>19000000</v>
      </c>
      <c r="AD1042" s="272">
        <v>19000000</v>
      </c>
      <c r="AE1042" s="272">
        <f t="shared" si="34"/>
        <v>0</v>
      </c>
      <c r="AF1042" s="273"/>
      <c r="AG1042" s="274"/>
      <c r="AH1042" s="273"/>
      <c r="AI1042" s="273"/>
      <c r="AJ1042" s="274"/>
      <c r="AK1042" s="273"/>
      <c r="AL1042" s="275"/>
      <c r="AM1042" s="290"/>
      <c r="AN1042" s="275"/>
      <c r="AO1042" s="276"/>
      <c r="AP1042" s="275"/>
      <c r="AQ1042" s="275"/>
      <c r="AR1042" s="275"/>
      <c r="AS1042" s="275"/>
      <c r="AT1042" s="275"/>
      <c r="AU1042" s="275"/>
      <c r="AV1042" s="275"/>
      <c r="AW1042" s="275"/>
      <c r="AX1042" s="275"/>
      <c r="AY1042" s="275"/>
      <c r="AZ1042" s="275"/>
      <c r="BA1042" s="275"/>
      <c r="BB1042" s="275"/>
      <c r="BC1042" s="275"/>
      <c r="BD1042" s="275"/>
      <c r="BE1042" s="275">
        <v>19000000</v>
      </c>
      <c r="BF1042" s="275"/>
      <c r="BH1042" s="277"/>
    </row>
    <row r="1043" spans="1:60" ht="16.5" customHeight="1">
      <c r="A1043" s="260">
        <v>1021</v>
      </c>
      <c r="B1043" s="261"/>
      <c r="C1043" s="261"/>
      <c r="D1043" s="262" t="s">
        <v>15</v>
      </c>
      <c r="E1043" s="262" t="s">
        <v>456</v>
      </c>
      <c r="F1043" s="263" t="s">
        <v>15</v>
      </c>
      <c r="G1043" s="264" t="s">
        <v>456</v>
      </c>
      <c r="H1043" s="281"/>
      <c r="I1043" s="265"/>
      <c r="J1043" s="266" t="s">
        <v>220</v>
      </c>
      <c r="K1043" s="262"/>
      <c r="L1043" s="262"/>
      <c r="M1043" s="262">
        <v>7701</v>
      </c>
      <c r="N1043" s="262" t="s">
        <v>32</v>
      </c>
      <c r="O1043" s="262" t="s">
        <v>56</v>
      </c>
      <c r="P1043" s="262" t="s">
        <v>57</v>
      </c>
      <c r="Q1043" s="262" t="s">
        <v>26</v>
      </c>
      <c r="R1043" s="262" t="s">
        <v>468</v>
      </c>
      <c r="S1043" s="267" t="s">
        <v>468</v>
      </c>
      <c r="T1043" s="268"/>
      <c r="U1043" s="269">
        <v>20730000</v>
      </c>
      <c r="V1043" s="269">
        <v>31495000</v>
      </c>
      <c r="W1043" s="278">
        <v>27415000</v>
      </c>
      <c r="X1043" s="270"/>
      <c r="Y1043" s="262" t="s">
        <v>27</v>
      </c>
      <c r="Z1043" s="271" t="s">
        <v>27</v>
      </c>
      <c r="AA1043" s="287"/>
      <c r="AB1043" s="287"/>
      <c r="AC1043" s="272">
        <f t="shared" si="33"/>
        <v>6530000</v>
      </c>
      <c r="AD1043" s="272">
        <v>6530000</v>
      </c>
      <c r="AE1043" s="272">
        <f t="shared" si="34"/>
        <v>0</v>
      </c>
      <c r="AF1043" s="273"/>
      <c r="AG1043" s="274"/>
      <c r="AH1043" s="273"/>
      <c r="AI1043" s="273"/>
      <c r="AJ1043" s="274"/>
      <c r="AK1043" s="273"/>
      <c r="AL1043" s="275">
        <v>4530000</v>
      </c>
      <c r="AM1043" s="290">
        <v>4530000</v>
      </c>
      <c r="AN1043" s="275"/>
      <c r="AO1043" s="276"/>
      <c r="AP1043" s="275"/>
      <c r="AQ1043" s="275"/>
      <c r="AR1043" s="275"/>
      <c r="AS1043" s="275"/>
      <c r="AT1043" s="275"/>
      <c r="AU1043" s="275"/>
      <c r="AV1043" s="275"/>
      <c r="AW1043" s="275"/>
      <c r="AX1043" s="275"/>
      <c r="AY1043" s="275">
        <v>2000000</v>
      </c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customHeight="1">
      <c r="A1044" s="260">
        <v>1022</v>
      </c>
      <c r="B1044" s="261"/>
      <c r="C1044" s="261"/>
      <c r="D1044" s="262" t="s">
        <v>15</v>
      </c>
      <c r="E1044" s="262" t="s">
        <v>456</v>
      </c>
      <c r="F1044" s="263" t="s">
        <v>15</v>
      </c>
      <c r="G1044" s="264" t="s">
        <v>456</v>
      </c>
      <c r="H1044" s="281"/>
      <c r="I1044" s="265"/>
      <c r="J1044" s="266" t="s">
        <v>220</v>
      </c>
      <c r="K1044" s="262"/>
      <c r="L1044" s="262"/>
      <c r="M1044" s="262">
        <v>7701</v>
      </c>
      <c r="N1044" s="262" t="s">
        <v>32</v>
      </c>
      <c r="O1044" s="262" t="s">
        <v>35</v>
      </c>
      <c r="P1044" s="262"/>
      <c r="Q1044" s="262"/>
      <c r="R1044" s="262"/>
      <c r="S1044" s="267" t="s">
        <v>834</v>
      </c>
      <c r="T1044" s="268"/>
      <c r="U1044" s="269"/>
      <c r="V1044" s="269"/>
      <c r="W1044" s="278">
        <v>0</v>
      </c>
      <c r="X1044" s="270"/>
      <c r="Y1044" s="262"/>
      <c r="Z1044" s="271" t="s">
        <v>25</v>
      </c>
      <c r="AA1044" s="287"/>
      <c r="AB1044" s="287"/>
      <c r="AC1044" s="272">
        <f t="shared" si="33"/>
        <v>2000000</v>
      </c>
      <c r="AD1044" s="272">
        <v>2000000</v>
      </c>
      <c r="AE1044" s="272">
        <f t="shared" si="34"/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/>
      <c r="AR1044" s="275"/>
      <c r="AS1044" s="275"/>
      <c r="AT1044" s="275"/>
      <c r="AU1044" s="275"/>
      <c r="AV1044" s="275"/>
      <c r="AW1044" s="275"/>
      <c r="AX1044" s="275"/>
      <c r="AY1044" s="275">
        <v>2000000</v>
      </c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customHeight="1">
      <c r="A1045" s="260">
        <v>1023</v>
      </c>
      <c r="B1045" s="261"/>
      <c r="C1045" s="261"/>
      <c r="D1045" s="262" t="s">
        <v>15</v>
      </c>
      <c r="E1045" s="262" t="s">
        <v>456</v>
      </c>
      <c r="F1045" s="263" t="s">
        <v>15</v>
      </c>
      <c r="G1045" s="264" t="s">
        <v>456</v>
      </c>
      <c r="H1045" s="281"/>
      <c r="I1045" s="265"/>
      <c r="J1045" s="266" t="s">
        <v>223</v>
      </c>
      <c r="K1045" s="262"/>
      <c r="L1045" s="262"/>
      <c r="M1045" s="262">
        <v>16328</v>
      </c>
      <c r="N1045" s="262" t="s">
        <v>32</v>
      </c>
      <c r="O1045" s="262" t="s">
        <v>56</v>
      </c>
      <c r="P1045" s="262" t="s">
        <v>57</v>
      </c>
      <c r="Q1045" s="262" t="s">
        <v>30</v>
      </c>
      <c r="R1045" s="262" t="s">
        <v>31</v>
      </c>
      <c r="S1045" s="267" t="s">
        <v>31</v>
      </c>
      <c r="T1045" s="268"/>
      <c r="U1045" s="269"/>
      <c r="V1045" s="269">
        <v>4800000</v>
      </c>
      <c r="W1045" s="278">
        <v>0</v>
      </c>
      <c r="X1045" s="270"/>
      <c r="Y1045" s="262" t="s">
        <v>599</v>
      </c>
      <c r="Z1045" s="271" t="s">
        <v>25</v>
      </c>
      <c r="AA1045" s="287"/>
      <c r="AB1045" s="287"/>
      <c r="AC1045" s="272">
        <f t="shared" si="33"/>
        <v>5000000</v>
      </c>
      <c r="AD1045" s="272">
        <v>5000000</v>
      </c>
      <c r="AE1045" s="272">
        <f t="shared" si="34"/>
        <v>0</v>
      </c>
      <c r="AF1045" s="273"/>
      <c r="AG1045" s="274"/>
      <c r="AH1045" s="273"/>
      <c r="AI1045" s="273"/>
      <c r="AJ1045" s="274"/>
      <c r="AK1045" s="273"/>
      <c r="AL1045" s="275"/>
      <c r="AM1045" s="290"/>
      <c r="AN1045" s="275"/>
      <c r="AO1045" s="276"/>
      <c r="AP1045" s="275"/>
      <c r="AQ1045" s="275"/>
      <c r="AR1045" s="275"/>
      <c r="AS1045" s="275">
        <v>2500000</v>
      </c>
      <c r="AT1045" s="275"/>
      <c r="AU1045" s="275"/>
      <c r="AV1045" s="275"/>
      <c r="AW1045" s="275"/>
      <c r="AX1045" s="275"/>
      <c r="AY1045" s="275"/>
      <c r="AZ1045" s="275"/>
      <c r="BA1045" s="275">
        <v>2500000</v>
      </c>
      <c r="BB1045" s="275"/>
      <c r="BC1045" s="275"/>
      <c r="BD1045" s="275"/>
      <c r="BE1045" s="275"/>
      <c r="BF1045" s="275"/>
      <c r="BH1045" s="277"/>
    </row>
    <row r="1046" spans="1:60" ht="16.5" customHeight="1">
      <c r="A1046" s="260">
        <v>1024</v>
      </c>
      <c r="B1046" s="261"/>
      <c r="C1046" s="261"/>
      <c r="D1046" s="262" t="s">
        <v>15</v>
      </c>
      <c r="E1046" s="262" t="s">
        <v>456</v>
      </c>
      <c r="F1046" s="263" t="s">
        <v>15</v>
      </c>
      <c r="G1046" s="264" t="s">
        <v>456</v>
      </c>
      <c r="H1046" s="281"/>
      <c r="I1046" s="265"/>
      <c r="J1046" s="266" t="s">
        <v>223</v>
      </c>
      <c r="K1046" s="262"/>
      <c r="L1046" s="262"/>
      <c r="M1046" s="262">
        <v>16328</v>
      </c>
      <c r="N1046" s="262" t="s">
        <v>32</v>
      </c>
      <c r="O1046" s="262" t="s">
        <v>35</v>
      </c>
      <c r="P1046" s="262" t="s">
        <v>57</v>
      </c>
      <c r="Q1046" s="262" t="s">
        <v>26</v>
      </c>
      <c r="R1046" s="262" t="s">
        <v>468</v>
      </c>
      <c r="S1046" s="267" t="s">
        <v>468</v>
      </c>
      <c r="T1046" s="268"/>
      <c r="U1046" s="269">
        <v>8000000</v>
      </c>
      <c r="V1046" s="269">
        <v>0</v>
      </c>
      <c r="W1046" s="278">
        <v>0</v>
      </c>
      <c r="X1046" s="270"/>
      <c r="Y1046" s="262" t="s">
        <v>25</v>
      </c>
      <c r="Z1046" s="271" t="s">
        <v>25</v>
      </c>
      <c r="AA1046" s="287"/>
      <c r="AB1046" s="287"/>
      <c r="AC1046" s="272">
        <f t="shared" si="33"/>
        <v>3000000</v>
      </c>
      <c r="AD1046" s="272">
        <v>3000000</v>
      </c>
      <c r="AE1046" s="272">
        <f t="shared" si="34"/>
        <v>0</v>
      </c>
      <c r="AF1046" s="273"/>
      <c r="AG1046" s="274"/>
      <c r="AH1046" s="273"/>
      <c r="AI1046" s="273"/>
      <c r="AJ1046" s="274"/>
      <c r="AK1046" s="273"/>
      <c r="AL1046" s="275"/>
      <c r="AM1046" s="290"/>
      <c r="AN1046" s="275"/>
      <c r="AO1046" s="276"/>
      <c r="AP1046" s="275"/>
      <c r="AQ1046" s="275"/>
      <c r="AR1046" s="275"/>
      <c r="AS1046" s="275"/>
      <c r="AT1046" s="275"/>
      <c r="AU1046" s="275">
        <v>3000000</v>
      </c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customHeight="1">
      <c r="A1047" s="260">
        <v>1025</v>
      </c>
      <c r="B1047" s="261"/>
      <c r="C1047" s="261"/>
      <c r="D1047" s="262" t="s">
        <v>15</v>
      </c>
      <c r="E1047" s="262" t="s">
        <v>456</v>
      </c>
      <c r="F1047" s="263" t="s">
        <v>15</v>
      </c>
      <c r="G1047" s="264" t="s">
        <v>456</v>
      </c>
      <c r="H1047" s="281"/>
      <c r="I1047" s="265"/>
      <c r="J1047" s="266" t="s">
        <v>1027</v>
      </c>
      <c r="K1047" s="262"/>
      <c r="L1047" s="262"/>
      <c r="M1047" s="262">
        <v>61357</v>
      </c>
      <c r="N1047" s="262" t="s">
        <v>32</v>
      </c>
      <c r="O1047" s="262" t="s">
        <v>212</v>
      </c>
      <c r="P1047" s="262"/>
      <c r="Q1047" s="262" t="s">
        <v>224</v>
      </c>
      <c r="R1047" s="262" t="s">
        <v>467</v>
      </c>
      <c r="S1047" s="267" t="s">
        <v>826</v>
      </c>
      <c r="T1047" s="268"/>
      <c r="U1047" s="269"/>
      <c r="V1047" s="269">
        <v>7200000</v>
      </c>
      <c r="W1047" s="278">
        <v>19200000</v>
      </c>
      <c r="X1047" s="270"/>
      <c r="Y1047" s="262" t="s">
        <v>27</v>
      </c>
      <c r="Z1047" s="271" t="s">
        <v>27</v>
      </c>
      <c r="AA1047" s="287"/>
      <c r="AB1047" s="287"/>
      <c r="AC1047" s="272">
        <f t="shared" ref="AC1047:AC1076" si="35">AG1047+AJ1047+AM1047+AO1047+AQ1047+AS1047+AU1047+AW1047+AY1047+BA1047+BC1047+BE1047</f>
        <v>19440000</v>
      </c>
      <c r="AD1047" s="272">
        <v>19440000</v>
      </c>
      <c r="AE1047" s="272">
        <f t="shared" ref="AE1047:AE1076" si="36">AC1047-AD1047</f>
        <v>0</v>
      </c>
      <c r="AF1047" s="273"/>
      <c r="AG1047" s="274"/>
      <c r="AH1047" s="273"/>
      <c r="AI1047" s="273"/>
      <c r="AJ1047" s="274">
        <v>13440000</v>
      </c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>
        <v>6000000</v>
      </c>
      <c r="BF1047" s="275"/>
      <c r="BH1047" s="277"/>
    </row>
    <row r="1048" spans="1:60" ht="16.5" customHeight="1">
      <c r="A1048" s="260">
        <v>1026</v>
      </c>
      <c r="B1048" s="261"/>
      <c r="C1048" s="261"/>
      <c r="D1048" s="262" t="s">
        <v>15</v>
      </c>
      <c r="E1048" s="262" t="s">
        <v>456</v>
      </c>
      <c r="F1048" s="263" t="s">
        <v>15</v>
      </c>
      <c r="G1048" s="264" t="s">
        <v>456</v>
      </c>
      <c r="H1048" s="281"/>
      <c r="I1048" s="265"/>
      <c r="J1048" s="266" t="s">
        <v>225</v>
      </c>
      <c r="K1048" s="262"/>
      <c r="L1048" s="262"/>
      <c r="M1048" s="262">
        <v>4345</v>
      </c>
      <c r="N1048" s="262" t="s">
        <v>32</v>
      </c>
      <c r="O1048" s="262" t="s">
        <v>35</v>
      </c>
      <c r="P1048" s="262" t="s">
        <v>156</v>
      </c>
      <c r="Q1048" s="262" t="s">
        <v>18</v>
      </c>
      <c r="R1048" s="262" t="s">
        <v>19</v>
      </c>
      <c r="S1048" s="267" t="s">
        <v>19</v>
      </c>
      <c r="T1048" s="268"/>
      <c r="U1048" s="269" t="s">
        <v>154</v>
      </c>
      <c r="V1048" s="269">
        <v>0</v>
      </c>
      <c r="W1048" s="278">
        <v>0</v>
      </c>
      <c r="X1048" s="270"/>
      <c r="Y1048" s="262" t="s">
        <v>25</v>
      </c>
      <c r="Z1048" s="271" t="s">
        <v>25</v>
      </c>
      <c r="AA1048" s="287"/>
      <c r="AB1048" s="287"/>
      <c r="AC1048" s="272">
        <f t="shared" si="35"/>
        <v>20000000</v>
      </c>
      <c r="AD1048" s="272">
        <v>20000000</v>
      </c>
      <c r="AE1048" s="272">
        <f t="shared" si="36"/>
        <v>0</v>
      </c>
      <c r="AF1048" s="273"/>
      <c r="AG1048" s="274"/>
      <c r="AH1048" s="273"/>
      <c r="AI1048" s="273"/>
      <c r="AJ1048" s="274"/>
      <c r="AK1048" s="273"/>
      <c r="AL1048" s="275"/>
      <c r="AM1048" s="290"/>
      <c r="AN1048" s="275"/>
      <c r="AO1048" s="276"/>
      <c r="AP1048" s="275"/>
      <c r="AQ1048" s="275">
        <v>10000000</v>
      </c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>
        <v>10000000</v>
      </c>
      <c r="BB1048" s="275"/>
      <c r="BC1048" s="275"/>
      <c r="BD1048" s="275"/>
      <c r="BE1048" s="275"/>
      <c r="BF1048" s="275"/>
      <c r="BH1048" s="277"/>
    </row>
    <row r="1049" spans="1:60" ht="16.5" customHeight="1">
      <c r="A1049" s="260">
        <v>1027</v>
      </c>
      <c r="B1049" s="261"/>
      <c r="C1049" s="261"/>
      <c r="D1049" s="262" t="s">
        <v>15</v>
      </c>
      <c r="E1049" s="262" t="s">
        <v>456</v>
      </c>
      <c r="F1049" s="263" t="s">
        <v>15</v>
      </c>
      <c r="G1049" s="264" t="s">
        <v>456</v>
      </c>
      <c r="H1049" s="281"/>
      <c r="I1049" s="265"/>
      <c r="J1049" s="266" t="s">
        <v>225</v>
      </c>
      <c r="K1049" s="262"/>
      <c r="L1049" s="262"/>
      <c r="M1049" s="262">
        <v>4345</v>
      </c>
      <c r="N1049" s="262" t="s">
        <v>32</v>
      </c>
      <c r="O1049" s="262" t="s">
        <v>56</v>
      </c>
      <c r="P1049" s="262"/>
      <c r="Q1049" s="262" t="s">
        <v>30</v>
      </c>
      <c r="R1049" s="262" t="s">
        <v>31</v>
      </c>
      <c r="S1049" s="267" t="s">
        <v>31</v>
      </c>
      <c r="T1049" s="268"/>
      <c r="U1049" s="269">
        <v>6105000</v>
      </c>
      <c r="V1049" s="269">
        <v>5714600</v>
      </c>
      <c r="W1049" s="278">
        <v>6250200</v>
      </c>
      <c r="X1049" s="270"/>
      <c r="Y1049" s="262" t="s">
        <v>27</v>
      </c>
      <c r="Z1049" s="271" t="s">
        <v>24</v>
      </c>
      <c r="AA1049" s="287"/>
      <c r="AB1049" s="287"/>
      <c r="AC1049" s="272">
        <f t="shared" si="35"/>
        <v>8000000</v>
      </c>
      <c r="AD1049" s="272">
        <v>8000000</v>
      </c>
      <c r="AE1049" s="272">
        <f t="shared" si="36"/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/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>
        <v>8000000</v>
      </c>
      <c r="BD1049" s="275"/>
      <c r="BE1049" s="275"/>
      <c r="BF1049" s="275"/>
      <c r="BH1049" s="277"/>
    </row>
    <row r="1050" spans="1:60" ht="16.5" customHeight="1">
      <c r="A1050" s="260">
        <v>1028</v>
      </c>
      <c r="B1050" s="261"/>
      <c r="C1050" s="261"/>
      <c r="D1050" s="262" t="s">
        <v>15</v>
      </c>
      <c r="E1050" s="262" t="s">
        <v>456</v>
      </c>
      <c r="F1050" s="263" t="s">
        <v>15</v>
      </c>
      <c r="G1050" s="264" t="s">
        <v>456</v>
      </c>
      <c r="H1050" s="281"/>
      <c r="I1050" s="265"/>
      <c r="J1050" s="266" t="s">
        <v>225</v>
      </c>
      <c r="K1050" s="262"/>
      <c r="L1050" s="262"/>
      <c r="M1050" s="262">
        <v>4345</v>
      </c>
      <c r="N1050" s="262" t="s">
        <v>32</v>
      </c>
      <c r="O1050" s="262" t="s">
        <v>56</v>
      </c>
      <c r="P1050" s="262"/>
      <c r="Q1050" s="262" t="s">
        <v>23</v>
      </c>
      <c r="R1050" s="262" t="s">
        <v>397</v>
      </c>
      <c r="S1050" s="267" t="s">
        <v>823</v>
      </c>
      <c r="T1050" s="268"/>
      <c r="U1050" s="269" t="s">
        <v>154</v>
      </c>
      <c r="V1050" s="269">
        <v>0</v>
      </c>
      <c r="W1050" s="278">
        <v>0</v>
      </c>
      <c r="X1050" s="270"/>
      <c r="Y1050" s="262" t="s">
        <v>562</v>
      </c>
      <c r="Z1050" s="271" t="s">
        <v>25</v>
      </c>
      <c r="AA1050" s="287"/>
      <c r="AB1050" s="287"/>
      <c r="AC1050" s="272">
        <f t="shared" si="35"/>
        <v>30000000</v>
      </c>
      <c r="AD1050" s="272">
        <v>30000000</v>
      </c>
      <c r="AE1050" s="272">
        <f t="shared" si="36"/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/>
      <c r="AP1050" s="275"/>
      <c r="AQ1050" s="275">
        <v>10000000</v>
      </c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>
        <v>20000000</v>
      </c>
      <c r="BF1050" s="275"/>
      <c r="BH1050" s="277"/>
    </row>
    <row r="1051" spans="1:60" ht="16.5" customHeight="1">
      <c r="A1051" s="260">
        <v>1029</v>
      </c>
      <c r="B1051" s="261"/>
      <c r="C1051" s="261"/>
      <c r="D1051" s="262" t="s">
        <v>15</v>
      </c>
      <c r="E1051" s="262" t="s">
        <v>175</v>
      </c>
      <c r="F1051" s="263" t="s">
        <v>15</v>
      </c>
      <c r="G1051" s="264" t="s">
        <v>456</v>
      </c>
      <c r="H1051" s="281"/>
      <c r="I1051" s="265"/>
      <c r="J1051" s="266" t="s">
        <v>176</v>
      </c>
      <c r="K1051" s="262"/>
      <c r="L1051" s="262"/>
      <c r="M1051" s="262">
        <v>30162</v>
      </c>
      <c r="N1051" s="262" t="s">
        <v>32</v>
      </c>
      <c r="O1051" s="262" t="s">
        <v>56</v>
      </c>
      <c r="P1051" s="262" t="s">
        <v>124</v>
      </c>
      <c r="Q1051" s="262" t="s">
        <v>18</v>
      </c>
      <c r="R1051" s="262" t="s">
        <v>19</v>
      </c>
      <c r="S1051" s="267" t="s">
        <v>19</v>
      </c>
      <c r="T1051" s="268"/>
      <c r="U1051" s="269"/>
      <c r="V1051" s="269">
        <v>0</v>
      </c>
      <c r="W1051" s="278">
        <v>6500000</v>
      </c>
      <c r="X1051" s="270"/>
      <c r="Y1051" s="262" t="s">
        <v>25</v>
      </c>
      <c r="Z1051" s="271" t="s">
        <v>25</v>
      </c>
      <c r="AA1051" s="287"/>
      <c r="AB1051" s="287"/>
      <c r="AC1051" s="272">
        <f t="shared" si="35"/>
        <v>0</v>
      </c>
      <c r="AD1051" s="272">
        <v>0</v>
      </c>
      <c r="AE1051" s="272">
        <f t="shared" si="36"/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/>
      <c r="AP1051" s="275"/>
      <c r="AQ1051" s="275"/>
      <c r="AR1051" s="275"/>
      <c r="AS1051" s="275"/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/>
      <c r="BF1051" s="275"/>
      <c r="BH1051" s="277"/>
    </row>
    <row r="1052" spans="1:60" ht="16.5" customHeight="1">
      <c r="A1052" s="260">
        <v>1030</v>
      </c>
      <c r="B1052" s="261"/>
      <c r="C1052" s="261"/>
      <c r="D1052" s="262" t="s">
        <v>15</v>
      </c>
      <c r="E1052" s="262" t="s">
        <v>175</v>
      </c>
      <c r="F1052" s="263" t="s">
        <v>15</v>
      </c>
      <c r="G1052" s="264" t="s">
        <v>456</v>
      </c>
      <c r="H1052" s="281"/>
      <c r="I1052" s="265"/>
      <c r="J1052" s="266" t="s">
        <v>176</v>
      </c>
      <c r="K1052" s="262"/>
      <c r="L1052" s="262"/>
      <c r="M1052" s="262">
        <v>30162</v>
      </c>
      <c r="N1052" s="262" t="s">
        <v>32</v>
      </c>
      <c r="O1052" s="262" t="s">
        <v>212</v>
      </c>
      <c r="P1052" s="262" t="s">
        <v>124</v>
      </c>
      <c r="Q1052" s="262" t="s">
        <v>18</v>
      </c>
      <c r="R1052" s="262" t="s">
        <v>19</v>
      </c>
      <c r="S1052" s="267" t="s">
        <v>19</v>
      </c>
      <c r="T1052" s="268"/>
      <c r="U1052" s="269">
        <v>9800000</v>
      </c>
      <c r="V1052" s="269">
        <v>6500000</v>
      </c>
      <c r="W1052" s="278">
        <v>0</v>
      </c>
      <c r="X1052" s="270"/>
      <c r="Y1052" s="262" t="s">
        <v>27</v>
      </c>
      <c r="Z1052" s="271" t="s">
        <v>718</v>
      </c>
      <c r="AA1052" s="287"/>
      <c r="AB1052" s="287"/>
      <c r="AC1052" s="272">
        <f t="shared" si="35"/>
        <v>0</v>
      </c>
      <c r="AD1052" s="272">
        <v>0</v>
      </c>
      <c r="AE1052" s="272">
        <f t="shared" si="36"/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/>
      <c r="AP1052" s="275"/>
      <c r="AQ1052" s="275"/>
      <c r="AR1052" s="275"/>
      <c r="AS1052" s="275"/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/>
      <c r="BF1052" s="275"/>
      <c r="BH1052" s="277"/>
    </row>
    <row r="1053" spans="1:60" ht="16.5" customHeight="1">
      <c r="A1053" s="260">
        <v>1031</v>
      </c>
      <c r="B1053" s="261"/>
      <c r="C1053" s="261"/>
      <c r="D1053" s="262" t="s">
        <v>15</v>
      </c>
      <c r="E1053" s="262" t="s">
        <v>0</v>
      </c>
      <c r="F1053" s="263" t="s">
        <v>15</v>
      </c>
      <c r="G1053" s="264" t="s">
        <v>456</v>
      </c>
      <c r="H1053" s="281"/>
      <c r="I1053" s="265"/>
      <c r="J1053" s="266" t="s">
        <v>226</v>
      </c>
      <c r="K1053" s="262"/>
      <c r="L1053" s="262"/>
      <c r="M1053" s="262">
        <v>7261</v>
      </c>
      <c r="N1053" s="262" t="s">
        <v>32</v>
      </c>
      <c r="O1053" s="262" t="s">
        <v>56</v>
      </c>
      <c r="P1053" s="262" t="s">
        <v>57</v>
      </c>
      <c r="Q1053" s="262" t="s">
        <v>44</v>
      </c>
      <c r="R1053" s="262" t="s">
        <v>28</v>
      </c>
      <c r="S1053" s="267" t="s">
        <v>28</v>
      </c>
      <c r="T1053" s="268"/>
      <c r="U1053" s="269" t="s">
        <v>154</v>
      </c>
      <c r="V1053" s="269">
        <v>6211636</v>
      </c>
      <c r="W1053" s="278">
        <v>3330363</v>
      </c>
      <c r="X1053" s="270"/>
      <c r="Y1053" s="262" t="s">
        <v>27</v>
      </c>
      <c r="Z1053" s="271" t="s">
        <v>24</v>
      </c>
      <c r="AA1053" s="287"/>
      <c r="AB1053" s="287"/>
      <c r="AC1053" s="272">
        <f t="shared" si="35"/>
        <v>180000000</v>
      </c>
      <c r="AD1053" s="272">
        <v>180000000</v>
      </c>
      <c r="AE1053" s="272">
        <f t="shared" si="36"/>
        <v>0</v>
      </c>
      <c r="AF1053" s="273"/>
      <c r="AG1053" s="274"/>
      <c r="AH1053" s="273"/>
      <c r="AI1053" s="273">
        <v>10000000</v>
      </c>
      <c r="AJ1053" s="274"/>
      <c r="AK1053" s="273"/>
      <c r="AL1053" s="275"/>
      <c r="AM1053" s="290"/>
      <c r="AN1053" s="275"/>
      <c r="AO1053" s="276">
        <v>20000000</v>
      </c>
      <c r="AP1053" s="275"/>
      <c r="AQ1053" s="275">
        <v>20000000</v>
      </c>
      <c r="AR1053" s="275"/>
      <c r="AS1053" s="275">
        <v>20000000</v>
      </c>
      <c r="AT1053" s="275"/>
      <c r="AU1053" s="275">
        <v>20000000</v>
      </c>
      <c r="AV1053" s="275"/>
      <c r="AW1053" s="275">
        <v>20000000</v>
      </c>
      <c r="AX1053" s="275"/>
      <c r="AY1053" s="275">
        <v>20000000</v>
      </c>
      <c r="AZ1053" s="275"/>
      <c r="BA1053" s="275">
        <v>20000000</v>
      </c>
      <c r="BB1053" s="275"/>
      <c r="BC1053" s="275">
        <v>20000000</v>
      </c>
      <c r="BD1053" s="275"/>
      <c r="BE1053" s="275">
        <v>20000000</v>
      </c>
      <c r="BF1053" s="275"/>
      <c r="BH1053" s="277"/>
    </row>
    <row r="1054" spans="1:60" ht="16.5" customHeight="1">
      <c r="A1054" s="260">
        <v>1032</v>
      </c>
      <c r="B1054" s="261"/>
      <c r="C1054" s="261"/>
      <c r="D1054" s="262" t="s">
        <v>15</v>
      </c>
      <c r="E1054" s="262" t="s">
        <v>0</v>
      </c>
      <c r="F1054" s="263" t="s">
        <v>15</v>
      </c>
      <c r="G1054" s="264" t="s">
        <v>456</v>
      </c>
      <c r="H1054" s="281"/>
      <c r="I1054" s="265"/>
      <c r="J1054" s="266" t="s">
        <v>226</v>
      </c>
      <c r="K1054" s="262"/>
      <c r="L1054" s="262"/>
      <c r="M1054" s="262">
        <v>7261</v>
      </c>
      <c r="N1054" s="262" t="s">
        <v>32</v>
      </c>
      <c r="O1054" s="262" t="s">
        <v>56</v>
      </c>
      <c r="P1054" s="262"/>
      <c r="Q1054" s="262"/>
      <c r="R1054" s="262" t="s">
        <v>28</v>
      </c>
      <c r="S1054" s="267" t="s">
        <v>28</v>
      </c>
      <c r="T1054" s="268"/>
      <c r="U1054" s="269"/>
      <c r="V1054" s="269"/>
      <c r="W1054" s="278">
        <v>0</v>
      </c>
      <c r="X1054" s="270"/>
      <c r="Y1054" s="262" t="s">
        <v>24</v>
      </c>
      <c r="Z1054" s="271" t="s">
        <v>562</v>
      </c>
      <c r="AA1054" s="287"/>
      <c r="AB1054" s="287"/>
      <c r="AC1054" s="272">
        <f t="shared" si="35"/>
        <v>0</v>
      </c>
      <c r="AD1054" s="272">
        <v>0</v>
      </c>
      <c r="AE1054" s="272">
        <f t="shared" si="36"/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/>
      <c r="AP1054" s="275"/>
      <c r="AQ1054" s="275"/>
      <c r="AR1054" s="275"/>
      <c r="AS1054" s="275"/>
      <c r="AT1054" s="275"/>
      <c r="AU1054" s="275"/>
      <c r="AV1054" s="275"/>
      <c r="AW1054" s="275"/>
      <c r="AX1054" s="275"/>
      <c r="AY1054" s="275"/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customHeight="1">
      <c r="A1055" s="260">
        <v>1033</v>
      </c>
      <c r="B1055" s="261"/>
      <c r="C1055" s="261"/>
      <c r="D1055" s="262" t="s">
        <v>15</v>
      </c>
      <c r="E1055" s="262" t="s">
        <v>0</v>
      </c>
      <c r="F1055" s="263" t="s">
        <v>15</v>
      </c>
      <c r="G1055" s="264" t="s">
        <v>456</v>
      </c>
      <c r="H1055" s="281"/>
      <c r="I1055" s="265"/>
      <c r="J1055" s="266" t="s">
        <v>226</v>
      </c>
      <c r="K1055" s="262"/>
      <c r="L1055" s="262"/>
      <c r="M1055" s="262">
        <v>7261</v>
      </c>
      <c r="N1055" s="262" t="s">
        <v>32</v>
      </c>
      <c r="O1055" s="262" t="s">
        <v>56</v>
      </c>
      <c r="P1055" s="262" t="s">
        <v>57</v>
      </c>
      <c r="Q1055" s="262" t="s">
        <v>18</v>
      </c>
      <c r="R1055" s="262" t="s">
        <v>19</v>
      </c>
      <c r="S1055" s="267" t="s">
        <v>19</v>
      </c>
      <c r="T1055" s="268"/>
      <c r="U1055" s="269">
        <v>70460813</v>
      </c>
      <c r="V1055" s="269">
        <v>0</v>
      </c>
      <c r="W1055" s="278">
        <v>0</v>
      </c>
      <c r="X1055" s="270"/>
      <c r="Y1055" s="262" t="s">
        <v>21</v>
      </c>
      <c r="Z1055" s="271" t="s">
        <v>27</v>
      </c>
      <c r="AA1055" s="287"/>
      <c r="AB1055" s="287"/>
      <c r="AC1055" s="272">
        <f t="shared" si="35"/>
        <v>1715000</v>
      </c>
      <c r="AD1055" s="272">
        <v>1715000</v>
      </c>
      <c r="AE1055" s="272">
        <f t="shared" si="36"/>
        <v>0</v>
      </c>
      <c r="AF1055" s="273"/>
      <c r="AG1055" s="274">
        <v>620000</v>
      </c>
      <c r="AH1055" s="273"/>
      <c r="AI1055" s="273"/>
      <c r="AJ1055" s="274"/>
      <c r="AK1055" s="273"/>
      <c r="AL1055" s="275">
        <v>1095000</v>
      </c>
      <c r="AM1055" s="290">
        <v>1095000</v>
      </c>
      <c r="AN1055" s="275"/>
      <c r="AO1055" s="276"/>
      <c r="AP1055" s="275"/>
      <c r="AQ1055" s="275"/>
      <c r="AR1055" s="275"/>
      <c r="AS1055" s="275"/>
      <c r="AT1055" s="275"/>
      <c r="AU1055" s="275"/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customHeight="1">
      <c r="A1056" s="260">
        <v>1034</v>
      </c>
      <c r="B1056" s="261"/>
      <c r="C1056" s="261"/>
      <c r="D1056" s="262" t="s">
        <v>15</v>
      </c>
      <c r="E1056" s="262" t="s">
        <v>0</v>
      </c>
      <c r="F1056" s="263" t="s">
        <v>15</v>
      </c>
      <c r="G1056" s="264" t="s">
        <v>456</v>
      </c>
      <c r="H1056" s="281"/>
      <c r="I1056" s="265"/>
      <c r="J1056" s="266" t="s">
        <v>226</v>
      </c>
      <c r="K1056" s="262"/>
      <c r="L1056" s="262"/>
      <c r="M1056" s="262">
        <v>7261</v>
      </c>
      <c r="N1056" s="262" t="s">
        <v>32</v>
      </c>
      <c r="O1056" s="262" t="s">
        <v>56</v>
      </c>
      <c r="P1056" s="262" t="s">
        <v>57</v>
      </c>
      <c r="Q1056" s="262" t="s">
        <v>26</v>
      </c>
      <c r="R1056" s="262" t="s">
        <v>478</v>
      </c>
      <c r="S1056" s="267" t="s">
        <v>478</v>
      </c>
      <c r="T1056" s="268"/>
      <c r="U1056" s="269">
        <v>11818182</v>
      </c>
      <c r="V1056" s="269">
        <v>12180000</v>
      </c>
      <c r="W1056" s="278">
        <v>14645000</v>
      </c>
      <c r="X1056" s="270"/>
      <c r="Y1056" s="262" t="s">
        <v>27</v>
      </c>
      <c r="Z1056" s="271" t="s">
        <v>24</v>
      </c>
      <c r="AA1056" s="287"/>
      <c r="AB1056" s="287"/>
      <c r="AC1056" s="272">
        <f t="shared" si="35"/>
        <v>20000000</v>
      </c>
      <c r="AD1056" s="272">
        <v>20000000</v>
      </c>
      <c r="AE1056" s="272">
        <f t="shared" si="36"/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/>
      <c r="AP1056" s="275"/>
      <c r="AQ1056" s="275">
        <v>20000000</v>
      </c>
      <c r="AR1056" s="275"/>
      <c r="AS1056" s="275"/>
      <c r="AT1056" s="275"/>
      <c r="AU1056" s="275"/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customHeight="1">
      <c r="A1057" s="260">
        <v>1035</v>
      </c>
      <c r="B1057" s="261"/>
      <c r="C1057" s="261"/>
      <c r="D1057" s="262" t="s">
        <v>15</v>
      </c>
      <c r="E1057" s="262" t="s">
        <v>0</v>
      </c>
      <c r="F1057" s="263" t="s">
        <v>15</v>
      </c>
      <c r="G1057" s="264" t="s">
        <v>456</v>
      </c>
      <c r="H1057" s="281"/>
      <c r="I1057" s="265"/>
      <c r="J1057" s="266" t="s">
        <v>226</v>
      </c>
      <c r="K1057" s="262"/>
      <c r="L1057" s="262"/>
      <c r="M1057" s="262">
        <v>7261</v>
      </c>
      <c r="N1057" s="262" t="s">
        <v>32</v>
      </c>
      <c r="O1057" s="262" t="s">
        <v>35</v>
      </c>
      <c r="P1057" s="262" t="s">
        <v>156</v>
      </c>
      <c r="Q1057" s="262" t="s">
        <v>75</v>
      </c>
      <c r="R1057" s="262" t="s">
        <v>471</v>
      </c>
      <c r="S1057" s="267" t="s">
        <v>831</v>
      </c>
      <c r="T1057" s="268"/>
      <c r="U1057" s="269"/>
      <c r="V1057" s="269">
        <v>0</v>
      </c>
      <c r="W1057" s="278">
        <v>20060000</v>
      </c>
      <c r="X1057" s="270"/>
      <c r="Y1057" s="262" t="s">
        <v>27</v>
      </c>
      <c r="Z1057" s="271" t="s">
        <v>27</v>
      </c>
      <c r="AA1057" s="287"/>
      <c r="AB1057" s="287"/>
      <c r="AC1057" s="272">
        <f t="shared" si="35"/>
        <v>110000</v>
      </c>
      <c r="AD1057" s="272">
        <v>110000</v>
      </c>
      <c r="AE1057" s="272">
        <f t="shared" si="36"/>
        <v>0</v>
      </c>
      <c r="AF1057" s="273"/>
      <c r="AG1057" s="274"/>
      <c r="AH1057" s="273"/>
      <c r="AI1057" s="273">
        <v>20000000</v>
      </c>
      <c r="AJ1057" s="274">
        <v>110000</v>
      </c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/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customHeight="1">
      <c r="A1058" s="260">
        <v>1036</v>
      </c>
      <c r="B1058" s="261"/>
      <c r="C1058" s="261"/>
      <c r="D1058" s="262" t="s">
        <v>15</v>
      </c>
      <c r="E1058" s="262" t="s">
        <v>456</v>
      </c>
      <c r="F1058" s="263" t="s">
        <v>15</v>
      </c>
      <c r="G1058" s="264" t="s">
        <v>456</v>
      </c>
      <c r="H1058" s="281"/>
      <c r="I1058" s="265"/>
      <c r="J1058" s="266" t="s">
        <v>722</v>
      </c>
      <c r="K1058" s="262"/>
      <c r="L1058" s="262"/>
      <c r="M1058" s="262">
        <v>3238</v>
      </c>
      <c r="N1058" s="262" t="s">
        <v>32</v>
      </c>
      <c r="O1058" s="262" t="s">
        <v>35</v>
      </c>
      <c r="P1058" s="262"/>
      <c r="Q1058" s="262"/>
      <c r="R1058" s="262"/>
      <c r="S1058" s="267" t="s">
        <v>468</v>
      </c>
      <c r="T1058" s="268"/>
      <c r="U1058" s="269"/>
      <c r="V1058" s="269"/>
      <c r="W1058" s="278">
        <v>0</v>
      </c>
      <c r="X1058" s="270"/>
      <c r="Y1058" s="262"/>
      <c r="Z1058" s="271" t="s">
        <v>27</v>
      </c>
      <c r="AA1058" s="287"/>
      <c r="AB1058" s="287"/>
      <c r="AC1058" s="272">
        <f t="shared" si="35"/>
        <v>5000000</v>
      </c>
      <c r="AD1058" s="272">
        <v>5000000</v>
      </c>
      <c r="AE1058" s="272">
        <f t="shared" si="36"/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>
        <v>5000000</v>
      </c>
      <c r="BB1058" s="275"/>
      <c r="BC1058" s="275"/>
      <c r="BD1058" s="275"/>
      <c r="BE1058" s="275"/>
      <c r="BF1058" s="275"/>
      <c r="BH1058" s="277"/>
    </row>
    <row r="1059" spans="1:60" ht="16.5" customHeight="1">
      <c r="A1059" s="260">
        <v>1037</v>
      </c>
      <c r="B1059" s="261"/>
      <c r="C1059" s="261"/>
      <c r="D1059" s="262" t="s">
        <v>15</v>
      </c>
      <c r="E1059" s="262" t="s">
        <v>456</v>
      </c>
      <c r="F1059" s="263" t="s">
        <v>15</v>
      </c>
      <c r="G1059" s="264" t="s">
        <v>456</v>
      </c>
      <c r="H1059" s="281"/>
      <c r="I1059" s="265"/>
      <c r="J1059" s="266" t="s">
        <v>722</v>
      </c>
      <c r="K1059" s="262"/>
      <c r="L1059" s="262"/>
      <c r="M1059" s="262">
        <v>3238</v>
      </c>
      <c r="N1059" s="262"/>
      <c r="O1059" s="262"/>
      <c r="P1059" s="262"/>
      <c r="Q1059" s="262"/>
      <c r="R1059" s="262"/>
      <c r="S1059" s="267" t="s">
        <v>468</v>
      </c>
      <c r="T1059" s="268"/>
      <c r="U1059" s="269"/>
      <c r="V1059" s="269"/>
      <c r="W1059" s="278">
        <v>12418725</v>
      </c>
      <c r="X1059" s="270"/>
      <c r="Y1059" s="262"/>
      <c r="Z1059" s="271" t="s">
        <v>718</v>
      </c>
      <c r="AA1059" s="287"/>
      <c r="AB1059" s="287"/>
      <c r="AC1059" s="272">
        <f t="shared" si="35"/>
        <v>0</v>
      </c>
      <c r="AD1059" s="272">
        <v>0</v>
      </c>
      <c r="AE1059" s="272">
        <f t="shared" si="36"/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customHeight="1">
      <c r="A1060" s="260">
        <v>1038</v>
      </c>
      <c r="B1060" s="261"/>
      <c r="C1060" s="261"/>
      <c r="D1060" s="262" t="s">
        <v>15</v>
      </c>
      <c r="E1060" s="262" t="s">
        <v>456</v>
      </c>
      <c r="F1060" s="263" t="s">
        <v>15</v>
      </c>
      <c r="G1060" s="264" t="s">
        <v>456</v>
      </c>
      <c r="H1060" s="281"/>
      <c r="I1060" s="265"/>
      <c r="J1060" s="266" t="s">
        <v>722</v>
      </c>
      <c r="K1060" s="262"/>
      <c r="L1060" s="262"/>
      <c r="M1060" s="262">
        <v>3238</v>
      </c>
      <c r="N1060" s="262" t="s">
        <v>32</v>
      </c>
      <c r="O1060" s="262" t="s">
        <v>35</v>
      </c>
      <c r="P1060" s="262"/>
      <c r="Q1060" s="262"/>
      <c r="R1060" s="262"/>
      <c r="S1060" s="267" t="s">
        <v>823</v>
      </c>
      <c r="T1060" s="268"/>
      <c r="U1060" s="269"/>
      <c r="V1060" s="269"/>
      <c r="W1060" s="278">
        <v>0</v>
      </c>
      <c r="X1060" s="270"/>
      <c r="Y1060" s="262"/>
      <c r="Z1060" s="271" t="s">
        <v>599</v>
      </c>
      <c r="AA1060" s="287"/>
      <c r="AB1060" s="287"/>
      <c r="AC1060" s="272">
        <f t="shared" si="35"/>
        <v>200000000</v>
      </c>
      <c r="AD1060" s="272">
        <v>200000000</v>
      </c>
      <c r="AE1060" s="272">
        <f t="shared" si="36"/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>
        <v>100000000</v>
      </c>
      <c r="AV1060" s="275"/>
      <c r="AW1060" s="275"/>
      <c r="AX1060" s="275"/>
      <c r="AY1060" s="275"/>
      <c r="AZ1060" s="275"/>
      <c r="BA1060" s="275"/>
      <c r="BB1060" s="275"/>
      <c r="BC1060" s="275">
        <v>100000000</v>
      </c>
      <c r="BD1060" s="275"/>
      <c r="BE1060" s="275"/>
      <c r="BF1060" s="275"/>
      <c r="BH1060" s="277"/>
    </row>
    <row r="1061" spans="1:60" ht="16.5" customHeight="1">
      <c r="A1061" s="260">
        <v>1039</v>
      </c>
      <c r="B1061" s="261"/>
      <c r="C1061" s="261"/>
      <c r="D1061" s="262" t="s">
        <v>15</v>
      </c>
      <c r="E1061" s="262" t="s">
        <v>456</v>
      </c>
      <c r="F1061" s="263" t="s">
        <v>15</v>
      </c>
      <c r="G1061" s="264" t="s">
        <v>456</v>
      </c>
      <c r="H1061" s="281"/>
      <c r="I1061" s="265"/>
      <c r="J1061" s="266" t="s">
        <v>722</v>
      </c>
      <c r="K1061" s="262"/>
      <c r="L1061" s="262"/>
      <c r="M1061" s="262">
        <v>3238</v>
      </c>
      <c r="N1061" s="262"/>
      <c r="O1061" s="262"/>
      <c r="P1061" s="262"/>
      <c r="Q1061" s="262"/>
      <c r="R1061" s="262"/>
      <c r="S1061" s="267" t="s">
        <v>830</v>
      </c>
      <c r="T1061" s="268"/>
      <c r="U1061" s="269"/>
      <c r="V1061" s="269"/>
      <c r="W1061" s="278">
        <v>4800000</v>
      </c>
      <c r="X1061" s="270"/>
      <c r="Y1061" s="262"/>
      <c r="Z1061" s="271" t="s">
        <v>718</v>
      </c>
      <c r="AA1061" s="287"/>
      <c r="AB1061" s="287"/>
      <c r="AC1061" s="272">
        <f t="shared" si="35"/>
        <v>0</v>
      </c>
      <c r="AD1061" s="272">
        <v>0</v>
      </c>
      <c r="AE1061" s="272">
        <f t="shared" si="36"/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customHeight="1">
      <c r="A1062" s="260">
        <v>1040</v>
      </c>
      <c r="B1062" s="261"/>
      <c r="C1062" s="261"/>
      <c r="D1062" s="262" t="s">
        <v>15</v>
      </c>
      <c r="E1062" s="262" t="s">
        <v>175</v>
      </c>
      <c r="F1062" s="263" t="s">
        <v>15</v>
      </c>
      <c r="G1062" s="264" t="s">
        <v>456</v>
      </c>
      <c r="H1062" s="281"/>
      <c r="I1062" s="265"/>
      <c r="J1062" s="266" t="s">
        <v>994</v>
      </c>
      <c r="K1062" s="262"/>
      <c r="L1062" s="262"/>
      <c r="M1062" s="262">
        <v>66089</v>
      </c>
      <c r="N1062" s="262" t="s">
        <v>32</v>
      </c>
      <c r="O1062" s="262" t="s">
        <v>35</v>
      </c>
      <c r="P1062" s="262"/>
      <c r="Q1062" s="262"/>
      <c r="R1062" s="262"/>
      <c r="S1062" s="267" t="s">
        <v>28</v>
      </c>
      <c r="T1062" s="268"/>
      <c r="U1062" s="269"/>
      <c r="V1062" s="269"/>
      <c r="W1062" s="278">
        <v>0</v>
      </c>
      <c r="X1062" s="270"/>
      <c r="Y1062" s="262"/>
      <c r="Z1062" s="271" t="s">
        <v>27</v>
      </c>
      <c r="AA1062" s="287"/>
      <c r="AB1062" s="287"/>
      <c r="AC1062" s="272">
        <f t="shared" si="35"/>
        <v>193575000</v>
      </c>
      <c r="AD1062" s="272">
        <v>193575000</v>
      </c>
      <c r="AE1062" s="272">
        <f t="shared" si="36"/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>
        <v>96787500</v>
      </c>
      <c r="AR1062" s="275"/>
      <c r="AS1062" s="275"/>
      <c r="AT1062" s="275"/>
      <c r="AU1062" s="275"/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>
        <v>96787500</v>
      </c>
      <c r="BF1062" s="275"/>
      <c r="BH1062" s="277"/>
    </row>
    <row r="1063" spans="1:60" ht="16.5" customHeight="1">
      <c r="A1063" s="260">
        <v>1041</v>
      </c>
      <c r="B1063" s="261"/>
      <c r="C1063" s="261"/>
      <c r="D1063" s="262"/>
      <c r="E1063" s="262"/>
      <c r="F1063" s="263" t="s">
        <v>15</v>
      </c>
      <c r="G1063" s="264" t="s">
        <v>456</v>
      </c>
      <c r="H1063" s="281"/>
      <c r="I1063" s="265"/>
      <c r="J1063" s="266" t="s">
        <v>177</v>
      </c>
      <c r="K1063" s="262"/>
      <c r="L1063" s="262"/>
      <c r="M1063" s="262">
        <v>16615</v>
      </c>
      <c r="N1063" s="262" t="s">
        <v>32</v>
      </c>
      <c r="O1063" s="262" t="s">
        <v>178</v>
      </c>
      <c r="P1063" s="262" t="s">
        <v>124</v>
      </c>
      <c r="Q1063" s="262" t="s">
        <v>46</v>
      </c>
      <c r="R1063" s="262" t="s">
        <v>47</v>
      </c>
      <c r="S1063" s="267" t="s">
        <v>47</v>
      </c>
      <c r="T1063" s="268"/>
      <c r="U1063" s="269">
        <v>312559869</v>
      </c>
      <c r="V1063" s="269">
        <v>0</v>
      </c>
      <c r="W1063" s="278">
        <v>0</v>
      </c>
      <c r="X1063" s="270"/>
      <c r="Y1063" s="262" t="s">
        <v>74</v>
      </c>
      <c r="Z1063" s="271" t="s">
        <v>21</v>
      </c>
      <c r="AA1063" s="287"/>
      <c r="AB1063" s="287"/>
      <c r="AC1063" s="272">
        <f t="shared" si="35"/>
        <v>0</v>
      </c>
      <c r="AD1063" s="272">
        <v>0</v>
      </c>
      <c r="AE1063" s="272">
        <f t="shared" si="36"/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/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customHeight="1">
      <c r="A1064" s="260">
        <v>1042</v>
      </c>
      <c r="B1064" s="261"/>
      <c r="C1064" s="261"/>
      <c r="D1064" s="262" t="s">
        <v>15</v>
      </c>
      <c r="E1064" s="262" t="s">
        <v>456</v>
      </c>
      <c r="F1064" s="263" t="s">
        <v>15</v>
      </c>
      <c r="G1064" s="264" t="s">
        <v>456</v>
      </c>
      <c r="H1064" s="281"/>
      <c r="I1064" s="265"/>
      <c r="J1064" s="266" t="s">
        <v>350</v>
      </c>
      <c r="K1064" s="262"/>
      <c r="L1064" s="262"/>
      <c r="M1064" s="262">
        <v>16482</v>
      </c>
      <c r="N1064" s="262" t="s">
        <v>32</v>
      </c>
      <c r="O1064" s="262" t="s">
        <v>56</v>
      </c>
      <c r="P1064" s="262" t="s">
        <v>57</v>
      </c>
      <c r="Q1064" s="262" t="s">
        <v>30</v>
      </c>
      <c r="R1064" s="262" t="s">
        <v>31</v>
      </c>
      <c r="S1064" s="267" t="s">
        <v>31</v>
      </c>
      <c r="T1064" s="268"/>
      <c r="U1064" s="269">
        <v>16663500</v>
      </c>
      <c r="V1064" s="269">
        <v>9230000</v>
      </c>
      <c r="W1064" s="278">
        <v>15874000</v>
      </c>
      <c r="X1064" s="270"/>
      <c r="Y1064" s="262" t="s">
        <v>24</v>
      </c>
      <c r="Z1064" s="271" t="s">
        <v>24</v>
      </c>
      <c r="AA1064" s="287"/>
      <c r="AB1064" s="287"/>
      <c r="AC1064" s="272">
        <f t="shared" si="35"/>
        <v>8000000</v>
      </c>
      <c r="AD1064" s="272">
        <v>8000000</v>
      </c>
      <c r="AE1064" s="272">
        <f t="shared" si="36"/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>
        <v>4000000</v>
      </c>
      <c r="AT1064" s="275"/>
      <c r="AU1064" s="275"/>
      <c r="AV1064" s="275"/>
      <c r="AW1064" s="275"/>
      <c r="AX1064" s="275"/>
      <c r="AY1064" s="275"/>
      <c r="AZ1064" s="275"/>
      <c r="BA1064" s="275">
        <v>4000000</v>
      </c>
      <c r="BB1064" s="275"/>
      <c r="BC1064" s="275"/>
      <c r="BD1064" s="275"/>
      <c r="BE1064" s="275"/>
      <c r="BF1064" s="275"/>
      <c r="BH1064" s="277"/>
    </row>
    <row r="1065" spans="1:60" ht="16.5" customHeight="1">
      <c r="A1065" s="260">
        <v>1043</v>
      </c>
      <c r="B1065" s="261"/>
      <c r="C1065" s="261"/>
      <c r="D1065" s="262"/>
      <c r="E1065" s="262"/>
      <c r="F1065" s="263" t="s">
        <v>15</v>
      </c>
      <c r="G1065" s="264" t="s">
        <v>456</v>
      </c>
      <c r="H1065" s="281"/>
      <c r="I1065" s="265"/>
      <c r="J1065" s="266" t="s">
        <v>350</v>
      </c>
      <c r="K1065" s="262"/>
      <c r="L1065" s="262"/>
      <c r="M1065" s="262">
        <v>16482</v>
      </c>
      <c r="N1065" s="262"/>
      <c r="O1065" s="262"/>
      <c r="P1065" s="262"/>
      <c r="Q1065" s="262"/>
      <c r="R1065" s="262"/>
      <c r="S1065" s="267" t="s">
        <v>478</v>
      </c>
      <c r="T1065" s="268"/>
      <c r="U1065" s="269"/>
      <c r="V1065" s="269"/>
      <c r="W1065" s="278">
        <v>7000000</v>
      </c>
      <c r="X1065" s="270"/>
      <c r="Y1065" s="262"/>
      <c r="Z1065" s="271" t="s">
        <v>718</v>
      </c>
      <c r="AA1065" s="287"/>
      <c r="AB1065" s="287"/>
      <c r="AC1065" s="272">
        <f t="shared" si="35"/>
        <v>0</v>
      </c>
      <c r="AD1065" s="272">
        <v>0</v>
      </c>
      <c r="AE1065" s="272">
        <f t="shared" si="36"/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/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customHeight="1">
      <c r="A1066" s="260">
        <v>1044</v>
      </c>
      <c r="B1066" s="261"/>
      <c r="C1066" s="261"/>
      <c r="D1066" s="262" t="s">
        <v>15</v>
      </c>
      <c r="E1066" s="262" t="s">
        <v>456</v>
      </c>
      <c r="F1066" s="263" t="s">
        <v>15</v>
      </c>
      <c r="G1066" s="264" t="s">
        <v>456</v>
      </c>
      <c r="H1066" s="281"/>
      <c r="I1066" s="265"/>
      <c r="J1066" s="266" t="s">
        <v>350</v>
      </c>
      <c r="K1066" s="262"/>
      <c r="L1066" s="262"/>
      <c r="M1066" s="262">
        <v>16482</v>
      </c>
      <c r="N1066" s="262" t="s">
        <v>32</v>
      </c>
      <c r="O1066" s="262" t="s">
        <v>35</v>
      </c>
      <c r="P1066" s="262"/>
      <c r="Q1066" s="262"/>
      <c r="R1066" s="262"/>
      <c r="S1066" s="267" t="s">
        <v>834</v>
      </c>
      <c r="T1066" s="268"/>
      <c r="U1066" s="269"/>
      <c r="V1066" s="269"/>
      <c r="W1066" s="278">
        <v>0</v>
      </c>
      <c r="X1066" s="270"/>
      <c r="Y1066" s="262"/>
      <c r="Z1066" s="271" t="s">
        <v>25</v>
      </c>
      <c r="AA1066" s="287"/>
      <c r="AB1066" s="287"/>
      <c r="AC1066" s="272">
        <f t="shared" si="35"/>
        <v>5000000</v>
      </c>
      <c r="AD1066" s="272">
        <v>5000000</v>
      </c>
      <c r="AE1066" s="272">
        <f t="shared" si="36"/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/>
      <c r="AP1066" s="275"/>
      <c r="AQ1066" s="275"/>
      <c r="AR1066" s="275"/>
      <c r="AS1066" s="275"/>
      <c r="AT1066" s="275"/>
      <c r="AU1066" s="275">
        <v>5000000</v>
      </c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customHeight="1">
      <c r="A1067" s="260">
        <v>1045</v>
      </c>
      <c r="B1067" s="261"/>
      <c r="C1067" s="261"/>
      <c r="D1067" s="262"/>
      <c r="E1067" s="262"/>
      <c r="F1067" s="263" t="s">
        <v>15</v>
      </c>
      <c r="G1067" s="264" t="s">
        <v>456</v>
      </c>
      <c r="H1067" s="281"/>
      <c r="I1067" s="265"/>
      <c r="J1067" s="266" t="s">
        <v>923</v>
      </c>
      <c r="K1067" s="262"/>
      <c r="L1067" s="262"/>
      <c r="M1067" s="262">
        <v>23654</v>
      </c>
      <c r="N1067" s="262"/>
      <c r="O1067" s="262"/>
      <c r="P1067" s="262"/>
      <c r="Q1067" s="262"/>
      <c r="R1067" s="262"/>
      <c r="S1067" s="267" t="s">
        <v>823</v>
      </c>
      <c r="T1067" s="268"/>
      <c r="U1067" s="269"/>
      <c r="V1067" s="269"/>
      <c r="W1067" s="278">
        <v>2061376</v>
      </c>
      <c r="X1067" s="270"/>
      <c r="Y1067" s="262"/>
      <c r="Z1067" s="271" t="s">
        <v>718</v>
      </c>
      <c r="AA1067" s="287"/>
      <c r="AB1067" s="287"/>
      <c r="AC1067" s="272">
        <f t="shared" si="35"/>
        <v>0</v>
      </c>
      <c r="AD1067" s="272">
        <v>0</v>
      </c>
      <c r="AE1067" s="272">
        <f t="shared" si="36"/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/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/>
      <c r="BF1067" s="275"/>
      <c r="BH1067" s="277"/>
    </row>
    <row r="1068" spans="1:60" ht="16.5" customHeight="1">
      <c r="A1068" s="260">
        <v>1046</v>
      </c>
      <c r="B1068" s="261"/>
      <c r="C1068" s="261"/>
      <c r="D1068" s="262" t="s">
        <v>15</v>
      </c>
      <c r="E1068" s="262" t="s">
        <v>456</v>
      </c>
      <c r="F1068" s="263" t="s">
        <v>15</v>
      </c>
      <c r="G1068" s="264" t="s">
        <v>456</v>
      </c>
      <c r="H1068" s="281"/>
      <c r="I1068" s="265"/>
      <c r="J1068" s="266" t="s">
        <v>675</v>
      </c>
      <c r="K1068" s="262"/>
      <c r="L1068" s="262"/>
      <c r="M1068" s="262">
        <v>63779</v>
      </c>
      <c r="N1068" s="262" t="s">
        <v>22</v>
      </c>
      <c r="O1068" s="262" t="s">
        <v>35</v>
      </c>
      <c r="P1068" s="262"/>
      <c r="Q1068" s="262"/>
      <c r="R1068" s="262" t="s">
        <v>28</v>
      </c>
      <c r="S1068" s="267" t="s">
        <v>28</v>
      </c>
      <c r="T1068" s="268"/>
      <c r="U1068" s="269"/>
      <c r="V1068" s="269"/>
      <c r="W1068" s="278">
        <v>8000000</v>
      </c>
      <c r="X1068" s="270"/>
      <c r="Y1068" s="262" t="s">
        <v>27</v>
      </c>
      <c r="Z1068" s="271" t="s">
        <v>24</v>
      </c>
      <c r="AA1068" s="287"/>
      <c r="AB1068" s="287"/>
      <c r="AC1068" s="272">
        <f t="shared" si="35"/>
        <v>8000000</v>
      </c>
      <c r="AD1068" s="272">
        <v>8000000</v>
      </c>
      <c r="AE1068" s="272">
        <f t="shared" si="36"/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>
        <v>8000000</v>
      </c>
      <c r="BB1068" s="275"/>
      <c r="BC1068" s="275"/>
      <c r="BD1068" s="275"/>
      <c r="BE1068" s="275"/>
      <c r="BF1068" s="275"/>
      <c r="BH1068" s="277"/>
    </row>
    <row r="1069" spans="1:60" ht="16.5" customHeight="1">
      <c r="A1069" s="260">
        <v>1047</v>
      </c>
      <c r="B1069" s="261"/>
      <c r="C1069" s="261"/>
      <c r="D1069" s="262" t="s">
        <v>15</v>
      </c>
      <c r="E1069" s="262" t="s">
        <v>456</v>
      </c>
      <c r="F1069" s="263" t="s">
        <v>15</v>
      </c>
      <c r="G1069" s="264" t="s">
        <v>456</v>
      </c>
      <c r="H1069" s="281"/>
      <c r="I1069" s="265"/>
      <c r="J1069" s="266" t="s">
        <v>991</v>
      </c>
      <c r="K1069" s="262"/>
      <c r="L1069" s="262"/>
      <c r="M1069" s="262">
        <v>24980</v>
      </c>
      <c r="N1069" s="262"/>
      <c r="O1069" s="262" t="s">
        <v>35</v>
      </c>
      <c r="P1069" s="262"/>
      <c r="Q1069" s="262"/>
      <c r="R1069" s="262"/>
      <c r="S1069" s="267" t="s">
        <v>468</v>
      </c>
      <c r="T1069" s="268"/>
      <c r="U1069" s="269"/>
      <c r="V1069" s="269"/>
      <c r="W1069" s="278"/>
      <c r="X1069" s="270"/>
      <c r="Y1069" s="262"/>
      <c r="Z1069" s="271" t="s">
        <v>27</v>
      </c>
      <c r="AA1069" s="287"/>
      <c r="AB1069" s="287"/>
      <c r="AC1069" s="272">
        <f t="shared" si="35"/>
        <v>4000000</v>
      </c>
      <c r="AD1069" s="272">
        <v>4000000</v>
      </c>
      <c r="AE1069" s="272">
        <f t="shared" si="36"/>
        <v>0</v>
      </c>
      <c r="AF1069" s="273"/>
      <c r="AG1069" s="274"/>
      <c r="AH1069" s="273"/>
      <c r="AI1069" s="273"/>
      <c r="AJ1069" s="274"/>
      <c r="AK1069" s="273"/>
      <c r="AL1069" s="275"/>
      <c r="AM1069" s="290"/>
      <c r="AN1069" s="275"/>
      <c r="AO1069" s="276"/>
      <c r="AP1069" s="275"/>
      <c r="AQ1069" s="275"/>
      <c r="AR1069" s="275"/>
      <c r="AS1069" s="275">
        <v>4000000</v>
      </c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/>
      <c r="BF1069" s="275"/>
      <c r="BH1069" s="277"/>
    </row>
    <row r="1070" spans="1:60" ht="16.5" customHeight="1">
      <c r="A1070" s="260">
        <v>1048</v>
      </c>
      <c r="B1070" s="261"/>
      <c r="C1070" s="261"/>
      <c r="D1070" s="262" t="s">
        <v>15</v>
      </c>
      <c r="E1070" s="262" t="s">
        <v>456</v>
      </c>
      <c r="F1070" s="263" t="s">
        <v>15</v>
      </c>
      <c r="G1070" s="264" t="s">
        <v>456</v>
      </c>
      <c r="H1070" s="281"/>
      <c r="I1070" s="265"/>
      <c r="J1070" s="266" t="s">
        <v>676</v>
      </c>
      <c r="K1070" s="262"/>
      <c r="L1070" s="262"/>
      <c r="M1070" s="262">
        <v>63780</v>
      </c>
      <c r="N1070" s="262" t="s">
        <v>22</v>
      </c>
      <c r="O1070" s="262" t="s">
        <v>35</v>
      </c>
      <c r="P1070" s="262"/>
      <c r="Q1070" s="262"/>
      <c r="R1070" s="262" t="s">
        <v>28</v>
      </c>
      <c r="S1070" s="267" t="s">
        <v>28</v>
      </c>
      <c r="T1070" s="268"/>
      <c r="U1070" s="269"/>
      <c r="V1070" s="269"/>
      <c r="W1070" s="278">
        <v>24220000</v>
      </c>
      <c r="X1070" s="270"/>
      <c r="Y1070" s="262" t="s">
        <v>27</v>
      </c>
      <c r="Z1070" s="271" t="s">
        <v>24</v>
      </c>
      <c r="AA1070" s="287"/>
      <c r="AB1070" s="287"/>
      <c r="AC1070" s="272">
        <f t="shared" si="35"/>
        <v>20000000</v>
      </c>
      <c r="AD1070" s="272">
        <v>20000000</v>
      </c>
      <c r="AE1070" s="272">
        <f t="shared" si="36"/>
        <v>0</v>
      </c>
      <c r="AF1070" s="273"/>
      <c r="AG1070" s="274"/>
      <c r="AH1070" s="273"/>
      <c r="AI1070" s="273"/>
      <c r="AJ1070" s="274"/>
      <c r="AK1070" s="273"/>
      <c r="AL1070" s="275"/>
      <c r="AM1070" s="290"/>
      <c r="AN1070" s="275"/>
      <c r="AO1070" s="276"/>
      <c r="AP1070" s="275"/>
      <c r="AQ1070" s="275"/>
      <c r="AR1070" s="275"/>
      <c r="AS1070" s="275"/>
      <c r="AT1070" s="275"/>
      <c r="AU1070" s="275"/>
      <c r="AV1070" s="275"/>
      <c r="AW1070" s="275"/>
      <c r="AX1070" s="275"/>
      <c r="AY1070" s="275"/>
      <c r="AZ1070" s="275"/>
      <c r="BA1070" s="275">
        <v>20000000</v>
      </c>
      <c r="BB1070" s="275"/>
      <c r="BC1070" s="275"/>
      <c r="BD1070" s="275"/>
      <c r="BE1070" s="275"/>
      <c r="BF1070" s="275"/>
      <c r="BH1070" s="277"/>
    </row>
    <row r="1071" spans="1:60" ht="16.5" customHeight="1">
      <c r="A1071" s="260">
        <v>1049</v>
      </c>
      <c r="B1071" s="261"/>
      <c r="C1071" s="261"/>
      <c r="D1071" s="262" t="s">
        <v>15</v>
      </c>
      <c r="E1071" s="262" t="s">
        <v>456</v>
      </c>
      <c r="F1071" s="263" t="s">
        <v>15</v>
      </c>
      <c r="G1071" s="264" t="s">
        <v>456</v>
      </c>
      <c r="H1071" s="281"/>
      <c r="I1071" s="265"/>
      <c r="J1071" s="266" t="s">
        <v>202</v>
      </c>
      <c r="K1071" s="262"/>
      <c r="L1071" s="262"/>
      <c r="M1071" s="262">
        <v>23778</v>
      </c>
      <c r="N1071" s="262" t="s">
        <v>32</v>
      </c>
      <c r="O1071" s="262" t="s">
        <v>56</v>
      </c>
      <c r="P1071" s="262" t="s">
        <v>124</v>
      </c>
      <c r="Q1071" s="262"/>
      <c r="R1071" s="262" t="s">
        <v>469</v>
      </c>
      <c r="S1071" s="267" t="s">
        <v>469</v>
      </c>
      <c r="T1071" s="268"/>
      <c r="U1071" s="269"/>
      <c r="V1071" s="269"/>
      <c r="W1071" s="278">
        <v>18300000</v>
      </c>
      <c r="X1071" s="270"/>
      <c r="Y1071" s="262" t="s">
        <v>27</v>
      </c>
      <c r="Z1071" s="271" t="s">
        <v>24</v>
      </c>
      <c r="AA1071" s="287"/>
      <c r="AB1071" s="287"/>
      <c r="AC1071" s="272">
        <f t="shared" si="35"/>
        <v>60000000</v>
      </c>
      <c r="AD1071" s="272">
        <v>60000000</v>
      </c>
      <c r="AE1071" s="272">
        <f t="shared" si="36"/>
        <v>0</v>
      </c>
      <c r="AF1071" s="273"/>
      <c r="AG1071" s="274"/>
      <c r="AH1071" s="273"/>
      <c r="AI1071" s="273"/>
      <c r="AJ1071" s="274"/>
      <c r="AK1071" s="273"/>
      <c r="AL1071" s="275"/>
      <c r="AM1071" s="290"/>
      <c r="AN1071" s="275"/>
      <c r="AO1071" s="276"/>
      <c r="AP1071" s="275"/>
      <c r="AQ1071" s="275"/>
      <c r="AR1071" s="275"/>
      <c r="AS1071" s="275"/>
      <c r="AT1071" s="275"/>
      <c r="AU1071" s="275">
        <v>40000000</v>
      </c>
      <c r="AV1071" s="275"/>
      <c r="AW1071" s="275"/>
      <c r="AX1071" s="275"/>
      <c r="AY1071" s="275"/>
      <c r="AZ1071" s="275"/>
      <c r="BA1071" s="275"/>
      <c r="BB1071" s="275"/>
      <c r="BC1071" s="275">
        <v>20000000</v>
      </c>
      <c r="BD1071" s="275"/>
      <c r="BE1071" s="275"/>
      <c r="BF1071" s="275"/>
      <c r="BH1071" s="277"/>
    </row>
    <row r="1072" spans="1:60" ht="16.5" customHeight="1">
      <c r="A1072" s="260">
        <v>1050</v>
      </c>
      <c r="B1072" s="261"/>
      <c r="C1072" s="261"/>
      <c r="D1072" s="262" t="s">
        <v>15</v>
      </c>
      <c r="E1072" s="262" t="s">
        <v>237</v>
      </c>
      <c r="F1072" s="263" t="s">
        <v>15</v>
      </c>
      <c r="G1072" s="264" t="s">
        <v>456</v>
      </c>
      <c r="H1072" s="281"/>
      <c r="I1072" s="265"/>
      <c r="J1072" s="266" t="s">
        <v>202</v>
      </c>
      <c r="K1072" s="262"/>
      <c r="L1072" s="262"/>
      <c r="M1072" s="262">
        <v>23778</v>
      </c>
      <c r="N1072" s="262" t="s">
        <v>32</v>
      </c>
      <c r="O1072" s="262" t="s">
        <v>56</v>
      </c>
      <c r="P1072" s="262" t="s">
        <v>124</v>
      </c>
      <c r="Q1072" s="262" t="s">
        <v>23</v>
      </c>
      <c r="R1072" s="262" t="s">
        <v>397</v>
      </c>
      <c r="S1072" s="267" t="s">
        <v>823</v>
      </c>
      <c r="T1072" s="268"/>
      <c r="U1072" s="269"/>
      <c r="V1072" s="269">
        <v>319090910</v>
      </c>
      <c r="W1072" s="278">
        <v>305700000</v>
      </c>
      <c r="X1072" s="270"/>
      <c r="Y1072" s="262" t="s">
        <v>27</v>
      </c>
      <c r="Z1072" s="271" t="s">
        <v>24</v>
      </c>
      <c r="AA1072" s="287"/>
      <c r="AB1072" s="287"/>
      <c r="AC1072" s="272">
        <f t="shared" si="35"/>
        <v>263000000</v>
      </c>
      <c r="AD1072" s="272">
        <v>263000000</v>
      </c>
      <c r="AE1072" s="272">
        <f t="shared" si="36"/>
        <v>0</v>
      </c>
      <c r="AF1072" s="273"/>
      <c r="AG1072" s="274"/>
      <c r="AH1072" s="273"/>
      <c r="AI1072" s="273"/>
      <c r="AJ1072" s="274"/>
      <c r="AK1072" s="273"/>
      <c r="AL1072" s="275"/>
      <c r="AM1072" s="290"/>
      <c r="AN1072" s="275"/>
      <c r="AO1072" s="276"/>
      <c r="AP1072" s="275"/>
      <c r="AQ1072" s="275"/>
      <c r="AR1072" s="275"/>
      <c r="AS1072" s="275"/>
      <c r="AT1072" s="275"/>
      <c r="AU1072" s="275">
        <v>184100000</v>
      </c>
      <c r="AV1072" s="275"/>
      <c r="AW1072" s="275"/>
      <c r="AX1072" s="275"/>
      <c r="AY1072" s="275"/>
      <c r="AZ1072" s="275"/>
      <c r="BA1072" s="275"/>
      <c r="BB1072" s="275"/>
      <c r="BC1072" s="275">
        <v>78900000</v>
      </c>
      <c r="BD1072" s="275"/>
      <c r="BE1072" s="275"/>
      <c r="BF1072" s="275"/>
      <c r="BH1072" s="277"/>
    </row>
    <row r="1073" spans="1:60" ht="16.5" customHeight="1">
      <c r="A1073" s="260">
        <v>1051</v>
      </c>
      <c r="B1073" s="261"/>
      <c r="C1073" s="261"/>
      <c r="D1073" s="262" t="s">
        <v>110</v>
      </c>
      <c r="E1073" s="262" t="s">
        <v>798</v>
      </c>
      <c r="F1073" s="263" t="s">
        <v>15</v>
      </c>
      <c r="G1073" s="264" t="s">
        <v>606</v>
      </c>
      <c r="H1073" s="281"/>
      <c r="I1073" s="265"/>
      <c r="J1073" s="266" t="s">
        <v>162</v>
      </c>
      <c r="K1073" s="262"/>
      <c r="L1073" s="262"/>
      <c r="M1073" s="262">
        <v>29192</v>
      </c>
      <c r="N1073" s="262" t="s">
        <v>32</v>
      </c>
      <c r="O1073" s="262" t="s">
        <v>56</v>
      </c>
      <c r="P1073" s="262" t="s">
        <v>57</v>
      </c>
      <c r="Q1073" s="262" t="s">
        <v>160</v>
      </c>
      <c r="R1073" s="262" t="s">
        <v>19</v>
      </c>
      <c r="S1073" s="267" t="s">
        <v>995</v>
      </c>
      <c r="T1073" s="268"/>
      <c r="U1073" s="269"/>
      <c r="V1073" s="269">
        <v>191243560</v>
      </c>
      <c r="W1073" s="278">
        <v>188734440</v>
      </c>
      <c r="X1073" s="270"/>
      <c r="Y1073" s="262" t="s">
        <v>27</v>
      </c>
      <c r="Z1073" s="271" t="s">
        <v>27</v>
      </c>
      <c r="AA1073" s="287"/>
      <c r="AB1073" s="287"/>
      <c r="AC1073" s="272">
        <f t="shared" si="35"/>
        <v>61390590</v>
      </c>
      <c r="AD1073" s="272">
        <v>61390590</v>
      </c>
      <c r="AE1073" s="272">
        <f t="shared" si="36"/>
        <v>0</v>
      </c>
      <c r="AF1073" s="273">
        <v>10000000</v>
      </c>
      <c r="AG1073" s="274">
        <v>10260000</v>
      </c>
      <c r="AH1073" s="273"/>
      <c r="AI1073" s="273">
        <v>10000000</v>
      </c>
      <c r="AJ1073" s="274">
        <v>9016635</v>
      </c>
      <c r="AK1073" s="273"/>
      <c r="AL1073" s="275">
        <v>10000000</v>
      </c>
      <c r="AM1073" s="290">
        <v>12113955</v>
      </c>
      <c r="AN1073" s="275"/>
      <c r="AO1073" s="276">
        <v>10000000</v>
      </c>
      <c r="AP1073" s="275"/>
      <c r="AQ1073" s="275">
        <v>10000000</v>
      </c>
      <c r="AR1073" s="275"/>
      <c r="AS1073" s="275">
        <v>10000000</v>
      </c>
      <c r="AT1073" s="275"/>
      <c r="AU1073" s="275"/>
      <c r="AV1073" s="275"/>
      <c r="AW1073" s="275"/>
      <c r="AX1073" s="275"/>
      <c r="AY1073" s="275"/>
      <c r="AZ1073" s="275"/>
      <c r="BA1073" s="275"/>
      <c r="BB1073" s="275"/>
      <c r="BC1073" s="275"/>
      <c r="BD1073" s="275"/>
      <c r="BE1073" s="275"/>
      <c r="BF1073" s="275"/>
      <c r="BH1073" s="277"/>
    </row>
    <row r="1074" spans="1:60" ht="16.5" customHeight="1">
      <c r="A1074" s="260">
        <v>1052</v>
      </c>
      <c r="B1074" s="261"/>
      <c r="C1074" s="261"/>
      <c r="D1074" s="262" t="s">
        <v>110</v>
      </c>
      <c r="E1074" s="262" t="s">
        <v>798</v>
      </c>
      <c r="F1074" s="263" t="s">
        <v>15</v>
      </c>
      <c r="G1074" s="264" t="s">
        <v>320</v>
      </c>
      <c r="H1074" s="281"/>
      <c r="I1074" s="265"/>
      <c r="J1074" s="266" t="s">
        <v>799</v>
      </c>
      <c r="K1074" s="262"/>
      <c r="L1074" s="262"/>
      <c r="M1074" s="262">
        <v>9602</v>
      </c>
      <c r="N1074" s="262" t="s">
        <v>32</v>
      </c>
      <c r="O1074" s="262" t="s">
        <v>56</v>
      </c>
      <c r="P1074" s="262" t="s">
        <v>57</v>
      </c>
      <c r="Q1074" s="262" t="s">
        <v>59</v>
      </c>
      <c r="R1074" s="262" t="s">
        <v>476</v>
      </c>
      <c r="S1074" s="267" t="s">
        <v>825</v>
      </c>
      <c r="T1074" s="268"/>
      <c r="U1074" s="269"/>
      <c r="V1074" s="269">
        <v>45000000</v>
      </c>
      <c r="W1074" s="278">
        <v>50000000</v>
      </c>
      <c r="X1074" s="270"/>
      <c r="Y1074" s="262" t="s">
        <v>27</v>
      </c>
      <c r="Z1074" s="271" t="s">
        <v>27</v>
      </c>
      <c r="AA1074" s="287"/>
      <c r="AB1074" s="287"/>
      <c r="AC1074" s="272">
        <f t="shared" si="35"/>
        <v>47500000</v>
      </c>
      <c r="AD1074" s="272">
        <v>47500000</v>
      </c>
      <c r="AE1074" s="272">
        <f t="shared" si="36"/>
        <v>0</v>
      </c>
      <c r="AF1074" s="273"/>
      <c r="AG1074" s="274"/>
      <c r="AH1074" s="273"/>
      <c r="AI1074" s="273"/>
      <c r="AJ1074" s="274"/>
      <c r="AK1074" s="273"/>
      <c r="AL1074" s="275">
        <v>5000000</v>
      </c>
      <c r="AM1074" s="290">
        <v>2500000</v>
      </c>
      <c r="AN1074" s="275"/>
      <c r="AO1074" s="276">
        <v>5000000</v>
      </c>
      <c r="AP1074" s="275"/>
      <c r="AQ1074" s="275">
        <v>5000000</v>
      </c>
      <c r="AR1074" s="275"/>
      <c r="AS1074" s="275">
        <v>5000000</v>
      </c>
      <c r="AT1074" s="275"/>
      <c r="AU1074" s="275">
        <v>5000000</v>
      </c>
      <c r="AV1074" s="275"/>
      <c r="AW1074" s="275">
        <v>5000000</v>
      </c>
      <c r="AX1074" s="275"/>
      <c r="AY1074" s="275">
        <v>5000000</v>
      </c>
      <c r="AZ1074" s="275"/>
      <c r="BA1074" s="275">
        <v>5000000</v>
      </c>
      <c r="BB1074" s="275"/>
      <c r="BC1074" s="275">
        <v>5000000</v>
      </c>
      <c r="BD1074" s="275"/>
      <c r="BE1074" s="275">
        <v>5000000</v>
      </c>
      <c r="BF1074" s="275"/>
      <c r="BH1074" s="277"/>
    </row>
    <row r="1075" spans="1:60" ht="16.5" customHeight="1">
      <c r="A1075" s="260">
        <v>1053</v>
      </c>
      <c r="B1075" s="261"/>
      <c r="C1075" s="261"/>
      <c r="D1075" s="262" t="s">
        <v>15</v>
      </c>
      <c r="E1075" s="262" t="s">
        <v>0</v>
      </c>
      <c r="F1075" s="263" t="s">
        <v>15</v>
      </c>
      <c r="G1075" s="264" t="s">
        <v>606</v>
      </c>
      <c r="H1075" s="281"/>
      <c r="I1075" s="265"/>
      <c r="J1075" s="266" t="s">
        <v>799</v>
      </c>
      <c r="K1075" s="262"/>
      <c r="L1075" s="262"/>
      <c r="M1075" s="262">
        <v>9602</v>
      </c>
      <c r="N1075" s="262" t="s">
        <v>32</v>
      </c>
      <c r="O1075" s="262"/>
      <c r="P1075" s="262" t="s">
        <v>57</v>
      </c>
      <c r="Q1075" s="262" t="s">
        <v>18</v>
      </c>
      <c r="R1075" s="262" t="s">
        <v>19</v>
      </c>
      <c r="S1075" s="267" t="s">
        <v>838</v>
      </c>
      <c r="T1075" s="268"/>
      <c r="U1075" s="269"/>
      <c r="V1075" s="269">
        <v>1268755196</v>
      </c>
      <c r="W1075" s="278">
        <v>1483621965</v>
      </c>
      <c r="X1075" s="270"/>
      <c r="Y1075" s="262" t="s">
        <v>27</v>
      </c>
      <c r="Z1075" s="271" t="s">
        <v>27</v>
      </c>
      <c r="AA1075" s="287"/>
      <c r="AB1075" s="287"/>
      <c r="AC1075" s="272">
        <f t="shared" si="35"/>
        <v>1311192598</v>
      </c>
      <c r="AD1075" s="272">
        <v>1311192598</v>
      </c>
      <c r="AE1075" s="272">
        <f t="shared" si="36"/>
        <v>0</v>
      </c>
      <c r="AF1075" s="273">
        <v>7916150</v>
      </c>
      <c r="AG1075" s="274">
        <v>9915650</v>
      </c>
      <c r="AH1075" s="273"/>
      <c r="AI1075" s="273">
        <v>6825000</v>
      </c>
      <c r="AJ1075" s="274">
        <v>33580000</v>
      </c>
      <c r="AK1075" s="273"/>
      <c r="AL1075" s="275">
        <v>281615000</v>
      </c>
      <c r="AM1075" s="290">
        <v>222825000</v>
      </c>
      <c r="AN1075" s="275"/>
      <c r="AO1075" s="276">
        <v>101290000</v>
      </c>
      <c r="AP1075" s="275"/>
      <c r="AQ1075" s="275">
        <v>78362860</v>
      </c>
      <c r="AR1075" s="275"/>
      <c r="AS1075" s="275">
        <v>237049000</v>
      </c>
      <c r="AT1075" s="275"/>
      <c r="AU1075" s="275">
        <v>43186445</v>
      </c>
      <c r="AV1075" s="275"/>
      <c r="AW1075" s="275">
        <v>134006500</v>
      </c>
      <c r="AX1075" s="275"/>
      <c r="AY1075" s="275">
        <v>52502105</v>
      </c>
      <c r="AZ1075" s="275"/>
      <c r="BA1075" s="275">
        <v>216363620</v>
      </c>
      <c r="BB1075" s="275"/>
      <c r="BC1075" s="275">
        <v>127814000</v>
      </c>
      <c r="BD1075" s="275"/>
      <c r="BE1075" s="275">
        <v>54297418</v>
      </c>
      <c r="BF1075" s="275"/>
      <c r="BH1075" s="277"/>
    </row>
    <row r="1076" spans="1:60" ht="16.5" customHeight="1">
      <c r="A1076" s="260">
        <v>1054</v>
      </c>
      <c r="B1076" s="261"/>
      <c r="C1076" s="261"/>
      <c r="D1076" s="262"/>
      <c r="E1076" s="262"/>
      <c r="F1076" s="263" t="s">
        <v>15</v>
      </c>
      <c r="G1076" s="264" t="s">
        <v>606</v>
      </c>
      <c r="H1076" s="281"/>
      <c r="I1076" s="265"/>
      <c r="J1076" s="266" t="s">
        <v>789</v>
      </c>
      <c r="K1076" s="262"/>
      <c r="L1076" s="262"/>
      <c r="M1076" s="262">
        <v>56028</v>
      </c>
      <c r="N1076" s="262" t="s">
        <v>32</v>
      </c>
      <c r="O1076" s="262" t="s">
        <v>56</v>
      </c>
      <c r="P1076" s="262" t="s">
        <v>57</v>
      </c>
      <c r="Q1076" s="262" t="s">
        <v>59</v>
      </c>
      <c r="R1076" s="262" t="s">
        <v>476</v>
      </c>
      <c r="S1076" s="267" t="s">
        <v>838</v>
      </c>
      <c r="T1076" s="268"/>
      <c r="U1076" s="269">
        <v>1150650676</v>
      </c>
      <c r="V1076" s="269">
        <v>1166764891</v>
      </c>
      <c r="W1076" s="278">
        <v>1101058567</v>
      </c>
      <c r="X1076" s="270"/>
      <c r="Y1076" s="262" t="s">
        <v>27</v>
      </c>
      <c r="Z1076" s="271" t="s">
        <v>27</v>
      </c>
      <c r="AA1076" s="287"/>
      <c r="AB1076" s="287"/>
      <c r="AC1076" s="272">
        <f t="shared" si="35"/>
        <v>1037799919</v>
      </c>
      <c r="AD1076" s="272">
        <v>1037799919</v>
      </c>
      <c r="AE1076" s="272">
        <f t="shared" si="36"/>
        <v>0</v>
      </c>
      <c r="AF1076" s="273"/>
      <c r="AG1076" s="274"/>
      <c r="AH1076" s="273"/>
      <c r="AI1076" s="273"/>
      <c r="AJ1076" s="274"/>
      <c r="AK1076" s="273"/>
      <c r="AL1076" s="275"/>
      <c r="AM1076" s="290">
        <v>37799919</v>
      </c>
      <c r="AN1076" s="275"/>
      <c r="AO1076" s="276">
        <v>130000000</v>
      </c>
      <c r="AP1076" s="275"/>
      <c r="AQ1076" s="275">
        <v>90000000</v>
      </c>
      <c r="AR1076" s="275"/>
      <c r="AS1076" s="275">
        <v>90000000</v>
      </c>
      <c r="AT1076" s="275"/>
      <c r="AU1076" s="275">
        <v>100000000</v>
      </c>
      <c r="AV1076" s="275"/>
      <c r="AW1076" s="275">
        <v>90000000</v>
      </c>
      <c r="AX1076" s="275"/>
      <c r="AY1076" s="275">
        <v>100000000</v>
      </c>
      <c r="AZ1076" s="275"/>
      <c r="BA1076" s="275">
        <v>100000000</v>
      </c>
      <c r="BB1076" s="275"/>
      <c r="BC1076" s="275">
        <v>300000000</v>
      </c>
      <c r="BD1076" s="275"/>
      <c r="BE1076" s="275"/>
      <c r="BF1076" s="275"/>
      <c r="BH1076" s="277"/>
    </row>
  </sheetData>
  <sheetProtection insertColumns="0" insertRows="0" selectLockedCells="1"/>
  <autoFilter ref="A22:BH1076"/>
  <sortState ref="A23:BH1076">
    <sortCondition ref="G23:G1076" customList="박정규,이재성,황동현,장지웅,이태원,강건모,조미희,김도엽,한성천,서대원,김신정,장현아"/>
    <sortCondition ref="J23:J1076"/>
    <sortCondition ref="S23:S1076"/>
    <sortCondition ref="Z23:Z1076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5:BH1076">
    <cfRule type="duplicateValues" dxfId="78" priority="1"/>
  </conditionalFormatting>
  <dataValidations disablePrompts="1"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7:P1048576 O810:O816 O842 O818 O820:O822 O718:O725 O765 O767:O769 O788 P810:P821 N770:N821 N947:N984 Q947:Q979 Y1018:Y1019 Y1011:Y1014 N986:N987 N1014 N1008 N989:N992 Q980:R984 P1013 Q1011:R1012 N1011:N1012 R1013:R1014 O727:O763 Y1041:Y1071 Q1041:R1071 N129 Q163:Q266 N635 R619:R678 Q635 P569:P634 O595:O634 O636:O671 N91:N127 O353:P353 O511:P511 Y1021:Y1037 Q1021:R1037 O832 Y619:Y678 O1074 P636:P768 O701:O716 N701:N768 P1072:P1074 O1018:P1019 N1075:N1076 N1021:N1071 N823:N945 R681:R979 Y681:Y984 O23:P338 Q268:Q568 Y134:Y617 R134:R617 N133:N568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93:Q1007 Q1015:Q1019 Q1009:Q1010 O843:O945 O789:O809 O766 O770:O787 O1008 O339:O352 O947:O984 O1011:O1012 O1014 O635 O579:O581 O538:O543 O545:O568 O570 O573 O524:O528 O530:O536 O503:O505 O507:O510 O833:O841 O512:O522 O819 O1021:O1071 O823:O831 O354:O501">
      <formula1>$N$3:$N$3</formula1>
    </dataValidation>
    <dataValidation type="list" allowBlank="1" showInputMessage="1" showErrorMessage="1" sqref="P1008 P770:P809 P339:P352 P947:P984 P1011:P1012 P1014 P635 P823:P945 P512:P568 P1021:P1071 P354:P510">
      <formula1>$R$3:$R$3</formula1>
    </dataValidation>
    <dataValidation allowBlank="1" showInputMessage="1" showErrorMessage="1" promptTitle="수정금지!!!!" prompt="원본값, 수정하지 마세요." sqref="W1075:W1076 W22:W1073"/>
    <dataValidation type="list" allowBlank="1" showInputMessage="1" showErrorMessage="1" sqref="Q823:Q945 Q701:Q768 Q770:Q821 Q267 R1015:R1020 R1009 R1006:R1007 Q1008 Q1014 Q133:Q162 Q23:Q89 Q91:Q129">
      <formula1>$O$3:$O$3</formula1>
    </dataValidation>
    <dataValidation type="list" allowBlank="1" showInputMessage="1" showErrorMessage="1" sqref="N1015:N1019 N1009:N1010 N993:N1007">
      <formula1>$G$3:$G$3</formula1>
    </dataValidation>
    <dataValidation type="list" allowBlank="1" showInputMessage="1" showErrorMessage="1" sqref="P1015:P1017 P993:P1007 P1009:P1010">
      <formula1>$Q$3:$Q$3</formula1>
    </dataValidation>
    <dataValidation type="list" allowBlank="1" showInputMessage="1" showErrorMessage="1" sqref="O1015:O1017 O993:O1007 O1009:O1010">
      <formula1>$M$3:$M$3</formula1>
    </dataValidation>
    <dataValidation type="list" allowBlank="1" showInputMessage="1" showErrorMessage="1" sqref="Y1015:Y1017 Y1006:Y1007 Y1020 Y1009:Y1010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7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R1077:R1048576 R1072:R1074 N1077:O1048576 N1072:O1073 N1074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Q1038:R1040 Y1038:Y1040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U1010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R993:R1005 Y993:Y1005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O502 O717 O672:O700 O726 N1013:O1013 N132 N569:N631 O544 O537 O569 O571:O572 O574:O578 O582:O594 O523 O529 N633:N634 N636:N700 O506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P822:Q822 N822 N946:Q946 P769:Q769 N769 Q90 N90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Y618 R679:R680 R618 Y679:Y680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O817 O764 Y1008 R1008 N128 N130:N131 N23:N89 Y23:Y133 R23:R133</xm:sqref>
        </x14:dataValidation>
        <x14:dataValidation type="list" allowBlank="1" showInputMessage="1" showErrorMessage="1">
          <x14:formula1>
            <xm:f>index!$L$3:$L$11</xm:f>
          </x14:formula1>
          <xm:sqref>AA1038:AB1048576 AA833:AB1036 AA23:AB69 AA71:AB126 AA128:AB428 AA430:AB831 Z1077:Z1048576 Z23:Z1076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Y1075:Y1076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AA1037:AB1037</xm:sqref>
        </x14:dataValidation>
        <x14:dataValidation type="list" allowBlank="1" showInputMessage="1" showErrorMessage="1">
          <x14:formula1>
            <xm:f>index!$K$3:$K$27</xm:f>
          </x14:formula1>
          <xm:sqref>S1077:S1048576 S23:S1076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영업개발회의\2026년\260507\팀별자료\databook\기교1팀\[★2026년_databook_기교1팀_260507_강건모.xlsm]index'!#REF!</xm:f>
          </x14:formula1>
          <xm:sqref>AA832:AB832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영업개발회의\2026년\260507\팀별자료\databook\기교1팀\[★2026년_databook_기교1팀_260507_박정규.xlsm]index'!#REF!</xm:f>
          </x14:formula1>
          <xm:sqref>AA127:AB127 AA70:AB70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영업개발회의\2026년\260507\팀별자료\databook\기교1팀\[★2026년_databook_기교1팀_260507_장지웅.xlsm]index'!#REF!</xm:f>
          </x14:formula1>
          <xm:sqref>AA429:AB429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6.5"/>
  <cols>
    <col min="1" max="1" width="34" style="33" customWidth="1"/>
    <col min="2" max="5" width="13.125" style="32" customWidth="1"/>
    <col min="6" max="8" width="14.25" style="32" customWidth="1"/>
    <col min="9" max="10" width="13.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75" style="32" bestFit="1" customWidth="1"/>
  </cols>
  <sheetData>
    <row r="3" spans="1:14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>
      <c r="A11" s="166"/>
      <c r="B11" s="165" t="s">
        <v>488</v>
      </c>
      <c r="C11" s="163"/>
      <c r="D11" s="163"/>
      <c r="E11" s="163"/>
    </row>
    <row r="12" spans="1:14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>
      <c r="A13" s="164" t="s">
        <v>113</v>
      </c>
      <c r="B13" s="163"/>
      <c r="C13" s="163"/>
      <c r="D13" s="163"/>
      <c r="E13" s="163"/>
    </row>
    <row r="14" spans="1:14">
      <c r="A14" s="164" t="s">
        <v>0</v>
      </c>
      <c r="B14" s="163"/>
      <c r="C14" s="163"/>
      <c r="D14" s="163"/>
      <c r="E14" s="163"/>
    </row>
    <row r="15" spans="1:14">
      <c r="A15" s="164" t="s">
        <v>175</v>
      </c>
      <c r="B15" s="163"/>
      <c r="C15" s="163"/>
      <c r="D15" s="163"/>
      <c r="E15" s="163"/>
    </row>
    <row r="16" spans="1:14">
      <c r="A16" s="164" t="s">
        <v>364</v>
      </c>
      <c r="B16" s="163"/>
      <c r="C16" s="163"/>
      <c r="D16" s="163"/>
      <c r="E16" s="163"/>
    </row>
    <row r="17" spans="1:14">
      <c r="A17" s="164" t="s">
        <v>2</v>
      </c>
      <c r="B17" s="163"/>
      <c r="C17" s="163"/>
      <c r="D17" s="163"/>
      <c r="E17" s="163"/>
    </row>
    <row r="18" spans="1:14">
      <c r="A18" s="164" t="s">
        <v>237</v>
      </c>
      <c r="B18" s="163"/>
      <c r="C18" s="163"/>
      <c r="D18" s="163"/>
      <c r="E18" s="163"/>
    </row>
    <row r="19" spans="1:14">
      <c r="A19" s="164" t="s">
        <v>277</v>
      </c>
      <c r="B19" s="163"/>
      <c r="C19" s="163"/>
      <c r="D19" s="163"/>
      <c r="E19" s="163"/>
    </row>
    <row r="20" spans="1:14">
      <c r="A20" s="164" t="s">
        <v>153</v>
      </c>
      <c r="B20" s="163"/>
      <c r="C20" s="163"/>
      <c r="D20" s="163"/>
      <c r="E20" s="163"/>
    </row>
    <row r="21" spans="1:14">
      <c r="A21" s="164" t="s">
        <v>456</v>
      </c>
      <c r="B21" s="163"/>
      <c r="C21" s="163"/>
      <c r="D21" s="163"/>
      <c r="E21" s="163"/>
    </row>
    <row r="22" spans="1:14">
      <c r="A22" s="164" t="s">
        <v>606</v>
      </c>
      <c r="B22" s="163"/>
      <c r="C22" s="163"/>
      <c r="D22" s="163"/>
      <c r="E22" s="163"/>
    </row>
    <row r="23" spans="1:14">
      <c r="A23" s="164" t="s">
        <v>452</v>
      </c>
      <c r="B23" s="163"/>
      <c r="C23" s="163"/>
      <c r="D23" s="163"/>
      <c r="E23" s="163"/>
    </row>
    <row r="24" spans="1:14">
      <c r="A24"/>
      <c r="B24"/>
      <c r="C24"/>
      <c r="D24"/>
      <c r="E24"/>
    </row>
    <row r="28" spans="1:14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75" defaultRowHeight="16.5"/>
  <cols>
    <col min="1" max="1" width="8.75" style="2"/>
    <col min="2" max="2" width="11.87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5.75" style="2" bestFit="1" customWidth="1"/>
    <col min="8" max="8" width="11.375" style="2" bestFit="1" customWidth="1"/>
    <col min="9" max="9" width="20.75" style="4" customWidth="1"/>
    <col min="10" max="11" width="20.75" style="34" customWidth="1"/>
    <col min="12" max="12" width="20.75" style="61" customWidth="1"/>
    <col min="13" max="13" width="18.25" style="2" customWidth="1"/>
    <col min="14" max="14" width="17.75" customWidth="1"/>
    <col min="15" max="15" width="32.25" bestFit="1" customWidth="1"/>
    <col min="16" max="16" width="30.75" customWidth="1"/>
    <col min="17" max="17" width="16.125" style="2" customWidth="1"/>
    <col min="18" max="18" width="28.125" customWidth="1"/>
  </cols>
  <sheetData>
    <row r="1" spans="1:18">
      <c r="I1" s="3"/>
      <c r="L1" s="35"/>
      <c r="R1" s="36"/>
    </row>
    <row r="2" spans="1:18" ht="34.5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" customHeight="1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" customHeight="1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6.899999999999999" customHeight="1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6.899999999999999" customHeight="1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6.899999999999999" customHeight="1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6.899999999999999" customHeight="1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6.899999999999999" customHeight="1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6.899999999999999" customHeight="1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6.899999999999999" customHeight="1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6.899999999999999" customHeight="1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6.899999999999999" customHeight="1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6.899999999999999" customHeight="1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6.899999999999999" customHeight="1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6.899999999999999" customHeight="1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6.899999999999999" customHeight="1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6.899999999999999" customHeight="1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6.899999999999999" customHeight="1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6.899999999999999" customHeight="1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6.899999999999999" customHeight="1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6.899999999999999" customHeight="1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6.899999999999999" customHeight="1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6.899999999999999" customHeight="1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6.899999999999999" customHeight="1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B3" sqref="B3:N18"/>
    </sheetView>
  </sheetViews>
  <sheetFormatPr defaultRowHeight="16.5"/>
  <cols>
    <col min="2" max="2" width="12.875" customWidth="1"/>
    <col min="3" max="9" width="8.75" customWidth="1"/>
    <col min="10" max="10" width="11.25" bestFit="1" customWidth="1"/>
    <col min="14" max="14" width="64.375" customWidth="1"/>
    <col min="15" max="15" width="18.625" customWidth="1"/>
    <col min="16" max="16" width="12.5" style="1" customWidth="1"/>
    <col min="17" max="17" width="12.875" style="1" customWidth="1"/>
    <col min="18" max="18" width="12.5" style="1" customWidth="1"/>
    <col min="19" max="19" width="14.25" style="1" customWidth="1"/>
    <col min="20" max="20" width="11.625" style="1" customWidth="1"/>
    <col min="21" max="21" width="8.75" style="1" customWidth="1"/>
    <col min="22" max="22" width="8.75" customWidth="1"/>
    <col min="23" max="23" width="15" bestFit="1" customWidth="1"/>
    <col min="24" max="25" width="13.875" bestFit="1" customWidth="1"/>
    <col min="27" max="27" width="13.5" bestFit="1" customWidth="1"/>
  </cols>
  <sheetData>
    <row r="2" spans="1:27" ht="17.25" thickBot="1"/>
    <row r="3" spans="1:27" ht="17.45" customHeight="1">
      <c r="B3" s="305" t="s">
        <v>515</v>
      </c>
      <c r="C3" s="308" t="s">
        <v>845</v>
      </c>
      <c r="D3" s="311" t="s">
        <v>846</v>
      </c>
      <c r="E3" s="314" t="s">
        <v>805</v>
      </c>
      <c r="F3" s="315"/>
      <c r="G3" s="315"/>
      <c r="H3" s="315"/>
      <c r="I3" s="315"/>
      <c r="J3" s="315"/>
      <c r="K3" s="315"/>
      <c r="L3" s="316"/>
      <c r="M3" s="317" t="s">
        <v>516</v>
      </c>
      <c r="N3" s="320" t="s">
        <v>517</v>
      </c>
      <c r="O3" s="321" t="s">
        <v>518</v>
      </c>
    </row>
    <row r="4" spans="1:27" ht="18" customHeight="1" thickBot="1">
      <c r="B4" s="306"/>
      <c r="C4" s="309"/>
      <c r="D4" s="312"/>
      <c r="E4" s="322" t="s">
        <v>519</v>
      </c>
      <c r="F4" s="322"/>
      <c r="G4" s="322"/>
      <c r="H4" s="323"/>
      <c r="I4" s="324" t="s">
        <v>520</v>
      </c>
      <c r="J4" s="322"/>
      <c r="K4" s="322"/>
      <c r="L4" s="323"/>
      <c r="M4" s="318"/>
      <c r="N4" s="318"/>
      <c r="O4" s="306"/>
      <c r="P4" s="325"/>
      <c r="Q4" s="304"/>
      <c r="R4" s="304"/>
      <c r="S4" s="304"/>
      <c r="T4" s="304"/>
      <c r="U4" s="304"/>
      <c r="W4" s="62"/>
      <c r="X4" s="62"/>
      <c r="Y4" s="62"/>
    </row>
    <row r="5" spans="1:27">
      <c r="B5" s="307"/>
      <c r="C5" s="310"/>
      <c r="D5" s="313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19"/>
      <c r="N5" s="319"/>
      <c r="O5" s="307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" customHeight="1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5643513687.5</v>
      </c>
      <c r="J6" s="72">
        <v>4710213687.5</v>
      </c>
      <c r="K6" s="73">
        <v>430000000</v>
      </c>
      <c r="L6" s="74">
        <v>503300000</v>
      </c>
      <c r="M6" s="75">
        <f>J6-F6</f>
        <v>45407080</v>
      </c>
      <c r="N6" s="76" t="str">
        <f>'26년 databook(취합)'!AE3</f>
        <v>삼정회계법인 9백만, 파리크라상 2.8백만 외 매출 변동</v>
      </c>
      <c r="O6" s="77" t="e">
        <f>J6/D6</f>
        <v>#DIV/0!</v>
      </c>
      <c r="R6" s="137"/>
      <c r="W6" s="78"/>
      <c r="X6" s="62"/>
      <c r="Y6" s="62"/>
      <c r="AA6" s="79"/>
    </row>
    <row r="7" spans="1:27" ht="31.15" customHeight="1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 t="str">
        <f>'26년 databook(취합)'!AE4</f>
        <v>변동 없음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15" customHeight="1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4030790930</v>
      </c>
      <c r="K8" s="73">
        <v>370000000</v>
      </c>
      <c r="L8" s="74">
        <v>119000000</v>
      </c>
      <c r="M8" s="75">
        <f t="shared" si="1"/>
        <v>9000000</v>
      </c>
      <c r="N8" s="76" t="str">
        <f>'26년 databook(취합)'!AE5</f>
        <v>한화솔루션 큐셀 9백만</v>
      </c>
      <c r="O8" s="77" t="e">
        <f t="shared" si="2"/>
        <v>#DIV/0!</v>
      </c>
      <c r="R8" s="137"/>
      <c r="W8" s="78"/>
      <c r="X8" s="62"/>
      <c r="Z8" s="79"/>
    </row>
    <row r="9" spans="1:27" ht="31.15" customHeight="1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3333815058</v>
      </c>
      <c r="J9" s="72">
        <v>1898315058</v>
      </c>
      <c r="K9" s="73">
        <v>583500000</v>
      </c>
      <c r="L9" s="74">
        <v>852000000</v>
      </c>
      <c r="M9" s="75">
        <f t="shared" si="1"/>
        <v>13541100</v>
      </c>
      <c r="N9" s="76" t="str">
        <f>'26년 databook(취합)'!AE6</f>
        <v>에스케이이노베이션 30백만 외 매출 변동</v>
      </c>
      <c r="O9" s="77" t="e">
        <f t="shared" si="2"/>
        <v>#DIV/0!</v>
      </c>
      <c r="R9" s="137"/>
      <c r="W9" s="78"/>
      <c r="X9" s="62"/>
      <c r="Z9" s="79"/>
    </row>
    <row r="10" spans="1:27" ht="31.15" customHeight="1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1659753523</v>
      </c>
      <c r="K10" s="73">
        <v>454000000</v>
      </c>
      <c r="L10" s="74">
        <v>714570000</v>
      </c>
      <c r="M10" s="75">
        <f t="shared" si="1"/>
        <v>2000000</v>
      </c>
      <c r="N10" s="76" t="str">
        <f>'26년 databook(취합)'!AE7</f>
        <v>셀트리온 2백만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15" customHeight="1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2518994226</v>
      </c>
      <c r="J11" s="72">
        <v>1200994226</v>
      </c>
      <c r="K11" s="73">
        <v>334000000</v>
      </c>
      <c r="L11" s="74">
        <v>984000000</v>
      </c>
      <c r="M11" s="75">
        <f t="shared" si="1"/>
        <v>14196720</v>
      </c>
      <c r="N11" s="76" t="str">
        <f>'26년 databook(취합)'!AE8</f>
        <v>한양이엔지 7.5백만, 쌍용건설 6.5백만 외 매출 변동</v>
      </c>
      <c r="O11" s="77" t="e">
        <f t="shared" si="2"/>
        <v>#DIV/0!</v>
      </c>
      <c r="R11" s="137"/>
      <c r="W11" s="78"/>
      <c r="X11" s="78"/>
      <c r="Z11" s="79"/>
    </row>
    <row r="12" spans="1:27" ht="31.15" customHeight="1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 t="str">
        <f>'26년 databook(취합)'!AE9</f>
        <v>변동 없음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15" customHeight="1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3945440945</v>
      </c>
      <c r="J13" s="80">
        <v>3125440945</v>
      </c>
      <c r="K13" s="132">
        <v>562000000</v>
      </c>
      <c r="L13" s="132">
        <v>258000000</v>
      </c>
      <c r="M13" s="133">
        <f t="shared" si="1"/>
        <v>-8925000</v>
      </c>
      <c r="N13" s="76" t="str">
        <f>'26년 databook(취합)'!AE10</f>
        <v>현대모비스, 현대자동차 매출 변동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15" customHeight="1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 t="str">
        <f>'26년 databook(취합)'!AE11</f>
        <v>전배, 이관 필요</v>
      </c>
      <c r="O14" s="77" t="e">
        <f>J14/D14</f>
        <v>#DIV/0!</v>
      </c>
      <c r="R14" s="137"/>
      <c r="W14" s="78"/>
      <c r="X14" s="62"/>
      <c r="Z14" s="79"/>
    </row>
    <row r="15" spans="1:27" ht="31.15" customHeight="1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 t="str">
        <f>'26년 databook(취합)'!AE12</f>
        <v>퇴사, 이관 필요</v>
      </c>
      <c r="O15" s="77"/>
      <c r="R15" s="137"/>
      <c r="W15" s="78"/>
      <c r="X15" s="62"/>
      <c r="Y15" s="62"/>
      <c r="AA15" s="79"/>
    </row>
    <row r="16" spans="1:27" ht="31.15" hidden="1" customHeight="1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15" customHeight="1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15" customHeight="1" thickBot="1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33993064915.5</v>
      </c>
      <c r="J18" s="84">
        <f t="shared" si="3"/>
        <v>24850384915.5</v>
      </c>
      <c r="K18" s="85">
        <f t="shared" si="3"/>
        <v>4503060000</v>
      </c>
      <c r="L18" s="71">
        <f t="shared" si="3"/>
        <v>4639620000</v>
      </c>
      <c r="M18" s="86">
        <f>SUM(M6:M17)</f>
        <v>75219900</v>
      </c>
      <c r="N18" s="87"/>
      <c r="O18" s="77" t="e">
        <f>J18/D18</f>
        <v>#DIV/0!</v>
      </c>
      <c r="W18" s="88"/>
      <c r="X18" s="88"/>
      <c r="Y18" s="62"/>
      <c r="AA18" s="79"/>
    </row>
    <row r="19" spans="2:27">
      <c r="N19" s="78"/>
    </row>
    <row r="20" spans="2:27">
      <c r="J20" s="78"/>
      <c r="N20" s="78"/>
    </row>
    <row r="21" spans="2:27">
      <c r="F21" s="89"/>
      <c r="J21" s="89"/>
      <c r="M21" s="90"/>
      <c r="N21" s="78"/>
    </row>
    <row r="22" spans="2:27">
      <c r="K22" s="90"/>
      <c r="N22" s="78"/>
    </row>
    <row r="23" spans="2:27">
      <c r="E23" s="89"/>
      <c r="J23" s="89"/>
      <c r="M23" s="90"/>
      <c r="N23" s="78"/>
    </row>
    <row r="24" spans="2:27">
      <c r="N24" s="78"/>
    </row>
    <row r="25" spans="2:27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6.5" outlineLevelCol="1"/>
  <cols>
    <col min="1" max="1" width="3.75" customWidth="1"/>
    <col min="2" max="2" width="9.625" customWidth="1"/>
    <col min="3" max="5" width="15.75" hidden="1" customWidth="1" outlineLevel="1"/>
    <col min="6" max="6" width="10.125" hidden="1" customWidth="1" collapsed="1"/>
    <col min="7" max="9" width="15.75" hidden="1" customWidth="1" outlineLevel="1"/>
    <col min="10" max="10" width="13.25" hidden="1" customWidth="1"/>
    <col min="11" max="13" width="15.75" customWidth="1" outlineLevel="1"/>
    <col min="14" max="14" width="15" bestFit="1" customWidth="1"/>
    <col min="15" max="15" width="12.75" hidden="1" customWidth="1" outlineLevel="1"/>
    <col min="16" max="16" width="13.25" hidden="1" customWidth="1" outlineLevel="1"/>
    <col min="17" max="17" width="15.125" hidden="1" customWidth="1" outlineLevel="1"/>
    <col min="18" max="18" width="10.75" style="2" hidden="1" customWidth="1" outlineLevel="1"/>
    <col min="19" max="19" width="14.6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125" hidden="1" customWidth="1" outlineLevel="1"/>
    <col min="38" max="38" width="10.75" style="2" hidden="1" customWidth="1" outlineLevel="1"/>
    <col min="39" max="39" width="14.6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75" hidden="1" customWidth="1" outlineLevel="1"/>
    <col min="52" max="52" width="8.75" collapsed="1"/>
    <col min="53" max="53" width="13.875" bestFit="1" customWidth="1"/>
  </cols>
  <sheetData>
    <row r="2" spans="2:53">
      <c r="B2" s="116" t="s">
        <v>545</v>
      </c>
      <c r="C2" s="326" t="s">
        <v>558</v>
      </c>
      <c r="D2" s="326"/>
      <c r="E2" s="326"/>
      <c r="F2" s="326"/>
      <c r="G2" s="326" t="s">
        <v>638</v>
      </c>
      <c r="H2" s="326"/>
      <c r="I2" s="326"/>
      <c r="J2" s="326"/>
      <c r="K2" s="326" t="s">
        <v>683</v>
      </c>
      <c r="L2" s="326"/>
      <c r="M2" s="326"/>
      <c r="N2" s="326"/>
      <c r="O2" s="326" t="s">
        <v>510</v>
      </c>
      <c r="P2" s="326"/>
      <c r="Q2" s="326"/>
      <c r="R2" s="326"/>
      <c r="S2" s="326" t="s">
        <v>509</v>
      </c>
      <c r="T2" s="326"/>
      <c r="U2" s="326"/>
      <c r="V2" s="326"/>
      <c r="W2" s="326" t="s">
        <v>530</v>
      </c>
      <c r="X2" s="326"/>
      <c r="Y2" s="326"/>
      <c r="Z2" s="326"/>
      <c r="AA2" s="326" t="s">
        <v>531</v>
      </c>
      <c r="AB2" s="326"/>
      <c r="AC2" s="326"/>
      <c r="AD2" s="326"/>
      <c r="AE2" s="326" t="s">
        <v>546</v>
      </c>
      <c r="AF2" s="326"/>
      <c r="AG2" s="326"/>
      <c r="AH2" s="326"/>
      <c r="AI2" s="326" t="s">
        <v>547</v>
      </c>
      <c r="AJ2" s="326"/>
      <c r="AK2" s="326"/>
      <c r="AL2" s="326"/>
      <c r="AM2" s="326" t="s">
        <v>548</v>
      </c>
      <c r="AN2" s="326"/>
      <c r="AO2" s="326"/>
      <c r="AP2" s="326"/>
      <c r="AQ2" s="326" t="s">
        <v>549</v>
      </c>
      <c r="AR2" s="326"/>
      <c r="AS2" s="326"/>
      <c r="AT2" s="326"/>
      <c r="AU2" s="326" t="s">
        <v>550</v>
      </c>
      <c r="AV2" s="326"/>
      <c r="AW2" s="326"/>
      <c r="AX2" s="326"/>
    </row>
    <row r="3" spans="2:53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>
      <c r="B16" s="128"/>
      <c r="E16" s="129"/>
      <c r="I16" s="129"/>
      <c r="M16" s="129"/>
    </row>
    <row r="17" spans="4:12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I24" sqref="I24"/>
    </sheetView>
  </sheetViews>
  <sheetFormatPr defaultRowHeight="16.5"/>
  <cols>
    <col min="1" max="1" width="2.625" customWidth="1"/>
    <col min="2" max="2" width="11.625" customWidth="1"/>
    <col min="3" max="3" width="16.75" customWidth="1"/>
    <col min="4" max="16" width="8.75" customWidth="1"/>
    <col min="19" max="19" width="12.625" bestFit="1" customWidth="1"/>
    <col min="20" max="20" width="13.875" bestFit="1" customWidth="1"/>
  </cols>
  <sheetData>
    <row r="2" spans="2:20">
      <c r="R2" s="29" t="s">
        <v>527</v>
      </c>
    </row>
    <row r="3" spans="2:20">
      <c r="B3" s="327" t="s">
        <v>528</v>
      </c>
      <c r="C3" s="328"/>
      <c r="D3" s="331" t="s">
        <v>844</v>
      </c>
      <c r="E3" s="332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91"/>
      <c r="Q3" s="331" t="s">
        <v>529</v>
      </c>
      <c r="R3" s="333"/>
      <c r="T3" s="78"/>
    </row>
    <row r="4" spans="2:20">
      <c r="B4" s="329"/>
      <c r="C4" s="330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>
      <c r="B5" s="334" t="s">
        <v>843</v>
      </c>
      <c r="C5" s="335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>
      <c r="B6" s="336" t="s">
        <v>842</v>
      </c>
      <c r="C6" s="337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2610361943</v>
      </c>
      <c r="H7" s="100">
        <f t="shared" si="1"/>
        <v>3032452784</v>
      </c>
      <c r="I7" s="100">
        <f t="shared" si="1"/>
        <v>2238722800</v>
      </c>
      <c r="J7" s="100">
        <f t="shared" si="1"/>
        <v>2979683025</v>
      </c>
      <c r="K7" s="100">
        <f t="shared" si="1"/>
        <v>2055932500</v>
      </c>
      <c r="L7" s="100">
        <f t="shared" si="1"/>
        <v>2120206645</v>
      </c>
      <c r="M7" s="100">
        <f t="shared" si="1"/>
        <v>3412813775</v>
      </c>
      <c r="N7" s="100">
        <f t="shared" si="1"/>
        <v>2686170110</v>
      </c>
      <c r="O7" s="100">
        <f t="shared" si="1"/>
        <v>3589219970.5</v>
      </c>
      <c r="P7" s="101">
        <f>SUM(D7:O7)</f>
        <v>29353444915.5</v>
      </c>
      <c r="Q7" s="100">
        <v>29310225015.5</v>
      </c>
      <c r="R7" s="102">
        <f>P7-Q7</f>
        <v>43219900</v>
      </c>
    </row>
    <row r="8" spans="2:20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2528361943</v>
      </c>
      <c r="H8" s="171">
        <v>2303802784</v>
      </c>
      <c r="I8" s="171">
        <v>2015862800</v>
      </c>
      <c r="J8" s="171">
        <v>2319583025</v>
      </c>
      <c r="K8" s="171">
        <v>1751832500</v>
      </c>
      <c r="L8" s="171">
        <v>1649106645</v>
      </c>
      <c r="M8" s="171">
        <v>2549413775</v>
      </c>
      <c r="N8" s="171">
        <v>2233170110</v>
      </c>
      <c r="O8" s="171">
        <v>2871369970.5</v>
      </c>
      <c r="P8" s="104">
        <f>SUM(D8:O8)</f>
        <v>24850384915.5</v>
      </c>
      <c r="Q8" s="175">
        <v>24775165015.5</v>
      </c>
      <c r="R8" s="102">
        <f>P8-Q8</f>
        <v>75219900</v>
      </c>
    </row>
    <row r="9" spans="2:20">
      <c r="B9" s="103"/>
      <c r="C9" s="68" t="s">
        <v>539</v>
      </c>
      <c r="D9" s="172"/>
      <c r="E9" s="172"/>
      <c r="F9" s="172"/>
      <c r="G9" s="172">
        <v>82000000</v>
      </c>
      <c r="H9" s="172">
        <v>728650000</v>
      </c>
      <c r="I9" s="172">
        <v>222860000</v>
      </c>
      <c r="J9" s="172">
        <v>660100000</v>
      </c>
      <c r="K9" s="172">
        <v>304100000</v>
      </c>
      <c r="L9" s="172">
        <v>471100000</v>
      </c>
      <c r="M9" s="172">
        <v>863400000</v>
      </c>
      <c r="N9" s="172">
        <v>453000000</v>
      </c>
      <c r="O9" s="172">
        <v>717850000</v>
      </c>
      <c r="P9" s="105">
        <f t="shared" ref="P9:P11" si="2">SUM(D9:O9)</f>
        <v>4503060000</v>
      </c>
      <c r="Q9" s="176">
        <v>4535060000</v>
      </c>
      <c r="R9" s="102">
        <f>P9-Q9</f>
        <v>-32000000</v>
      </c>
    </row>
    <row r="10" spans="2:20">
      <c r="B10" s="103"/>
      <c r="C10" s="68" t="s">
        <v>540</v>
      </c>
      <c r="D10" s="172"/>
      <c r="E10" s="172"/>
      <c r="F10" s="172"/>
      <c r="G10" s="172">
        <v>61000000</v>
      </c>
      <c r="H10" s="172">
        <v>1690620000</v>
      </c>
      <c r="I10" s="172">
        <v>594800000</v>
      </c>
      <c r="J10" s="172">
        <v>187200000</v>
      </c>
      <c r="K10" s="172">
        <v>302000000</v>
      </c>
      <c r="L10" s="172">
        <v>765000000</v>
      </c>
      <c r="M10" s="172">
        <v>317500000</v>
      </c>
      <c r="N10" s="172">
        <v>462500000</v>
      </c>
      <c r="O10" s="172">
        <v>259000000</v>
      </c>
      <c r="P10" s="105">
        <f t="shared" si="2"/>
        <v>4639620000</v>
      </c>
      <c r="Q10" s="176">
        <v>4648620000</v>
      </c>
      <c r="R10" s="102">
        <f>P10-Q10</f>
        <v>-9000000</v>
      </c>
    </row>
    <row r="11" spans="2:20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2671361943</v>
      </c>
      <c r="H11" s="108">
        <f t="shared" si="3"/>
        <v>4723072784</v>
      </c>
      <c r="I11" s="108">
        <f t="shared" si="3"/>
        <v>2833522800</v>
      </c>
      <c r="J11" s="108">
        <f t="shared" si="3"/>
        <v>3166883025</v>
      </c>
      <c r="K11" s="108">
        <f t="shared" si="3"/>
        <v>2357932500</v>
      </c>
      <c r="L11" s="108">
        <f t="shared" si="3"/>
        <v>2885206645</v>
      </c>
      <c r="M11" s="108">
        <f t="shared" si="3"/>
        <v>3730313775</v>
      </c>
      <c r="N11" s="108">
        <f t="shared" si="3"/>
        <v>3148670110</v>
      </c>
      <c r="O11" s="108">
        <f t="shared" si="3"/>
        <v>3848219970.5</v>
      </c>
      <c r="P11" s="109">
        <f t="shared" si="2"/>
        <v>33993064915.5</v>
      </c>
      <c r="Q11" s="177">
        <v>33958845015.5</v>
      </c>
      <c r="R11" s="110">
        <f>P11-Q11</f>
        <v>34219900</v>
      </c>
    </row>
    <row r="12" spans="2:20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>
      <c r="D14" t="s">
        <v>543</v>
      </c>
      <c r="E14" s="115"/>
      <c r="F14" s="30"/>
      <c r="G14" s="30"/>
      <c r="H14" s="30"/>
      <c r="I14" s="30"/>
      <c r="K14" s="30"/>
      <c r="N14" s="90"/>
    </row>
    <row r="15" spans="2:20">
      <c r="E15" s="30"/>
      <c r="F15" s="30"/>
      <c r="G15" s="30"/>
      <c r="H15" s="30"/>
      <c r="I15" s="30"/>
      <c r="K15" s="30"/>
    </row>
    <row r="16" spans="2:20">
      <c r="I16" s="30"/>
    </row>
    <row r="17" spans="16:16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2"/>
  <cols>
    <col min="1" max="1" width="19.5" style="169" customWidth="1"/>
    <col min="2" max="2" width="12.375" style="169" customWidth="1"/>
    <col min="3" max="4" width="11.5" style="169" customWidth="1"/>
    <col min="5" max="5" width="12.375" style="169" customWidth="1"/>
    <col min="6" max="13" width="12.875" style="169" customWidth="1"/>
    <col min="14" max="15" width="19.5" style="169" customWidth="1"/>
    <col min="16" max="16" width="22.875" style="169" customWidth="1"/>
    <col min="17" max="1380" width="15.125" style="169" customWidth="1"/>
    <col min="1381" max="1389" width="18.625" style="169" customWidth="1"/>
    <col min="1390" max="1392" width="19.75" style="169" customWidth="1"/>
    <col min="1393" max="1393" width="22.25" style="169" customWidth="1"/>
    <col min="1394" max="1396" width="23.375" style="169" customWidth="1"/>
    <col min="1397" max="1402" width="14" style="169" customWidth="1"/>
    <col min="1403" max="1405" width="15.125" style="169" customWidth="1"/>
    <col min="1406" max="1411" width="22.25" style="169" customWidth="1"/>
    <col min="1412" max="1414" width="23.375" style="169" customWidth="1"/>
    <col min="1415" max="1420" width="14" style="169" customWidth="1"/>
    <col min="1421" max="1423" width="15.125" style="169" customWidth="1"/>
    <col min="1424" max="1429" width="14" style="169" customWidth="1"/>
    <col min="1430" max="1432" width="15.125" style="169" customWidth="1"/>
    <col min="1433" max="1438" width="22.25" style="169" customWidth="1"/>
    <col min="1439" max="1441" width="23.375" style="169" customWidth="1"/>
    <col min="1442" max="1447" width="14" style="169" customWidth="1"/>
    <col min="1448" max="1450" width="15.125" style="169" customWidth="1"/>
    <col min="1451" max="1456" width="22.25" style="169" customWidth="1"/>
    <col min="1457" max="1459" width="23.375" style="169" customWidth="1"/>
    <col min="1460" max="1465" width="14" style="169" customWidth="1"/>
    <col min="1466" max="1468" width="15.125" style="169" customWidth="1"/>
    <col min="1469" max="1474" width="14" style="169" customWidth="1"/>
    <col min="1475" max="1477" width="15.125" style="169" customWidth="1"/>
    <col min="1478" max="1483" width="22.25" style="169" customWidth="1"/>
    <col min="1484" max="1486" width="23.375" style="169" customWidth="1"/>
    <col min="1487" max="1492" width="14" style="169" customWidth="1"/>
    <col min="1493" max="1495" width="15.125" style="169" customWidth="1"/>
    <col min="1496" max="1501" width="14" style="169" customWidth="1"/>
    <col min="1502" max="1504" width="15.125" style="169" customWidth="1"/>
    <col min="1505" max="1510" width="23.375" style="169" customWidth="1"/>
    <col min="1511" max="1513" width="24.5" style="169" customWidth="1"/>
    <col min="1514" max="1519" width="14" style="169" customWidth="1"/>
    <col min="1520" max="1522" width="15.125" style="169" customWidth="1"/>
    <col min="1523" max="1528" width="14" style="169" customWidth="1"/>
    <col min="1529" max="1531" width="15.125" style="169" customWidth="1"/>
    <col min="1532" max="1537" width="23.375" style="169" customWidth="1"/>
    <col min="1538" max="1540" width="24.5" style="169" customWidth="1"/>
    <col min="1541" max="1546" width="14" style="169" customWidth="1"/>
    <col min="1547" max="1549" width="15.125" style="169" customWidth="1"/>
    <col min="1550" max="1555" width="14" style="169" customWidth="1"/>
    <col min="1556" max="1558" width="15.125" style="169" customWidth="1"/>
    <col min="1559" max="1564" width="23.375" style="169" customWidth="1"/>
    <col min="1565" max="1567" width="24.5" style="169" customWidth="1"/>
    <col min="1568" max="1573" width="14" style="169" customWidth="1"/>
    <col min="1574" max="1576" width="15.125" style="169" customWidth="1"/>
    <col min="1577" max="1582" width="14" style="169" customWidth="1"/>
    <col min="1583" max="1585" width="15.125" style="169" customWidth="1"/>
    <col min="1586" max="1591" width="14" style="169" customWidth="1"/>
    <col min="1592" max="1594" width="15.125" style="169" customWidth="1"/>
    <col min="1595" max="1600" width="23.375" style="169" customWidth="1"/>
    <col min="1601" max="1603" width="24.5" style="169" customWidth="1"/>
    <col min="1604" max="1609" width="14" style="169" customWidth="1"/>
    <col min="1610" max="1612" width="15.125" style="169" customWidth="1"/>
    <col min="1613" max="1618" width="23.375" style="169" customWidth="1"/>
    <col min="1619" max="1621" width="24.5" style="169" customWidth="1"/>
    <col min="1622" max="1627" width="14" style="169" customWidth="1"/>
    <col min="1628" max="1630" width="15.125" style="169" customWidth="1"/>
    <col min="1631" max="1636" width="23.375" style="169" customWidth="1"/>
    <col min="1637" max="1639" width="24.5" style="169" customWidth="1"/>
    <col min="1640" max="1645" width="14" style="169" customWidth="1"/>
    <col min="1646" max="1648" width="15.125" style="169" customWidth="1"/>
    <col min="1649" max="1654" width="23.375" style="169" customWidth="1"/>
    <col min="1655" max="1657" width="24.5" style="169" customWidth="1"/>
    <col min="1658" max="1663" width="14" style="169" customWidth="1"/>
    <col min="1664" max="1666" width="15.125" style="169" customWidth="1"/>
    <col min="1667" max="1672" width="23.375" style="169" customWidth="1"/>
    <col min="1673" max="1675" width="24.5" style="169" customWidth="1"/>
    <col min="1676" max="1681" width="14" style="169" customWidth="1"/>
    <col min="1682" max="1684" width="15.125" style="169" customWidth="1"/>
    <col min="1685" max="1690" width="24.5" style="169" customWidth="1"/>
    <col min="1691" max="1693" width="25.625" style="169" customWidth="1"/>
    <col min="1694" max="1699" width="14" style="169" customWidth="1"/>
    <col min="1700" max="1702" width="15.125" style="169" customWidth="1"/>
    <col min="1703" max="1708" width="24.5" style="169" customWidth="1"/>
    <col min="1709" max="1711" width="25.625" style="169" customWidth="1"/>
    <col min="1712" max="1717" width="14" style="169" customWidth="1"/>
    <col min="1718" max="1720" width="15.125" style="169" customWidth="1"/>
    <col min="1721" max="1726" width="24.5" style="169" customWidth="1"/>
    <col min="1727" max="1729" width="25.625" style="169" customWidth="1"/>
    <col min="1730" max="1735" width="14" style="169" customWidth="1"/>
    <col min="1736" max="1738" width="15.125" style="169" customWidth="1"/>
    <col min="1739" max="1744" width="24.5" style="169" customWidth="1"/>
    <col min="1745" max="1747" width="25.625" style="169" customWidth="1"/>
    <col min="1748" max="1753" width="14" style="169" customWidth="1"/>
    <col min="1754" max="1756" width="15.125" style="169" customWidth="1"/>
    <col min="1757" max="1762" width="24.5" style="169" customWidth="1"/>
    <col min="1763" max="1765" width="25.625" style="169" customWidth="1"/>
    <col min="1766" max="1771" width="14" style="169" customWidth="1"/>
    <col min="1772" max="1774" width="15.125" style="169" customWidth="1"/>
    <col min="1775" max="1780" width="24.5" style="169" customWidth="1"/>
    <col min="1781" max="1783" width="25.625" style="169" customWidth="1"/>
    <col min="1784" max="1789" width="14" style="169" customWidth="1"/>
    <col min="1790" max="1792" width="15.125" style="169" customWidth="1"/>
    <col min="1793" max="1798" width="14" style="169" customWidth="1"/>
    <col min="1799" max="1801" width="15.125" style="169" customWidth="1"/>
    <col min="1802" max="1807" width="14" style="169" customWidth="1"/>
    <col min="1808" max="1810" width="15.125" style="169" customWidth="1"/>
    <col min="1811" max="1816" width="14" style="169" customWidth="1"/>
    <col min="1817" max="1819" width="15.125" style="169" customWidth="1"/>
    <col min="1820" max="1825" width="14" style="169" customWidth="1"/>
    <col min="1826" max="1828" width="15.125" style="169" customWidth="1"/>
    <col min="1829" max="1834" width="14" style="169" customWidth="1"/>
    <col min="1835" max="1837" width="15.125" style="169" customWidth="1"/>
    <col min="1838" max="1843" width="14" style="169" customWidth="1"/>
    <col min="1844" max="1846" width="15.125" style="169" customWidth="1"/>
    <col min="1847" max="1852" width="14" style="169" customWidth="1"/>
    <col min="1853" max="1855" width="15.125" style="169" customWidth="1"/>
    <col min="1856" max="1861" width="14" style="169" customWidth="1"/>
    <col min="1862" max="1864" width="15.125" style="169" customWidth="1"/>
    <col min="1865" max="1870" width="14" style="169" customWidth="1"/>
    <col min="1871" max="1873" width="15.125" style="169" customWidth="1"/>
    <col min="1874" max="1879" width="14" style="169" customWidth="1"/>
    <col min="1880" max="1882" width="15.125" style="169" customWidth="1"/>
    <col min="1883" max="1888" width="14" style="169" customWidth="1"/>
    <col min="1889" max="1891" width="15.125" style="169" customWidth="1"/>
    <col min="1892" max="1897" width="14" style="169" customWidth="1"/>
    <col min="1898" max="1900" width="15.125" style="169" customWidth="1"/>
    <col min="1901" max="1906" width="14" style="169" customWidth="1"/>
    <col min="1907" max="1909" width="15.125" style="169" customWidth="1"/>
    <col min="1910" max="1915" width="14" style="169" customWidth="1"/>
    <col min="1916" max="1918" width="15.125" style="169" customWidth="1"/>
    <col min="1919" max="1924" width="14" style="169" customWidth="1"/>
    <col min="1925" max="1927" width="15.125" style="169" customWidth="1"/>
    <col min="1928" max="1933" width="14" style="169" customWidth="1"/>
    <col min="1934" max="1936" width="15.125" style="169" customWidth="1"/>
    <col min="1937" max="1942" width="14" style="169" customWidth="1"/>
    <col min="1943" max="1945" width="15.125" style="169" customWidth="1"/>
    <col min="1946" max="1951" width="14" style="169" customWidth="1"/>
    <col min="1952" max="1954" width="15.125" style="169" customWidth="1"/>
    <col min="1955" max="1960" width="14" style="169" customWidth="1"/>
    <col min="1961" max="1963" width="15.125" style="169" customWidth="1"/>
    <col min="1964" max="1969" width="14" style="169" customWidth="1"/>
    <col min="1970" max="1972" width="15.125" style="169" customWidth="1"/>
    <col min="1973" max="1978" width="14" style="169" customWidth="1"/>
    <col min="1979" max="1981" width="15.125" style="169" customWidth="1"/>
    <col min="1982" max="1987" width="14" style="169" customWidth="1"/>
    <col min="1988" max="1990" width="15.125" style="169" customWidth="1"/>
    <col min="1991" max="1996" width="14" style="169" customWidth="1"/>
    <col min="1997" max="1999" width="15.125" style="169" customWidth="1"/>
    <col min="2000" max="2005" width="14" style="169" customWidth="1"/>
    <col min="2006" max="2008" width="15.125" style="169" customWidth="1"/>
    <col min="2009" max="2014" width="14" style="169" customWidth="1"/>
    <col min="2015" max="2017" width="15.125" style="169" customWidth="1"/>
    <col min="2018" max="2023" width="14" style="169" customWidth="1"/>
    <col min="2024" max="2026" width="15.125" style="169" customWidth="1"/>
    <col min="2027" max="2032" width="14" style="169" customWidth="1"/>
    <col min="2033" max="2035" width="15.125" style="169" customWidth="1"/>
    <col min="2036" max="2041" width="24.5" style="169" customWidth="1"/>
    <col min="2042" max="2044" width="25.625" style="169" customWidth="1"/>
    <col min="2045" max="2050" width="24.5" style="169" customWidth="1"/>
    <col min="2051" max="2053" width="25.625" style="169" customWidth="1"/>
    <col min="2054" max="2059" width="18.625" style="169" customWidth="1"/>
    <col min="2060" max="2062" width="19.75" style="169" customWidth="1"/>
    <col min="2063" max="2065" width="25.625" style="169" customWidth="1"/>
    <col min="2066" max="2070" width="23.375" style="169" customWidth="1"/>
    <col min="2071" max="2073" width="24.5" style="169" customWidth="1"/>
    <col min="2074" max="2078" width="14" style="169" customWidth="1"/>
    <col min="2079" max="2081" width="15.125" style="169" customWidth="1"/>
    <col min="2082" max="2086" width="23.375" style="169" customWidth="1"/>
    <col min="2087" max="2089" width="24.5" style="169" customWidth="1"/>
    <col min="2090" max="2094" width="14" style="169" customWidth="1"/>
    <col min="2095" max="2097" width="15.125" style="169" customWidth="1"/>
    <col min="2098" max="2102" width="23.375" style="169" customWidth="1"/>
    <col min="2103" max="2105" width="24.5" style="169" customWidth="1"/>
    <col min="2106" max="2110" width="14" style="169" customWidth="1"/>
    <col min="2111" max="2113" width="15.125" style="169" customWidth="1"/>
    <col min="2114" max="2118" width="24.5" style="169" customWidth="1"/>
    <col min="2119" max="2121" width="25.625" style="169" customWidth="1"/>
    <col min="2122" max="2126" width="23.375" style="169" customWidth="1"/>
    <col min="2127" max="2129" width="24.5" style="169" customWidth="1"/>
    <col min="2130" max="2134" width="14" style="169" customWidth="1"/>
    <col min="2135" max="2137" width="15.125" style="169" customWidth="1"/>
    <col min="2138" max="2142" width="24.5" style="169" customWidth="1"/>
    <col min="2143" max="2145" width="25.625" style="169" customWidth="1"/>
    <col min="2146" max="2150" width="23.375" style="169" customWidth="1"/>
    <col min="2151" max="2153" width="24.5" style="169" customWidth="1"/>
    <col min="2154" max="2158" width="14" style="169" customWidth="1"/>
    <col min="2159" max="2161" width="15.125" style="169" customWidth="1"/>
    <col min="2162" max="2166" width="24.5" style="169" customWidth="1"/>
    <col min="2167" max="2169" width="25.625" style="169" customWidth="1"/>
    <col min="2170" max="2174" width="23.375" style="169" customWidth="1"/>
    <col min="2175" max="2177" width="24.5" style="169" customWidth="1"/>
    <col min="2178" max="2182" width="14" style="169" customWidth="1"/>
    <col min="2183" max="2185" width="15.125" style="169" customWidth="1"/>
    <col min="2186" max="2190" width="24.5" style="169" customWidth="1"/>
    <col min="2191" max="2193" width="25.625" style="169" customWidth="1"/>
    <col min="2194" max="2198" width="23.375" style="169" customWidth="1"/>
    <col min="2199" max="2201" width="24.5" style="169" customWidth="1"/>
    <col min="2202" max="2206" width="14" style="169" customWidth="1"/>
    <col min="2207" max="2209" width="15.125" style="169" customWidth="1"/>
    <col min="2210" max="2214" width="24.5" style="169" customWidth="1"/>
    <col min="2215" max="2217" width="25.625" style="169" customWidth="1"/>
    <col min="2218" max="2222" width="23.375" style="169" customWidth="1"/>
    <col min="2223" max="2225" width="24.5" style="169" customWidth="1"/>
    <col min="2226" max="2230" width="14" style="169" customWidth="1"/>
    <col min="2231" max="2233" width="15.125" style="169" customWidth="1"/>
    <col min="2234" max="2238" width="24.5" style="169" customWidth="1"/>
    <col min="2239" max="2241" width="25.625" style="169" customWidth="1"/>
    <col min="2242" max="2246" width="24.5" style="169" customWidth="1"/>
    <col min="2247" max="2249" width="25.625" style="169" customWidth="1"/>
    <col min="2250" max="2254" width="14" style="169" customWidth="1"/>
    <col min="2255" max="2257" width="15.125" style="169" customWidth="1"/>
    <col min="2258" max="2262" width="24.5" style="169" customWidth="1"/>
    <col min="2263" max="2265" width="25.625" style="169" customWidth="1"/>
    <col min="2266" max="2270" width="24.5" style="169" customWidth="1"/>
    <col min="2271" max="2273" width="25.625" style="169" customWidth="1"/>
    <col min="2274" max="2278" width="14" style="169" customWidth="1"/>
    <col min="2279" max="2281" width="15.125" style="169" customWidth="1"/>
    <col min="2282" max="2286" width="24.5" style="169" customWidth="1"/>
    <col min="2287" max="2289" width="25.625" style="169" customWidth="1"/>
    <col min="2290" max="2294" width="24.5" style="169" customWidth="1"/>
    <col min="2295" max="2297" width="25.625" style="169" customWidth="1"/>
    <col min="2298" max="2302" width="14" style="169" customWidth="1"/>
    <col min="2303" max="2305" width="15.125" style="169" customWidth="1"/>
    <col min="2306" max="2310" width="24.5" style="169" customWidth="1"/>
    <col min="2311" max="2313" width="25.625" style="169" customWidth="1"/>
    <col min="2314" max="2318" width="24.5" style="169" customWidth="1"/>
    <col min="2319" max="2321" width="25.625" style="169" customWidth="1"/>
    <col min="2322" max="2326" width="14" style="169" customWidth="1"/>
    <col min="2327" max="2329" width="15.125" style="169" customWidth="1"/>
    <col min="2330" max="2334" width="24.5" style="169" customWidth="1"/>
    <col min="2335" max="2337" width="25.625" style="169" customWidth="1"/>
    <col min="2338" max="2342" width="24.5" style="169" customWidth="1"/>
    <col min="2343" max="2345" width="25.625" style="169" customWidth="1"/>
    <col min="2346" max="2350" width="14" style="169" customWidth="1"/>
    <col min="2351" max="2353" width="15.125" style="169" customWidth="1"/>
    <col min="2354" max="2358" width="24.5" style="169" customWidth="1"/>
    <col min="2359" max="2361" width="25.625" style="169" customWidth="1"/>
    <col min="2362" max="2366" width="24.5" style="169" customWidth="1"/>
    <col min="2367" max="2369" width="25.625" style="169" customWidth="1"/>
    <col min="2370" max="2374" width="14" style="169" customWidth="1"/>
    <col min="2375" max="2377" width="15.125" style="169" customWidth="1"/>
    <col min="2378" max="2382" width="21.25" style="169" customWidth="1"/>
    <col min="2383" max="2385" width="22.25" style="169" customWidth="1"/>
    <col min="2386" max="2390" width="14" style="169" customWidth="1"/>
    <col min="2391" max="2393" width="15.125" style="169" customWidth="1"/>
    <col min="2394" max="2398" width="14" style="169" customWidth="1"/>
    <col min="2399" max="2401" width="15.125" style="169" customWidth="1"/>
    <col min="2402" max="2406" width="22.25" style="169" customWidth="1"/>
    <col min="2407" max="2409" width="23.375" style="169" customWidth="1"/>
    <col min="2410" max="2414" width="14" style="169" customWidth="1"/>
    <col min="2415" max="2417" width="15.125" style="169" customWidth="1"/>
    <col min="2418" max="2422" width="14" style="169" customWidth="1"/>
    <col min="2423" max="2425" width="15.125" style="169" customWidth="1"/>
    <col min="2426" max="2430" width="22.25" style="169" customWidth="1"/>
    <col min="2431" max="2433" width="23.375" style="169" customWidth="1"/>
    <col min="2434" max="2438" width="14" style="169" customWidth="1"/>
    <col min="2439" max="2441" width="15.125" style="169" customWidth="1"/>
    <col min="2442" max="2446" width="14" style="169" customWidth="1"/>
    <col min="2447" max="2449" width="15.125" style="169" customWidth="1"/>
    <col min="2450" max="2454" width="22.25" style="169" customWidth="1"/>
    <col min="2455" max="2457" width="23.375" style="169" customWidth="1"/>
    <col min="2458" max="2462" width="14" style="169" customWidth="1"/>
    <col min="2463" max="2465" width="15.125" style="169" customWidth="1"/>
    <col min="2466" max="2470" width="22.25" style="169" customWidth="1"/>
    <col min="2471" max="2473" width="23.375" style="169" customWidth="1"/>
    <col min="2474" max="2478" width="14" style="169" customWidth="1"/>
    <col min="2479" max="2481" width="15.125" style="169" customWidth="1"/>
    <col min="2482" max="2486" width="14" style="169" customWidth="1"/>
    <col min="2487" max="2489" width="15.125" style="169" customWidth="1"/>
    <col min="2490" max="2494" width="22.25" style="169" customWidth="1"/>
    <col min="2495" max="2497" width="23.375" style="169" customWidth="1"/>
    <col min="2498" max="2502" width="14" style="169" customWidth="1"/>
    <col min="2503" max="2505" width="15.125" style="169" customWidth="1"/>
    <col min="2506" max="2510" width="22.25" style="169" customWidth="1"/>
    <col min="2511" max="2513" width="23.375" style="169" customWidth="1"/>
    <col min="2514" max="2518" width="14" style="169" customWidth="1"/>
    <col min="2519" max="2521" width="15.125" style="169" customWidth="1"/>
    <col min="2522" max="2526" width="14" style="169" customWidth="1"/>
    <col min="2527" max="2529" width="15.125" style="169" customWidth="1"/>
    <col min="2530" max="2534" width="23.375" style="169" customWidth="1"/>
    <col min="2535" max="2537" width="24.5" style="169" customWidth="1"/>
    <col min="2538" max="2542" width="14" style="169" customWidth="1"/>
    <col min="2543" max="2545" width="15.125" style="169" customWidth="1"/>
    <col min="2546" max="2550" width="23.375" style="169" customWidth="1"/>
    <col min="2551" max="2553" width="24.5" style="169" customWidth="1"/>
    <col min="2554" max="2558" width="14" style="169" customWidth="1"/>
    <col min="2559" max="2561" width="15.125" style="169" customWidth="1"/>
    <col min="2562" max="2566" width="14" style="169" customWidth="1"/>
    <col min="2567" max="2569" width="15.125" style="169" customWidth="1"/>
    <col min="2570" max="2574" width="23.375" style="169" customWidth="1"/>
    <col min="2575" max="2577" width="24.5" style="169" customWidth="1"/>
    <col min="2578" max="2582" width="14" style="169" customWidth="1"/>
    <col min="2583" max="2585" width="15.125" style="169" customWidth="1"/>
    <col min="2586" max="2590" width="14" style="169" customWidth="1"/>
    <col min="2591" max="2593" width="15.125" style="169" customWidth="1"/>
    <col min="2594" max="2598" width="23.375" style="169" customWidth="1"/>
    <col min="2599" max="2601" width="24.5" style="169" customWidth="1"/>
    <col min="2602" max="2606" width="14" style="169" customWidth="1"/>
    <col min="2607" max="2609" width="15.125" style="169" customWidth="1"/>
    <col min="2610" max="2614" width="23.375" style="169" customWidth="1"/>
    <col min="2615" max="2617" width="24.5" style="169" customWidth="1"/>
    <col min="2618" max="2622" width="14" style="169" customWidth="1"/>
    <col min="2623" max="2625" width="15.125" style="169" customWidth="1"/>
    <col min="2626" max="2630" width="23.375" style="169" customWidth="1"/>
    <col min="2631" max="2633" width="24.5" style="169" customWidth="1"/>
    <col min="2634" max="2638" width="14" style="169" customWidth="1"/>
    <col min="2639" max="2641" width="15.125" style="169" customWidth="1"/>
    <col min="2642" max="2646" width="23.375" style="169" customWidth="1"/>
    <col min="2647" max="2649" width="24.5" style="169" customWidth="1"/>
    <col min="2650" max="2654" width="14" style="169" customWidth="1"/>
    <col min="2655" max="2657" width="15.125" style="169" customWidth="1"/>
    <col min="2658" max="2662" width="14" style="169" customWidth="1"/>
    <col min="2663" max="2665" width="15.125" style="169" customWidth="1"/>
    <col min="2666" max="2670" width="23.375" style="169" customWidth="1"/>
    <col min="2671" max="2673" width="24.5" style="169" customWidth="1"/>
    <col min="2674" max="2678" width="14" style="169" customWidth="1"/>
    <col min="2679" max="2681" width="15.125" style="169" customWidth="1"/>
    <col min="2682" max="2686" width="23.375" style="169" customWidth="1"/>
    <col min="2687" max="2689" width="24.5" style="169" customWidth="1"/>
    <col min="2690" max="2694" width="14" style="169" customWidth="1"/>
    <col min="2695" max="2697" width="15.125" style="169" customWidth="1"/>
    <col min="2698" max="2702" width="23.375" style="169" customWidth="1"/>
    <col min="2703" max="2705" width="24.5" style="169" customWidth="1"/>
    <col min="2706" max="2710" width="14" style="169" customWidth="1"/>
    <col min="2711" max="2713" width="15.125" style="169" customWidth="1"/>
    <col min="2714" max="2718" width="23.375" style="169" customWidth="1"/>
    <col min="2719" max="2721" width="24.5" style="169" customWidth="1"/>
    <col min="2722" max="2726" width="14" style="169" customWidth="1"/>
    <col min="2727" max="2729" width="15.125" style="169" customWidth="1"/>
    <col min="2730" max="2734" width="23.375" style="169" customWidth="1"/>
    <col min="2735" max="2737" width="24.5" style="169" customWidth="1"/>
    <col min="2738" max="2742" width="14" style="169" customWidth="1"/>
    <col min="2743" max="2745" width="15.125" style="169" customWidth="1"/>
    <col min="2746" max="2750" width="23.375" style="169" customWidth="1"/>
    <col min="2751" max="2753" width="24.5" style="169" customWidth="1"/>
    <col min="2754" max="2758" width="14" style="169" customWidth="1"/>
    <col min="2759" max="2761" width="15.125" style="169" customWidth="1"/>
    <col min="2762" max="2766" width="23.375" style="169" customWidth="1"/>
    <col min="2767" max="2769" width="24.5" style="169" customWidth="1"/>
    <col min="2770" max="2774" width="14" style="169" customWidth="1"/>
    <col min="2775" max="2777" width="15.125" style="169" customWidth="1"/>
    <col min="2778" max="2782" width="23.375" style="169" customWidth="1"/>
    <col min="2783" max="2785" width="24.5" style="169" customWidth="1"/>
    <col min="2786" max="2790" width="14" style="169" customWidth="1"/>
    <col min="2791" max="2793" width="15.125" style="169" customWidth="1"/>
    <col min="2794" max="2798" width="24.5" style="169" customWidth="1"/>
    <col min="2799" max="2801" width="25.625" style="169" customWidth="1"/>
    <col min="2802" max="2806" width="14" style="169" customWidth="1"/>
    <col min="2807" max="2809" width="15.125" style="169" customWidth="1"/>
    <col min="2810" max="2814" width="24.5" style="169" customWidth="1"/>
    <col min="2815" max="2817" width="25.625" style="169" customWidth="1"/>
    <col min="2818" max="2822" width="14" style="169" customWidth="1"/>
    <col min="2823" max="2825" width="15.125" style="169" customWidth="1"/>
    <col min="2826" max="2830" width="24.5" style="169" customWidth="1"/>
    <col min="2831" max="2833" width="25.625" style="169" customWidth="1"/>
    <col min="2834" max="2838" width="14" style="169" customWidth="1"/>
    <col min="2839" max="2841" width="15.125" style="169" customWidth="1"/>
    <col min="2842" max="2846" width="24.5" style="169" customWidth="1"/>
    <col min="2847" max="2849" width="25.625" style="169" customWidth="1"/>
    <col min="2850" max="2854" width="14" style="169" customWidth="1"/>
    <col min="2855" max="2857" width="15.125" style="169" customWidth="1"/>
    <col min="2858" max="2862" width="24.5" style="169" customWidth="1"/>
    <col min="2863" max="2865" width="25.625" style="169" customWidth="1"/>
    <col min="2866" max="2870" width="14" style="169" customWidth="1"/>
    <col min="2871" max="2873" width="15.125" style="169" customWidth="1"/>
    <col min="2874" max="2878" width="14" style="169" customWidth="1"/>
    <col min="2879" max="2881" width="15.125" style="169" customWidth="1"/>
    <col min="2882" max="2886" width="14" style="169" customWidth="1"/>
    <col min="2887" max="2889" width="15.125" style="169" customWidth="1"/>
    <col min="2890" max="2894" width="14" style="169" customWidth="1"/>
    <col min="2895" max="2897" width="15.125" style="169" customWidth="1"/>
    <col min="2898" max="2902" width="14" style="169" customWidth="1"/>
    <col min="2903" max="2905" width="15.125" style="169" customWidth="1"/>
    <col min="2906" max="2910" width="14" style="169" customWidth="1"/>
    <col min="2911" max="2913" width="15.125" style="169" customWidth="1"/>
    <col min="2914" max="2918" width="14" style="169" customWidth="1"/>
    <col min="2919" max="2921" width="15.125" style="169" customWidth="1"/>
    <col min="2922" max="2926" width="14" style="169" customWidth="1"/>
    <col min="2927" max="2929" width="15.125" style="169" customWidth="1"/>
    <col min="2930" max="2934" width="14" style="169" customWidth="1"/>
    <col min="2935" max="2937" width="15.125" style="169" customWidth="1"/>
    <col min="2938" max="2942" width="14" style="169" customWidth="1"/>
    <col min="2943" max="2945" width="15.125" style="169" customWidth="1"/>
    <col min="2946" max="2950" width="14" style="169" customWidth="1"/>
    <col min="2951" max="2953" width="15.125" style="169" customWidth="1"/>
    <col min="2954" max="2958" width="14" style="169" customWidth="1"/>
    <col min="2959" max="2961" width="15.125" style="169" customWidth="1"/>
    <col min="2962" max="2966" width="14" style="169" customWidth="1"/>
    <col min="2967" max="2969" width="15.125" style="169" customWidth="1"/>
    <col min="2970" max="2974" width="14" style="169" customWidth="1"/>
    <col min="2975" max="2977" width="15.125" style="169" customWidth="1"/>
    <col min="2978" max="2982" width="14" style="169" customWidth="1"/>
    <col min="2983" max="2985" width="15.125" style="169" customWidth="1"/>
    <col min="2986" max="2990" width="14" style="169" customWidth="1"/>
    <col min="2991" max="2993" width="15.125" style="169" customWidth="1"/>
    <col min="2994" max="2998" width="14" style="169" customWidth="1"/>
    <col min="2999" max="3001" width="15.125" style="169" customWidth="1"/>
    <col min="3002" max="3006" width="14" style="169" customWidth="1"/>
    <col min="3007" max="3009" width="15.125" style="169" customWidth="1"/>
    <col min="3010" max="3014" width="14" style="169" customWidth="1"/>
    <col min="3015" max="3017" width="15.125" style="169" customWidth="1"/>
    <col min="3018" max="3022" width="14" style="169" customWidth="1"/>
    <col min="3023" max="3025" width="15.125" style="169" customWidth="1"/>
    <col min="3026" max="3030" width="14" style="169" customWidth="1"/>
    <col min="3031" max="3033" width="15.125" style="169" customWidth="1"/>
    <col min="3034" max="3038" width="14" style="169" customWidth="1"/>
    <col min="3039" max="3041" width="15.125" style="169" customWidth="1"/>
    <col min="3042" max="3046" width="14" style="169" customWidth="1"/>
    <col min="3047" max="3049" width="15.125" style="169" customWidth="1"/>
    <col min="3050" max="3054" width="14" style="169" customWidth="1"/>
    <col min="3055" max="3057" width="15.125" style="169" customWidth="1"/>
    <col min="3058" max="3062" width="14" style="169" customWidth="1"/>
    <col min="3063" max="3065" width="15.125" style="169" customWidth="1"/>
    <col min="3066" max="3070" width="14" style="169" customWidth="1"/>
    <col min="3071" max="3073" width="15.125" style="169" customWidth="1"/>
    <col min="3074" max="3078" width="14" style="169" customWidth="1"/>
    <col min="3079" max="3081" width="15.125" style="169" customWidth="1"/>
    <col min="3082" max="3086" width="24.5" style="169" customWidth="1"/>
    <col min="3087" max="3089" width="25.625" style="169" customWidth="1"/>
    <col min="3090" max="3094" width="24.5" style="169" customWidth="1"/>
    <col min="3095" max="3097" width="25.625" style="169" customWidth="1"/>
    <col min="3098" max="3102" width="24.5" style="169" customWidth="1"/>
    <col min="3103" max="3105" width="25.625" style="169" customWidth="1"/>
    <col min="3106" max="3110" width="18.625" style="169" customWidth="1"/>
    <col min="3111" max="3113" width="19.75" style="169" customWidth="1"/>
    <col min="3114" max="3116" width="24.5" style="169" customWidth="1"/>
    <col min="3117" max="3120" width="14" style="169" customWidth="1"/>
    <col min="3121" max="3123" width="15.125" style="169" customWidth="1"/>
    <col min="3124" max="3127" width="24.5" style="169" customWidth="1"/>
    <col min="3128" max="3130" width="25.625" style="169" customWidth="1"/>
    <col min="3131" max="3134" width="23.375" style="169" customWidth="1"/>
    <col min="3135" max="3137" width="24.5" style="169" customWidth="1"/>
    <col min="3138" max="3141" width="14" style="169" customWidth="1"/>
    <col min="3142" max="3144" width="15.125" style="169" customWidth="1"/>
    <col min="3145" max="3148" width="24.5" style="169" customWidth="1"/>
    <col min="3149" max="3151" width="25.625" style="169" customWidth="1"/>
    <col min="3152" max="3155" width="23.375" style="169" customWidth="1"/>
    <col min="3156" max="3158" width="24.5" style="169" customWidth="1"/>
    <col min="3159" max="3162" width="14" style="169" customWidth="1"/>
    <col min="3163" max="3165" width="15.125" style="169" customWidth="1"/>
    <col min="3166" max="3169" width="24.5" style="169" customWidth="1"/>
    <col min="3170" max="3172" width="25.625" style="169" customWidth="1"/>
    <col min="3173" max="3176" width="23.375" style="169" customWidth="1"/>
    <col min="3177" max="3179" width="24.5" style="169" customWidth="1"/>
    <col min="3180" max="3183" width="14" style="169" customWidth="1"/>
    <col min="3184" max="3186" width="15.125" style="169" customWidth="1"/>
    <col min="3187" max="3190" width="23.375" style="169" customWidth="1"/>
    <col min="3191" max="3193" width="24.5" style="169" customWidth="1"/>
    <col min="3194" max="3197" width="14" style="169" customWidth="1"/>
    <col min="3198" max="3200" width="15.125" style="169" customWidth="1"/>
    <col min="3201" max="3204" width="24.5" style="169" customWidth="1"/>
    <col min="3205" max="3207" width="25.625" style="169" customWidth="1"/>
    <col min="3208" max="3211" width="23.375" style="169" customWidth="1"/>
    <col min="3212" max="3214" width="24.5" style="169" customWidth="1"/>
    <col min="3215" max="3218" width="14" style="169" customWidth="1"/>
    <col min="3219" max="3221" width="15.125" style="169" customWidth="1"/>
    <col min="3222" max="3225" width="24.5" style="169" customWidth="1"/>
    <col min="3226" max="3228" width="25.625" style="169" customWidth="1"/>
    <col min="3229" max="3232" width="23.375" style="169" customWidth="1"/>
    <col min="3233" max="3235" width="24.5" style="169" customWidth="1"/>
    <col min="3236" max="3239" width="14" style="169" customWidth="1"/>
    <col min="3240" max="3242" width="15.125" style="169" customWidth="1"/>
    <col min="3243" max="3246" width="24.5" style="169" customWidth="1"/>
    <col min="3247" max="3249" width="25.625" style="169" customWidth="1"/>
    <col min="3250" max="3253" width="23.375" style="169" customWidth="1"/>
    <col min="3254" max="3256" width="24.5" style="169" customWidth="1"/>
    <col min="3257" max="3260" width="14" style="169" customWidth="1"/>
    <col min="3261" max="3263" width="15.125" style="169" customWidth="1"/>
    <col min="3264" max="3267" width="24.5" style="169" customWidth="1"/>
    <col min="3268" max="3270" width="25.625" style="169" customWidth="1"/>
    <col min="3271" max="3274" width="23.375" style="169" customWidth="1"/>
    <col min="3275" max="3277" width="24.5" style="169" customWidth="1"/>
    <col min="3278" max="3281" width="14" style="169" customWidth="1"/>
    <col min="3282" max="3284" width="15.125" style="169" customWidth="1"/>
    <col min="3285" max="3288" width="24.5" style="169" customWidth="1"/>
    <col min="3289" max="3291" width="25.625" style="169" customWidth="1"/>
    <col min="3292" max="3295" width="23.375" style="169" customWidth="1"/>
    <col min="3296" max="3298" width="24.5" style="169" customWidth="1"/>
    <col min="3299" max="3302" width="14" style="169" customWidth="1"/>
    <col min="3303" max="3305" width="15.125" style="169" customWidth="1"/>
    <col min="3306" max="3309" width="24.5" style="169" customWidth="1"/>
    <col min="3310" max="3312" width="25.625" style="169" customWidth="1"/>
    <col min="3313" max="3316" width="23.375" style="169" customWidth="1"/>
    <col min="3317" max="3319" width="24.5" style="169" customWidth="1"/>
    <col min="3320" max="3323" width="14" style="169" customWidth="1"/>
    <col min="3324" max="3326" width="15.125" style="169" customWidth="1"/>
    <col min="3327" max="3330" width="24.5" style="169" customWidth="1"/>
    <col min="3331" max="3333" width="25.625" style="169" customWidth="1"/>
    <col min="3334" max="3337" width="23.375" style="169" customWidth="1"/>
    <col min="3338" max="3340" width="24.5" style="169" customWidth="1"/>
    <col min="3341" max="3344" width="14" style="169" customWidth="1"/>
    <col min="3345" max="3347" width="15.125" style="169" customWidth="1"/>
    <col min="3348" max="3351" width="24.5" style="169" customWidth="1"/>
    <col min="3352" max="3354" width="25.625" style="169" customWidth="1"/>
    <col min="3355" max="3358" width="23.375" style="169" customWidth="1"/>
    <col min="3359" max="3361" width="24.5" style="169" customWidth="1"/>
    <col min="3362" max="3365" width="14" style="169" customWidth="1"/>
    <col min="3366" max="3368" width="15.125" style="169" customWidth="1"/>
    <col min="3369" max="3372" width="24.5" style="169" customWidth="1"/>
    <col min="3373" max="3375" width="25.625" style="169" customWidth="1"/>
    <col min="3376" max="3379" width="24.5" style="169" customWidth="1"/>
    <col min="3380" max="3382" width="25.625" style="169" customWidth="1"/>
    <col min="3383" max="3386" width="14" style="169" customWidth="1"/>
    <col min="3387" max="3389" width="15.125" style="169" customWidth="1"/>
    <col min="3390" max="3393" width="24.5" style="169" customWidth="1"/>
    <col min="3394" max="3396" width="25.625" style="169" customWidth="1"/>
    <col min="3397" max="3400" width="24.5" style="169" customWidth="1"/>
    <col min="3401" max="3403" width="25.625" style="169" customWidth="1"/>
    <col min="3404" max="3407" width="14" style="169" customWidth="1"/>
    <col min="3408" max="3410" width="15.125" style="169" customWidth="1"/>
    <col min="3411" max="3414" width="24.5" style="169" customWidth="1"/>
    <col min="3415" max="3417" width="25.625" style="169" customWidth="1"/>
    <col min="3418" max="3421" width="24.5" style="169" customWidth="1"/>
    <col min="3422" max="3424" width="25.625" style="169" customWidth="1"/>
    <col min="3425" max="3428" width="14" style="169" customWidth="1"/>
    <col min="3429" max="3431" width="15.125" style="169" customWidth="1"/>
    <col min="3432" max="3435" width="24.5" style="169" customWidth="1"/>
    <col min="3436" max="3438" width="25.625" style="169" customWidth="1"/>
    <col min="3439" max="3442" width="24.5" style="169" customWidth="1"/>
    <col min="3443" max="3445" width="25.625" style="169" customWidth="1"/>
    <col min="3446" max="3449" width="14" style="169" customWidth="1"/>
    <col min="3450" max="3452" width="15.125" style="169" customWidth="1"/>
    <col min="3453" max="3456" width="24.5" style="169" customWidth="1"/>
    <col min="3457" max="3459" width="25.625" style="169" customWidth="1"/>
    <col min="3460" max="3463" width="24.5" style="169" customWidth="1"/>
    <col min="3464" max="3466" width="25.625" style="169" customWidth="1"/>
    <col min="3467" max="3470" width="14" style="169" customWidth="1"/>
    <col min="3471" max="3473" width="15.125" style="169" customWidth="1"/>
    <col min="3474" max="3477" width="21.25" style="169" customWidth="1"/>
    <col min="3478" max="3480" width="22.25" style="169" customWidth="1"/>
    <col min="3481" max="3484" width="14" style="169" customWidth="1"/>
    <col min="3485" max="3487" width="15.125" style="169" customWidth="1"/>
    <col min="3488" max="3491" width="22.25" style="169" customWidth="1"/>
    <col min="3492" max="3494" width="23.375" style="169" customWidth="1"/>
    <col min="3495" max="3498" width="14" style="169" customWidth="1"/>
    <col min="3499" max="3501" width="15.125" style="169" customWidth="1"/>
    <col min="3502" max="3505" width="14" style="169" customWidth="1"/>
    <col min="3506" max="3508" width="15.125" style="169" customWidth="1"/>
    <col min="3509" max="3512" width="22.25" style="169" customWidth="1"/>
    <col min="3513" max="3515" width="23.375" style="169" customWidth="1"/>
    <col min="3516" max="3519" width="14" style="169" customWidth="1"/>
    <col min="3520" max="3522" width="15.125" style="169" customWidth="1"/>
    <col min="3523" max="3526" width="22.25" style="169" customWidth="1"/>
    <col min="3527" max="3529" width="23.375" style="169" customWidth="1"/>
    <col min="3530" max="3533" width="14" style="169" customWidth="1"/>
    <col min="3534" max="3536" width="15.125" style="169" customWidth="1"/>
    <col min="3537" max="3540" width="22.25" style="169" customWidth="1"/>
    <col min="3541" max="3543" width="23.375" style="169" customWidth="1"/>
    <col min="3544" max="3547" width="14" style="169" customWidth="1"/>
    <col min="3548" max="3550" width="15.125" style="169" customWidth="1"/>
    <col min="3551" max="3554" width="22.25" style="169" customWidth="1"/>
    <col min="3555" max="3557" width="23.375" style="169" customWidth="1"/>
    <col min="3558" max="3561" width="14" style="169" customWidth="1"/>
    <col min="3562" max="3564" width="15.125" style="169" customWidth="1"/>
    <col min="3565" max="3568" width="14" style="169" customWidth="1"/>
    <col min="3569" max="3571" width="15.125" style="169" customWidth="1"/>
    <col min="3572" max="3575" width="22.25" style="169" customWidth="1"/>
    <col min="3576" max="3578" width="23.375" style="169" customWidth="1"/>
    <col min="3579" max="3582" width="14" style="169" customWidth="1"/>
    <col min="3583" max="3585" width="15.125" style="169" customWidth="1"/>
    <col min="3586" max="3589" width="22.25" style="169" customWidth="1"/>
    <col min="3590" max="3592" width="23.375" style="169" customWidth="1"/>
    <col min="3593" max="3596" width="14" style="169" customWidth="1"/>
    <col min="3597" max="3599" width="15.125" style="169" customWidth="1"/>
    <col min="3600" max="3603" width="22.25" style="169" customWidth="1"/>
    <col min="3604" max="3606" width="23.375" style="169" customWidth="1"/>
    <col min="3607" max="3610" width="14" style="169" customWidth="1"/>
    <col min="3611" max="3613" width="15.125" style="169" customWidth="1"/>
    <col min="3614" max="3617" width="23.375" style="169" customWidth="1"/>
    <col min="3618" max="3620" width="24.5" style="169" customWidth="1"/>
    <col min="3621" max="3624" width="14" style="169" customWidth="1"/>
    <col min="3625" max="3627" width="15.125" style="169" customWidth="1"/>
    <col min="3628" max="3631" width="23.375" style="169" customWidth="1"/>
    <col min="3632" max="3634" width="24.5" style="169" customWidth="1"/>
    <col min="3635" max="3638" width="14" style="169" customWidth="1"/>
    <col min="3639" max="3641" width="15.125" style="169" customWidth="1"/>
    <col min="3642" max="3645" width="14" style="169" customWidth="1"/>
    <col min="3646" max="3648" width="15.125" style="169" customWidth="1"/>
    <col min="3649" max="3652" width="23.375" style="169" customWidth="1"/>
    <col min="3653" max="3655" width="24.5" style="169" customWidth="1"/>
    <col min="3656" max="3659" width="14" style="169" customWidth="1"/>
    <col min="3660" max="3662" width="15.125" style="169" customWidth="1"/>
    <col min="3663" max="3666" width="23.375" style="169" customWidth="1"/>
    <col min="3667" max="3669" width="24.5" style="169" customWidth="1"/>
    <col min="3670" max="3673" width="14" style="169" customWidth="1"/>
    <col min="3674" max="3676" width="15.125" style="169" customWidth="1"/>
    <col min="3677" max="3680" width="23.375" style="169" customWidth="1"/>
    <col min="3681" max="3683" width="24.5" style="169" customWidth="1"/>
    <col min="3684" max="3687" width="14" style="169" customWidth="1"/>
    <col min="3688" max="3690" width="15.125" style="169" customWidth="1"/>
    <col min="3691" max="3694" width="23.375" style="169" customWidth="1"/>
    <col min="3695" max="3697" width="24.5" style="169" customWidth="1"/>
    <col min="3698" max="3701" width="14" style="169" customWidth="1"/>
    <col min="3702" max="3704" width="15.125" style="169" customWidth="1"/>
    <col min="3705" max="3708" width="14" style="169" customWidth="1"/>
    <col min="3709" max="3711" width="15.125" style="169" customWidth="1"/>
    <col min="3712" max="3715" width="14" style="169" customWidth="1"/>
    <col min="3716" max="3718" width="15.125" style="169" customWidth="1"/>
    <col min="3719" max="3722" width="23.375" style="169" customWidth="1"/>
    <col min="3723" max="3725" width="24.5" style="169" customWidth="1"/>
    <col min="3726" max="3729" width="14" style="169" customWidth="1"/>
    <col min="3730" max="3732" width="15.125" style="169" customWidth="1"/>
    <col min="3733" max="3736" width="23.375" style="169" customWidth="1"/>
    <col min="3737" max="3739" width="24.5" style="169" customWidth="1"/>
    <col min="3740" max="3743" width="14" style="169" customWidth="1"/>
    <col min="3744" max="3746" width="15.125" style="169" customWidth="1"/>
    <col min="3747" max="3750" width="23.375" style="169" customWidth="1"/>
    <col min="3751" max="3753" width="24.5" style="169" customWidth="1"/>
    <col min="3754" max="3757" width="14" style="169" customWidth="1"/>
    <col min="3758" max="3760" width="15.125" style="169" customWidth="1"/>
    <col min="3761" max="3764" width="23.375" style="169" customWidth="1"/>
    <col min="3765" max="3767" width="24.5" style="169" customWidth="1"/>
    <col min="3768" max="3771" width="14" style="169" customWidth="1"/>
    <col min="3772" max="3774" width="15.125" style="169" customWidth="1"/>
    <col min="3775" max="3778" width="23.375" style="169" customWidth="1"/>
    <col min="3779" max="3781" width="24.5" style="169" customWidth="1"/>
    <col min="3782" max="3785" width="14" style="169" customWidth="1"/>
    <col min="3786" max="3788" width="15.125" style="169" customWidth="1"/>
    <col min="3789" max="3792" width="23.375" style="169" customWidth="1"/>
    <col min="3793" max="3795" width="24.5" style="169" customWidth="1"/>
    <col min="3796" max="3799" width="14" style="169" customWidth="1"/>
    <col min="3800" max="3802" width="15.125" style="169" customWidth="1"/>
    <col min="3803" max="3806" width="23.375" style="169" customWidth="1"/>
    <col min="3807" max="3809" width="24.5" style="169" customWidth="1"/>
    <col min="3810" max="3813" width="14" style="169" customWidth="1"/>
    <col min="3814" max="3816" width="15.125" style="169" customWidth="1"/>
    <col min="3817" max="3820" width="23.375" style="169" customWidth="1"/>
    <col min="3821" max="3823" width="24.5" style="169" customWidth="1"/>
    <col min="3824" max="3827" width="14" style="169" customWidth="1"/>
    <col min="3828" max="3830" width="15.125" style="169" customWidth="1"/>
    <col min="3831" max="3834" width="24.5" style="169" customWidth="1"/>
    <col min="3835" max="3837" width="25.625" style="169" customWidth="1"/>
    <col min="3838" max="3841" width="14" style="169" customWidth="1"/>
    <col min="3842" max="3844" width="15.125" style="169" customWidth="1"/>
    <col min="3845" max="3848" width="24.5" style="169" customWidth="1"/>
    <col min="3849" max="3851" width="25.625" style="169" customWidth="1"/>
    <col min="3852" max="3855" width="14" style="169" customWidth="1"/>
    <col min="3856" max="3858" width="15.125" style="169" customWidth="1"/>
    <col min="3859" max="3862" width="24.5" style="169" customWidth="1"/>
    <col min="3863" max="3865" width="25.625" style="169" customWidth="1"/>
    <col min="3866" max="3869" width="14" style="169" customWidth="1"/>
    <col min="3870" max="3872" width="15.125" style="169" customWidth="1"/>
    <col min="3873" max="3876" width="14" style="169" customWidth="1"/>
    <col min="3877" max="3879" width="15.125" style="169" customWidth="1"/>
    <col min="3880" max="3883" width="14" style="169" customWidth="1"/>
    <col min="3884" max="3886" width="15.125" style="169" customWidth="1"/>
    <col min="3887" max="3890" width="14" style="169" customWidth="1"/>
    <col min="3891" max="3893" width="15.125" style="169" customWidth="1"/>
    <col min="3894" max="3897" width="14" style="169" customWidth="1"/>
    <col min="3898" max="3900" width="15.125" style="169" customWidth="1"/>
    <col min="3901" max="3904" width="14" style="169" customWidth="1"/>
    <col min="3905" max="3907" width="15.125" style="169" customWidth="1"/>
    <col min="3908" max="3911" width="14" style="169" customWidth="1"/>
    <col min="3912" max="3914" width="15.125" style="169" customWidth="1"/>
    <col min="3915" max="3918" width="14" style="169" customWidth="1"/>
    <col min="3919" max="3921" width="15.125" style="169" customWidth="1"/>
    <col min="3922" max="3925" width="14" style="169" customWidth="1"/>
    <col min="3926" max="3928" width="15.125" style="169" customWidth="1"/>
    <col min="3929" max="3932" width="14" style="169" customWidth="1"/>
    <col min="3933" max="3935" width="15.125" style="169" customWidth="1"/>
    <col min="3936" max="3939" width="14" style="169" customWidth="1"/>
    <col min="3940" max="3942" width="15.125" style="169" customWidth="1"/>
    <col min="3943" max="3946" width="14" style="169" customWidth="1"/>
    <col min="3947" max="3949" width="15.125" style="169" customWidth="1"/>
    <col min="3950" max="3953" width="14" style="169" customWidth="1"/>
    <col min="3954" max="3956" width="15.125" style="169" customWidth="1"/>
    <col min="3957" max="3960" width="14" style="169" customWidth="1"/>
    <col min="3961" max="3963" width="15.125" style="169" customWidth="1"/>
    <col min="3964" max="3967" width="14" style="169" customWidth="1"/>
    <col min="3968" max="3970" width="15.125" style="169" customWidth="1"/>
    <col min="3971" max="3974" width="14" style="169" customWidth="1"/>
    <col min="3975" max="3977" width="15.125" style="169" customWidth="1"/>
    <col min="3978" max="3981" width="14" style="169" customWidth="1"/>
    <col min="3982" max="3984" width="15.125" style="169" customWidth="1"/>
    <col min="3985" max="3988" width="14" style="169" customWidth="1"/>
    <col min="3989" max="3991" width="15.125" style="169" customWidth="1"/>
    <col min="3992" max="3995" width="14" style="169" customWidth="1"/>
    <col min="3996" max="3998" width="15.125" style="169" customWidth="1"/>
    <col min="3999" max="4002" width="14" style="169" customWidth="1"/>
    <col min="4003" max="4005" width="15.125" style="169" customWidth="1"/>
    <col min="4006" max="4009" width="14" style="169" customWidth="1"/>
    <col min="4010" max="4012" width="15.125" style="169" customWidth="1"/>
    <col min="4013" max="4016" width="14" style="169" customWidth="1"/>
    <col min="4017" max="4019" width="15.125" style="169" customWidth="1"/>
    <col min="4020" max="4023" width="14" style="169" customWidth="1"/>
    <col min="4024" max="4026" width="15.125" style="169" customWidth="1"/>
    <col min="4027" max="4030" width="14" style="169" customWidth="1"/>
    <col min="4031" max="4033" width="15.125" style="169" customWidth="1"/>
    <col min="4034" max="4037" width="24.5" style="169" customWidth="1"/>
    <col min="4038" max="4040" width="25.625" style="169" customWidth="1"/>
    <col min="4041" max="4044" width="24.5" style="169" customWidth="1"/>
    <col min="4045" max="4047" width="25.625" style="169" customWidth="1"/>
    <col min="4048" max="4051" width="24.5" style="169" customWidth="1"/>
    <col min="4052" max="4054" width="25.625" style="169" customWidth="1"/>
    <col min="4055" max="4058" width="24.5" style="169" customWidth="1"/>
    <col min="4059" max="4061" width="25.625" style="169" customWidth="1"/>
    <col min="4062" max="4065" width="18.625" style="169" customWidth="1"/>
    <col min="4066" max="4068" width="19.75" style="169" customWidth="1"/>
    <col min="4069" max="4069" width="25.625" style="169" bestFit="1" customWidth="1"/>
    <col min="4070" max="4072" width="23.375" style="169" customWidth="1"/>
    <col min="4073" max="4075" width="24.5" style="169" customWidth="1"/>
    <col min="4076" max="4078" width="14" style="169" customWidth="1"/>
    <col min="4079" max="4081" width="15.125" style="169" customWidth="1"/>
    <col min="4082" max="4084" width="24.5" style="169" customWidth="1"/>
    <col min="4085" max="4085" width="25.625" style="169" bestFit="1" customWidth="1"/>
    <col min="4086" max="4087" width="25.625" style="169" customWidth="1"/>
    <col min="4088" max="4090" width="23.375" style="169" customWidth="1"/>
    <col min="4091" max="4093" width="24.5" style="169" customWidth="1"/>
    <col min="4094" max="4096" width="14" style="169" customWidth="1"/>
    <col min="4097" max="4099" width="15.125" style="169" customWidth="1"/>
    <col min="4100" max="4102" width="24.5" style="169" customWidth="1"/>
    <col min="4103" max="4105" width="25.625" style="169" customWidth="1"/>
    <col min="4106" max="4106" width="23.375" style="169" bestFit="1" customWidth="1"/>
    <col min="4107" max="4108" width="23.375" style="169" customWidth="1"/>
    <col min="4109" max="4110" width="24.5" style="169" customWidth="1"/>
    <col min="4111" max="4111" width="24.5" style="169" bestFit="1" customWidth="1"/>
    <col min="4112" max="4114" width="14" style="169" customWidth="1"/>
    <col min="4115" max="4117" width="15.125" style="169" customWidth="1"/>
    <col min="4118" max="4120" width="24.5" style="169" customWidth="1"/>
    <col min="4121" max="4123" width="25.625" style="169" customWidth="1"/>
    <col min="4124" max="4125" width="23.375" style="169" bestFit="1" customWidth="1"/>
    <col min="4126" max="4126" width="23.375" style="169" customWidth="1"/>
    <col min="4127" max="4129" width="24.5" style="169" customWidth="1"/>
    <col min="4130" max="4132" width="14" style="169" customWidth="1"/>
    <col min="4133" max="4135" width="15.125" style="169" customWidth="1"/>
    <col min="4136" max="4138" width="22.25" style="169" customWidth="1"/>
    <col min="4139" max="4141" width="23.375" style="169" customWidth="1"/>
    <col min="4142" max="4144" width="14" style="169" customWidth="1"/>
    <col min="4145" max="4147" width="15.125" style="169" customWidth="1"/>
    <col min="4148" max="4150" width="23.375" style="169" customWidth="1"/>
    <col min="4151" max="4153" width="24.5" style="169" customWidth="1"/>
    <col min="4154" max="4156" width="14" style="169" customWidth="1"/>
    <col min="4157" max="4159" width="15.125" style="169" customWidth="1"/>
    <col min="4160" max="4162" width="24.5" style="169" customWidth="1"/>
    <col min="4163" max="4165" width="25.625" style="169" customWidth="1"/>
    <col min="4166" max="4168" width="23.375" style="169" customWidth="1"/>
    <col min="4169" max="4171" width="24.5" style="169" customWidth="1"/>
    <col min="4172" max="4174" width="14" style="169" customWidth="1"/>
    <col min="4175" max="4177" width="15.125" style="169" customWidth="1"/>
    <col min="4178" max="4180" width="23.375" style="169" customWidth="1"/>
    <col min="4181" max="4183" width="24.5" style="169" customWidth="1"/>
    <col min="4184" max="4186" width="23.375" style="169" customWidth="1"/>
    <col min="4187" max="4189" width="24.5" style="169" customWidth="1"/>
    <col min="4190" max="4192" width="14" style="169" customWidth="1"/>
    <col min="4193" max="4195" width="15.125" style="169" customWidth="1"/>
    <col min="4196" max="4198" width="24.5" style="169" customWidth="1"/>
    <col min="4199" max="4201" width="25.625" style="169" customWidth="1"/>
    <col min="4202" max="4204" width="23.375" style="169" customWidth="1"/>
    <col min="4205" max="4207" width="24.5" style="169" customWidth="1"/>
    <col min="4208" max="4210" width="14" style="169" customWidth="1"/>
    <col min="4211" max="4213" width="15.125" style="169" customWidth="1"/>
    <col min="4214" max="4216" width="23.375" style="169" customWidth="1"/>
    <col min="4217" max="4219" width="24.5" style="169" customWidth="1"/>
    <col min="4220" max="4222" width="23.375" style="169" customWidth="1"/>
    <col min="4223" max="4225" width="24.5" style="169" customWidth="1"/>
    <col min="4226" max="4228" width="14" style="169" customWidth="1"/>
    <col min="4229" max="4231" width="15.125" style="169" customWidth="1"/>
    <col min="4232" max="4233" width="24.5" style="169" customWidth="1"/>
    <col min="4234" max="4234" width="24.5" style="169" bestFit="1" customWidth="1"/>
    <col min="4235" max="4237" width="25.625" style="169" customWidth="1"/>
    <col min="4238" max="4240" width="23.375" style="169" customWidth="1"/>
    <col min="4241" max="4243" width="24.5" style="169" customWidth="1"/>
    <col min="4244" max="4246" width="14" style="169" customWidth="1"/>
    <col min="4247" max="4249" width="15.125" style="169" customWidth="1"/>
    <col min="4250" max="4252" width="24.5" style="169" customWidth="1"/>
    <col min="4253" max="4255" width="25.625" style="169" customWidth="1"/>
    <col min="4256" max="4258" width="23.375" style="169" customWidth="1"/>
    <col min="4259" max="4261" width="24.5" style="169" customWidth="1"/>
    <col min="4262" max="4264" width="14" style="169" customWidth="1"/>
    <col min="4265" max="4267" width="15.125" style="169" customWidth="1"/>
    <col min="4268" max="4270" width="24.5" style="169" customWidth="1"/>
    <col min="4271" max="4271" width="25.625" style="169" bestFit="1" customWidth="1"/>
    <col min="4272" max="4273" width="25.625" style="169" customWidth="1"/>
    <col min="4274" max="4276" width="23.375" style="169" customWidth="1"/>
    <col min="4277" max="4279" width="24.5" style="169" customWidth="1"/>
    <col min="4280" max="4282" width="14" style="169" customWidth="1"/>
    <col min="4283" max="4285" width="15.125" style="169" customWidth="1"/>
    <col min="4286" max="4288" width="24.5" style="169" customWidth="1"/>
    <col min="4289" max="4291" width="25.625" style="169" customWidth="1"/>
    <col min="4292" max="4294" width="23.375" style="169" customWidth="1"/>
    <col min="4295" max="4297" width="24.5" style="169" customWidth="1"/>
    <col min="4298" max="4300" width="14" style="169" customWidth="1"/>
    <col min="4301" max="4303" width="15.125" style="169" customWidth="1"/>
    <col min="4304" max="4306" width="24.5" style="169" customWidth="1"/>
    <col min="4307" max="4308" width="25.625" style="169" customWidth="1"/>
    <col min="4309" max="4309" width="25.625" style="169" bestFit="1" customWidth="1"/>
    <col min="4310" max="4312" width="24.5" style="169" customWidth="1"/>
    <col min="4313" max="4314" width="25.625" style="169" customWidth="1"/>
    <col min="4315" max="4315" width="25.625" style="169" bestFit="1" customWidth="1"/>
    <col min="4316" max="4318" width="14" style="169" customWidth="1"/>
    <col min="4319" max="4321" width="15.125" style="169" customWidth="1"/>
    <col min="4322" max="4324" width="24.5" style="169" customWidth="1"/>
    <col min="4325" max="4327" width="25.625" style="169" customWidth="1"/>
    <col min="4328" max="4330" width="24.5" style="169" customWidth="1"/>
    <col min="4331" max="4333" width="25.625" style="169" customWidth="1"/>
    <col min="4334" max="4336" width="14" style="169" customWidth="1"/>
    <col min="4337" max="4339" width="15.125" style="169" customWidth="1"/>
    <col min="4340" max="4342" width="24.5" style="169" customWidth="1"/>
    <col min="4343" max="4345" width="25.625" style="169" customWidth="1"/>
    <col min="4346" max="4348" width="24.5" style="169" customWidth="1"/>
    <col min="4349" max="4351" width="25.625" style="169" customWidth="1"/>
    <col min="4352" max="4354" width="14" style="169" customWidth="1"/>
    <col min="4355" max="4357" width="15.125" style="169" customWidth="1"/>
    <col min="4358" max="4360" width="22.25" style="169" customWidth="1"/>
    <col min="4361" max="4363" width="23.375" style="169" customWidth="1"/>
    <col min="4364" max="4366" width="14" style="169" customWidth="1"/>
    <col min="4367" max="4369" width="15.125" style="169" customWidth="1"/>
    <col min="4370" max="4372" width="22.25" style="169" customWidth="1"/>
    <col min="4373" max="4375" width="23.375" style="169" customWidth="1"/>
    <col min="4376" max="4378" width="14" style="169" customWidth="1"/>
    <col min="4379" max="4381" width="15.125" style="169" customWidth="1"/>
    <col min="4382" max="4384" width="22.25" style="169" customWidth="1"/>
    <col min="4385" max="4387" width="23.375" style="169" customWidth="1"/>
    <col min="4388" max="4390" width="14" style="169" customWidth="1"/>
    <col min="4391" max="4391" width="15.125" style="169" bestFit="1" customWidth="1"/>
    <col min="4392" max="4393" width="15.125" style="169" customWidth="1"/>
    <col min="4394" max="4396" width="22.25" style="169" customWidth="1"/>
    <col min="4397" max="4399" width="23.375" style="169" customWidth="1"/>
    <col min="4400" max="4402" width="14" style="169" customWidth="1"/>
    <col min="4403" max="4405" width="15.125" style="169" customWidth="1"/>
    <col min="4406" max="4408" width="22.25" style="169" customWidth="1"/>
    <col min="4409" max="4411" width="23.375" style="169" customWidth="1"/>
    <col min="4412" max="4414" width="14" style="169" customWidth="1"/>
    <col min="4415" max="4417" width="15.125" style="169" customWidth="1"/>
    <col min="4418" max="4420" width="22.25" style="169" customWidth="1"/>
    <col min="4421" max="4423" width="23.375" style="169" customWidth="1"/>
    <col min="4424" max="4426" width="14" style="169" customWidth="1"/>
    <col min="4427" max="4429" width="15.125" style="169" customWidth="1"/>
    <col min="4430" max="4432" width="22.25" style="169" customWidth="1"/>
    <col min="4433" max="4435" width="23.375" style="169" customWidth="1"/>
    <col min="4436" max="4438" width="14" style="169" customWidth="1"/>
    <col min="4439" max="4441" width="15.125" style="169" customWidth="1"/>
    <col min="4442" max="4444" width="14" style="169" customWidth="1"/>
    <col min="4445" max="4447" width="15.125" style="169" customWidth="1"/>
    <col min="4448" max="4450" width="22.25" style="169" customWidth="1"/>
    <col min="4451" max="4453" width="23.375" style="169" customWidth="1"/>
    <col min="4454" max="4456" width="14" style="169" customWidth="1"/>
    <col min="4457" max="4459" width="15.125" style="169" customWidth="1"/>
    <col min="4460" max="4462" width="14" style="169" customWidth="1"/>
    <col min="4463" max="4465" width="15.125" style="169" customWidth="1"/>
    <col min="4466" max="4468" width="22.25" style="169" customWidth="1"/>
    <col min="4469" max="4471" width="23.375" style="169" customWidth="1"/>
    <col min="4472" max="4474" width="14" style="169" customWidth="1"/>
    <col min="4475" max="4477" width="15.125" style="169" customWidth="1"/>
    <col min="4478" max="4480" width="14" style="169" customWidth="1"/>
    <col min="4481" max="4483" width="15.125" style="169" customWidth="1"/>
    <col min="4484" max="4486" width="22.25" style="169" customWidth="1"/>
    <col min="4487" max="4489" width="23.375" style="169" customWidth="1"/>
    <col min="4490" max="4492" width="14" style="169" customWidth="1"/>
    <col min="4493" max="4495" width="15.125" style="169" customWidth="1"/>
    <col min="4496" max="4498" width="14" style="169" customWidth="1"/>
    <col min="4499" max="4501" width="15.125" style="169" customWidth="1"/>
    <col min="4502" max="4504" width="22.25" style="169" customWidth="1"/>
    <col min="4505" max="4507" width="23.375" style="169" customWidth="1"/>
    <col min="4508" max="4510" width="14" style="169" customWidth="1"/>
    <col min="4511" max="4513" width="15.125" style="169" customWidth="1"/>
    <col min="4514" max="4516" width="22.25" style="169" customWidth="1"/>
    <col min="4517" max="4519" width="23.375" style="169" customWidth="1"/>
    <col min="4520" max="4522" width="14" style="169" customWidth="1"/>
    <col min="4523" max="4525" width="15.125" style="169" customWidth="1"/>
    <col min="4526" max="4528" width="22.25" style="169" customWidth="1"/>
    <col min="4529" max="4531" width="23.375" style="169" customWidth="1"/>
    <col min="4532" max="4534" width="14" style="169" customWidth="1"/>
    <col min="4535" max="4537" width="15.125" style="169" customWidth="1"/>
    <col min="4538" max="4540" width="23.375" style="169" customWidth="1"/>
    <col min="4541" max="4543" width="24.5" style="169" customWidth="1"/>
    <col min="4544" max="4546" width="14" style="169" customWidth="1"/>
    <col min="4547" max="4549" width="15.125" style="169" customWidth="1"/>
    <col min="4550" max="4552" width="14" style="169" customWidth="1"/>
    <col min="4553" max="4555" width="15.125" style="169" customWidth="1"/>
    <col min="4556" max="4558" width="23.375" style="169" customWidth="1"/>
    <col min="4559" max="4561" width="24.5" style="169" customWidth="1"/>
    <col min="4562" max="4564" width="14" style="169" customWidth="1"/>
    <col min="4565" max="4565" width="15.125" style="169" bestFit="1" customWidth="1"/>
    <col min="4566" max="4567" width="15.125" style="169" customWidth="1"/>
    <col min="4568" max="4570" width="14" style="169" customWidth="1"/>
    <col min="4571" max="4573" width="15.125" style="169" customWidth="1"/>
    <col min="4574" max="4576" width="23.375" style="169" customWidth="1"/>
    <col min="4577" max="4579" width="24.5" style="169" customWidth="1"/>
    <col min="4580" max="4582" width="14" style="169" customWidth="1"/>
    <col min="4583" max="4585" width="15.125" style="169" customWidth="1"/>
    <col min="4586" max="4588" width="23.375" style="169" customWidth="1"/>
    <col min="4589" max="4591" width="24.5" style="169" customWidth="1"/>
    <col min="4592" max="4594" width="14" style="169" customWidth="1"/>
    <col min="4595" max="4597" width="15.125" style="169" customWidth="1"/>
    <col min="4598" max="4600" width="23.375" style="169" customWidth="1"/>
    <col min="4601" max="4603" width="24.5" style="169" customWidth="1"/>
    <col min="4604" max="4606" width="14" style="169" customWidth="1"/>
    <col min="4607" max="4609" width="15.125" style="169" customWidth="1"/>
    <col min="4610" max="4612" width="23.375" style="169" customWidth="1"/>
    <col min="4613" max="4615" width="24.5" style="169" customWidth="1"/>
    <col min="4616" max="4618" width="14" style="169" customWidth="1"/>
    <col min="4619" max="4621" width="15.125" style="169" customWidth="1"/>
    <col min="4622" max="4624" width="23.375" style="169" customWidth="1"/>
    <col min="4625" max="4626" width="24.5" style="169" customWidth="1"/>
    <col min="4627" max="4627" width="24.5" style="169" bestFit="1" customWidth="1"/>
    <col min="4628" max="4630" width="14" style="169" customWidth="1"/>
    <col min="4631" max="4633" width="15.125" style="169" customWidth="1"/>
    <col min="4634" max="4636" width="24.5" style="169" customWidth="1"/>
    <col min="4637" max="4639" width="25.625" style="169" customWidth="1"/>
    <col min="4640" max="4642" width="14" style="169" customWidth="1"/>
    <col min="4643" max="4645" width="15.125" style="169" customWidth="1"/>
    <col min="4646" max="4648" width="24.5" style="169" customWidth="1"/>
    <col min="4649" max="4649" width="25.625" style="169" bestFit="1" customWidth="1"/>
    <col min="4650" max="4651" width="25.625" style="169" customWidth="1"/>
    <col min="4652" max="4654" width="14" style="169" customWidth="1"/>
    <col min="4655" max="4657" width="15.125" style="169" customWidth="1"/>
    <col min="4658" max="4658" width="24.5" style="169" bestFit="1" customWidth="1"/>
    <col min="4659" max="4660" width="24.5" style="169" customWidth="1"/>
    <col min="4661" max="4661" width="25.625" style="169" bestFit="1" customWidth="1"/>
    <col min="4662" max="4663" width="25.625" style="169" customWidth="1"/>
    <col min="4664" max="4666" width="14" style="169" customWidth="1"/>
    <col min="4667" max="4669" width="15.125" style="169" customWidth="1"/>
    <col min="4670" max="4672" width="14" style="169" customWidth="1"/>
    <col min="4673" max="4675" width="15.125" style="169" customWidth="1"/>
    <col min="4676" max="4678" width="14" style="169" customWidth="1"/>
    <col min="4679" max="4681" width="15.125" style="169" customWidth="1"/>
    <col min="4682" max="4684" width="14" style="169" customWidth="1"/>
    <col min="4685" max="4687" width="15.125" style="169" customWidth="1"/>
    <col min="4688" max="4690" width="14" style="169" customWidth="1"/>
    <col min="4691" max="4693" width="15.125" style="169" customWidth="1"/>
    <col min="4694" max="4696" width="14" style="169" customWidth="1"/>
    <col min="4697" max="4699" width="15.125" style="169" customWidth="1"/>
    <col min="4700" max="4702" width="14" style="169" customWidth="1"/>
    <col min="4703" max="4705" width="15.125" style="169" customWidth="1"/>
    <col min="4706" max="4708" width="14" style="169" customWidth="1"/>
    <col min="4709" max="4711" width="15.125" style="169" customWidth="1"/>
    <col min="4712" max="4714" width="14" style="169" customWidth="1"/>
    <col min="4715" max="4717" width="15.125" style="169" customWidth="1"/>
    <col min="4718" max="4720" width="14" style="169" customWidth="1"/>
    <col min="4721" max="4723" width="15.125" style="169" customWidth="1"/>
    <col min="4724" max="4726" width="14" style="169" customWidth="1"/>
    <col min="4727" max="4729" width="15.125" style="169" customWidth="1"/>
    <col min="4730" max="4732" width="14" style="169" customWidth="1"/>
    <col min="4733" max="4735" width="15.125" style="169" customWidth="1"/>
    <col min="4736" max="4738" width="14" style="169" customWidth="1"/>
    <col min="4739" max="4741" width="15.125" style="169" customWidth="1"/>
    <col min="4742" max="4744" width="14" style="169" customWidth="1"/>
    <col min="4745" max="4747" width="15.125" style="169" customWidth="1"/>
    <col min="4748" max="4750" width="14" style="169" customWidth="1"/>
    <col min="4751" max="4753" width="15.125" style="169" customWidth="1"/>
    <col min="4754" max="4756" width="14" style="169" customWidth="1"/>
    <col min="4757" max="4759" width="15.125" style="169" customWidth="1"/>
    <col min="4760" max="4762" width="14" style="169" customWidth="1"/>
    <col min="4763" max="4765" width="15.125" style="169" customWidth="1"/>
    <col min="4766" max="4768" width="14" style="169" customWidth="1"/>
    <col min="4769" max="4771" width="15.125" style="169" customWidth="1"/>
    <col min="4772" max="4774" width="14" style="169" customWidth="1"/>
    <col min="4775" max="4777" width="15.125" style="169" customWidth="1"/>
    <col min="4778" max="4780" width="14" style="169" customWidth="1"/>
    <col min="4781" max="4783" width="15.125" style="169" customWidth="1"/>
    <col min="4784" max="4786" width="14" style="169" customWidth="1"/>
    <col min="4787" max="4789" width="15.125" style="169" customWidth="1"/>
    <col min="4790" max="4792" width="14" style="169" customWidth="1"/>
    <col min="4793" max="4795" width="15.125" style="169" customWidth="1"/>
    <col min="4796" max="4798" width="14" style="169" customWidth="1"/>
    <col min="4799" max="4801" width="15.125" style="169" bestFit="1" customWidth="1"/>
    <col min="4802" max="4804" width="14" style="169" customWidth="1"/>
    <col min="4805" max="4807" width="15.125" style="169" customWidth="1"/>
    <col min="4808" max="4809" width="24.5" style="169" customWidth="1"/>
    <col min="4810" max="4810" width="24.5" style="169" bestFit="1" customWidth="1"/>
    <col min="4811" max="4813" width="25.625" style="169" customWidth="1"/>
    <col min="4814" max="4816" width="24.5" style="169" customWidth="1"/>
    <col min="4817" max="4817" width="25.625" style="169" bestFit="1" customWidth="1"/>
    <col min="4818" max="4819" width="25.625" style="169" customWidth="1"/>
    <col min="4820" max="4822" width="24.5" style="169" customWidth="1"/>
    <col min="4823" max="4825" width="25.625" style="169" customWidth="1"/>
    <col min="4826" max="4828" width="24.5" style="169" customWidth="1"/>
    <col min="4829" max="4829" width="25.625" style="169" bestFit="1" customWidth="1"/>
    <col min="4830" max="4831" width="25.625" style="169" customWidth="1"/>
    <col min="4832" max="4833" width="24.5" style="169" customWidth="1"/>
    <col min="4834" max="4834" width="24.5" style="169" bestFit="1" customWidth="1"/>
    <col min="4835" max="4837" width="25.625" style="169" customWidth="1"/>
    <col min="4838" max="4840" width="18.625" style="169" customWidth="1"/>
    <col min="4841" max="4843" width="19.75" style="169" customWidth="1"/>
    <col min="4844" max="4846" width="25.625" style="169" bestFit="1" customWidth="1"/>
    <col min="4847" max="4848" width="23.375" style="169" customWidth="1"/>
    <col min="4849" max="4851" width="24.5" style="169" customWidth="1"/>
    <col min="4852" max="4853" width="14" style="169" customWidth="1"/>
    <col min="4854" max="4854" width="15.125" style="169" customWidth="1"/>
    <col min="4855" max="4855" width="15.125" style="169" bestFit="1" customWidth="1"/>
    <col min="4856" max="4856" width="15.125" style="169" customWidth="1"/>
    <col min="4857" max="4858" width="24.5" style="169" customWidth="1"/>
    <col min="4859" max="4861" width="25.625" style="169" bestFit="1" customWidth="1"/>
    <col min="4862" max="4863" width="23.375" style="169" bestFit="1" customWidth="1"/>
    <col min="4864" max="4864" width="24.5" style="169" bestFit="1" customWidth="1"/>
    <col min="4865" max="4866" width="24.5" style="169" customWidth="1"/>
    <col min="4867" max="4868" width="14" style="169" customWidth="1"/>
    <col min="4869" max="4871" width="15.125" style="169" customWidth="1"/>
    <col min="4872" max="4873" width="24.5" style="169" customWidth="1"/>
    <col min="4874" max="4876" width="25.625" style="169" customWidth="1"/>
    <col min="4877" max="4878" width="23.375" style="169" customWidth="1"/>
    <col min="4879" max="4879" width="24.5" style="169" customWidth="1"/>
    <col min="4880" max="4881" width="24.5" style="169" bestFit="1" customWidth="1"/>
    <col min="4882" max="4883" width="14" style="169" customWidth="1"/>
    <col min="4884" max="4886" width="15.125" style="169" customWidth="1"/>
    <col min="4887" max="4888" width="24.5" style="169" bestFit="1" customWidth="1"/>
    <col min="4889" max="4889" width="25.625" style="169" bestFit="1" customWidth="1"/>
    <col min="4890" max="4891" width="25.625" style="169" customWidth="1"/>
    <col min="4892" max="4893" width="23.375" style="169" bestFit="1" customWidth="1"/>
    <col min="4894" max="4894" width="24.5" style="169" bestFit="1" customWidth="1"/>
    <col min="4895" max="4896" width="24.5" style="169" customWidth="1"/>
    <col min="4897" max="4898" width="14" style="169" customWidth="1"/>
    <col min="4899" max="4901" width="15.125" style="169" customWidth="1"/>
    <col min="4902" max="4903" width="24.5" style="169" customWidth="1"/>
    <col min="4904" max="4906" width="25.625" style="169" bestFit="1" customWidth="1"/>
    <col min="4907" max="4908" width="24.5" style="169" customWidth="1"/>
    <col min="4909" max="4911" width="25.625" style="169" bestFit="1" customWidth="1"/>
    <col min="4912" max="4913" width="14" style="169" customWidth="1"/>
    <col min="4914" max="4915" width="15.125" style="169" customWidth="1"/>
    <col min="4916" max="4916" width="15.125" style="169" bestFit="1" customWidth="1"/>
    <col min="4917" max="4918" width="24.5" style="169" bestFit="1" customWidth="1"/>
    <col min="4919" max="4921" width="25.625" style="169" bestFit="1" customWidth="1"/>
    <col min="4922" max="4923" width="24.5" style="169" bestFit="1" customWidth="1"/>
    <col min="4924" max="4925" width="25.625" style="169" bestFit="1" customWidth="1"/>
    <col min="4926" max="4926" width="25.625" style="169" customWidth="1"/>
    <col min="4927" max="4928" width="14" style="169" customWidth="1"/>
    <col min="4929" max="4931" width="15.125" style="169" customWidth="1"/>
    <col min="4932" max="4933" width="24.5" style="169" customWidth="1"/>
    <col min="4934" max="4936" width="25.625" style="169" customWidth="1"/>
    <col min="4937" max="4937" width="24.5" style="169" bestFit="1" customWidth="1"/>
    <col min="4938" max="4938" width="24.5" style="169" customWidth="1"/>
    <col min="4939" max="4941" width="25.625" style="169" bestFit="1" customWidth="1"/>
    <col min="4942" max="4943" width="14" style="169" customWidth="1"/>
    <col min="4944" max="4946" width="15.125" style="169" customWidth="1"/>
    <col min="4947" max="4948" width="21.25" style="169" customWidth="1"/>
    <col min="4949" max="4951" width="22.25" style="169" customWidth="1"/>
    <col min="4952" max="4953" width="14" style="169" customWidth="1"/>
    <col min="4954" max="4956" width="15.125" style="169" customWidth="1"/>
    <col min="4957" max="4958" width="21.25" style="169" customWidth="1"/>
    <col min="4959" max="4960" width="22.25" style="169" bestFit="1" customWidth="1"/>
    <col min="4961" max="4961" width="22.25" style="169" customWidth="1"/>
    <col min="4962" max="4963" width="14" style="169" customWidth="1"/>
    <col min="4964" max="4966" width="15.125" style="169" customWidth="1"/>
    <col min="4967" max="4968" width="21.25" style="169" bestFit="1" customWidth="1"/>
    <col min="4969" max="4969" width="22.25" style="169" bestFit="1" customWidth="1"/>
    <col min="4970" max="4971" width="22.25" style="169" customWidth="1"/>
    <col min="4972" max="4973" width="14" style="169" customWidth="1"/>
    <col min="4974" max="4976" width="15.125" style="169" customWidth="1"/>
    <col min="4977" max="4978" width="21.25" style="169" customWidth="1"/>
    <col min="4979" max="4981" width="22.25" style="169" bestFit="1" customWidth="1"/>
    <col min="4982" max="4983" width="14" style="169" customWidth="1"/>
    <col min="4984" max="4986" width="15.125" style="169" customWidth="1"/>
    <col min="4987" max="4988" width="22.25" style="169" customWidth="1"/>
    <col min="4989" max="4989" width="23.375" style="169" bestFit="1" customWidth="1"/>
    <col min="4990" max="4990" width="23.375" style="169" customWidth="1"/>
    <col min="4991" max="4991" width="23.375" style="169" bestFit="1" customWidth="1"/>
    <col min="4992" max="4993" width="14" style="169" customWidth="1"/>
    <col min="4994" max="4996" width="15.125" style="169" customWidth="1"/>
    <col min="4997" max="4997" width="22.25" style="169" customWidth="1"/>
    <col min="4998" max="4998" width="22.25" style="169" bestFit="1" customWidth="1"/>
    <col min="4999" max="5001" width="23.375" style="169" bestFit="1" customWidth="1"/>
    <col min="5002" max="5003" width="14" style="169" customWidth="1"/>
    <col min="5004" max="5005" width="15.125" style="169" bestFit="1" customWidth="1"/>
    <col min="5006" max="5006" width="15.125" style="169" customWidth="1"/>
    <col min="5007" max="5008" width="22.25" style="169" customWidth="1"/>
    <col min="5009" max="5009" width="23.375" style="169" customWidth="1"/>
    <col min="5010" max="5011" width="23.375" style="169" bestFit="1" customWidth="1"/>
    <col min="5012" max="5013" width="14" style="169" customWidth="1"/>
    <col min="5014" max="5014" width="15.125" style="169" customWidth="1"/>
    <col min="5015" max="5016" width="15.125" style="169" bestFit="1" customWidth="1"/>
    <col min="5017" max="5017" width="22.25" style="169" bestFit="1" customWidth="1"/>
    <col min="5018" max="5018" width="22.25" style="169" customWidth="1"/>
    <col min="5019" max="5021" width="23.375" style="169" customWidth="1"/>
    <col min="5022" max="5023" width="14" style="169" customWidth="1"/>
    <col min="5024" max="5025" width="15.125" style="169" bestFit="1" customWidth="1"/>
    <col min="5026" max="5026" width="15.125" style="169" customWidth="1"/>
    <col min="5027" max="5028" width="22.25" style="169" customWidth="1"/>
    <col min="5029" max="5031" width="23.375" style="169" customWidth="1"/>
    <col min="5032" max="5033" width="14" style="169" customWidth="1"/>
    <col min="5034" max="5036" width="15.125" style="169" customWidth="1"/>
    <col min="5037" max="5038" width="22.25" style="169" customWidth="1"/>
    <col min="5039" max="5041" width="23.375" style="169" customWidth="1"/>
    <col min="5042" max="5043" width="14" style="169" customWidth="1"/>
    <col min="5044" max="5046" width="15.125" style="169" customWidth="1"/>
    <col min="5047" max="5048" width="14" style="169" customWidth="1"/>
    <col min="5049" max="5051" width="15.125" style="169" customWidth="1"/>
    <col min="5052" max="5053" width="14" style="169" customWidth="1"/>
    <col min="5054" max="5056" width="15.125" style="169" customWidth="1"/>
    <col min="5057" max="5057" width="22.25" style="169" bestFit="1" customWidth="1"/>
    <col min="5058" max="5058" width="22.25" style="169" customWidth="1"/>
    <col min="5059" max="5061" width="23.375" style="169" customWidth="1"/>
    <col min="5062" max="5063" width="14" style="169" customWidth="1"/>
    <col min="5064" max="5065" width="15.125" style="169" customWidth="1"/>
    <col min="5066" max="5066" width="15.125" style="169" bestFit="1" customWidth="1"/>
    <col min="5067" max="5068" width="22.25" style="169" bestFit="1" customWidth="1"/>
    <col min="5069" max="5069" width="23.375" style="169" bestFit="1" customWidth="1"/>
    <col min="5070" max="5071" width="23.375" style="169" customWidth="1"/>
    <col min="5072" max="5073" width="14" style="169" customWidth="1"/>
    <col min="5074" max="5076" width="15.125" style="169" customWidth="1"/>
    <col min="5077" max="5077" width="22.25" style="169" customWidth="1"/>
    <col min="5078" max="5078" width="22.25" style="169" bestFit="1" customWidth="1"/>
    <col min="5079" max="5081" width="23.375" style="169" bestFit="1" customWidth="1"/>
    <col min="5082" max="5083" width="14" style="169" customWidth="1"/>
    <col min="5084" max="5086" width="15.125" style="169" customWidth="1"/>
    <col min="5087" max="5088" width="22.25" style="169" customWidth="1"/>
    <col min="5089" max="5089" width="23.375" style="169" customWidth="1"/>
    <col min="5090" max="5091" width="23.375" style="169" bestFit="1" customWidth="1"/>
    <col min="5092" max="5093" width="14" style="169" customWidth="1"/>
    <col min="5094" max="5096" width="15.125" style="169" customWidth="1"/>
    <col min="5097" max="5098" width="14" style="169" customWidth="1"/>
    <col min="5099" max="5101" width="15.125" style="169" customWidth="1"/>
    <col min="5102" max="5102" width="14" style="169" bestFit="1" customWidth="1"/>
    <col min="5103" max="5103" width="14" style="169" customWidth="1"/>
    <col min="5104" max="5105" width="15.125" style="169" bestFit="1" customWidth="1"/>
    <col min="5106" max="5106" width="15.125" style="169" customWidth="1"/>
    <col min="5107" max="5108" width="23.375" style="169" customWidth="1"/>
    <col min="5109" max="5109" width="24.5" style="169" customWidth="1"/>
    <col min="5110" max="5111" width="24.5" style="169" bestFit="1" customWidth="1"/>
    <col min="5112" max="5113" width="14" style="169" customWidth="1"/>
    <col min="5114" max="5116" width="15.125" style="169" bestFit="1" customWidth="1"/>
    <col min="5117" max="5118" width="23.375" style="169" bestFit="1" customWidth="1"/>
    <col min="5119" max="5121" width="24.5" style="169" bestFit="1" customWidth="1"/>
    <col min="5122" max="5122" width="14" style="169" bestFit="1" customWidth="1"/>
    <col min="5123" max="5123" width="14" style="169" customWidth="1"/>
    <col min="5124" max="5125" width="15.125" style="169" bestFit="1" customWidth="1"/>
    <col min="5126" max="5126" width="15.125" style="169" customWidth="1"/>
    <col min="5127" max="5128" width="23.375" style="169" customWidth="1"/>
    <col min="5129" max="5129" width="24.5" style="169" customWidth="1"/>
    <col min="5130" max="5131" width="24.5" style="169" bestFit="1" customWidth="1"/>
    <col min="5132" max="5133" width="14" style="169" customWidth="1"/>
    <col min="5134" max="5136" width="15.125" style="169" bestFit="1" customWidth="1"/>
    <col min="5137" max="5137" width="23.375" style="169" bestFit="1" customWidth="1"/>
    <col min="5138" max="5138" width="23.375" style="169" customWidth="1"/>
    <col min="5139" max="5141" width="24.5" style="169" customWidth="1"/>
    <col min="5142" max="5143" width="14" style="169" customWidth="1"/>
    <col min="5144" max="5145" width="15.125" style="169" customWidth="1"/>
    <col min="5146" max="5146" width="15.125" style="169" bestFit="1" customWidth="1"/>
    <col min="5147" max="5148" width="23.375" style="169" bestFit="1" customWidth="1"/>
    <col min="5149" max="5151" width="24.5" style="169" bestFit="1" customWidth="1"/>
    <col min="5152" max="5153" width="14" style="169" customWidth="1"/>
    <col min="5154" max="5156" width="15.125" style="169" bestFit="1" customWidth="1"/>
    <col min="5157" max="5158" width="23.375" style="169" bestFit="1" customWidth="1"/>
    <col min="5159" max="5161" width="24.5" style="169" bestFit="1" customWidth="1"/>
    <col min="5162" max="5163" width="14" style="169" customWidth="1"/>
    <col min="5164" max="5165" width="15.125" style="169" customWidth="1"/>
    <col min="5166" max="5166" width="15.125" style="169" bestFit="1" customWidth="1"/>
    <col min="5167" max="5168" width="23.375" style="169" bestFit="1" customWidth="1"/>
    <col min="5169" max="5171" width="24.5" style="169" bestFit="1" customWidth="1"/>
    <col min="5172" max="5173" width="14" style="169" customWidth="1"/>
    <col min="5174" max="5176" width="15.125" style="169" customWidth="1"/>
    <col min="5177" max="5177" width="14" style="169" customWidth="1"/>
    <col min="5178" max="5178" width="14" style="169" bestFit="1" customWidth="1"/>
    <col min="5179" max="5181" width="15.125" style="169" bestFit="1" customWidth="1"/>
    <col min="5182" max="5183" width="23.375" style="169" bestFit="1" customWidth="1"/>
    <col min="5184" max="5186" width="24.5" style="169" bestFit="1" customWidth="1"/>
    <col min="5187" max="5188" width="14" style="169" customWidth="1"/>
    <col min="5189" max="5189" width="15.125" style="169" bestFit="1" customWidth="1"/>
    <col min="5190" max="5191" width="15.125" style="169" customWidth="1"/>
    <col min="5192" max="5193" width="23.375" style="169" bestFit="1" customWidth="1"/>
    <col min="5194" max="5196" width="24.5" style="169" bestFit="1" customWidth="1"/>
    <col min="5197" max="5198" width="14" style="169" customWidth="1"/>
    <col min="5199" max="5201" width="15.125" style="169" customWidth="1"/>
    <col min="5202" max="5202" width="14" style="169" bestFit="1" customWidth="1"/>
    <col min="5203" max="5203" width="14" style="169" customWidth="1"/>
    <col min="5204" max="5205" width="15.125" style="169" bestFit="1" customWidth="1"/>
    <col min="5206" max="5206" width="15.125" style="169" customWidth="1"/>
    <col min="5207" max="5208" width="14" style="169" customWidth="1"/>
    <col min="5209" max="5209" width="15.125" style="169" customWidth="1"/>
    <col min="5210" max="5211" width="15.125" style="169" bestFit="1" customWidth="1"/>
    <col min="5212" max="5213" width="14" style="169" customWidth="1"/>
    <col min="5214" max="5216" width="15.125" style="169" customWidth="1"/>
    <col min="5217" max="5217" width="14" style="169" customWidth="1"/>
    <col min="5218" max="5218" width="14" style="169" bestFit="1" customWidth="1"/>
    <col min="5219" max="5221" width="15.125" style="169" bestFit="1" customWidth="1"/>
    <col min="5222" max="5223" width="14" style="169" customWidth="1"/>
    <col min="5224" max="5225" width="15.125" style="169" customWidth="1"/>
    <col min="5226" max="5226" width="15.125" style="169" bestFit="1" customWidth="1"/>
    <col min="5227" max="5228" width="14" style="169" customWidth="1"/>
    <col min="5229" max="5229" width="15.125" style="169" bestFit="1" customWidth="1"/>
    <col min="5230" max="5231" width="15.125" style="169" customWidth="1"/>
    <col min="5232" max="5233" width="14" style="169" customWidth="1"/>
    <col min="5234" max="5236" width="15.125" style="169" bestFit="1" customWidth="1"/>
    <col min="5237" max="5237" width="14" style="169" customWidth="1"/>
    <col min="5238" max="5238" width="14" style="169" bestFit="1" customWidth="1"/>
    <col min="5239" max="5241" width="15.125" style="169" bestFit="1" customWidth="1"/>
    <col min="5242" max="5242" width="14" style="169" bestFit="1" customWidth="1"/>
    <col min="5243" max="5243" width="14" style="169" customWidth="1"/>
    <col min="5244" max="5245" width="15.125" style="169" bestFit="1" customWidth="1"/>
    <col min="5246" max="5246" width="15.125" style="169" customWidth="1"/>
    <col min="5247" max="5248" width="14" style="169" customWidth="1"/>
    <col min="5249" max="5249" width="15.125" style="169" customWidth="1"/>
    <col min="5250" max="5251" width="15.125" style="169" bestFit="1" customWidth="1"/>
    <col min="5252" max="5253" width="14" style="169" customWidth="1"/>
    <col min="5254" max="5256" width="15.125" style="169" customWidth="1"/>
    <col min="5257" max="5257" width="14" style="169" customWidth="1"/>
    <col min="5258" max="5258" width="14" style="169" bestFit="1" customWidth="1"/>
    <col min="5259" max="5261" width="15.125" style="169" bestFit="1" customWidth="1"/>
    <col min="5262" max="5263" width="14" style="169" customWidth="1"/>
    <col min="5264" max="5265" width="15.125" style="169" customWidth="1"/>
    <col min="5266" max="5266" width="15.125" style="169" bestFit="1" customWidth="1"/>
    <col min="5267" max="5268" width="14" style="169" customWidth="1"/>
    <col min="5269" max="5269" width="15.125" style="169" bestFit="1" customWidth="1"/>
    <col min="5270" max="5271" width="15.125" style="169" customWidth="1"/>
    <col min="5272" max="5273" width="14" style="169" customWidth="1"/>
    <col min="5274" max="5276" width="15.125" style="169" bestFit="1" customWidth="1"/>
    <col min="5277" max="5278" width="14" style="169" customWidth="1"/>
    <col min="5279" max="5281" width="15.125" style="169" customWidth="1"/>
    <col min="5282" max="5282" width="14" style="169" bestFit="1" customWidth="1"/>
    <col min="5283" max="5283" width="14" style="169" customWidth="1"/>
    <col min="5284" max="5285" width="15.125" style="169" bestFit="1" customWidth="1"/>
    <col min="5286" max="5286" width="15.125" style="169" customWidth="1"/>
    <col min="5287" max="5288" width="14" style="169" customWidth="1"/>
    <col min="5289" max="5289" width="15.125" style="169" customWidth="1"/>
    <col min="5290" max="5291" width="15.125" style="169" bestFit="1" customWidth="1"/>
    <col min="5292" max="5293" width="14" style="169" customWidth="1"/>
    <col min="5294" max="5296" width="15.125" style="169" customWidth="1"/>
    <col min="5297" max="5297" width="14" style="169" customWidth="1"/>
    <col min="5298" max="5298" width="14" style="169" bestFit="1" customWidth="1"/>
    <col min="5299" max="5301" width="15.125" style="169" bestFit="1" customWidth="1"/>
    <col min="5302" max="5303" width="14" style="169" customWidth="1"/>
    <col min="5304" max="5305" width="15.125" style="169" customWidth="1"/>
    <col min="5306" max="5306" width="15.125" style="169" bestFit="1" customWidth="1"/>
    <col min="5307" max="5308" width="14" style="169" customWidth="1"/>
    <col min="5309" max="5309" width="15.125" style="169" bestFit="1" customWidth="1"/>
    <col min="5310" max="5311" width="15.125" style="169" customWidth="1"/>
    <col min="5312" max="5313" width="14" style="169" customWidth="1"/>
    <col min="5314" max="5316" width="15.125" style="169" bestFit="1" customWidth="1"/>
    <col min="5317" max="5318" width="24.5" style="169" bestFit="1" customWidth="1"/>
    <col min="5319" max="5321" width="25.625" style="169" bestFit="1" customWidth="1"/>
    <col min="5322" max="5323" width="24.5" style="169" bestFit="1" customWidth="1"/>
    <col min="5324" max="5326" width="25.625" style="169" bestFit="1" customWidth="1"/>
    <col min="5327" max="5328" width="24.5" style="169" customWidth="1"/>
    <col min="5329" max="5331" width="25.625" style="169" bestFit="1" customWidth="1"/>
    <col min="5332" max="5333" width="24.5" style="169" bestFit="1" customWidth="1"/>
    <col min="5334" max="5336" width="25.625" style="169" bestFit="1" customWidth="1"/>
    <col min="5337" max="5337" width="24.5" style="169" customWidth="1"/>
    <col min="5338" max="5338" width="24.5" style="169" bestFit="1" customWidth="1"/>
    <col min="5339" max="5341" width="25.625" style="169" bestFit="1" customWidth="1"/>
    <col min="5342" max="5342" width="24.5" style="169" bestFit="1" customWidth="1"/>
    <col min="5343" max="5343" width="24.5" style="169" customWidth="1"/>
    <col min="5344" max="5346" width="25.625" style="169" bestFit="1" customWidth="1"/>
    <col min="5347" max="5348" width="18.625" style="169" bestFit="1" customWidth="1"/>
    <col min="5349" max="5351" width="19.75" style="169" bestFit="1" customWidth="1"/>
    <col min="5352" max="5353" width="15.125" style="169" bestFit="1" customWidth="1"/>
    <col min="5354" max="5354" width="14" style="169" bestFit="1" customWidth="1"/>
    <col min="5355" max="5357" width="15.125" style="169" bestFit="1" customWidth="1"/>
    <col min="5358" max="5358" width="14" style="169" bestFit="1" customWidth="1"/>
    <col min="5359" max="5361" width="15.125" style="169" bestFit="1" customWidth="1"/>
    <col min="5362" max="5362" width="14" style="169" bestFit="1" customWidth="1"/>
    <col min="5363" max="5365" width="15.125" style="169" bestFit="1" customWidth="1"/>
    <col min="5366" max="5366" width="14" style="169" bestFit="1" customWidth="1"/>
    <col min="5367" max="5369" width="15.125" style="169" bestFit="1" customWidth="1"/>
    <col min="5370" max="5370" width="14" style="169" bestFit="1" customWidth="1"/>
    <col min="5371" max="5373" width="15.125" style="169" bestFit="1" customWidth="1"/>
    <col min="5374" max="5374" width="14" style="169" bestFit="1" customWidth="1"/>
    <col min="5375" max="5377" width="15.125" style="169" bestFit="1" customWidth="1"/>
    <col min="5378" max="5378" width="14" style="169" bestFit="1" customWidth="1"/>
    <col min="5379" max="5381" width="15.125" style="169" bestFit="1" customWidth="1"/>
    <col min="5382" max="5382" width="14" style="169" bestFit="1" customWidth="1"/>
    <col min="5383" max="5385" width="15.125" style="169" bestFit="1" customWidth="1"/>
    <col min="5386" max="5386" width="14" style="169" bestFit="1" customWidth="1"/>
    <col min="5387" max="5389" width="15.125" style="169" bestFit="1" customWidth="1"/>
    <col min="5390" max="5390" width="14" style="169" bestFit="1" customWidth="1"/>
    <col min="5391" max="5393" width="15.125" style="169" bestFit="1" customWidth="1"/>
    <col min="5394" max="5394" width="14" style="169" bestFit="1" customWidth="1"/>
    <col min="5395" max="5397" width="15.125" style="169" bestFit="1" customWidth="1"/>
    <col min="5398" max="5398" width="14" style="169" bestFit="1" customWidth="1"/>
    <col min="5399" max="5401" width="15.125" style="169" bestFit="1" customWidth="1"/>
    <col min="5402" max="5402" width="24.5" style="169" bestFit="1" customWidth="1"/>
    <col min="5403" max="5405" width="25.625" style="169" bestFit="1" customWidth="1"/>
    <col min="5406" max="5406" width="24.5" style="169" bestFit="1" customWidth="1"/>
    <col min="5407" max="5409" width="25.625" style="169" bestFit="1" customWidth="1"/>
    <col min="5410" max="5410" width="24.5" style="169" bestFit="1" customWidth="1"/>
    <col min="5411" max="5413" width="25.625" style="169" bestFit="1" customWidth="1"/>
    <col min="5414" max="5414" width="24.5" style="169" bestFit="1" customWidth="1"/>
    <col min="5415" max="5417" width="25.625" style="169" bestFit="1" customWidth="1"/>
    <col min="5418" max="5418" width="24.5" style="169" bestFit="1" customWidth="1"/>
    <col min="5419" max="5421" width="25.625" style="169" bestFit="1" customWidth="1"/>
    <col min="5422" max="5422" width="24.5" style="169" bestFit="1" customWidth="1"/>
    <col min="5423" max="5425" width="25.625" style="169" bestFit="1" customWidth="1"/>
    <col min="5426" max="5426" width="24.5" style="169" bestFit="1" customWidth="1"/>
    <col min="5427" max="5429" width="25.625" style="169" bestFit="1" customWidth="1"/>
    <col min="5430" max="5430" width="18.625" style="169" bestFit="1" customWidth="1"/>
    <col min="5431" max="5433" width="19.75" style="169" bestFit="1" customWidth="1"/>
    <col min="5434" max="16384" width="9" style="169"/>
  </cols>
  <sheetData>
    <row r="1" spans="1:15" ht="16.5">
      <c r="A1"/>
      <c r="B1" s="3"/>
    </row>
    <row r="3" spans="1:15" ht="16.5">
      <c r="A3" s="181" t="s">
        <v>451</v>
      </c>
      <c r="B3" s="183" t="s">
        <v>1033</v>
      </c>
      <c r="C3" s="183" t="s">
        <v>1034</v>
      </c>
      <c r="D3" s="183" t="s">
        <v>1035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6.5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2528361943</v>
      </c>
      <c r="F4" s="179">
        <v>2303802784</v>
      </c>
      <c r="G4" s="179">
        <v>2015862800</v>
      </c>
      <c r="H4" s="179">
        <v>2319583025</v>
      </c>
      <c r="I4" s="179">
        <v>1751832500</v>
      </c>
      <c r="J4" s="179">
        <v>1649106645</v>
      </c>
      <c r="K4" s="179">
        <v>2549413775</v>
      </c>
      <c r="L4" s="179">
        <v>2233170110</v>
      </c>
      <c r="M4" s="179">
        <v>2871369970.5</v>
      </c>
      <c r="N4" s="179">
        <v>24850384915.5</v>
      </c>
      <c r="O4"/>
    </row>
    <row r="5" spans="1:15" ht="16.5">
      <c r="A5" s="182" t="s">
        <v>24</v>
      </c>
      <c r="B5" s="179"/>
      <c r="C5" s="179"/>
      <c r="D5" s="179"/>
      <c r="E5" s="179">
        <v>82000000</v>
      </c>
      <c r="F5" s="179">
        <v>728650000</v>
      </c>
      <c r="G5" s="179">
        <v>222860000</v>
      </c>
      <c r="H5" s="179">
        <v>660100000</v>
      </c>
      <c r="I5" s="179">
        <v>304100000</v>
      </c>
      <c r="J5" s="179">
        <v>471100000</v>
      </c>
      <c r="K5" s="179">
        <v>863400000</v>
      </c>
      <c r="L5" s="179">
        <v>453000000</v>
      </c>
      <c r="M5" s="179">
        <v>717850000</v>
      </c>
      <c r="N5" s="179">
        <v>4503060000</v>
      </c>
      <c r="O5"/>
    </row>
    <row r="6" spans="1:15" ht="16.5">
      <c r="A6" s="182" t="s">
        <v>25</v>
      </c>
      <c r="B6" s="179"/>
      <c r="C6" s="179"/>
      <c r="D6" s="179"/>
      <c r="E6" s="179">
        <v>61000000</v>
      </c>
      <c r="F6" s="179">
        <v>1690620000</v>
      </c>
      <c r="G6" s="179">
        <v>594800000</v>
      </c>
      <c r="H6" s="179">
        <v>187200000</v>
      </c>
      <c r="I6" s="179">
        <v>302000000</v>
      </c>
      <c r="J6" s="179">
        <v>765000000</v>
      </c>
      <c r="K6" s="179">
        <v>317500000</v>
      </c>
      <c r="L6" s="179">
        <v>462500000</v>
      </c>
      <c r="M6" s="179">
        <v>259000000</v>
      </c>
      <c r="N6" s="179">
        <v>4639620000</v>
      </c>
      <c r="O6"/>
    </row>
    <row r="7" spans="1:15" ht="16.5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2671361943</v>
      </c>
      <c r="F7" s="179">
        <v>4723072784</v>
      </c>
      <c r="G7" s="179">
        <v>2833522800</v>
      </c>
      <c r="H7" s="179">
        <v>3166883025</v>
      </c>
      <c r="I7" s="179">
        <v>2357932500</v>
      </c>
      <c r="J7" s="179">
        <v>2885206645</v>
      </c>
      <c r="K7" s="179">
        <v>3730313775</v>
      </c>
      <c r="L7" s="179">
        <v>3148670110</v>
      </c>
      <c r="M7" s="179">
        <v>3848219970.5</v>
      </c>
      <c r="N7" s="179">
        <v>33993064915.5</v>
      </c>
      <c r="O7"/>
    </row>
    <row r="8" spans="1:15">
      <c r="A8" s="170"/>
    </row>
    <row r="11" spans="1:15" ht="16.5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6.5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6.5">
      <c r="A13" s="182" t="s">
        <v>113</v>
      </c>
      <c r="B13" s="180">
        <v>4710213687.5</v>
      </c>
      <c r="C13" s="180">
        <v>430000000</v>
      </c>
      <c r="D13" s="180">
        <v>503300000</v>
      </c>
      <c r="E13" s="180">
        <v>5643513687.5</v>
      </c>
      <c r="F13"/>
      <c r="G13"/>
      <c r="H13"/>
      <c r="I13"/>
      <c r="J13"/>
      <c r="K13"/>
      <c r="L13"/>
    </row>
    <row r="14" spans="1:15" ht="16.5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6.5">
      <c r="A15" s="182" t="s">
        <v>175</v>
      </c>
      <c r="B15" s="180">
        <v>4030790930</v>
      </c>
      <c r="C15" s="180">
        <v>370000000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6.5">
      <c r="A16" s="182" t="s">
        <v>364</v>
      </c>
      <c r="B16" s="180">
        <v>1898315058</v>
      </c>
      <c r="C16" s="180">
        <v>583500000</v>
      </c>
      <c r="D16" s="180">
        <v>852000000</v>
      </c>
      <c r="E16" s="180">
        <v>3333815058</v>
      </c>
      <c r="F16"/>
      <c r="G16"/>
      <c r="H16"/>
      <c r="I16"/>
      <c r="J16"/>
      <c r="K16"/>
      <c r="L16"/>
    </row>
    <row r="17" spans="1:12" ht="16.5">
      <c r="A17" s="182" t="s">
        <v>2</v>
      </c>
      <c r="B17" s="180">
        <v>1659753523</v>
      </c>
      <c r="C17" s="180">
        <v>454000000</v>
      </c>
      <c r="D17" s="180">
        <v>714570000</v>
      </c>
      <c r="E17" s="180">
        <v>2828323523</v>
      </c>
      <c r="F17"/>
      <c r="G17"/>
      <c r="H17"/>
      <c r="I17"/>
      <c r="J17"/>
      <c r="K17"/>
      <c r="L17"/>
    </row>
    <row r="18" spans="1:12" ht="16.5">
      <c r="A18" s="182" t="s">
        <v>237</v>
      </c>
      <c r="B18" s="180">
        <v>1200994226</v>
      </c>
      <c r="C18" s="180">
        <v>334000000</v>
      </c>
      <c r="D18" s="180">
        <v>984000000</v>
      </c>
      <c r="E18" s="180">
        <v>2518994226</v>
      </c>
      <c r="F18"/>
      <c r="G18"/>
      <c r="H18"/>
      <c r="I18"/>
      <c r="J18"/>
      <c r="K18"/>
      <c r="L18"/>
    </row>
    <row r="19" spans="1:12" ht="16.5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6.5">
      <c r="A20" s="182" t="s">
        <v>153</v>
      </c>
      <c r="B20" s="180">
        <v>3125440945</v>
      </c>
      <c r="C20" s="180">
        <v>562000000</v>
      </c>
      <c r="D20" s="180">
        <v>258000000</v>
      </c>
      <c r="E20" s="180">
        <v>3945440945</v>
      </c>
      <c r="F20"/>
      <c r="G20"/>
      <c r="H20"/>
      <c r="I20"/>
      <c r="J20"/>
      <c r="K20"/>
      <c r="L20"/>
    </row>
    <row r="21" spans="1:12" ht="16.5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6.5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6.5">
      <c r="A23" s="182" t="s">
        <v>452</v>
      </c>
      <c r="B23" s="180">
        <v>24850384915.5</v>
      </c>
      <c r="C23" s="180">
        <v>4503060000</v>
      </c>
      <c r="D23" s="180">
        <v>4639620000</v>
      </c>
      <c r="E23" s="180">
        <v>33993064915.5</v>
      </c>
      <c r="F23"/>
      <c r="G23"/>
      <c r="H23"/>
      <c r="I23"/>
      <c r="J23"/>
      <c r="K23"/>
      <c r="L23"/>
    </row>
    <row r="24" spans="1:12" ht="16.5">
      <c r="A24"/>
      <c r="B24"/>
      <c r="C24"/>
      <c r="D24"/>
      <c r="E24"/>
      <c r="F24"/>
      <c r="G24"/>
      <c r="H24"/>
      <c r="I24"/>
      <c r="J24"/>
      <c r="K24"/>
      <c r="L24"/>
    </row>
    <row r="25" spans="1:12" ht="16.5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6.5"/>
  <cols>
    <col min="1" max="1" width="3.5" style="10" customWidth="1"/>
    <col min="2" max="3" width="12.75" style="10" customWidth="1"/>
    <col min="4" max="4" width="12.75" style="11" customWidth="1"/>
    <col min="5" max="6" width="8" style="10"/>
    <col min="7" max="7" width="14.625" style="10" bestFit="1" customWidth="1"/>
    <col min="8" max="8" width="14.375" style="10" bestFit="1" customWidth="1"/>
    <col min="9" max="9" width="8.25" style="10" bestFit="1" customWidth="1"/>
    <col min="10" max="10" width="32" style="10" bestFit="1" customWidth="1"/>
    <col min="11" max="11" width="34.125" style="10" bestFit="1" customWidth="1"/>
    <col min="12" max="12" width="13.375" style="10" bestFit="1" customWidth="1"/>
    <col min="13" max="13" width="13" style="10" bestFit="1" customWidth="1"/>
    <col min="14" max="14" width="25.625" style="10" bestFit="1" customWidth="1"/>
    <col min="15" max="16384" width="8" style="10"/>
  </cols>
  <sheetData>
    <row r="1" spans="2:14">
      <c r="B1" s="9">
        <f>SUBTOTAL(3,B3:B41)</f>
        <v>39</v>
      </c>
    </row>
    <row r="2" spans="2:14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>
      <c r="B39" s="14" t="s">
        <v>715</v>
      </c>
      <c r="C39" s="14" t="s">
        <v>455</v>
      </c>
      <c r="D39" s="15"/>
    </row>
    <row r="40" spans="2:14">
      <c r="B40" s="14" t="s">
        <v>716</v>
      </c>
      <c r="C40" s="14" t="s">
        <v>455</v>
      </c>
      <c r="D40" s="15"/>
    </row>
    <row r="41" spans="2:14">
      <c r="B41" s="14" t="s">
        <v>717</v>
      </c>
      <c r="C41" s="14" t="s">
        <v>455</v>
      </c>
      <c r="D41" s="15"/>
    </row>
    <row r="42" spans="2:14">
      <c r="B42" s="14" t="s">
        <v>714</v>
      </c>
      <c r="C42" s="14" t="s">
        <v>455</v>
      </c>
      <c r="D42" s="15"/>
    </row>
    <row r="43" spans="2:14">
      <c r="B43" s="14" t="s">
        <v>16</v>
      </c>
      <c r="C43" s="14" t="s">
        <v>16</v>
      </c>
      <c r="D43" s="15"/>
    </row>
    <row r="44" spans="2:14">
      <c r="B44" s="14" t="s">
        <v>713</v>
      </c>
      <c r="C44" s="14" t="s">
        <v>332</v>
      </c>
      <c r="D44" s="15"/>
    </row>
    <row r="45" spans="2:14">
      <c r="B45" s="14" t="s">
        <v>453</v>
      </c>
      <c r="C45" s="14" t="s">
        <v>454</v>
      </c>
      <c r="D45" s="15"/>
    </row>
    <row r="46" spans="2:14">
      <c r="B46" s="14" t="s">
        <v>320</v>
      </c>
      <c r="C46" s="14" t="s">
        <v>446</v>
      </c>
      <c r="D46" s="15"/>
    </row>
    <row r="47" spans="2:14">
      <c r="B47" s="14" t="s">
        <v>447</v>
      </c>
      <c r="C47" s="14" t="s">
        <v>448</v>
      </c>
      <c r="D47" s="15"/>
    </row>
    <row r="48" spans="2:14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A2" workbookViewId="0">
      <selection activeCell="F5" sqref="F5"/>
    </sheetView>
  </sheetViews>
  <sheetFormatPr defaultRowHeight="16.5"/>
  <cols>
    <col min="1" max="1" width="2.75" customWidth="1"/>
    <col min="5" max="5" width="2.75" customWidth="1"/>
    <col min="6" max="8" width="27.875" customWidth="1"/>
    <col min="9" max="9" width="1.875" customWidth="1"/>
    <col min="10" max="12" width="27.875" customWidth="1"/>
  </cols>
  <sheetData>
    <row r="1" spans="2:12" s="2" customFormat="1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81" si="5">F69=J69</f>
        <v>1</v>
      </c>
      <c r="C69" t="b">
        <f t="shared" ref="C69:C81" si="6">G69=K69</f>
        <v>1</v>
      </c>
      <c r="D69" t="b">
        <f t="shared" ref="D69:D81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ref="B82:B113" si="8">F82=J82</f>
        <v>1</v>
      </c>
      <c r="C82" t="b">
        <f t="shared" ref="C82:C113" si="9">G82=K82</f>
        <v>1</v>
      </c>
      <c r="D82" t="b">
        <f t="shared" ref="D82:D113" si="10">H82=L82</f>
        <v>1</v>
      </c>
    </row>
    <row r="83" spans="2:4">
      <c r="B83" t="b">
        <f t="shared" si="8"/>
        <v>1</v>
      </c>
      <c r="C83" t="b">
        <f t="shared" si="9"/>
        <v>1</v>
      </c>
      <c r="D83" t="b">
        <f t="shared" si="10"/>
        <v>1</v>
      </c>
    </row>
    <row r="84" spans="2:4">
      <c r="B84" t="b">
        <f t="shared" si="8"/>
        <v>1</v>
      </c>
      <c r="C84" t="b">
        <f t="shared" si="9"/>
        <v>1</v>
      </c>
      <c r="D84" t="b">
        <f t="shared" si="10"/>
        <v>1</v>
      </c>
    </row>
    <row r="85" spans="2:4">
      <c r="B85" t="b">
        <f t="shared" si="8"/>
        <v>1</v>
      </c>
      <c r="C85" t="b">
        <f t="shared" si="9"/>
        <v>1</v>
      </c>
      <c r="D85" t="b">
        <f t="shared" si="10"/>
        <v>1</v>
      </c>
    </row>
    <row r="86" spans="2:4">
      <c r="B86" t="b">
        <f t="shared" si="8"/>
        <v>1</v>
      </c>
      <c r="C86" t="b">
        <f t="shared" si="9"/>
        <v>1</v>
      </c>
      <c r="D86" t="b">
        <f t="shared" si="10"/>
        <v>1</v>
      </c>
    </row>
    <row r="87" spans="2:4">
      <c r="B87" t="b">
        <f t="shared" si="8"/>
        <v>1</v>
      </c>
      <c r="C87" t="b">
        <f t="shared" si="9"/>
        <v>1</v>
      </c>
      <c r="D87" t="b">
        <f t="shared" si="10"/>
        <v>1</v>
      </c>
    </row>
    <row r="88" spans="2:4">
      <c r="B88" t="b">
        <f t="shared" si="8"/>
        <v>1</v>
      </c>
      <c r="C88" t="b">
        <f t="shared" si="9"/>
        <v>1</v>
      </c>
      <c r="D88" t="b">
        <f t="shared" si="10"/>
        <v>1</v>
      </c>
    </row>
    <row r="89" spans="2:4">
      <c r="B89" t="b">
        <f t="shared" si="8"/>
        <v>1</v>
      </c>
      <c r="C89" t="b">
        <f t="shared" si="9"/>
        <v>1</v>
      </c>
      <c r="D89" t="b">
        <f t="shared" si="10"/>
        <v>1</v>
      </c>
    </row>
    <row r="90" spans="2:4">
      <c r="B90" t="b">
        <f t="shared" si="8"/>
        <v>1</v>
      </c>
      <c r="C90" t="b">
        <f t="shared" si="9"/>
        <v>1</v>
      </c>
      <c r="D90" t="b">
        <f t="shared" si="10"/>
        <v>1</v>
      </c>
    </row>
    <row r="91" spans="2:4">
      <c r="B91" t="b">
        <f t="shared" si="8"/>
        <v>1</v>
      </c>
      <c r="C91" t="b">
        <f t="shared" si="9"/>
        <v>1</v>
      </c>
      <c r="D91" t="b">
        <f t="shared" si="10"/>
        <v>1</v>
      </c>
    </row>
    <row r="92" spans="2:4">
      <c r="B92" t="b">
        <f t="shared" si="8"/>
        <v>1</v>
      </c>
      <c r="C92" t="b">
        <f t="shared" si="9"/>
        <v>1</v>
      </c>
      <c r="D92" t="b">
        <f t="shared" si="10"/>
        <v>1</v>
      </c>
    </row>
    <row r="93" spans="2:4">
      <c r="B93" t="b">
        <f t="shared" si="8"/>
        <v>1</v>
      </c>
      <c r="C93" t="b">
        <f t="shared" si="9"/>
        <v>1</v>
      </c>
      <c r="D93" t="b">
        <f t="shared" si="10"/>
        <v>1</v>
      </c>
    </row>
    <row r="94" spans="2:4">
      <c r="B94" t="b">
        <f t="shared" si="8"/>
        <v>1</v>
      </c>
      <c r="C94" t="b">
        <f t="shared" si="9"/>
        <v>1</v>
      </c>
      <c r="D94" t="b">
        <f t="shared" si="10"/>
        <v>1</v>
      </c>
    </row>
    <row r="95" spans="2:4">
      <c r="B95" t="b">
        <f t="shared" si="8"/>
        <v>1</v>
      </c>
      <c r="C95" t="b">
        <f t="shared" si="9"/>
        <v>1</v>
      </c>
      <c r="D95" t="b">
        <f t="shared" si="10"/>
        <v>1</v>
      </c>
    </row>
    <row r="96" spans="2:4">
      <c r="B96" t="b">
        <f t="shared" si="8"/>
        <v>1</v>
      </c>
      <c r="C96" t="b">
        <f t="shared" si="9"/>
        <v>1</v>
      </c>
      <c r="D96" t="b">
        <f t="shared" si="10"/>
        <v>1</v>
      </c>
    </row>
    <row r="97" spans="2:4">
      <c r="B97" t="b">
        <f t="shared" si="8"/>
        <v>1</v>
      </c>
      <c r="C97" t="b">
        <f t="shared" si="9"/>
        <v>1</v>
      </c>
      <c r="D97" t="b">
        <f t="shared" si="10"/>
        <v>1</v>
      </c>
    </row>
    <row r="98" spans="2:4">
      <c r="B98" t="b">
        <f t="shared" si="8"/>
        <v>1</v>
      </c>
      <c r="C98" t="b">
        <f t="shared" si="9"/>
        <v>1</v>
      </c>
      <c r="D98" t="b">
        <f t="shared" si="10"/>
        <v>1</v>
      </c>
    </row>
    <row r="99" spans="2:4">
      <c r="B99" t="b">
        <f t="shared" si="8"/>
        <v>1</v>
      </c>
      <c r="C99" t="b">
        <f t="shared" si="9"/>
        <v>1</v>
      </c>
      <c r="D99" t="b">
        <f t="shared" si="10"/>
        <v>1</v>
      </c>
    </row>
    <row r="100" spans="2:4">
      <c r="B100" t="b">
        <f t="shared" si="8"/>
        <v>1</v>
      </c>
      <c r="C100" t="b">
        <f t="shared" si="9"/>
        <v>1</v>
      </c>
      <c r="D100" t="b">
        <f t="shared" si="10"/>
        <v>1</v>
      </c>
    </row>
    <row r="101" spans="2:4">
      <c r="B101" t="b">
        <f t="shared" si="8"/>
        <v>1</v>
      </c>
      <c r="C101" t="b">
        <f t="shared" si="9"/>
        <v>1</v>
      </c>
      <c r="D101" t="b">
        <f t="shared" si="10"/>
        <v>1</v>
      </c>
    </row>
    <row r="102" spans="2:4">
      <c r="B102" t="b">
        <f t="shared" si="8"/>
        <v>1</v>
      </c>
      <c r="C102" t="b">
        <f t="shared" si="9"/>
        <v>1</v>
      </c>
      <c r="D102" t="b">
        <f t="shared" si="10"/>
        <v>1</v>
      </c>
    </row>
    <row r="103" spans="2:4">
      <c r="B103" t="b">
        <f t="shared" si="8"/>
        <v>1</v>
      </c>
      <c r="C103" t="b">
        <f t="shared" si="9"/>
        <v>1</v>
      </c>
      <c r="D103" t="b">
        <f t="shared" si="10"/>
        <v>1</v>
      </c>
    </row>
    <row r="104" spans="2:4">
      <c r="B104" t="b">
        <f t="shared" si="8"/>
        <v>1</v>
      </c>
      <c r="C104" t="b">
        <f t="shared" si="9"/>
        <v>1</v>
      </c>
      <c r="D104" t="b">
        <f t="shared" si="10"/>
        <v>1</v>
      </c>
    </row>
    <row r="105" spans="2: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>
      <c r="B114" t="b">
        <f t="shared" ref="B114:B145" si="11">F114=J114</f>
        <v>1</v>
      </c>
      <c r="C114" t="b">
        <f t="shared" ref="C114:C145" si="12">G114=K114</f>
        <v>1</v>
      </c>
      <c r="D114" t="b">
        <f t="shared" ref="D114:D145" si="13">H114=L114</f>
        <v>1</v>
      </c>
    </row>
    <row r="115" spans="2:4">
      <c r="B115" t="b">
        <f t="shared" si="11"/>
        <v>1</v>
      </c>
      <c r="C115" t="b">
        <f t="shared" si="12"/>
        <v>1</v>
      </c>
      <c r="D115" t="b">
        <f t="shared" si="13"/>
        <v>1</v>
      </c>
    </row>
    <row r="116" spans="2:4">
      <c r="B116" t="b">
        <f t="shared" si="11"/>
        <v>1</v>
      </c>
      <c r="C116" t="b">
        <f t="shared" si="12"/>
        <v>1</v>
      </c>
      <c r="D116" t="b">
        <f t="shared" si="13"/>
        <v>1</v>
      </c>
    </row>
    <row r="117" spans="2:4">
      <c r="B117" t="b">
        <f t="shared" si="11"/>
        <v>1</v>
      </c>
      <c r="C117" t="b">
        <f t="shared" si="12"/>
        <v>1</v>
      </c>
      <c r="D117" t="b">
        <f t="shared" si="13"/>
        <v>1</v>
      </c>
    </row>
    <row r="118" spans="2:4">
      <c r="B118" t="b">
        <f t="shared" si="11"/>
        <v>1</v>
      </c>
      <c r="C118" t="b">
        <f t="shared" si="12"/>
        <v>1</v>
      </c>
      <c r="D118" t="b">
        <f t="shared" si="13"/>
        <v>1</v>
      </c>
    </row>
    <row r="119" spans="2:4">
      <c r="B119" t="b">
        <f t="shared" si="11"/>
        <v>1</v>
      </c>
      <c r="C119" t="b">
        <f t="shared" si="12"/>
        <v>1</v>
      </c>
      <c r="D119" t="b">
        <f t="shared" si="13"/>
        <v>1</v>
      </c>
    </row>
    <row r="120" spans="2:4">
      <c r="B120" t="b">
        <f t="shared" si="11"/>
        <v>1</v>
      </c>
      <c r="C120" t="b">
        <f t="shared" si="12"/>
        <v>1</v>
      </c>
      <c r="D120" t="b">
        <f t="shared" si="13"/>
        <v>1</v>
      </c>
    </row>
    <row r="121" spans="2:4">
      <c r="B121" t="b">
        <f t="shared" si="11"/>
        <v>1</v>
      </c>
      <c r="C121" t="b">
        <f t="shared" si="12"/>
        <v>1</v>
      </c>
      <c r="D121" t="b">
        <f t="shared" si="13"/>
        <v>1</v>
      </c>
    </row>
    <row r="122" spans="2:4">
      <c r="B122" t="b">
        <f t="shared" si="11"/>
        <v>1</v>
      </c>
      <c r="C122" t="b">
        <f t="shared" si="12"/>
        <v>1</v>
      </c>
      <c r="D122" t="b">
        <f t="shared" si="13"/>
        <v>1</v>
      </c>
    </row>
    <row r="123" spans="2:4">
      <c r="B123" t="b">
        <f t="shared" si="11"/>
        <v>1</v>
      </c>
      <c r="C123" t="b">
        <f t="shared" si="12"/>
        <v>1</v>
      </c>
      <c r="D123" t="b">
        <f t="shared" si="13"/>
        <v>1</v>
      </c>
    </row>
    <row r="124" spans="2:4">
      <c r="B124" t="b">
        <f t="shared" si="11"/>
        <v>1</v>
      </c>
      <c r="C124" t="b">
        <f t="shared" si="12"/>
        <v>1</v>
      </c>
      <c r="D124" t="b">
        <f t="shared" si="13"/>
        <v>1</v>
      </c>
    </row>
    <row r="125" spans="2:4">
      <c r="B125" t="b">
        <f t="shared" si="11"/>
        <v>1</v>
      </c>
      <c r="C125" t="b">
        <f t="shared" si="12"/>
        <v>1</v>
      </c>
      <c r="D125" t="b">
        <f t="shared" si="13"/>
        <v>1</v>
      </c>
    </row>
    <row r="126" spans="2:4">
      <c r="B126" t="b">
        <f t="shared" si="11"/>
        <v>1</v>
      </c>
      <c r="C126" t="b">
        <f t="shared" si="12"/>
        <v>1</v>
      </c>
      <c r="D126" t="b">
        <f t="shared" si="13"/>
        <v>1</v>
      </c>
    </row>
    <row r="127" spans="2:4">
      <c r="B127" t="b">
        <f t="shared" si="11"/>
        <v>1</v>
      </c>
      <c r="C127" t="b">
        <f t="shared" si="12"/>
        <v>1</v>
      </c>
      <c r="D127" t="b">
        <f t="shared" si="13"/>
        <v>1</v>
      </c>
    </row>
    <row r="128" spans="2:4">
      <c r="B128" t="b">
        <f t="shared" si="11"/>
        <v>1</v>
      </c>
      <c r="C128" t="b">
        <f t="shared" si="12"/>
        <v>1</v>
      </c>
      <c r="D128" t="b">
        <f t="shared" si="13"/>
        <v>1</v>
      </c>
    </row>
    <row r="129" spans="2:4">
      <c r="B129" t="b">
        <f t="shared" si="11"/>
        <v>1</v>
      </c>
      <c r="C129" t="b">
        <f t="shared" si="12"/>
        <v>1</v>
      </c>
      <c r="D129" t="b">
        <f t="shared" si="13"/>
        <v>1</v>
      </c>
    </row>
    <row r="130" spans="2:4">
      <c r="B130" t="b">
        <f t="shared" si="11"/>
        <v>1</v>
      </c>
      <c r="C130" t="b">
        <f t="shared" si="12"/>
        <v>1</v>
      </c>
      <c r="D130" t="b">
        <f t="shared" si="13"/>
        <v>1</v>
      </c>
    </row>
    <row r="131" spans="2:4">
      <c r="B131" t="b">
        <f t="shared" si="11"/>
        <v>1</v>
      </c>
      <c r="C131" t="b">
        <f t="shared" si="12"/>
        <v>1</v>
      </c>
      <c r="D131" t="b">
        <f t="shared" si="13"/>
        <v>1</v>
      </c>
    </row>
    <row r="132" spans="2:4">
      <c r="B132" t="b">
        <f t="shared" si="11"/>
        <v>1</v>
      </c>
      <c r="C132" t="b">
        <f t="shared" si="12"/>
        <v>1</v>
      </c>
      <c r="D132" t="b">
        <f t="shared" si="13"/>
        <v>1</v>
      </c>
    </row>
    <row r="133" spans="2:4">
      <c r="B133" t="b">
        <f t="shared" si="11"/>
        <v>1</v>
      </c>
      <c r="C133" t="b">
        <f t="shared" si="12"/>
        <v>1</v>
      </c>
      <c r="D133" t="b">
        <f t="shared" si="13"/>
        <v>1</v>
      </c>
    </row>
    <row r="134" spans="2: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>
      <c r="B146" t="b">
        <f t="shared" ref="B146:B161" si="14">F146=J146</f>
        <v>1</v>
      </c>
      <c r="C146" t="b">
        <f t="shared" ref="C146:C161" si="15">G146=K146</f>
        <v>1</v>
      </c>
      <c r="D146" t="b">
        <f t="shared" ref="D146:D161" si="16">H146=L146</f>
        <v>1</v>
      </c>
    </row>
    <row r="147" spans="2:4">
      <c r="B147" t="b">
        <f t="shared" si="14"/>
        <v>1</v>
      </c>
      <c r="C147" t="b">
        <f t="shared" si="15"/>
        <v>1</v>
      </c>
      <c r="D147" t="b">
        <f t="shared" si="16"/>
        <v>1</v>
      </c>
    </row>
    <row r="148" spans="2:4">
      <c r="B148" t="b">
        <f t="shared" si="14"/>
        <v>1</v>
      </c>
      <c r="C148" t="b">
        <f t="shared" si="15"/>
        <v>1</v>
      </c>
      <c r="D148" t="b">
        <f t="shared" si="16"/>
        <v>1</v>
      </c>
    </row>
    <row r="149" spans="2:4">
      <c r="B149" t="b">
        <f t="shared" si="14"/>
        <v>1</v>
      </c>
      <c r="C149" t="b">
        <f t="shared" si="15"/>
        <v>1</v>
      </c>
      <c r="D149" t="b">
        <f t="shared" si="16"/>
        <v>1</v>
      </c>
    </row>
    <row r="150" spans="2:4">
      <c r="B150" t="b">
        <f t="shared" si="14"/>
        <v>1</v>
      </c>
      <c r="C150" t="b">
        <f t="shared" si="15"/>
        <v>1</v>
      </c>
      <c r="D150" t="b">
        <f t="shared" si="16"/>
        <v>1</v>
      </c>
    </row>
    <row r="151" spans="2:4">
      <c r="B151" t="b">
        <f t="shared" si="14"/>
        <v>1</v>
      </c>
      <c r="C151" t="b">
        <f t="shared" si="15"/>
        <v>1</v>
      </c>
      <c r="D151" t="b">
        <f t="shared" si="16"/>
        <v>1</v>
      </c>
    </row>
    <row r="152" spans="2:4">
      <c r="B152" t="b">
        <f t="shared" si="14"/>
        <v>1</v>
      </c>
      <c r="C152" t="b">
        <f t="shared" si="15"/>
        <v>1</v>
      </c>
      <c r="D152" t="b">
        <f t="shared" si="16"/>
        <v>1</v>
      </c>
    </row>
    <row r="153" spans="2:4">
      <c r="B153" t="b">
        <f t="shared" si="14"/>
        <v>1</v>
      </c>
      <c r="C153" t="b">
        <f t="shared" si="15"/>
        <v>1</v>
      </c>
      <c r="D153" t="b">
        <f t="shared" si="16"/>
        <v>1</v>
      </c>
    </row>
    <row r="154" spans="2:4">
      <c r="B154" t="b">
        <f t="shared" si="14"/>
        <v>1</v>
      </c>
      <c r="C154" t="b">
        <f t="shared" si="15"/>
        <v>1</v>
      </c>
      <c r="D154" t="b">
        <f t="shared" si="16"/>
        <v>1</v>
      </c>
    </row>
    <row r="155" spans="2:4">
      <c r="B155" t="b">
        <f t="shared" si="14"/>
        <v>1</v>
      </c>
      <c r="C155" t="b">
        <f t="shared" si="15"/>
        <v>1</v>
      </c>
      <c r="D155" t="b">
        <f t="shared" si="16"/>
        <v>1</v>
      </c>
    </row>
    <row r="156" spans="2:4">
      <c r="B156" t="b">
        <f t="shared" si="14"/>
        <v>1</v>
      </c>
      <c r="C156" t="b">
        <f t="shared" si="15"/>
        <v>1</v>
      </c>
      <c r="D156" t="b">
        <f t="shared" si="16"/>
        <v>1</v>
      </c>
    </row>
    <row r="157" spans="2:4">
      <c r="B157" t="b">
        <f t="shared" si="14"/>
        <v>1</v>
      </c>
      <c r="C157" t="b">
        <f t="shared" si="15"/>
        <v>1</v>
      </c>
      <c r="D157" t="b">
        <f t="shared" si="16"/>
        <v>1</v>
      </c>
    </row>
    <row r="158" spans="2:4">
      <c r="B158" t="b">
        <f t="shared" si="14"/>
        <v>1</v>
      </c>
      <c r="C158" t="b">
        <f t="shared" si="15"/>
        <v>1</v>
      </c>
      <c r="D158" t="b">
        <f t="shared" si="16"/>
        <v>1</v>
      </c>
    </row>
    <row r="159" spans="2:4">
      <c r="B159" t="b">
        <f t="shared" si="14"/>
        <v>1</v>
      </c>
      <c r="C159" t="b">
        <f t="shared" si="15"/>
        <v>1</v>
      </c>
      <c r="D159" t="b">
        <f t="shared" si="16"/>
        <v>1</v>
      </c>
    </row>
    <row r="160" spans="2:4">
      <c r="B160" t="b">
        <f t="shared" si="14"/>
        <v>1</v>
      </c>
      <c r="C160" t="b">
        <f t="shared" si="15"/>
        <v>1</v>
      </c>
      <c r="D160" t="b">
        <f t="shared" si="16"/>
        <v>1</v>
      </c>
    </row>
    <row r="161" spans="2:4">
      <c r="B161" t="b">
        <f t="shared" si="14"/>
        <v>1</v>
      </c>
      <c r="C161" t="b">
        <f t="shared" si="15"/>
        <v>1</v>
      </c>
      <c r="D161" t="b">
        <f t="shared" si="16"/>
        <v>1</v>
      </c>
    </row>
    <row r="162" spans="2:4">
      <c r="B162" t="b">
        <f t="shared" ref="B162:B196" si="17">F162=J162</f>
        <v>1</v>
      </c>
      <c r="C162" t="b">
        <f t="shared" ref="C162:C196" si="18">G162=K162</f>
        <v>1</v>
      </c>
      <c r="D162" t="b">
        <f t="shared" ref="D162:D196" si="19">H162=L162</f>
        <v>1</v>
      </c>
    </row>
    <row r="163" spans="2:4">
      <c r="B163" t="b">
        <f t="shared" si="17"/>
        <v>1</v>
      </c>
      <c r="C163" t="b">
        <f t="shared" si="18"/>
        <v>1</v>
      </c>
      <c r="D163" t="b">
        <f t="shared" si="19"/>
        <v>1</v>
      </c>
    </row>
    <row r="164" spans="2:4">
      <c r="B164" t="b">
        <f t="shared" si="17"/>
        <v>1</v>
      </c>
      <c r="C164" t="b">
        <f t="shared" si="18"/>
        <v>1</v>
      </c>
      <c r="D164" t="b">
        <f t="shared" si="19"/>
        <v>1</v>
      </c>
    </row>
    <row r="165" spans="2:4">
      <c r="B165" t="b">
        <f t="shared" si="17"/>
        <v>1</v>
      </c>
      <c r="C165" t="b">
        <f t="shared" si="18"/>
        <v>1</v>
      </c>
      <c r="D165" t="b">
        <f t="shared" si="19"/>
        <v>1</v>
      </c>
    </row>
    <row r="166" spans="2:4">
      <c r="B166" t="b">
        <f t="shared" si="17"/>
        <v>1</v>
      </c>
      <c r="C166" t="b">
        <f t="shared" si="18"/>
        <v>1</v>
      </c>
      <c r="D166" t="b">
        <f t="shared" si="19"/>
        <v>1</v>
      </c>
    </row>
    <row r="167" spans="2:4">
      <c r="B167" t="b">
        <f t="shared" si="17"/>
        <v>1</v>
      </c>
      <c r="C167" t="b">
        <f t="shared" si="18"/>
        <v>1</v>
      </c>
      <c r="D167" t="b">
        <f t="shared" si="19"/>
        <v>1</v>
      </c>
    </row>
    <row r="168" spans="2:4">
      <c r="B168" t="b">
        <f t="shared" si="17"/>
        <v>1</v>
      </c>
      <c r="C168" t="b">
        <f t="shared" si="18"/>
        <v>1</v>
      </c>
      <c r="D168" t="b">
        <f t="shared" si="19"/>
        <v>1</v>
      </c>
    </row>
    <row r="169" spans="2:4">
      <c r="B169" t="b">
        <f t="shared" si="17"/>
        <v>1</v>
      </c>
      <c r="C169" t="b">
        <f t="shared" si="18"/>
        <v>1</v>
      </c>
      <c r="D169" t="b">
        <f t="shared" si="19"/>
        <v>1</v>
      </c>
    </row>
    <row r="170" spans="2:4">
      <c r="B170" t="b">
        <f t="shared" si="17"/>
        <v>1</v>
      </c>
      <c r="C170" t="b">
        <f t="shared" si="18"/>
        <v>1</v>
      </c>
      <c r="D170" t="b">
        <f t="shared" si="19"/>
        <v>1</v>
      </c>
    </row>
    <row r="171" spans="2:4">
      <c r="B171" t="b">
        <f t="shared" si="17"/>
        <v>1</v>
      </c>
      <c r="C171" t="b">
        <f t="shared" si="18"/>
        <v>1</v>
      </c>
      <c r="D171" t="b">
        <f t="shared" si="19"/>
        <v>1</v>
      </c>
    </row>
    <row r="172" spans="2:4">
      <c r="B172" t="b">
        <f t="shared" si="17"/>
        <v>1</v>
      </c>
      <c r="C172" t="b">
        <f t="shared" si="18"/>
        <v>1</v>
      </c>
      <c r="D172" t="b">
        <f t="shared" si="19"/>
        <v>1</v>
      </c>
    </row>
    <row r="173" spans="2:4">
      <c r="B173" t="b">
        <f t="shared" si="17"/>
        <v>1</v>
      </c>
      <c r="C173" t="b">
        <f t="shared" si="18"/>
        <v>1</v>
      </c>
      <c r="D173" t="b">
        <f t="shared" si="19"/>
        <v>1</v>
      </c>
    </row>
    <row r="174" spans="2:4">
      <c r="B174" t="b">
        <f t="shared" si="17"/>
        <v>1</v>
      </c>
      <c r="C174" t="b">
        <f t="shared" si="18"/>
        <v>1</v>
      </c>
      <c r="D174" t="b">
        <f t="shared" si="19"/>
        <v>1</v>
      </c>
    </row>
    <row r="175" spans="2:4">
      <c r="B175" t="b">
        <f t="shared" si="17"/>
        <v>1</v>
      </c>
      <c r="C175" t="b">
        <f t="shared" si="18"/>
        <v>1</v>
      </c>
      <c r="D175" t="b">
        <f t="shared" si="19"/>
        <v>1</v>
      </c>
    </row>
    <row r="176" spans="2:4">
      <c r="B176" t="b">
        <f t="shared" si="17"/>
        <v>1</v>
      </c>
      <c r="C176" t="b">
        <f t="shared" si="18"/>
        <v>1</v>
      </c>
      <c r="D176" t="b">
        <f t="shared" si="19"/>
        <v>1</v>
      </c>
    </row>
    <row r="177" spans="2:4">
      <c r="B177" t="b">
        <f t="shared" si="17"/>
        <v>1</v>
      </c>
      <c r="C177" t="b">
        <f t="shared" si="18"/>
        <v>1</v>
      </c>
      <c r="D177" t="b">
        <f t="shared" si="19"/>
        <v>1</v>
      </c>
    </row>
    <row r="178" spans="2:4">
      <c r="B178" t="b">
        <f t="shared" si="17"/>
        <v>1</v>
      </c>
      <c r="C178" t="b">
        <f t="shared" si="18"/>
        <v>1</v>
      </c>
      <c r="D178" t="b">
        <f t="shared" si="19"/>
        <v>1</v>
      </c>
    </row>
    <row r="179" spans="2:4">
      <c r="B179" t="b">
        <f t="shared" si="17"/>
        <v>1</v>
      </c>
      <c r="C179" t="b">
        <f t="shared" si="18"/>
        <v>1</v>
      </c>
      <c r="D179" t="b">
        <f t="shared" si="19"/>
        <v>1</v>
      </c>
    </row>
    <row r="180" spans="2:4">
      <c r="B180" t="b">
        <f t="shared" si="17"/>
        <v>1</v>
      </c>
      <c r="C180" t="b">
        <f t="shared" si="18"/>
        <v>1</v>
      </c>
      <c r="D180" t="b">
        <f t="shared" si="19"/>
        <v>1</v>
      </c>
    </row>
    <row r="181" spans="2:4">
      <c r="B181" t="b">
        <f t="shared" si="17"/>
        <v>1</v>
      </c>
      <c r="C181" t="b">
        <f t="shared" si="18"/>
        <v>1</v>
      </c>
      <c r="D181" t="b">
        <f t="shared" si="19"/>
        <v>1</v>
      </c>
    </row>
    <row r="182" spans="2:4">
      <c r="B182" t="b">
        <f t="shared" si="17"/>
        <v>1</v>
      </c>
      <c r="C182" t="b">
        <f t="shared" si="18"/>
        <v>1</v>
      </c>
      <c r="D182" t="b">
        <f t="shared" si="19"/>
        <v>1</v>
      </c>
    </row>
    <row r="183" spans="2:4">
      <c r="B183" t="b">
        <f t="shared" si="17"/>
        <v>1</v>
      </c>
      <c r="C183" t="b">
        <f t="shared" si="18"/>
        <v>1</v>
      </c>
      <c r="D183" t="b">
        <f t="shared" si="19"/>
        <v>1</v>
      </c>
    </row>
    <row r="184" spans="2:4">
      <c r="B184" t="b">
        <f t="shared" si="17"/>
        <v>1</v>
      </c>
      <c r="C184" t="b">
        <f t="shared" si="18"/>
        <v>1</v>
      </c>
      <c r="D184" t="b">
        <f t="shared" si="19"/>
        <v>1</v>
      </c>
    </row>
    <row r="185" spans="2:4">
      <c r="B185" t="b">
        <f t="shared" si="17"/>
        <v>1</v>
      </c>
      <c r="C185" t="b">
        <f t="shared" si="18"/>
        <v>1</v>
      </c>
      <c r="D185" t="b">
        <f t="shared" si="19"/>
        <v>1</v>
      </c>
    </row>
    <row r="186" spans="2:4">
      <c r="B186" t="b">
        <f t="shared" si="17"/>
        <v>1</v>
      </c>
      <c r="C186" t="b">
        <f t="shared" si="18"/>
        <v>1</v>
      </c>
      <c r="D186" t="b">
        <f t="shared" si="19"/>
        <v>1</v>
      </c>
    </row>
    <row r="187" spans="2:4">
      <c r="B187" t="b">
        <f t="shared" si="17"/>
        <v>1</v>
      </c>
      <c r="C187" t="b">
        <f t="shared" si="18"/>
        <v>1</v>
      </c>
      <c r="D187" t="b">
        <f t="shared" si="19"/>
        <v>1</v>
      </c>
    </row>
    <row r="188" spans="2:4">
      <c r="B188" t="b">
        <f t="shared" si="17"/>
        <v>1</v>
      </c>
      <c r="C188" t="b">
        <f t="shared" si="18"/>
        <v>1</v>
      </c>
      <c r="D188" t="b">
        <f t="shared" si="19"/>
        <v>1</v>
      </c>
    </row>
    <row r="189" spans="2:4">
      <c r="B189" t="b">
        <f t="shared" si="17"/>
        <v>1</v>
      </c>
      <c r="C189" t="b">
        <f t="shared" si="18"/>
        <v>1</v>
      </c>
      <c r="D189" t="b">
        <f t="shared" si="19"/>
        <v>1</v>
      </c>
    </row>
    <row r="190" spans="2:4">
      <c r="B190" t="b">
        <f t="shared" si="17"/>
        <v>1</v>
      </c>
      <c r="C190" t="b">
        <f t="shared" si="18"/>
        <v>1</v>
      </c>
      <c r="D190" t="b">
        <f t="shared" si="19"/>
        <v>1</v>
      </c>
    </row>
    <row r="191" spans="2:4">
      <c r="B191" t="b">
        <f t="shared" si="17"/>
        <v>1</v>
      </c>
      <c r="C191" t="b">
        <f t="shared" si="18"/>
        <v>1</v>
      </c>
      <c r="D191" t="b">
        <f t="shared" si="19"/>
        <v>1</v>
      </c>
    </row>
    <row r="192" spans="2:4">
      <c r="B192" t="b">
        <f t="shared" si="17"/>
        <v>1</v>
      </c>
      <c r="C192" t="b">
        <f t="shared" si="18"/>
        <v>1</v>
      </c>
      <c r="D192" t="b">
        <f t="shared" si="19"/>
        <v>1</v>
      </c>
    </row>
    <row r="193" spans="2:4">
      <c r="B193" t="b">
        <f t="shared" si="17"/>
        <v>1</v>
      </c>
      <c r="C193" t="b">
        <f t="shared" si="18"/>
        <v>1</v>
      </c>
      <c r="D193" t="b">
        <f t="shared" si="19"/>
        <v>1</v>
      </c>
    </row>
    <row r="194" spans="2:4">
      <c r="B194" t="b">
        <f t="shared" si="17"/>
        <v>1</v>
      </c>
      <c r="C194" t="b">
        <f t="shared" si="18"/>
        <v>1</v>
      </c>
      <c r="D194" t="b">
        <f t="shared" si="19"/>
        <v>1</v>
      </c>
    </row>
    <row r="195" spans="2:4">
      <c r="B195" t="b">
        <f t="shared" si="17"/>
        <v>1</v>
      </c>
      <c r="C195" t="b">
        <f t="shared" si="18"/>
        <v>1</v>
      </c>
      <c r="D195" t="b">
        <f t="shared" si="19"/>
        <v>1</v>
      </c>
    </row>
    <row r="196" spans="2:4">
      <c r="B196" t="b">
        <f t="shared" si="17"/>
        <v>1</v>
      </c>
      <c r="C196" t="b">
        <f t="shared" si="18"/>
        <v>1</v>
      </c>
      <c r="D196" t="b">
        <f t="shared" si="19"/>
        <v>1</v>
      </c>
    </row>
    <row r="197" spans="2:4">
      <c r="B197" t="b">
        <f t="shared" ref="B197:B260" si="20">F197=J197</f>
        <v>1</v>
      </c>
      <c r="C197" t="b">
        <f t="shared" ref="C197:C260" si="21">G197=K197</f>
        <v>1</v>
      </c>
      <c r="D197" t="b">
        <f t="shared" ref="D197:D260" si="22">H197=L197</f>
        <v>1</v>
      </c>
    </row>
    <row r="198" spans="2:4">
      <c r="B198" t="b">
        <f t="shared" si="20"/>
        <v>1</v>
      </c>
      <c r="C198" t="b">
        <f t="shared" si="21"/>
        <v>1</v>
      </c>
      <c r="D198" t="b">
        <f t="shared" si="22"/>
        <v>1</v>
      </c>
    </row>
    <row r="199" spans="2:4">
      <c r="B199" t="b">
        <f t="shared" si="20"/>
        <v>1</v>
      </c>
      <c r="C199" t="b">
        <f t="shared" si="21"/>
        <v>1</v>
      </c>
      <c r="D199" t="b">
        <f t="shared" si="22"/>
        <v>1</v>
      </c>
    </row>
    <row r="200" spans="2:4">
      <c r="B200" t="b">
        <f t="shared" si="20"/>
        <v>1</v>
      </c>
      <c r="C200" t="b">
        <f t="shared" si="21"/>
        <v>1</v>
      </c>
      <c r="D200" t="b">
        <f t="shared" si="22"/>
        <v>1</v>
      </c>
    </row>
    <row r="201" spans="2:4">
      <c r="B201" t="b">
        <f t="shared" si="20"/>
        <v>1</v>
      </c>
      <c r="C201" t="b">
        <f t="shared" si="21"/>
        <v>1</v>
      </c>
      <c r="D201" t="b">
        <f t="shared" si="22"/>
        <v>1</v>
      </c>
    </row>
    <row r="202" spans="2:4">
      <c r="B202" t="b">
        <f t="shared" si="20"/>
        <v>1</v>
      </c>
      <c r="C202" t="b">
        <f t="shared" si="21"/>
        <v>1</v>
      </c>
      <c r="D202" t="b">
        <f t="shared" si="22"/>
        <v>1</v>
      </c>
    </row>
    <row r="203" spans="2:4">
      <c r="B203" t="b">
        <f t="shared" si="20"/>
        <v>1</v>
      </c>
      <c r="C203" t="b">
        <f t="shared" si="21"/>
        <v>1</v>
      </c>
      <c r="D203" t="b">
        <f t="shared" si="22"/>
        <v>1</v>
      </c>
    </row>
    <row r="204" spans="2:4">
      <c r="B204" t="b">
        <f t="shared" si="20"/>
        <v>1</v>
      </c>
      <c r="C204" t="b">
        <f t="shared" si="21"/>
        <v>1</v>
      </c>
      <c r="D204" t="b">
        <f t="shared" si="22"/>
        <v>1</v>
      </c>
    </row>
    <row r="205" spans="2:4">
      <c r="B205" t="b">
        <f t="shared" si="20"/>
        <v>1</v>
      </c>
      <c r="C205" t="b">
        <f t="shared" si="21"/>
        <v>1</v>
      </c>
      <c r="D205" t="b">
        <f t="shared" si="22"/>
        <v>1</v>
      </c>
    </row>
    <row r="206" spans="2:4">
      <c r="B206" t="b">
        <f t="shared" si="20"/>
        <v>1</v>
      </c>
      <c r="C206" t="b">
        <f t="shared" si="21"/>
        <v>1</v>
      </c>
      <c r="D206" t="b">
        <f t="shared" si="22"/>
        <v>1</v>
      </c>
    </row>
    <row r="207" spans="2:4">
      <c r="B207" t="b">
        <f t="shared" si="20"/>
        <v>1</v>
      </c>
      <c r="C207" t="b">
        <f t="shared" si="21"/>
        <v>1</v>
      </c>
      <c r="D207" t="b">
        <f t="shared" si="22"/>
        <v>1</v>
      </c>
    </row>
    <row r="208" spans="2:4">
      <c r="B208" t="b">
        <f t="shared" si="20"/>
        <v>1</v>
      </c>
      <c r="C208" t="b">
        <f t="shared" si="21"/>
        <v>1</v>
      </c>
      <c r="D208" t="b">
        <f t="shared" si="22"/>
        <v>1</v>
      </c>
    </row>
    <row r="209" spans="2:4">
      <c r="B209" t="b">
        <f t="shared" si="20"/>
        <v>1</v>
      </c>
      <c r="C209" t="b">
        <f t="shared" si="21"/>
        <v>1</v>
      </c>
      <c r="D209" t="b">
        <f t="shared" si="22"/>
        <v>1</v>
      </c>
    </row>
    <row r="210" spans="2:4">
      <c r="B210" t="b">
        <f t="shared" si="20"/>
        <v>1</v>
      </c>
      <c r="C210" t="b">
        <f t="shared" si="21"/>
        <v>1</v>
      </c>
      <c r="D210" t="b">
        <f t="shared" si="22"/>
        <v>1</v>
      </c>
    </row>
    <row r="211" spans="2:4">
      <c r="B211" t="b">
        <f t="shared" si="20"/>
        <v>1</v>
      </c>
      <c r="C211" t="b">
        <f t="shared" si="21"/>
        <v>1</v>
      </c>
      <c r="D211" t="b">
        <f t="shared" si="22"/>
        <v>1</v>
      </c>
    </row>
    <row r="212" spans="2:4">
      <c r="B212" t="b">
        <f t="shared" si="20"/>
        <v>1</v>
      </c>
      <c r="C212" t="b">
        <f t="shared" si="21"/>
        <v>1</v>
      </c>
      <c r="D212" t="b">
        <f t="shared" si="22"/>
        <v>1</v>
      </c>
    </row>
    <row r="213" spans="2:4">
      <c r="B213" t="b">
        <f t="shared" si="20"/>
        <v>1</v>
      </c>
      <c r="C213" t="b">
        <f t="shared" si="21"/>
        <v>1</v>
      </c>
      <c r="D213" t="b">
        <f t="shared" si="22"/>
        <v>1</v>
      </c>
    </row>
    <row r="214" spans="2:4">
      <c r="B214" t="b">
        <f t="shared" si="20"/>
        <v>1</v>
      </c>
      <c r="C214" t="b">
        <f t="shared" si="21"/>
        <v>1</v>
      </c>
      <c r="D214" t="b">
        <f t="shared" si="22"/>
        <v>1</v>
      </c>
    </row>
    <row r="215" spans="2:4">
      <c r="B215" t="b">
        <f t="shared" si="20"/>
        <v>1</v>
      </c>
      <c r="C215" t="b">
        <f t="shared" si="21"/>
        <v>1</v>
      </c>
      <c r="D215" t="b">
        <f t="shared" si="22"/>
        <v>1</v>
      </c>
    </row>
    <row r="216" spans="2:4">
      <c r="B216" t="b">
        <f t="shared" si="20"/>
        <v>1</v>
      </c>
      <c r="C216" t="b">
        <f t="shared" si="21"/>
        <v>1</v>
      </c>
      <c r="D216" t="b">
        <f t="shared" si="22"/>
        <v>1</v>
      </c>
    </row>
    <row r="217" spans="2:4">
      <c r="B217" t="b">
        <f t="shared" si="20"/>
        <v>1</v>
      </c>
      <c r="C217" t="b">
        <f t="shared" si="21"/>
        <v>1</v>
      </c>
      <c r="D217" t="b">
        <f t="shared" si="22"/>
        <v>1</v>
      </c>
    </row>
    <row r="218" spans="2:4">
      <c r="B218" t="b">
        <f t="shared" si="20"/>
        <v>1</v>
      </c>
      <c r="C218" t="b">
        <f t="shared" si="21"/>
        <v>1</v>
      </c>
      <c r="D218" t="b">
        <f t="shared" si="22"/>
        <v>1</v>
      </c>
    </row>
    <row r="219" spans="2:4">
      <c r="B219" t="b">
        <f t="shared" si="20"/>
        <v>1</v>
      </c>
      <c r="C219" t="b">
        <f t="shared" si="21"/>
        <v>1</v>
      </c>
      <c r="D219" t="b">
        <f t="shared" si="22"/>
        <v>1</v>
      </c>
    </row>
    <row r="220" spans="2:4">
      <c r="B220" t="b">
        <f t="shared" si="20"/>
        <v>1</v>
      </c>
      <c r="C220" t="b">
        <f t="shared" si="21"/>
        <v>1</v>
      </c>
      <c r="D220" t="b">
        <f t="shared" si="22"/>
        <v>1</v>
      </c>
    </row>
    <row r="221" spans="2:4">
      <c r="B221" t="b">
        <f t="shared" si="20"/>
        <v>1</v>
      </c>
      <c r="C221" t="b">
        <f t="shared" si="21"/>
        <v>1</v>
      </c>
      <c r="D221" t="b">
        <f t="shared" si="22"/>
        <v>1</v>
      </c>
    </row>
    <row r="222" spans="2:4">
      <c r="B222" t="b">
        <f t="shared" si="20"/>
        <v>1</v>
      </c>
      <c r="C222" t="b">
        <f t="shared" si="21"/>
        <v>1</v>
      </c>
      <c r="D222" t="b">
        <f t="shared" si="22"/>
        <v>1</v>
      </c>
    </row>
    <row r="223" spans="2:4">
      <c r="B223" t="b">
        <f t="shared" si="20"/>
        <v>1</v>
      </c>
      <c r="C223" t="b">
        <f t="shared" si="21"/>
        <v>1</v>
      </c>
      <c r="D223" t="b">
        <f t="shared" si="22"/>
        <v>1</v>
      </c>
    </row>
    <row r="224" spans="2:4">
      <c r="B224" t="b">
        <f t="shared" si="20"/>
        <v>1</v>
      </c>
      <c r="C224" t="b">
        <f t="shared" si="21"/>
        <v>1</v>
      </c>
      <c r="D224" t="b">
        <f t="shared" si="22"/>
        <v>1</v>
      </c>
    </row>
    <row r="225" spans="2:4">
      <c r="B225" t="b">
        <f t="shared" si="20"/>
        <v>1</v>
      </c>
      <c r="C225" t="b">
        <f t="shared" si="21"/>
        <v>1</v>
      </c>
      <c r="D225" t="b">
        <f t="shared" si="22"/>
        <v>1</v>
      </c>
    </row>
    <row r="226" spans="2:4">
      <c r="B226" t="b">
        <f t="shared" si="20"/>
        <v>1</v>
      </c>
      <c r="C226" t="b">
        <f t="shared" si="21"/>
        <v>1</v>
      </c>
      <c r="D226" t="b">
        <f t="shared" si="22"/>
        <v>1</v>
      </c>
    </row>
    <row r="227" spans="2:4">
      <c r="B227" t="b">
        <f t="shared" si="20"/>
        <v>1</v>
      </c>
      <c r="C227" t="b">
        <f t="shared" si="21"/>
        <v>1</v>
      </c>
      <c r="D227" t="b">
        <f t="shared" si="22"/>
        <v>1</v>
      </c>
    </row>
    <row r="228" spans="2:4">
      <c r="B228" t="b">
        <f t="shared" si="20"/>
        <v>1</v>
      </c>
      <c r="C228" t="b">
        <f t="shared" si="21"/>
        <v>1</v>
      </c>
      <c r="D228" t="b">
        <f t="shared" si="22"/>
        <v>1</v>
      </c>
    </row>
    <row r="229" spans="2:4">
      <c r="B229" t="b">
        <f t="shared" si="20"/>
        <v>1</v>
      </c>
      <c r="C229" t="b">
        <f t="shared" si="21"/>
        <v>1</v>
      </c>
      <c r="D229" t="b">
        <f t="shared" si="22"/>
        <v>1</v>
      </c>
    </row>
    <row r="230" spans="2:4">
      <c r="B230" t="b">
        <f t="shared" si="20"/>
        <v>1</v>
      </c>
      <c r="C230" t="b">
        <f t="shared" si="21"/>
        <v>1</v>
      </c>
      <c r="D230" t="b">
        <f t="shared" si="22"/>
        <v>1</v>
      </c>
    </row>
    <row r="231" spans="2:4">
      <c r="B231" t="b">
        <f t="shared" si="20"/>
        <v>1</v>
      </c>
      <c r="C231" t="b">
        <f t="shared" si="21"/>
        <v>1</v>
      </c>
      <c r="D231" t="b">
        <f t="shared" si="22"/>
        <v>1</v>
      </c>
    </row>
    <row r="232" spans="2:4">
      <c r="B232" t="b">
        <f t="shared" si="20"/>
        <v>1</v>
      </c>
      <c r="C232" t="b">
        <f t="shared" si="21"/>
        <v>1</v>
      </c>
      <c r="D232" t="b">
        <f t="shared" si="22"/>
        <v>1</v>
      </c>
    </row>
    <row r="233" spans="2:4">
      <c r="B233" t="b">
        <f t="shared" si="20"/>
        <v>1</v>
      </c>
      <c r="C233" t="b">
        <f t="shared" si="21"/>
        <v>1</v>
      </c>
      <c r="D233" t="b">
        <f t="shared" si="22"/>
        <v>1</v>
      </c>
    </row>
    <row r="234" spans="2:4">
      <c r="B234" t="b">
        <f t="shared" si="20"/>
        <v>1</v>
      </c>
      <c r="C234" t="b">
        <f t="shared" si="21"/>
        <v>1</v>
      </c>
      <c r="D234" t="b">
        <f t="shared" si="22"/>
        <v>1</v>
      </c>
    </row>
    <row r="235" spans="2:4">
      <c r="B235" t="b">
        <f t="shared" si="20"/>
        <v>1</v>
      </c>
      <c r="C235" t="b">
        <f t="shared" si="21"/>
        <v>1</v>
      </c>
      <c r="D235" t="b">
        <f t="shared" si="22"/>
        <v>1</v>
      </c>
    </row>
    <row r="236" spans="2:4">
      <c r="B236" t="b">
        <f t="shared" si="20"/>
        <v>1</v>
      </c>
      <c r="C236" t="b">
        <f t="shared" si="21"/>
        <v>1</v>
      </c>
      <c r="D236" t="b">
        <f t="shared" si="22"/>
        <v>1</v>
      </c>
    </row>
    <row r="237" spans="2:4">
      <c r="B237" t="b">
        <f t="shared" si="20"/>
        <v>1</v>
      </c>
      <c r="C237" t="b">
        <f t="shared" si="21"/>
        <v>1</v>
      </c>
      <c r="D237" t="b">
        <f t="shared" si="22"/>
        <v>1</v>
      </c>
    </row>
    <row r="238" spans="2:4">
      <c r="B238" t="b">
        <f t="shared" si="20"/>
        <v>1</v>
      </c>
      <c r="C238" t="b">
        <f t="shared" si="21"/>
        <v>1</v>
      </c>
      <c r="D238" t="b">
        <f t="shared" si="22"/>
        <v>1</v>
      </c>
    </row>
    <row r="239" spans="2:4">
      <c r="B239" t="b">
        <f t="shared" si="20"/>
        <v>1</v>
      </c>
      <c r="C239" t="b">
        <f t="shared" si="21"/>
        <v>1</v>
      </c>
      <c r="D239" t="b">
        <f t="shared" si="22"/>
        <v>1</v>
      </c>
    </row>
    <row r="240" spans="2:4">
      <c r="B240" t="b">
        <f t="shared" si="20"/>
        <v>1</v>
      </c>
      <c r="C240" t="b">
        <f t="shared" si="21"/>
        <v>1</v>
      </c>
      <c r="D240" t="b">
        <f t="shared" si="22"/>
        <v>1</v>
      </c>
    </row>
    <row r="241" spans="2:4">
      <c r="B241" t="b">
        <f t="shared" si="20"/>
        <v>1</v>
      </c>
      <c r="C241" t="b">
        <f t="shared" si="21"/>
        <v>1</v>
      </c>
      <c r="D241" t="b">
        <f t="shared" si="22"/>
        <v>1</v>
      </c>
    </row>
    <row r="242" spans="2:4">
      <c r="B242" t="b">
        <f t="shared" si="20"/>
        <v>1</v>
      </c>
      <c r="C242" t="b">
        <f t="shared" si="21"/>
        <v>1</v>
      </c>
      <c r="D242" t="b">
        <f t="shared" si="22"/>
        <v>1</v>
      </c>
    </row>
    <row r="243" spans="2:4">
      <c r="B243" t="b">
        <f t="shared" si="20"/>
        <v>1</v>
      </c>
      <c r="C243" t="b">
        <f t="shared" si="21"/>
        <v>1</v>
      </c>
      <c r="D243" t="b">
        <f t="shared" si="22"/>
        <v>1</v>
      </c>
    </row>
    <row r="244" spans="2:4">
      <c r="B244" t="b">
        <f t="shared" si="20"/>
        <v>1</v>
      </c>
      <c r="C244" t="b">
        <f t="shared" si="21"/>
        <v>1</v>
      </c>
      <c r="D244" t="b">
        <f t="shared" si="22"/>
        <v>1</v>
      </c>
    </row>
    <row r="245" spans="2:4">
      <c r="B245" t="b">
        <f t="shared" si="20"/>
        <v>1</v>
      </c>
      <c r="C245" t="b">
        <f t="shared" si="21"/>
        <v>1</v>
      </c>
      <c r="D245" t="b">
        <f t="shared" si="22"/>
        <v>1</v>
      </c>
    </row>
    <row r="246" spans="2:4">
      <c r="B246" t="b">
        <f t="shared" si="20"/>
        <v>1</v>
      </c>
      <c r="C246" t="b">
        <f t="shared" si="21"/>
        <v>1</v>
      </c>
      <c r="D246" t="b">
        <f t="shared" si="22"/>
        <v>1</v>
      </c>
    </row>
    <row r="247" spans="2:4">
      <c r="B247" t="b">
        <f t="shared" si="20"/>
        <v>1</v>
      </c>
      <c r="C247" t="b">
        <f t="shared" si="21"/>
        <v>1</v>
      </c>
      <c r="D247" t="b">
        <f t="shared" si="22"/>
        <v>1</v>
      </c>
    </row>
    <row r="248" spans="2:4">
      <c r="B248" t="b">
        <f t="shared" si="20"/>
        <v>1</v>
      </c>
      <c r="C248" t="b">
        <f t="shared" si="21"/>
        <v>1</v>
      </c>
      <c r="D248" t="b">
        <f t="shared" si="22"/>
        <v>1</v>
      </c>
    </row>
    <row r="249" spans="2:4">
      <c r="B249" t="b">
        <f t="shared" si="20"/>
        <v>1</v>
      </c>
      <c r="C249" t="b">
        <f t="shared" si="21"/>
        <v>1</v>
      </c>
      <c r="D249" t="b">
        <f t="shared" si="22"/>
        <v>1</v>
      </c>
    </row>
    <row r="250" spans="2:4">
      <c r="B250" t="b">
        <f t="shared" si="20"/>
        <v>1</v>
      </c>
      <c r="C250" t="b">
        <f t="shared" si="21"/>
        <v>1</v>
      </c>
      <c r="D250" t="b">
        <f t="shared" si="22"/>
        <v>1</v>
      </c>
    </row>
    <row r="251" spans="2:4">
      <c r="B251" t="b">
        <f t="shared" si="20"/>
        <v>1</v>
      </c>
      <c r="C251" t="b">
        <f t="shared" si="21"/>
        <v>1</v>
      </c>
      <c r="D251" t="b">
        <f t="shared" si="22"/>
        <v>1</v>
      </c>
    </row>
    <row r="252" spans="2:4">
      <c r="B252" t="b">
        <f t="shared" si="20"/>
        <v>1</v>
      </c>
      <c r="C252" t="b">
        <f t="shared" si="21"/>
        <v>1</v>
      </c>
      <c r="D252" t="b">
        <f t="shared" si="22"/>
        <v>1</v>
      </c>
    </row>
    <row r="253" spans="2:4">
      <c r="B253" t="b">
        <f t="shared" si="20"/>
        <v>1</v>
      </c>
      <c r="C253" t="b">
        <f t="shared" si="21"/>
        <v>1</v>
      </c>
      <c r="D253" t="b">
        <f t="shared" si="22"/>
        <v>1</v>
      </c>
    </row>
    <row r="254" spans="2:4">
      <c r="B254" t="b">
        <f t="shared" si="20"/>
        <v>1</v>
      </c>
      <c r="C254" t="b">
        <f t="shared" si="21"/>
        <v>1</v>
      </c>
      <c r="D254" t="b">
        <f t="shared" si="22"/>
        <v>1</v>
      </c>
    </row>
    <row r="255" spans="2:4">
      <c r="B255" t="b">
        <f t="shared" si="20"/>
        <v>1</v>
      </c>
      <c r="C255" t="b">
        <f t="shared" si="21"/>
        <v>1</v>
      </c>
      <c r="D255" t="b">
        <f t="shared" si="22"/>
        <v>1</v>
      </c>
    </row>
    <row r="256" spans="2:4">
      <c r="B256" t="b">
        <f t="shared" si="20"/>
        <v>1</v>
      </c>
      <c r="C256" t="b">
        <f t="shared" si="21"/>
        <v>1</v>
      </c>
      <c r="D256" t="b">
        <f t="shared" si="22"/>
        <v>1</v>
      </c>
    </row>
    <row r="257" spans="2:4">
      <c r="B257" t="b">
        <f t="shared" si="20"/>
        <v>1</v>
      </c>
      <c r="C257" t="b">
        <f t="shared" si="21"/>
        <v>1</v>
      </c>
      <c r="D257" t="b">
        <f t="shared" si="22"/>
        <v>1</v>
      </c>
    </row>
    <row r="258" spans="2:4">
      <c r="B258" t="b">
        <f t="shared" si="20"/>
        <v>1</v>
      </c>
      <c r="C258" t="b">
        <f t="shared" si="21"/>
        <v>1</v>
      </c>
      <c r="D258" t="b">
        <f t="shared" si="22"/>
        <v>1</v>
      </c>
    </row>
    <row r="259" spans="2:4">
      <c r="B259" t="b">
        <f t="shared" si="20"/>
        <v>1</v>
      </c>
      <c r="C259" t="b">
        <f t="shared" si="21"/>
        <v>1</v>
      </c>
      <c r="D259" t="b">
        <f t="shared" si="22"/>
        <v>1</v>
      </c>
    </row>
    <row r="260" spans="2:4">
      <c r="B260" t="b">
        <f t="shared" si="20"/>
        <v>1</v>
      </c>
      <c r="C260" t="b">
        <f t="shared" si="21"/>
        <v>1</v>
      </c>
      <c r="D260" t="b">
        <f t="shared" si="22"/>
        <v>1</v>
      </c>
    </row>
    <row r="261" spans="2:4">
      <c r="B261" t="b">
        <f t="shared" ref="B261:B281" si="23">F261=J261</f>
        <v>1</v>
      </c>
      <c r="C261" t="b">
        <f t="shared" ref="C261:C281" si="24">G261=K261</f>
        <v>1</v>
      </c>
      <c r="D261" t="b">
        <f t="shared" ref="D261:D281" si="25">H261=L261</f>
        <v>1</v>
      </c>
    </row>
    <row r="262" spans="2:4">
      <c r="B262" t="b">
        <f t="shared" si="23"/>
        <v>1</v>
      </c>
      <c r="C262" t="b">
        <f t="shared" si="24"/>
        <v>1</v>
      </c>
      <c r="D262" t="b">
        <f t="shared" si="25"/>
        <v>1</v>
      </c>
    </row>
    <row r="263" spans="2:4">
      <c r="B263" t="b">
        <f t="shared" si="23"/>
        <v>1</v>
      </c>
      <c r="C263" t="b">
        <f t="shared" si="24"/>
        <v>1</v>
      </c>
      <c r="D263" t="b">
        <f t="shared" si="25"/>
        <v>1</v>
      </c>
    </row>
    <row r="264" spans="2:4">
      <c r="B264" t="b">
        <f t="shared" si="23"/>
        <v>1</v>
      </c>
      <c r="C264" t="b">
        <f t="shared" si="24"/>
        <v>1</v>
      </c>
      <c r="D264" t="b">
        <f t="shared" si="25"/>
        <v>1</v>
      </c>
    </row>
    <row r="265" spans="2:4">
      <c r="B265" t="b">
        <f t="shared" si="23"/>
        <v>1</v>
      </c>
      <c r="C265" t="b">
        <f t="shared" si="24"/>
        <v>1</v>
      </c>
      <c r="D265" t="b">
        <f t="shared" si="25"/>
        <v>1</v>
      </c>
    </row>
    <row r="266" spans="2:4">
      <c r="B266" t="b">
        <f t="shared" si="23"/>
        <v>1</v>
      </c>
      <c r="C266" t="b">
        <f t="shared" si="24"/>
        <v>1</v>
      </c>
      <c r="D266" t="b">
        <f t="shared" si="25"/>
        <v>1</v>
      </c>
    </row>
    <row r="267" spans="2:4">
      <c r="B267" t="b">
        <f t="shared" si="23"/>
        <v>1</v>
      </c>
      <c r="C267" t="b">
        <f t="shared" si="24"/>
        <v>1</v>
      </c>
      <c r="D267" t="b">
        <f t="shared" si="25"/>
        <v>1</v>
      </c>
    </row>
    <row r="268" spans="2:4">
      <c r="B268" t="b">
        <f t="shared" si="23"/>
        <v>1</v>
      </c>
      <c r="C268" t="b">
        <f t="shared" si="24"/>
        <v>1</v>
      </c>
      <c r="D268" t="b">
        <f t="shared" si="25"/>
        <v>1</v>
      </c>
    </row>
    <row r="269" spans="2:4">
      <c r="B269" t="b">
        <f t="shared" si="23"/>
        <v>1</v>
      </c>
      <c r="C269" t="b">
        <f t="shared" si="24"/>
        <v>1</v>
      </c>
      <c r="D269" t="b">
        <f t="shared" si="25"/>
        <v>1</v>
      </c>
    </row>
    <row r="270" spans="2:4">
      <c r="B270" t="b">
        <f t="shared" si="23"/>
        <v>1</v>
      </c>
      <c r="C270" t="b">
        <f t="shared" si="24"/>
        <v>1</v>
      </c>
      <c r="D270" t="b">
        <f t="shared" si="25"/>
        <v>1</v>
      </c>
    </row>
    <row r="271" spans="2:4">
      <c r="B271" t="b">
        <f t="shared" si="23"/>
        <v>1</v>
      </c>
      <c r="C271" t="b">
        <f t="shared" si="24"/>
        <v>1</v>
      </c>
      <c r="D271" t="b">
        <f t="shared" si="25"/>
        <v>1</v>
      </c>
    </row>
    <row r="272" spans="2:4">
      <c r="B272" t="b">
        <f t="shared" si="23"/>
        <v>1</v>
      </c>
      <c r="C272" t="b">
        <f t="shared" si="24"/>
        <v>1</v>
      </c>
      <c r="D272" t="b">
        <f t="shared" si="25"/>
        <v>1</v>
      </c>
    </row>
    <row r="273" spans="2:4">
      <c r="B273" t="b">
        <f t="shared" si="23"/>
        <v>1</v>
      </c>
      <c r="C273" t="b">
        <f t="shared" si="24"/>
        <v>1</v>
      </c>
      <c r="D273" t="b">
        <f t="shared" si="25"/>
        <v>1</v>
      </c>
    </row>
    <row r="274" spans="2:4">
      <c r="B274" t="b">
        <f t="shared" si="23"/>
        <v>1</v>
      </c>
      <c r="C274" t="b">
        <f t="shared" si="24"/>
        <v>1</v>
      </c>
      <c r="D274" t="b">
        <f t="shared" si="25"/>
        <v>1</v>
      </c>
    </row>
    <row r="275" spans="2:4">
      <c r="B275" t="b">
        <f t="shared" si="23"/>
        <v>1</v>
      </c>
      <c r="C275" t="b">
        <f t="shared" si="24"/>
        <v>1</v>
      </c>
      <c r="D275" t="b">
        <f t="shared" si="25"/>
        <v>1</v>
      </c>
    </row>
    <row r="276" spans="2:4">
      <c r="B276" t="b">
        <f t="shared" si="23"/>
        <v>1</v>
      </c>
      <c r="C276" t="b">
        <f t="shared" si="24"/>
        <v>1</v>
      </c>
      <c r="D276" t="b">
        <f t="shared" si="25"/>
        <v>1</v>
      </c>
    </row>
    <row r="277" spans="2:4">
      <c r="B277" t="b">
        <f t="shared" si="23"/>
        <v>1</v>
      </c>
      <c r="C277" t="b">
        <f t="shared" si="24"/>
        <v>1</v>
      </c>
      <c r="D277" t="b">
        <f t="shared" si="25"/>
        <v>1</v>
      </c>
    </row>
    <row r="278" spans="2:4">
      <c r="B278" t="b">
        <f t="shared" si="23"/>
        <v>1</v>
      </c>
      <c r="C278" t="b">
        <f t="shared" si="24"/>
        <v>1</v>
      </c>
      <c r="D278" t="b">
        <f t="shared" si="25"/>
        <v>1</v>
      </c>
    </row>
    <row r="279" spans="2:4">
      <c r="B279" t="b">
        <f t="shared" si="23"/>
        <v>1</v>
      </c>
      <c r="C279" t="b">
        <f t="shared" si="24"/>
        <v>1</v>
      </c>
      <c r="D279" t="b">
        <f t="shared" si="25"/>
        <v>1</v>
      </c>
    </row>
    <row r="280" spans="2:4">
      <c r="B280" t="b">
        <f t="shared" si="23"/>
        <v>1</v>
      </c>
      <c r="C280" t="b">
        <f t="shared" si="24"/>
        <v>1</v>
      </c>
      <c r="D280" t="b">
        <f t="shared" si="25"/>
        <v>1</v>
      </c>
    </row>
    <row r="281" spans="2:4">
      <c r="B281" t="b">
        <f t="shared" si="23"/>
        <v>1</v>
      </c>
      <c r="C281" t="b">
        <f t="shared" si="24"/>
        <v>1</v>
      </c>
      <c r="D281" t="b">
        <f t="shared" si="25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hunetuser</cp:lastModifiedBy>
  <dcterms:created xsi:type="dcterms:W3CDTF">2024-10-29T06:57:50Z</dcterms:created>
  <dcterms:modified xsi:type="dcterms:W3CDTF">2026-05-04T05:27:02Z</dcterms:modified>
</cp:coreProperties>
</file>