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20.100.180\Hunet\HRD컨설팅본부\영업전략팀\★아레테 영업개발회의\2026년\260507\팀별자료\databook\"/>
    </mc:Choice>
  </mc:AlternateContent>
  <bookViews>
    <workbookView xWindow="0" yWindow="0" windowWidth="28800" windowHeight="11760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databook(취합)'!$A$21:$BF$753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32"/>
    <pivotCache cacheId="1" r:id="rId33"/>
    <pivotCache cacheId="2" r:id="rId3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3" i="15" l="1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703" i="15"/>
  <c r="AE703" i="15" s="1"/>
  <c r="AC704" i="15"/>
  <c r="AE704" i="15" s="1"/>
  <c r="AC705" i="15"/>
  <c r="AE705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M20" i="15" l="1"/>
  <c r="N12" i="18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78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<sst xmlns="http://schemas.openxmlformats.org/spreadsheetml/2006/main" count="9071" uniqueCount="885">
  <si>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</si>
  <si>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</si>
  <si>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</si>
  <si>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</si>
  <si>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</si>
  <si>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</si>
  <si>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</si>
  <si>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</si>
  <si>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</si>
  <si>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</si>
  <si>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</si>
  <si>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</si>
  <si>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</si>
  <si>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</si>
  <si>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</si>
  <si>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</si>
  <si>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</si>
  <si>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</si>
  <si>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</si>
  <si>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</si>
  <si>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</si>
  <si>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</si>
  <si>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</si>
  <si>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</si>
  <si>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</si>
  <si>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</si>
  <si>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</si>
  <si>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</si>
  <si>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</si>
  <si>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</si>
  <si>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</si>
  <si>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</si>
  <si>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</si>
  <si>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</si>
  <si>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</si>
  <si>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</si>
  <si>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</si>
  <si>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</si>
  <si>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</si>
  <si>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</si>
  <si>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</si>
  <si>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</si>
  <si>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</si>
  <si>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</si>
  <si>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</si>
  <si>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</si>
  <si>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</si>
  <si>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</si>
  <si>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</si>
  <si>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</si>
  <si>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</si>
  <si>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</si>
  <si>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</si>
  <si>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</si>
  <si>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</si>
  <si>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</si>
  <si>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</si>
  <si>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</si>
  <si>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</si>
  <si>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</si>
  <si>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</si>
  <si>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</si>
  <si>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</si>
  <si>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</si>
  <si>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</si>
  <si>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</si>
  <si>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</si>
  <si>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</si>
  <si>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</si>
  <si>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</si>
  <si>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</si>
  <si>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</si>
  <si>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</si>
  <si>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</si>
  <si>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</si>
  <si>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</si>
  <si>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</si>
  <si>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</si>
  <si>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</si>
  <si>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</si>
  <si>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</si>
  <si>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</si>
  <si>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</si>
  <si>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</si>
  <si>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</si>
  <si>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</si>
  <si>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</si>
  <si>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</si>
  <si>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</si>
  <si>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</si>
  <si>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</si>
  <si>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</si>
  <si>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</si>
  <si>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</si>
  <si>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</si>
  <si>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</si>
  <si>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</si>
  <si>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</si>
  <si>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</si>
  <si>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</si>
  <si>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</si>
  <si>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</si>
  <si>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</si>
  <si>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</si>
  <si>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</si>
  <si>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</si>
  <si>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</si>
  <si>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</si>
  <si>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</si>
  <si>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</si>
  <si>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</si>
  <si>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</si>
  <si>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</si>
  <si>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</si>
  <si>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</si>
  <si>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</si>
  <si>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</si>
  <si>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</si>
  <si>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</si>
  <si>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</si>
  <si>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</si>
  <si>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</si>
  <si>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</si>
  <si>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</si>
  <si>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</si>
  <si>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</si>
  <si>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</si>
  <si>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</si>
  <si>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</si>
  <si>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</si>
  <si>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</si>
  <si>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</si>
  <si>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</si>
  <si>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</si>
  <si>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</si>
  <si>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</si>
  <si>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</si>
  <si>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</si>
  <si>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</si>
  <si>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</si>
  <si>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</si>
  <si>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</si>
  <si>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</si>
  <si>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</si>
  <si>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</si>
  <si>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</si>
  <si>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</si>
  <si>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</si>
  <si>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</si>
  <si>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</si>
  <si>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</si>
  <si>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</si>
  <si>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</si>
  <si>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</si>
  <si>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</si>
  <si>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</si>
  <si>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</si>
  <si>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</si>
  <si>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</si>
  <si>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</si>
  <si>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</si>
  <si>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</si>
  <si>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</si>
  <si>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</si>
  <si>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</si>
  <si>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</si>
  <si>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</si>
  <si>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</si>
  <si>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</si>
  <si>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</si>
  <si>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</si>
  <si>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</si>
  <si>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</si>
  <si>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</si>
  <si>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</si>
  <si>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</si>
  <si>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</si>
  <si>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</si>
  <si>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</si>
  <si>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</si>
  <si>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</si>
  <si>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</si>
  <si>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</si>
  <si>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</si>
  <si>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</si>
  <si>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</si>
  <si>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</si>
  <si>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</si>
  <si>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</si>
  <si>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</si>
  <si>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</si>
  <si>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</si>
  <si>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</si>
  <si>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</si>
  <si>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</si>
  <si>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</si>
  <si>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</si>
  <si>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</si>
  <si>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</si>
  <si>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</si>
  <si>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</si>
  <si>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</si>
  <si>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</si>
  <si>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</si>
  <si>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</si>
  <si>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</si>
  <si>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</si>
  <si>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</si>
  <si>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</si>
  <si>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</si>
  <si>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</si>
  <si>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</si>
  <si>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</si>
  <si>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</si>
  <si>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</si>
  <si>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</si>
  <si>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</si>
  <si>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</si>
  <si>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</si>
  <si>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</si>
  <si>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</si>
  <si>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</si>
  <si>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</si>
  <si>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</si>
  <si>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</si>
  <si>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</si>
  <si>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</si>
  <si>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</si>
  <si>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</si>
  <si>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</si>
  <si>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</si>
  <si>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</si>
  <si>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</si>
  <si>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</si>
  <si>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</si>
  <si>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</si>
  <si>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</si>
  <si>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</si>
  <si>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</si>
  <si>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</si>
  <si>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</si>
  <si>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</si>
  <si>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</si>
  <si>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</si>
  <si>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</si>
  <si>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</si>
  <si>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</si>
  <si>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</si>
  <si>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</si>
  <si>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</si>
  <si>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</si>
  <si>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</si>
  <si>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</si>
  <si>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</si>
  <si>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</si>
  <si>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</si>
  <si>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</si>
  <si>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</si>
  <si>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</si>
  <si>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</si>
  <si>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</si>
  <si>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</si>
  <si>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</si>
  <si>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</si>
  <si>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</si>
  <si>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</si>
  <si>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</si>
  <si>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</si>
  <si>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</si>
  <si>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</si>
  <si>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</si>
  <si>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</si>
  <si>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</si>
  <si>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</si>
  <si>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</si>
  <si>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</si>
  <si>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</si>
  <si>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</si>
  <si>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</si>
  <si>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</si>
  <si>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</si>
  <si>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</si>
  <si>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</si>
  <si>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</si>
  <si>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</si>
  <si>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</si>
  <si>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</si>
  <si>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</si>
  <si>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</si>
  <si>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</si>
  <si>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</si>
  <si>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</si>
  <si>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</si>
  <si>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</si>
  <si>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</si>
  <si>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</si>
  <si>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</si>
  <si>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</si>
  <si>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</si>
  <si>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</si>
  <si>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</si>
  <si>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</si>
  <si>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</si>
  <si>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</si>
  <si>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</si>
  <si>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</si>
  <si>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</si>
  <si>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</si>
  <si>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</si>
  <si>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</si>
  <si>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</si>
  <si>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</si>
  <si>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</si>
  <si>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</si>
  <si>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</si>
  <si>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</si>
  <si>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</si>
  <si>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</si>
  <si>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</si>
  <si>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</si>
  <si>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</si>
  <si>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</si>
  <si>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</si>
  <si>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</si>
  <si>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</si>
  <si>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</si>
  <si>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</si>
  <si>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</si>
  <si>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</si>
  <si>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</si>
  <si>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</si>
  <si>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</si>
  <si>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</si>
  <si>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</si>
  <si>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</si>
  <si>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</si>
  <si>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</si>
  <si>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</si>
  <si>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</si>
  <si>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</si>
  <si>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</si>
  <si>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</si>
  <si>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</si>
  <si>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</si>
  <si>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</si>
  <si>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</si>
  <si>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</si>
  <si>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</si>
  <si>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</si>
  <si>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</si>
  <si>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</si>
  <si>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</si>
  <si>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</si>
  <si>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</si>
  <si>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</si>
  <si>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</si>
  <si>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</si>
  <si>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</si>
  <si>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</si>
  <si>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</si>
  <si>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</si>
  <si>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</si>
  <si>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</si>
  <si>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</si>
  <si>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</si>
  <si>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</si>
  <si>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</si>
  <si>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</si>
  <si>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</si>
  <si>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</si>
  <si>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</si>
  <si>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</si>
  <si>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</si>
  <si>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</si>
  <si>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</si>
  <si>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</si>
  <si>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</si>
  <si>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</si>
  <si>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</si>
  <si>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</si>
  <si>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</si>
  <si>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</si>
  <si>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</si>
  <si>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</si>
  <si>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</si>
  <si>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</si>
  <si>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</si>
  <si>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</si>
  <si>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</si>
  <si>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</si>
  <si>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</si>
  <si>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</si>
  <si>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</si>
  <si>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</si>
  <si>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</si>
  <si>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</si>
  <si>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</si>
  <si>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</si>
  <si>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</si>
  <si>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</si>
  <si>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</si>
  <si>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</si>
  <si>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</si>
  <si>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</si>
  <si>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</si>
  <si>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</si>
  <si>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</si>
  <si>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</si>
  <si>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</si>
  <si>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</si>
  <si>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</si>
  <si>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</si>
  <si>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</si>
  <si>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</si>
  <si>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</si>
  <si>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</si>
  <si>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</si>
  <si>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</si>
  <si>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</si>
  <si>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</si>
  <si>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</si>
  <si>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</si>
  <si>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</si>
  <si>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</si>
  <si>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</si>
  <si>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</si>
  <si>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</si>
  <si>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</si>
  <si>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</si>
  <si>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</si>
  <si>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</si>
  <si>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</si>
  <si>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</si>
  <si>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</si>
  <si>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</si>
  <si>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</si>
  <si>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</si>
  <si>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</si>
  <si>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</si>
  <si>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</si>
  <si>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</si>
  <si>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</si>
  <si>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</si>
  <si>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</si>
  <si>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</si>
  <si>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</si>
  <si>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</si>
  <si>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</si>
  <si>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</si>
  <si>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</si>
  <si>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</si>
  <si>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</si>
  <si>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</si>
  <si>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</si>
  <si>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</si>
  <si>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</si>
  <si>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</si>
  <si>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</si>
  <si>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</si>
  <si>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</si>
  <si>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</si>
  <si>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</si>
  <si>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</si>
  <si>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</si>
  <si>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</si>
  <si>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</si>
  <si>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</si>
  <si>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</si>
  <si>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</si>
  <si>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</si>
  <si>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</si>
  <si>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</si>
  <si>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</si>
  <si>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</si>
  <si>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</si>
  <si>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</si>
  <si>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</si>
  <si>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</si>
  <si>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</si>
  <si>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</si>
  <si>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</si>
  <si>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</si>
  <si>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</si>
  <si>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</si>
  <si>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</si>
  <si>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</si>
  <si>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</si>
  <si>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</si>
  <si>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</si>
  <si>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</si>
  <si>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</si>
  <si>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</si>
  <si>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</si>
  <si>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</si>
  <si>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</si>
  <si>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</si>
  <si>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</si>
  <si>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</si>
  <si>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</si>
  <si>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</si>
  <si>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</si>
  <si>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</si>
  <si>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</si>
  <si>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</si>
  <si>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</si>
  <si>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</si>
  <si>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</si>
  <si>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</si>
  <si>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</si>
  <si>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</si>
  <si>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</si>
  <si>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</si>
  <si>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</si>
  <si>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</si>
  <si>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</si>
  <si>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</si>
  <si>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</si>
  <si>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</si>
  <si>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</si>
  <si>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</si>
  <si>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</si>
  <si>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</si>
  <si>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</si>
  <si>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</si>
  <si>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</si>
  <si>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</si>
  <si>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</si>
  <si>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</si>
  <si>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</si>
  <si>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</si>
  <si>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</si>
  <si>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</si>
  <si>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</si>
  <si>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</si>
  <si>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</si>
  <si>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</si>
  <si>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</si>
  <si>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</si>
  <si>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</si>
  <si>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</si>
  <si>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</si>
  <si>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</si>
  <si>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</si>
  <si>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</si>
  <si>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</si>
  <si>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</si>
  <si>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</si>
  <si>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</si>
  <si>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</si>
  <si>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</si>
  <si>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</si>
  <si>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</si>
  <si>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</si>
  <si>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</si>
  <si>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</si>
  <si>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</si>
  <si>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</si>
  <si>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</si>
  <si>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</si>
  <si>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</si>
  <si>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</si>
  <si>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</si>
  <si>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</si>
  <si>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</si>
  <si>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</si>
  <si>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</si>
  <si>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</si>
  <si>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</si>
  <si>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</si>
  <si>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</si>
  <si>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</si>
  <si>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</si>
  <si>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</si>
  <si>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</si>
  <si>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</si>
  <si>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</si>
  <si>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</si>
  <si>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</si>
  <si>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</si>
  <si>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</si>
  <si>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</si>
  <si>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</si>
  <si>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</si>
  <si>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</si>
  <si>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</si>
  <si>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</si>
  <si>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</si>
  <si>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</si>
  <si>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</si>
  <si>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</si>
  <si>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</si>
  <si>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</si>
  <si>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</si>
  <si>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</si>
  <si>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</si>
  <si>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</si>
  <si>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</si>
  <si>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</si>
  <si>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</si>
  <si>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</si>
  <si>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</si>
  <si>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</si>
  <si>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</si>
  <si>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</si>
  <si>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</si>
  <si>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</si>
  <si>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</si>
  <si>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</si>
  <si>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</si>
  <si>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</si>
  <si>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</si>
  <si>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</si>
  <si>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</si>
  <si>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</si>
  <si>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</si>
  <si>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</si>
  <si>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</si>
  <si>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</si>
  <si>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</si>
  <si>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</si>
  <si>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</si>
  <si>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</si>
  <si>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</si>
  <si>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</si>
  <si>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</si>
  <si>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</si>
  <si>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</si>
  <si>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</si>
  <si>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</si>
  <si>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</si>
  <si>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</si>
  <si>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</si>
  <si>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</si>
  <si>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</si>
  <si>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</si>
  <si>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</si>
  <si>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</si>
  <si>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</si>
  <si>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</si>
  <si>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</si>
  <si>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</si>
  <si>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</si>
  <si>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</si>
  <si>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</si>
  <si>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</si>
  <si>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</si>
  <si>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</si>
  <si>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</si>
  <si>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</si>
  <si>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</si>
  <si>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</si>
  <si>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</si>
  <si>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</si>
  <si>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</si>
  <si>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</si>
  <si>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</si>
  <si>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</si>
  <si>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</si>
  <si>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</si>
  <si>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</si>
  <si>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</si>
  <si>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</si>
  <si>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</si>
  <si>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</si>
  <si>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</si>
  <si>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</si>
  <si>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</si>
  <si>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</si>
  <si>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</si>
  <si>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</si>
  <si>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</si>
  <si>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</si>
  <si>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</si>
  <si>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</si>
  <si>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</si>
  <si>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</si>
  <si>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</si>
  <si>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</si>
  <si>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</si>
  <si>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</si>
  <si>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</si>
  <si>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</si>
  <si>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</si>
  <si>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</si>
  <si>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</si>
  <si>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</si>
  <si>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</si>
  <si>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</si>
  <si>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</si>
  <si>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</si>
  <si>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</si>
  <si>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</si>
  <si>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</si>
  <si>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</si>
  <si>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</si>
  <si>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</si>
  <si>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</si>
  <si>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</si>
  <si>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</si>
  <si>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</si>
  <si>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</si>
  <si>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</si>
  <si>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</si>
  <si>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</si>
  <si>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</si>
  <si>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</si>
  <si>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</si>
  <si>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</si>
  <si>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</si>
  <si>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</si>
  <si>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</si>
  <si>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</si>
  <si>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</si>
  <si>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</si>
  <si>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</si>
  <si>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</si>
  <si>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</si>
  <si>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</si>
  <si>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</si>
  <si>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</si>
  <si>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</si>
  <si>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</si>
  <si>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</si>
  <si>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</si>
  <si>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</si>
  <si>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</si>
  <si>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</si>
  <si>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</si>
  <si>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</si>
  <si>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</si>
  <si>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</si>
  <si>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</si>
  <si>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</si>
  <si>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</si>
  <si>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</si>
  <si>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</si>
  <si>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</si>
  <si>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</si>
  <si>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</si>
  <si>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</si>
  <si>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</si>
  <si>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</si>
  <si>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</si>
  <si>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</si>
  <si>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</si>
  <si>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</si>
  <si>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</si>
  <si>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</si>
  <si>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</si>
  <si>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</si>
  <si>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</si>
  <si>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</si>
  <si>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</si>
  <si>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</si>
  <si>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</si>
  <si>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</si>
  <si>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</si>
  <si>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</si>
  <si>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</si>
  <si>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</si>
  <si>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</si>
  <si>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</si>
  <si>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</si>
  <si>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</si>
  <si>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</si>
  <si>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</si>
  <si>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</si>
  <si>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</si>
  <si>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</si>
  <si>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</si>
  <si>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</si>
  <si>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</si>
  <si>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</si>
  <si>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</si>
  <si>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</si>
  <si>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</si>
  <si>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</si>
  <si>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</si>
  <si>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</si>
  <si>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</si>
  <si>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</si>
  <si>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</si>
  <si>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</si>
  <si>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</si>
  <si>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</si>
  <si>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</si>
  <si>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</si>
  <si>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</si>
  <si>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</si>
  <si>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</si>
  <si>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</si>
  <si>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</si>
  <si>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</si>
  <si>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</si>
  <si>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</si>
  <si>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</si>
  <si>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</si>
  <si>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</si>
  <si>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</si>
  <si>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</si>
  <si>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</si>
  <si>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</si>
  <si>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</si>
  <si>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</si>
  <si>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</si>
  <si>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</si>
  <si>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</si>
  <si>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</si>
  <si>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</si>
  <si>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</si>
  <si>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</si>
  <si>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</si>
  <si>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</si>
  <si>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</si>
  <si>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</si>
  <si>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</si>
  <si>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</si>
  <si>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</si>
  <si>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</si>
  <si>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</si>
  <si>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</si>
  <si>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</si>
  <si>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</si>
  <si>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</si>
  <si>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</si>
  <si>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</si>
  <si>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</si>
  <si>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</si>
  <si>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</si>
  <si>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</si>
  <si>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</si>
  <si>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</si>
  <si>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</si>
  <si>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</si>
  <si>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</si>
  <si>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</si>
  <si>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</si>
  <si>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</si>
  <si>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</si>
  <si>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</si>
  <si>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</si>
  <si>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</si>
  <si>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</si>
  <si>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</si>
  <si>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</si>
  <si>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</si>
  <si>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</si>
  <si>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</si>
  <si>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</si>
  <si>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</si>
  <si>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</si>
  <si>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</si>
  <si>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</si>
  <si>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</si>
  <si>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변동 없음</t>
    <phoneticPr fontId="2" type="noConversion"/>
  </si>
  <si>
    <t>사업 없음</t>
  </si>
  <si>
    <t>콘텐츠 개발 사업 예산 부족 취소</t>
  </si>
  <si>
    <t>수강인원 소폭 감소</t>
  </si>
  <si>
    <t>비용 이슈  취소</t>
  </si>
  <si>
    <t>드랍</t>
  </si>
  <si>
    <t>국민체육진흥공단 2억, 대우건설 15백만 외 매출 변동</t>
    <phoneticPr fontId="2" type="noConversion"/>
  </si>
  <si>
    <t>5월청구예정</t>
  </si>
  <si>
    <t>변동 없음</t>
    <phoneticPr fontId="2" type="noConversion"/>
  </si>
  <si>
    <t>김묘정</t>
    <phoneticPr fontId="2" type="noConversion"/>
  </si>
  <si>
    <t>염은지</t>
    <phoneticPr fontId="2" type="noConversion"/>
  </si>
  <si>
    <t>정은영</t>
    <phoneticPr fontId="2" type="noConversion"/>
  </si>
  <si>
    <t>정은영</t>
    <phoneticPr fontId="2" type="noConversion"/>
  </si>
  <si>
    <t>기업 이관 외 변동 없음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</si>
  <si>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</si>
  <si>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</si>
  <si>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</si>
  <si>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</si>
  <si>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</si>
  <si>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</si>
  <si>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</si>
  <si>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</si>
  <si>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</si>
  <si>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KB금융지주</t>
    <phoneticPr fontId="2" type="noConversion"/>
  </si>
  <si>
    <t>KB금융지주 2백만</t>
    <phoneticPr fontId="2" type="noConversion"/>
  </si>
  <si>
    <t>미회신</t>
    <phoneticPr fontId="2" type="noConversion"/>
  </si>
  <si>
    <t>기업 이관 외 변동 없음</t>
    <phoneticPr fontId="2" type="noConversion"/>
  </si>
  <si>
    <t>염은지</t>
    <phoneticPr fontId="2" type="noConversion"/>
  </si>
  <si>
    <t>정은영</t>
    <phoneticPr fontId="2" type="noConversion"/>
  </si>
  <si>
    <t>정은영</t>
    <phoneticPr fontId="2" type="noConversion"/>
  </si>
  <si>
    <t>콜마BNH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</si>
</sst>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33" formatCode="_-* #,##0_-;\-* #,##0_-;_-* &quot;-&quot;_-;_-@_-"/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microsoft.com/office/2006/relationships/vbaProject" Target="vbaProject.bin"/><Relationship Id="rId21" Type="http://schemas.openxmlformats.org/officeDocument/2006/relationships/externalLink" Target="externalLinks/externalLink12.xml"/><Relationship Id="rId34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ownloads/&#9733;2025&#45380;_databook_&#44592;&#44368;4&#54016;_241230(&#44608;&#46160;&#55148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&#44592;&#44368;3&#54016;/&#9733;2026&#45380;_databook_&#44592;&#44368;3&#54016;_260326_&#49436;&#51221;&#50857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&#44592;&#44368;3&#54016;/&#9733;2026&#45380;_databook_&#44592;&#44368;3&#54016;_260326_&#49569;&#48124;&#5164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09/&#54016;&#48324;&#51088;&#47308;/databook/&#9733;2026&#45380;_databook_&#44592;&#44368;3&#54016;_260409_&#50756;&#4730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&#44592;&#44368;3&#54016;/&#9733;2026&#45380;_databook_&#44592;&#44368;3&#54016;_260326_&#44608;&#51648;&#4944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3&#54016;/&#9733;2026&#45380;_databook_&#44592;&#44368;3&#54016;_260423_&#51060;&#51648;&#49569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9733;2026&#45380;_databook_FS2&#54016;_260423_&#51089;&#49457;&#5147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FS2&#54016;/&#9733;2026&#45380;_databook_FS2&#54016;_260326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05/&#54016;&#48324;&#51088;&#47308;/databook/26&#45380;%20&#54016;&#48324;&#52712;&#54633;/&#9733;2026&#45380;_databook_FS2&#54016;_260305.xlsb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FS2&#54016;/&#9733;2026&#45380;_databook_FS2&#54016;_260423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30/&#54016;&#48324;&#51088;&#47308;/databook/&#44592;&#44368;3&#54016;/&#9733;2026&#45380;_databook_&#44592;&#44368;3&#54016;_260430_&#50684;&#51008;&#51648;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0116%20&#45936;&#51060;&#53552;&#48513;\24&#45380;\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2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6.43403773148" createdVersion="6" refreshedVersion="6" minRefreshableVersion="3" recordCount="734">
  <cacheSource type="worksheet">
    <worksheetSource ref="A21:BE799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700000000" maxValue="49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0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4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6.43405462963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m/>
        <s v="이관 DB" u="1"/>
        <s v="이진아" u="1"/>
        <s v="배정필요" u="1"/>
        <s v="삭제" u="1"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700000000" maxValue="49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0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4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20000000"/>
    <n v="40000000"/>
    <n v="-20000000"/>
    <m/>
    <m/>
    <m/>
    <m/>
    <m/>
    <m/>
    <m/>
    <m/>
    <m/>
    <m/>
    <m/>
    <m/>
    <s v="사업 없음"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m/>
    <m/>
    <n v="30000000"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m/>
    <m/>
    <n v="2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m/>
    <m/>
    <n v="20853000"/>
    <s v="3월 이관"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0"/>
    <n v="500000000"/>
    <n v="-500000000"/>
    <m/>
    <m/>
    <m/>
    <m/>
    <m/>
    <m/>
    <m/>
    <m/>
    <m/>
    <m/>
    <m/>
    <m/>
    <m/>
    <m/>
    <m/>
    <m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4"/>
    <m/>
    <m/>
    <n v="200000000"/>
    <n v="330000000"/>
    <n v="-130000000"/>
    <m/>
    <m/>
    <m/>
    <m/>
    <m/>
    <m/>
    <m/>
    <m/>
    <m/>
    <m/>
    <m/>
    <m/>
    <m/>
    <m/>
    <m/>
    <m/>
    <m/>
    <m/>
    <m/>
    <m/>
    <m/>
    <m/>
    <m/>
    <m/>
    <m/>
    <n v="2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86675627"/>
    <n v="0"/>
    <n v="500300"/>
    <m/>
    <s v="2월 이관 발행"/>
    <n v="26968050"/>
    <n v="27782750"/>
    <m/>
    <n v="44054790"/>
    <n v="44054790"/>
    <s v="수강인원 증가"/>
    <n v="29666585"/>
    <m/>
    <n v="30000000"/>
    <m/>
    <n v="30000000"/>
    <m/>
    <n v="30000000"/>
    <m/>
    <n v="40000000"/>
    <m/>
    <n v="40000000"/>
    <m/>
    <n v="40333415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4"/>
    <m/>
    <m/>
    <n v="14900000"/>
    <n v="10000000"/>
    <n v="4900000"/>
    <m/>
    <m/>
    <m/>
    <m/>
    <m/>
    <m/>
    <m/>
    <m/>
    <m/>
    <m/>
    <m/>
    <m/>
    <m/>
    <m/>
    <m/>
    <m/>
    <m/>
    <m/>
    <m/>
    <m/>
    <m/>
    <m/>
    <m/>
    <n v="149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m/>
    <m/>
    <n v="5000000"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4900000"/>
    <n v="5600000"/>
    <n v="-700000"/>
    <m/>
    <m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s v="사업 없음"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50000000"/>
    <n v="100000000"/>
    <n v="-50000000"/>
    <m/>
    <m/>
    <m/>
    <m/>
    <m/>
    <m/>
    <m/>
    <m/>
    <m/>
    <m/>
    <m/>
    <m/>
    <s v="사업 없음"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4760540"/>
    <m/>
    <n v="10000000"/>
    <m/>
    <n v="10000000"/>
    <m/>
    <n v="10000000"/>
    <m/>
    <n v="10000000"/>
    <m/>
    <n v="10000000"/>
    <m/>
    <n v="45562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1857730"/>
    <n v="52212400"/>
    <n v="-354670"/>
    <n v="729400"/>
    <n v="729400"/>
    <m/>
    <n v="2156400"/>
    <n v="2156400"/>
    <m/>
    <n v="2658200"/>
    <n v="2658200"/>
    <s v="수강인원 감소"/>
    <n v="4145330"/>
    <s v="수강인원 소폭 감소"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0"/>
    <n v="5000000"/>
    <n v="-5000000"/>
    <m/>
    <m/>
    <m/>
    <m/>
    <m/>
    <m/>
    <m/>
    <m/>
    <m/>
    <m/>
    <m/>
    <m/>
    <s v="비용 이슈  취소"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40000000"/>
    <n v="60000000"/>
    <n v="-20000000"/>
    <m/>
    <m/>
    <m/>
    <m/>
    <m/>
    <m/>
    <m/>
    <m/>
    <m/>
    <m/>
    <m/>
    <m/>
    <s v="비용 이슈  취소"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m/>
    <m/>
    <n v="4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0"/>
    <n v="4000000"/>
    <n v="-4000000"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7600000"/>
    <m/>
    <n v="4540000"/>
    <m/>
    <n v="4540000"/>
    <m/>
    <n v="4540000"/>
    <m/>
    <n v="4540000"/>
    <m/>
    <n v="4540000"/>
    <m/>
    <n v="4540000"/>
    <m/>
    <n v="4540000"/>
    <m/>
    <n v="528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s v="드랍"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8279910"/>
    <m/>
    <n v="11000000"/>
    <m/>
    <n v="11000000"/>
    <m/>
    <n v="11000000"/>
    <m/>
    <n v="11000000"/>
    <m/>
    <n v="11000000"/>
    <m/>
    <n v="11000000"/>
    <m/>
    <n v="19492300"/>
    <m/>
    <n v="1630268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14000000"/>
    <n v="21208100"/>
    <n v="-7208100"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8000000"/>
    <n v="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8809210"/>
    <n v="0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51055360"/>
    <n v="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6000000"/>
    <n v="7500000"/>
    <n v="-1500000"/>
    <m/>
    <m/>
    <m/>
    <m/>
    <m/>
    <m/>
    <m/>
    <m/>
    <m/>
    <m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09032510"/>
    <n v="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5677890"/>
    <n v="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4"/>
    <m/>
    <m/>
    <s v="기업교육2팀"/>
    <s v="김묘정"/>
    <s v="기업교육3팀"/>
    <s v="김지훈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2팀"/>
    <s v="김묘정"/>
    <s v="기업교육3팀"/>
    <s v="김지훈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7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2팀"/>
    <s v="이종혁"/>
    <s v="기업교육3팀"/>
    <s v="김지훈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9"/>
    <m/>
    <m/>
    <s v="기업교육2팀"/>
    <s v="김묘정"/>
    <s v="기업교육3팀"/>
    <s v="김지훈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91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김묘정"/>
    <s v="기업교육3팀"/>
    <s v="김지훈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95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96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97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98"/>
    <m/>
    <m/>
    <s v="기업교육3팀"/>
    <s v="방인혜"/>
    <s v="기업교육3팀"/>
    <s v="김지훈"/>
    <s v="이지송"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9"/>
    <m/>
    <m/>
    <s v="기업교육3팀"/>
    <s v="방인혜"/>
    <s v="기업교육3팀"/>
    <s v="김지훈"/>
    <s v="이지송"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3팀"/>
    <s v="방인혜"/>
    <s v="기업교육3팀"/>
    <s v="김지훈"/>
    <s v="이지송"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3팀"/>
    <s v="방인혜"/>
    <s v="기업교육3팀"/>
    <s v="김지훈"/>
    <s v="이지송"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s v="방인혜"/>
    <s v="기업교육3팀"/>
    <s v="김지훈"/>
    <s v="이지송"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3"/>
    <m/>
    <m/>
    <s v="기업교육3팀"/>
    <s v="방인혜"/>
    <s v="기업교육3팀"/>
    <s v="김지훈"/>
    <s v="이지송"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04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7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210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211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212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213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214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15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16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18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20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21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22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23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25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26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28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30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33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34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36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4"/>
    <m/>
    <m/>
    <n v="2000000"/>
    <n v="0"/>
    <n v="2000000"/>
    <m/>
    <m/>
    <m/>
    <m/>
    <m/>
    <m/>
    <m/>
    <m/>
    <m/>
    <m/>
    <m/>
    <n v="2000000"/>
    <m/>
    <m/>
    <m/>
    <m/>
    <m/>
    <m/>
    <m/>
    <m/>
    <m/>
    <m/>
    <m/>
    <m/>
    <m/>
    <m/>
  </r>
  <r>
    <n v="237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38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39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41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42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0"/>
    <n v="300000000"/>
    <n v="-30000000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44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48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49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0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51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2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0"/>
    <n v="110000000"/>
    <n v="-110000000"/>
    <m/>
    <m/>
    <m/>
    <m/>
    <m/>
    <m/>
    <m/>
    <m/>
    <m/>
    <m/>
    <m/>
    <m/>
    <m/>
    <m/>
    <m/>
    <m/>
    <m/>
    <m/>
    <m/>
    <m/>
    <m/>
    <m/>
    <m/>
    <m/>
    <m/>
    <m/>
  </r>
  <r>
    <n v="253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4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55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6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8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59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62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63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65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66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67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68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69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70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73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76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77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78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0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82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84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8000000"/>
    <n v="9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285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86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88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91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8000000"/>
    <n v="9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292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93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95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97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98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300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01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30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30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8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10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4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15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17256266"/>
    <n v="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16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17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1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9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20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26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27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9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30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35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36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37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38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9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42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43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0"/>
    <n v="700000000"/>
    <n v="-700000000"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4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48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9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1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52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53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54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0"/>
    <n v="150000000"/>
    <n v="-15000000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</r>
  <r>
    <n v="357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8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6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1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62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63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10000000"/>
    <m/>
    <n v="140000000"/>
    <m/>
    <n v="140000000"/>
    <m/>
    <n v="130000000"/>
    <m/>
    <n v="140000000"/>
    <m/>
    <n v="140000000"/>
    <m/>
    <n v="140000000"/>
    <m/>
    <n v="140000000"/>
    <m/>
    <n v="120000000"/>
  </r>
  <r>
    <n v="365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66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67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8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9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70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71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73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75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7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7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78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80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81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82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8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87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88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m/>
    <s v="5월청구예정"/>
    <n v="60000000"/>
    <m/>
    <m/>
    <m/>
    <m/>
    <m/>
    <m/>
    <m/>
    <m/>
    <m/>
    <m/>
    <m/>
    <n v="60000000"/>
    <m/>
    <m/>
  </r>
  <r>
    <n v="392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3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9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95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97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9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400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0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0"/>
    <n v="84000000"/>
    <n v="-84000000"/>
    <m/>
    <m/>
    <m/>
    <m/>
    <m/>
    <m/>
    <m/>
    <m/>
    <m/>
    <m/>
    <m/>
    <m/>
    <m/>
    <m/>
    <m/>
    <m/>
    <m/>
    <m/>
    <m/>
    <m/>
    <m/>
    <m/>
    <m/>
    <m/>
    <m/>
    <m/>
  </r>
  <r>
    <n v="402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403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404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5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101105240"/>
    <n v="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406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6134220"/>
    <n v="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40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9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28583290"/>
    <n v="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10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1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2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14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5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16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17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8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20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21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23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2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2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27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8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9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2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35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3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38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60410480"/>
    <n v="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41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2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9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51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52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53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5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56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58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87410608"/>
    <n v="0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460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6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2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64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6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6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9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0000000"/>
    <n v="45000000"/>
    <n v="-5000000"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</r>
  <r>
    <n v="47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72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73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7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75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76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77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8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1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83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84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88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9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90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1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9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94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5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96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35502239"/>
    <n v="0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97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</r>
  <r>
    <n v="498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5160440"/>
    <n v="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9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500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501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02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503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4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505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06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507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508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9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11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12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1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14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15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16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7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18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9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21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2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24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26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27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30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2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5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3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9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2팀"/>
    <s v="김묘정"/>
    <s v="기업교육3팀"/>
    <s v="염은지"/>
    <s v="김묘정"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4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4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4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41172600"/>
    <n v="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4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4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5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5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55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6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1000000"/>
    <m/>
    <s v="02 가망"/>
    <x v="4"/>
    <m/>
    <m/>
    <n v="1000000"/>
    <n v="1000000"/>
    <n v="0"/>
    <m/>
    <m/>
    <m/>
    <m/>
    <m/>
    <m/>
    <m/>
    <m/>
    <m/>
    <n v="1000000"/>
    <m/>
    <m/>
    <m/>
    <m/>
    <m/>
    <m/>
    <m/>
    <m/>
    <m/>
    <m/>
    <m/>
    <m/>
    <m/>
    <m/>
    <m/>
    <m/>
  </r>
  <r>
    <n v="559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19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60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61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62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63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4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0"/>
    <n v="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66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8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9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71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72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75812000"/>
    <n v="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74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6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7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8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9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1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82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83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4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5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86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7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8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91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2620000"/>
    <n v="0"/>
    <m/>
    <m/>
    <m/>
    <m/>
    <m/>
    <m/>
    <m/>
    <m/>
    <m/>
    <n v="2620000"/>
    <m/>
    <m/>
    <m/>
    <m/>
    <m/>
    <m/>
    <m/>
    <m/>
    <m/>
    <m/>
    <m/>
    <m/>
    <m/>
    <m/>
    <m/>
    <m/>
  </r>
  <r>
    <n v="592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3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4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5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96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8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1991000"/>
    <n v="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600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601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0"/>
    <n v="19000000"/>
    <n v="-19000000"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605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6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7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8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30000000"/>
    <n v="40000000"/>
    <n v="-10000000"/>
    <m/>
    <m/>
    <m/>
    <m/>
    <m/>
    <m/>
    <m/>
    <m/>
    <m/>
    <m/>
    <m/>
    <n v="10000000"/>
    <m/>
    <m/>
    <m/>
    <m/>
    <m/>
    <m/>
    <m/>
    <n v="10000000"/>
    <m/>
    <n v="10000000"/>
    <m/>
    <m/>
    <m/>
    <m/>
  </r>
  <r>
    <n v="609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0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0"/>
    <n v="57000000"/>
    <n v="-57000000"/>
    <m/>
    <m/>
    <m/>
    <m/>
    <m/>
    <m/>
    <m/>
    <m/>
    <m/>
    <m/>
    <m/>
    <m/>
    <m/>
    <m/>
    <m/>
    <m/>
    <m/>
    <m/>
    <m/>
    <m/>
    <m/>
    <m/>
    <m/>
    <m/>
    <m/>
    <m/>
  </r>
  <r>
    <n v="612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0"/>
    <n v="5000000"/>
    <n v="-500000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6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4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5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0700000"/>
    <n v="12300000"/>
    <n v="-1600000"/>
    <m/>
    <m/>
    <m/>
    <m/>
    <m/>
    <m/>
    <m/>
    <m/>
    <m/>
    <m/>
    <m/>
    <n v="1600000"/>
    <m/>
    <n v="1600000"/>
    <m/>
    <n v="1500000"/>
    <m/>
    <n v="1500000"/>
    <m/>
    <n v="1500000"/>
    <m/>
    <n v="1500000"/>
    <m/>
    <n v="1500000"/>
    <m/>
    <m/>
  </r>
  <r>
    <n v="626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7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9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31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2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33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4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5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6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7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40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42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3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4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5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6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7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8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50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51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2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4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7000000"/>
    <n v="8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m/>
  </r>
  <r>
    <n v="655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6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8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9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60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61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62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63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4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5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6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7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8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9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70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71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72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5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8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9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81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82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83"/>
    <m/>
    <m/>
    <s v="기업교육3팀"/>
    <s v="송민지"/>
    <s v="기업교육3팀"/>
    <s v="정은영"/>
    <s v="염은지"/>
    <m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684"/>
    <m/>
    <m/>
    <s v="기업교육3팀"/>
    <s v="송민지"/>
    <s v="기업교육3팀"/>
    <s v="정은영"/>
    <s v="염은지"/>
    <m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685"/>
    <m/>
    <m/>
    <s v="기업교육3팀"/>
    <s v="송민지"/>
    <s v="기업교육3팀"/>
    <s v="정은영"/>
    <s v="염은지"/>
    <m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686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7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8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9"/>
    <m/>
    <m/>
    <s v="기업교육3팀"/>
    <s v="이지송"/>
    <s v="기업교육3팀"/>
    <s v="정은영"/>
    <s v="염은지"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90"/>
    <m/>
    <m/>
    <s v="기업교육3팀"/>
    <s v="이지송"/>
    <s v="기업교육3팀"/>
    <s v="정은영"/>
    <s v="염은지"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91"/>
    <m/>
    <m/>
    <s v="기업교육3팀"/>
    <s v="이지송"/>
    <s v="기업교육3팀"/>
    <s v="정은영"/>
    <s v="염은지"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9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9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9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701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704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20000000"/>
    <n v="360000000"/>
    <n v="-40000000"/>
    <m/>
    <m/>
    <m/>
    <n v="80000000"/>
    <m/>
    <m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</r>
  <r>
    <n v="707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9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11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2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13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14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16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18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9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</r>
  <r>
    <n v="720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21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2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23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25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26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28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9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30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31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20000000"/>
    <n v="40000000"/>
    <n v="-20000000"/>
    <m/>
    <m/>
    <m/>
    <m/>
    <m/>
    <m/>
    <m/>
    <m/>
    <m/>
    <m/>
    <m/>
    <m/>
    <s v="사업 없음"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m/>
    <m/>
    <n v="30000000"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m/>
    <m/>
    <n v="2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m/>
    <m/>
    <n v="20853000"/>
    <s v="3월 이관"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0"/>
    <n v="500000000"/>
    <n v="-500000000"/>
    <m/>
    <m/>
    <m/>
    <m/>
    <m/>
    <m/>
    <m/>
    <m/>
    <m/>
    <m/>
    <m/>
    <m/>
    <m/>
    <m/>
    <m/>
    <m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4"/>
    <m/>
    <m/>
    <n v="200000000"/>
    <n v="330000000"/>
    <n v="-130000000"/>
    <m/>
    <m/>
    <m/>
    <m/>
    <m/>
    <m/>
    <m/>
    <m/>
    <m/>
    <m/>
    <m/>
    <m/>
    <m/>
    <m/>
    <m/>
    <m/>
    <m/>
    <m/>
    <m/>
    <m/>
    <m/>
    <m/>
    <m/>
    <m/>
    <m/>
    <n v="200000000"/>
    <s v="콘텐츠 개발 사업 예산 부족 취소"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86675627"/>
    <n v="0"/>
    <n v="500300"/>
    <m/>
    <s v="2월 이관 발행"/>
    <n v="26968050"/>
    <n v="27782750"/>
    <m/>
    <n v="44054790"/>
    <n v="44054790"/>
    <s v="수강인원 증가"/>
    <n v="29666585"/>
    <m/>
    <n v="30000000"/>
    <m/>
    <n v="30000000"/>
    <m/>
    <n v="30000000"/>
    <m/>
    <n v="40000000"/>
    <m/>
    <n v="40000000"/>
    <m/>
    <n v="40333415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4"/>
    <m/>
    <m/>
    <n v="14900000"/>
    <n v="10000000"/>
    <n v="4900000"/>
    <m/>
    <m/>
    <m/>
    <m/>
    <m/>
    <m/>
    <m/>
    <m/>
    <m/>
    <m/>
    <m/>
    <m/>
    <m/>
    <m/>
    <m/>
    <m/>
    <m/>
    <m/>
    <m/>
    <m/>
    <m/>
    <m/>
    <m/>
    <n v="149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m/>
    <m/>
    <n v="5000000"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4900000"/>
    <n v="5600000"/>
    <n v="-700000"/>
    <m/>
    <m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s v="사업 없음"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50000000"/>
    <n v="100000000"/>
    <n v="-50000000"/>
    <m/>
    <m/>
    <m/>
    <m/>
    <m/>
    <m/>
    <m/>
    <m/>
    <m/>
    <m/>
    <m/>
    <m/>
    <s v="사업 없음"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4760540"/>
    <m/>
    <n v="10000000"/>
    <m/>
    <n v="10000000"/>
    <m/>
    <n v="10000000"/>
    <m/>
    <n v="10000000"/>
    <m/>
    <n v="10000000"/>
    <m/>
    <n v="45562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1857730"/>
    <n v="52212400"/>
    <n v="-354670"/>
    <n v="729400"/>
    <n v="729400"/>
    <m/>
    <n v="2156400"/>
    <n v="2156400"/>
    <m/>
    <n v="2658200"/>
    <n v="2658200"/>
    <s v="수강인원 감소"/>
    <n v="4145330"/>
    <s v="수강인원 소폭 감소"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0"/>
    <n v="5000000"/>
    <n v="-5000000"/>
    <m/>
    <m/>
    <m/>
    <m/>
    <m/>
    <m/>
    <m/>
    <m/>
    <m/>
    <m/>
    <m/>
    <m/>
    <s v="비용 이슈  취소"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40000000"/>
    <n v="60000000"/>
    <n v="-20000000"/>
    <m/>
    <m/>
    <m/>
    <m/>
    <m/>
    <m/>
    <m/>
    <m/>
    <m/>
    <m/>
    <m/>
    <m/>
    <s v="비용 이슈  취소"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m/>
    <m/>
    <n v="4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0"/>
    <n v="4000000"/>
    <n v="-400000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7600000"/>
    <m/>
    <n v="4540000"/>
    <m/>
    <n v="4540000"/>
    <m/>
    <n v="4540000"/>
    <m/>
    <n v="4540000"/>
    <m/>
    <n v="4540000"/>
    <m/>
    <n v="4540000"/>
    <m/>
    <n v="4540000"/>
    <m/>
    <n v="528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s v="드랍"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8279910"/>
    <m/>
    <n v="11000000"/>
    <m/>
    <n v="11000000"/>
    <m/>
    <n v="11000000"/>
    <m/>
    <n v="11000000"/>
    <m/>
    <n v="11000000"/>
    <m/>
    <n v="11000000"/>
    <m/>
    <n v="19492300"/>
    <m/>
    <n v="1630268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14000000"/>
    <n v="21208100"/>
    <n v="-7208100"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8000000"/>
    <n v="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8809210"/>
    <n v="0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51055360"/>
    <n v="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6000000"/>
    <n v="7500000"/>
    <n v="-1500000"/>
    <m/>
    <m/>
    <m/>
    <m/>
    <m/>
    <m/>
    <m/>
    <m/>
    <m/>
    <m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09032510"/>
    <n v="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5677890"/>
    <n v="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4"/>
    <m/>
    <m/>
    <s v="기업교육2팀"/>
    <s v="김묘정"/>
    <s v="기업교육3팀"/>
    <x v="1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2팀"/>
    <s v="김묘정"/>
    <s v="기업교육3팀"/>
    <x v="1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7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2팀"/>
    <s v="이종혁"/>
    <s v="기업교육3팀"/>
    <x v="1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9"/>
    <m/>
    <m/>
    <s v="기업교육2팀"/>
    <s v="김묘정"/>
    <s v="기업교육3팀"/>
    <x v="1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91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김묘정"/>
    <s v="기업교육3팀"/>
    <x v="1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95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96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97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98"/>
    <m/>
    <m/>
    <s v="기업교육3팀"/>
    <s v="방인혜"/>
    <s v="기업교육3팀"/>
    <x v="1"/>
    <s v="이지송"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9"/>
    <m/>
    <m/>
    <s v="기업교육3팀"/>
    <s v="방인혜"/>
    <s v="기업교육3팀"/>
    <x v="1"/>
    <s v="이지송"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3팀"/>
    <s v="방인혜"/>
    <s v="기업교육3팀"/>
    <x v="1"/>
    <s v="이지송"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3팀"/>
    <s v="방인혜"/>
    <s v="기업교육3팀"/>
    <x v="1"/>
    <s v="이지송"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s v="방인혜"/>
    <s v="기업교육3팀"/>
    <x v="1"/>
    <s v="이지송"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3"/>
    <m/>
    <m/>
    <s v="기업교육3팀"/>
    <s v="방인혜"/>
    <s v="기업교육3팀"/>
    <x v="1"/>
    <s v="이지송"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04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7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210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211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212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213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214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15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16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18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20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21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22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23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25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26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28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30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33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34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36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4"/>
    <m/>
    <m/>
    <n v="2000000"/>
    <n v="0"/>
    <n v="200000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37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38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39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41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42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0"/>
    <n v="300000000"/>
    <n v="-30000000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44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48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49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0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51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2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0"/>
    <n v="110000000"/>
    <n v="-110000000"/>
    <m/>
    <m/>
    <m/>
    <m/>
    <m/>
    <m/>
    <m/>
    <m/>
    <m/>
    <m/>
    <m/>
    <m/>
    <m/>
    <m/>
    <m/>
    <m/>
    <m/>
    <m/>
    <m/>
    <m/>
    <m/>
    <m/>
    <m/>
    <m/>
    <m/>
    <m/>
    <m/>
  </r>
  <r>
    <n v="253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4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55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6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8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59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62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63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65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66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67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68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69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70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73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76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77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78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0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82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84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8000000"/>
    <n v="9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285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86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88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91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8000000"/>
    <n v="9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292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93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95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97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98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1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30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30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8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10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4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15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17256266"/>
    <n v="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16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17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1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9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20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26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27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9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30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35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36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37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38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9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42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43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0"/>
    <n v="700000000"/>
    <n v="-70000000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4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48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9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1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52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53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54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0"/>
    <n v="150000000"/>
    <n v="-15000000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</r>
  <r>
    <n v="357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8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6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1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62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10000000"/>
    <m/>
    <n v="140000000"/>
    <m/>
    <n v="140000000"/>
    <m/>
    <n v="130000000"/>
    <m/>
    <n v="140000000"/>
    <m/>
    <n v="140000000"/>
    <m/>
    <n v="140000000"/>
    <m/>
    <n v="140000000"/>
    <m/>
    <n v="120000000"/>
    <m/>
  </r>
  <r>
    <n v="365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6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67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8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9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70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71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73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75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76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7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78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80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81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82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8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87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88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m/>
    <s v="5월청구예정"/>
    <n v="60000000"/>
    <m/>
    <m/>
    <m/>
    <m/>
    <m/>
    <m/>
    <m/>
    <m/>
    <m/>
    <m/>
    <m/>
    <n v="60000000"/>
    <m/>
    <m/>
    <m/>
  </r>
  <r>
    <n v="392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3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9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95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97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9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400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0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0"/>
    <n v="84000000"/>
    <n v="-84000000"/>
    <m/>
    <m/>
    <m/>
    <m/>
    <m/>
    <m/>
    <m/>
    <m/>
    <m/>
    <m/>
    <m/>
    <m/>
    <m/>
    <m/>
    <m/>
    <m/>
    <m/>
    <m/>
    <m/>
    <m/>
    <m/>
    <m/>
    <m/>
    <m/>
    <m/>
    <m/>
    <m/>
  </r>
  <r>
    <n v="402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403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404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5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101105240"/>
    <n v="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406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6134220"/>
    <n v="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407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9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28583290"/>
    <n v="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10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11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2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14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5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16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17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8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20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21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23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24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25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27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8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9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2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35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3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38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60410480"/>
    <n v="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41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2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9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51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52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53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5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56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58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87410608"/>
    <n v="0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60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6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2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64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6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6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9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0000000"/>
    <n v="45000000"/>
    <n v="-5000000"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</r>
  <r>
    <n v="47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72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73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7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75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76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77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8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1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83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84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88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9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90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1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9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94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5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96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35502239"/>
    <n v="0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97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98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5160440"/>
    <n v="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9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500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501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02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503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4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505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06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507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508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9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11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1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14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15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16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7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18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9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21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2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24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26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27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30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2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5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3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9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2팀"/>
    <s v="김묘정"/>
    <s v="기업교육3팀"/>
    <x v="5"/>
    <s v="김묘정"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4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4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4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41172600"/>
    <n v="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4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4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5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55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6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1000000"/>
    <m/>
    <s v="02 가망"/>
    <x v="4"/>
    <m/>
    <m/>
    <n v="1000000"/>
    <n v="1000000"/>
    <n v="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9"/>
    <m/>
    <m/>
    <m/>
    <m/>
    <s v="기업교육3팀"/>
    <x v="5"/>
    <m/>
    <m/>
    <s v="넥센"/>
    <m/>
    <m/>
    <n v="4582"/>
    <m/>
    <m/>
    <m/>
    <m/>
    <m/>
    <s v="02. 이러닝 - 단과"/>
    <m/>
    <m/>
    <m/>
    <n v="19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60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61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62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63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4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0"/>
    <n v="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66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8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9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71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72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75812000"/>
    <n v="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74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6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7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8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9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1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82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83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4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5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86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7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8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91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2620000"/>
    <n v="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92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3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4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5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96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8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1991000"/>
    <n v="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600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601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0"/>
    <n v="19000000"/>
    <n v="-1900000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5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6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7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8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30000000"/>
    <n v="40000000"/>
    <n v="-10000000"/>
    <m/>
    <m/>
    <m/>
    <m/>
    <m/>
    <m/>
    <m/>
    <m/>
    <m/>
    <m/>
    <m/>
    <n v="10000000"/>
    <m/>
    <m/>
    <m/>
    <m/>
    <m/>
    <m/>
    <m/>
    <n v="10000000"/>
    <m/>
    <n v="10000000"/>
    <m/>
    <m/>
    <m/>
    <m/>
    <m/>
  </r>
  <r>
    <n v="609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0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0"/>
    <n v="57000000"/>
    <n v="-57000000"/>
    <m/>
    <m/>
    <m/>
    <m/>
    <m/>
    <m/>
    <m/>
    <m/>
    <m/>
    <m/>
    <m/>
    <m/>
    <m/>
    <m/>
    <m/>
    <m/>
    <m/>
    <m/>
    <m/>
    <m/>
    <m/>
    <m/>
    <m/>
    <m/>
    <m/>
    <m/>
    <m/>
  </r>
  <r>
    <n v="612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0"/>
    <n v="5000000"/>
    <n v="-500000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6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4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5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0700000"/>
    <n v="12300000"/>
    <n v="-1600000"/>
    <m/>
    <m/>
    <m/>
    <m/>
    <m/>
    <m/>
    <m/>
    <m/>
    <m/>
    <m/>
    <m/>
    <n v="1600000"/>
    <m/>
    <n v="1600000"/>
    <m/>
    <n v="1500000"/>
    <m/>
    <n v="1500000"/>
    <m/>
    <n v="1500000"/>
    <m/>
    <n v="1500000"/>
    <m/>
    <n v="1500000"/>
    <m/>
    <m/>
    <m/>
  </r>
  <r>
    <n v="626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7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9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31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2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33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4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5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6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7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40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42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3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4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5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6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7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8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50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51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2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4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7000000"/>
    <n v="8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m/>
    <m/>
  </r>
  <r>
    <n v="655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6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8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9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60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61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62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63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4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5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6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7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8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9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70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71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72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5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8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81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82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83"/>
    <m/>
    <m/>
    <s v="기업교육3팀"/>
    <s v="송민지"/>
    <s v="기업교육3팀"/>
    <x v="6"/>
    <s v="염은지"/>
    <m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684"/>
    <m/>
    <m/>
    <s v="기업교육3팀"/>
    <s v="송민지"/>
    <s v="기업교육3팀"/>
    <x v="6"/>
    <s v="염은지"/>
    <m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85"/>
    <m/>
    <m/>
    <s v="기업교육3팀"/>
    <s v="송민지"/>
    <s v="기업교육3팀"/>
    <x v="6"/>
    <s v="염은지"/>
    <m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686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7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8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9"/>
    <m/>
    <m/>
    <s v="기업교육3팀"/>
    <s v="이지송"/>
    <s v="기업교육3팀"/>
    <x v="6"/>
    <s v="염은지"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90"/>
    <m/>
    <m/>
    <s v="기업교육3팀"/>
    <s v="이지송"/>
    <s v="기업교육3팀"/>
    <x v="6"/>
    <s v="염은지"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91"/>
    <m/>
    <m/>
    <s v="기업교육3팀"/>
    <s v="이지송"/>
    <s v="기업교육3팀"/>
    <x v="6"/>
    <s v="염은지"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9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9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9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701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704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20000000"/>
    <n v="360000000"/>
    <n v="-40000000"/>
    <m/>
    <m/>
    <m/>
    <n v="80000000"/>
    <m/>
    <m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707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9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11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2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13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14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16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18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9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0"/>
    <n v="100000000"/>
    <n v="-100000000"/>
    <m/>
    <m/>
    <m/>
    <m/>
    <m/>
    <m/>
    <m/>
    <m/>
    <m/>
    <m/>
    <m/>
    <m/>
    <m/>
    <m/>
    <m/>
    <m/>
    <m/>
    <m/>
    <m/>
    <m/>
    <m/>
    <m/>
    <m/>
    <m/>
    <m/>
    <m/>
    <m/>
  </r>
  <r>
    <n v="720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21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2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23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25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6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28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9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30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31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m/>
    <m/>
    <m/>
    <m/>
    <m/>
    <m/>
    <x v="8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 axis="axisRow" fieldPosition="0"/>
    </format>
    <format dxfId="15">
      <pivotArea dataOnly="0" labelOnly="1" fieldPosition="0">
        <references count="1">
          <reference field="19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9" type="button" dataOnly="0" labelOnly="1" outline="0" axis="axisCol" fieldPosition="0"/>
    </format>
    <format dxfId="22">
      <pivotArea dataOnly="0" labelOnly="1" fieldPosition="0">
        <references count="1">
          <reference field="19" count="0"/>
        </references>
      </pivotArea>
    </format>
    <format dxfId="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9" type="button" dataOnly="0" labelOnly="1" outline="0"/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7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8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0"/>
        <item x="5"/>
        <item x="6"/>
        <item x="7"/>
        <item m="1" x="11"/>
        <item m="1" x="12"/>
        <item m="1" x="9"/>
        <item x="8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6.5"/>
  <cols>
    <col min="1" max="1" width="12" style="54" customWidth="1"/>
    <col min="2" max="5" width="13.75" style="53" customWidth="1"/>
    <col min="6" max="8" width="15" style="53" customWidth="1"/>
    <col min="9" max="10" width="13.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75" style="53" bestFit="1" customWidth="1"/>
  </cols>
  <sheetData>
    <row r="3" spans="1:14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>
      <c r="A16" s="57" t="s">
        <v>5</v>
      </c>
      <c r="B16" s="56"/>
      <c r="C16" s="56"/>
      <c r="D16" s="56"/>
      <c r="E16" s="56"/>
    </row>
    <row r="17" spans="1:14">
      <c r="A17" s="57" t="s">
        <v>246</v>
      </c>
      <c r="B17" s="56"/>
      <c r="C17" s="56"/>
      <c r="D17" s="56"/>
      <c r="E17" s="56"/>
    </row>
    <row r="18" spans="1:14">
      <c r="A18" s="57" t="s">
        <v>2</v>
      </c>
      <c r="B18" s="56"/>
      <c r="C18" s="56"/>
      <c r="D18" s="56"/>
      <c r="E18" s="56"/>
    </row>
    <row r="19" spans="1:14">
      <c r="A19" s="57" t="s">
        <v>4</v>
      </c>
      <c r="B19" s="56"/>
      <c r="C19" s="56"/>
      <c r="D19" s="56"/>
      <c r="E19" s="56"/>
    </row>
    <row r="20" spans="1:14">
      <c r="A20" s="57" t="s">
        <v>555</v>
      </c>
      <c r="B20" s="56"/>
      <c r="C20" s="56"/>
      <c r="D20" s="56"/>
      <c r="E20" s="56"/>
    </row>
    <row r="21" spans="1:14">
      <c r="A21" s="57" t="s">
        <v>559</v>
      </c>
      <c r="B21" s="56"/>
      <c r="C21" s="56"/>
      <c r="D21" s="56"/>
      <c r="E21" s="56"/>
    </row>
    <row r="22" spans="1:14">
      <c r="A22" s="57" t="s">
        <v>561</v>
      </c>
      <c r="B22" s="56"/>
      <c r="C22" s="56"/>
      <c r="D22" s="56"/>
      <c r="E22" s="56"/>
    </row>
    <row r="23" spans="1:14">
      <c r="A23" s="57" t="s">
        <v>562</v>
      </c>
      <c r="B23" s="56"/>
      <c r="C23" s="56"/>
      <c r="D23" s="56"/>
      <c r="E23" s="56"/>
    </row>
    <row r="24" spans="1:14">
      <c r="A24" s="57" t="s">
        <v>569</v>
      </c>
      <c r="B24" s="56"/>
      <c r="C24" s="56"/>
      <c r="D24" s="56"/>
      <c r="E24" s="56"/>
    </row>
    <row r="25" spans="1:14">
      <c r="A25" s="57" t="s">
        <v>557</v>
      </c>
      <c r="B25" s="56"/>
      <c r="C25" s="56"/>
      <c r="D25" s="56"/>
      <c r="E25" s="56"/>
    </row>
    <row r="26" spans="1:14">
      <c r="A26" s="57" t="s">
        <v>560</v>
      </c>
      <c r="B26" s="56"/>
      <c r="C26" s="56"/>
      <c r="D26" s="56"/>
      <c r="E26" s="56"/>
    </row>
    <row r="27" spans="1:14">
      <c r="A27" s="57" t="s">
        <v>285</v>
      </c>
      <c r="B27" s="56"/>
      <c r="C27" s="56"/>
      <c r="D27" s="56"/>
      <c r="E27" s="56"/>
    </row>
    <row r="28" spans="1:14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>
      <c r="A49" s="57" t="s">
        <v>667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BH753"/>
  <sheetViews>
    <sheetView showGridLines="0" tabSelected="1" zoomScale="80" zoomScaleNormal="80" workbookViewId="0"/>
  </sheetViews>
  <sheetFormatPr defaultRowHeight="16.5" outlineLevelRow="1" outlineLevelCol="1"/>
  <cols>
    <col min="1" max="1" width="9.5" style="1" customWidth="1"/>
    <col min="2" max="4" width="11.75" style="5" hidden="1" customWidth="1" outlineLevel="1"/>
    <col min="5" max="5" width="11.75" style="6" hidden="1" customWidth="1" outlineLevel="1"/>
    <col min="6" max="6" width="11.75" style="6" customWidth="1" collapsed="1"/>
    <col min="7" max="7" width="11.75" style="6" customWidth="1"/>
    <col min="8" max="8" width="11.75" style="6" hidden="1" customWidth="1" outlineLevel="1"/>
    <col min="9" max="9" width="11.75" style="6" customWidth="1" collapsed="1"/>
    <col min="10" max="10" width="28" style="187" customWidth="1"/>
    <col min="11" max="12" width="9.75" style="187" hidden="1" customWidth="1" outlineLevel="1"/>
    <col min="13" max="13" width="9.75" style="187" customWidth="1" collapsed="1"/>
    <col min="14" max="14" width="19" style="187" hidden="1" customWidth="1" outlineLevel="1"/>
    <col min="15" max="16" width="8.875" style="186" hidden="1" customWidth="1" outlineLevel="1"/>
    <col min="17" max="18" width="31.25" style="186" hidden="1" customWidth="1" outlineLevel="1"/>
    <col min="19" max="19" width="31.25" style="186" customWidth="1" collapsed="1"/>
    <col min="20" max="20" width="15.5" style="186" hidden="1" customWidth="1" outlineLevel="1"/>
    <col min="21" max="22" width="18.125" style="188" hidden="1" customWidth="1" outlineLevel="1"/>
    <col min="23" max="23" width="18.125" style="188" customWidth="1" collapsed="1"/>
    <col min="24" max="24" width="18.125" style="188" customWidth="1"/>
    <col min="25" max="26" width="14.75" style="186" customWidth="1"/>
    <col min="27" max="28" width="14.75" style="186" hidden="1" customWidth="1" outlineLevel="1"/>
    <col min="29" max="29" width="14.75" style="17" customWidth="1" collapsed="1"/>
    <col min="30" max="31" width="14.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>
      <c r="S1" s="275"/>
      <c r="Y1" s="275"/>
      <c r="Z1" s="275"/>
      <c r="AA1" s="275"/>
      <c r="AB1" s="275"/>
      <c r="AD1" s="237"/>
      <c r="AE1" s="237"/>
    </row>
    <row r="2" spans="4:58" ht="26.25" hidden="1" outlineLevel="1">
      <c r="D2" s="331" t="s">
        <v>442</v>
      </c>
      <c r="E2" s="331"/>
      <c r="F2" s="331"/>
      <c r="G2" s="331"/>
      <c r="H2" s="331"/>
      <c r="I2" s="331"/>
      <c r="J2" s="331"/>
      <c r="K2" s="331"/>
      <c r="L2" s="331"/>
      <c r="M2" s="331"/>
      <c r="N2" s="186"/>
      <c r="O2" s="187"/>
      <c r="Y2" s="189"/>
      <c r="Z2" s="189"/>
      <c r="AA2" s="189"/>
      <c r="AB2" s="189"/>
      <c r="AD2" s="237"/>
      <c r="AE2" s="237"/>
    </row>
    <row r="3" spans="4:58" ht="18.75" hidden="1" customHeight="1" outlineLevel="1">
      <c r="D3" s="320" t="s">
        <v>574</v>
      </c>
      <c r="E3" s="321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2"/>
      <c r="S3" s="239"/>
      <c r="T3" s="267"/>
      <c r="X3" s="190" t="s">
        <v>365</v>
      </c>
      <c r="Y3" s="190" t="s">
        <v>366</v>
      </c>
      <c r="Z3" s="190" t="s">
        <v>653</v>
      </c>
      <c r="AA3" s="190"/>
      <c r="AB3" s="190"/>
      <c r="AC3" s="46" t="s">
        <v>367</v>
      </c>
      <c r="AD3" s="271" t="s">
        <v>671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18.75" hidden="1" outlineLevel="1">
      <c r="D4" s="323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5"/>
      <c r="S4" s="239"/>
      <c r="T4" s="267"/>
      <c r="X4" s="191" t="s">
        <v>212</v>
      </c>
      <c r="Y4" s="192">
        <v>2900330436</v>
      </c>
      <c r="Z4" s="252">
        <f>SUMIFS($AC$22:$AC$77328,$Z$22:$Z$77328,"01 확정",$G$22:$G$77328,X4)</f>
        <v>3114875766</v>
      </c>
      <c r="AA4" s="252"/>
      <c r="AB4" s="252"/>
      <c r="AC4" s="47">
        <f>Z4-Y4</f>
        <v>214545330</v>
      </c>
      <c r="AD4" s="272" t="s">
        <v>860</v>
      </c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18.75" hidden="1" outlineLevel="1">
      <c r="D5" s="323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  <c r="Q5" s="324"/>
      <c r="R5" s="325"/>
      <c r="S5" s="239"/>
      <c r="T5" s="267"/>
      <c r="X5" s="191" t="s">
        <v>246</v>
      </c>
      <c r="Y5" s="192">
        <v>2775216650</v>
      </c>
      <c r="Z5" s="252">
        <f>SUMIFS($AC$22:$AC$77328,$Z$22:$Z$77328,"01 확정",$G$22:$G$77328,X5)</f>
        <v>2775216650</v>
      </c>
      <c r="AA5" s="252"/>
      <c r="AB5" s="252"/>
      <c r="AC5" s="47">
        <f t="shared" ref="AC5:AC13" si="0">Z5-Y5</f>
        <v>0</v>
      </c>
      <c r="AD5" s="272" t="s">
        <v>879</v>
      </c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18.75" hidden="1" outlineLevel="1">
      <c r="D6" s="323"/>
      <c r="E6" s="324"/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5"/>
      <c r="S6" s="239"/>
      <c r="T6" s="267"/>
      <c r="X6" s="191" t="s">
        <v>2</v>
      </c>
      <c r="Y6" s="192">
        <v>3367771238</v>
      </c>
      <c r="Z6" s="252">
        <f>SUMIFS($AC$22:$AC$77328,$Z$22:$Z$77328,"01 확정",$G$22:$G$77328,X6)</f>
        <v>3369771238</v>
      </c>
      <c r="AA6" s="252"/>
      <c r="AB6" s="252"/>
      <c r="AC6" s="47">
        <f t="shared" si="0"/>
        <v>2000000</v>
      </c>
      <c r="AD6" s="272" t="s">
        <v>878</v>
      </c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18.75" hidden="1" outlineLevel="1">
      <c r="D7" s="323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5"/>
      <c r="S7" s="239"/>
      <c r="T7" s="267"/>
      <c r="X7" s="191" t="s">
        <v>4</v>
      </c>
      <c r="Y7" s="192">
        <v>2834955028</v>
      </c>
      <c r="Z7" s="252">
        <f>SUMIFS($AC$22:$AC$77328,$Z$22:$Z$77328,"01 확정",$G$22:$G$77328,X7)</f>
        <v>2834955028</v>
      </c>
      <c r="AA7" s="252"/>
      <c r="AB7" s="252"/>
      <c r="AC7" s="47">
        <f t="shared" si="0"/>
        <v>0</v>
      </c>
      <c r="AD7" s="272" t="s">
        <v>862</v>
      </c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18.75" hidden="1" outlineLevel="1">
      <c r="D8" s="323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5"/>
      <c r="S8" s="239"/>
      <c r="T8" s="267"/>
      <c r="X8" s="191" t="s">
        <v>285</v>
      </c>
      <c r="Y8" s="192">
        <v>2354180045</v>
      </c>
      <c r="Z8" s="252">
        <f>SUMIFS($AC$22:$AC$77328,$Z$22:$Z$77328,"01 확정",$G$22:$G$77328,X8)</f>
        <v>2354180045</v>
      </c>
      <c r="AA8" s="252"/>
      <c r="AB8" s="252"/>
      <c r="AC8" s="47">
        <f t="shared" si="0"/>
        <v>0</v>
      </c>
      <c r="AD8" s="272" t="s">
        <v>854</v>
      </c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18.75" hidden="1" outlineLevel="1">
      <c r="D9" s="323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5"/>
      <c r="S9" s="239"/>
      <c r="T9" s="267"/>
      <c r="X9" s="191" t="s">
        <v>718</v>
      </c>
      <c r="Y9" s="192">
        <v>785902400</v>
      </c>
      <c r="Z9" s="252">
        <f>SUMIFS($AC$22:$AC$77328,$Z$22:$Z$77328,"01 확정",$G$22:$G$77328,X9)</f>
        <v>771402400</v>
      </c>
      <c r="AA9" s="252"/>
      <c r="AB9" s="252"/>
      <c r="AC9" s="47">
        <f t="shared" si="0"/>
        <v>-14500000</v>
      </c>
      <c r="AD9" s="272" t="s">
        <v>867</v>
      </c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18.75" hidden="1" outlineLevel="1">
      <c r="D10" s="323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5"/>
      <c r="S10" s="239"/>
      <c r="T10" s="267"/>
      <c r="X10" s="191" t="s">
        <v>834</v>
      </c>
      <c r="Y10" s="192">
        <v>121729900</v>
      </c>
      <c r="Z10" s="252">
        <f>SUMIFS($AC$22:$AC$77328,$Z$22:$Z$77328,"01 확정",$G$22:$G$77328,X10)</f>
        <v>136229900</v>
      </c>
      <c r="AA10" s="252"/>
      <c r="AB10" s="252"/>
      <c r="AC10" s="47">
        <f t="shared" si="0"/>
        <v>14500000</v>
      </c>
      <c r="AD10" s="272" t="s">
        <v>880</v>
      </c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18.75" hidden="1" outlineLevel="1">
      <c r="D11" s="323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5"/>
      <c r="S11" s="239"/>
      <c r="T11" s="267"/>
      <c r="X11" s="191" t="s">
        <v>833</v>
      </c>
      <c r="Y11" s="192">
        <v>1083678421</v>
      </c>
      <c r="Z11" s="252">
        <f>SUMIFS($AC$22:$AC$77328,$Z$22:$Z$77328,"01 확정",$G$22:$G$77328,X11)</f>
        <v>1083678421</v>
      </c>
      <c r="AA11" s="252"/>
      <c r="AB11" s="252"/>
      <c r="AC11" s="47">
        <f t="shared" si="0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18.75" hidden="1" outlineLevel="1">
      <c r="D12" s="323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5"/>
      <c r="S12" s="239"/>
      <c r="T12" s="267"/>
      <c r="X12" s="191"/>
      <c r="Y12" s="199"/>
      <c r="Z12" s="252"/>
      <c r="AA12" s="252"/>
      <c r="AB12" s="252"/>
      <c r="AC12" s="47">
        <f t="shared" si="0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18.75" hidden="1" outlineLevel="1">
      <c r="D13" s="323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5"/>
      <c r="S13" s="239"/>
      <c r="T13" s="267"/>
      <c r="X13" s="253"/>
      <c r="Y13" s="192">
        <v>0</v>
      </c>
      <c r="Z13" s="252">
        <f>SUMIFS($AC$753:$AC$7677,$Z$753:$Z$7677,"01 확정",$G$753:$G$7677,X13)</f>
        <v>0</v>
      </c>
      <c r="AA13" s="252"/>
      <c r="AB13" s="252"/>
      <c r="AC13" s="47">
        <f t="shared" si="0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18.75" hidden="1" outlineLevel="1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7"/>
      <c r="X14" s="193" t="s">
        <v>331</v>
      </c>
      <c r="Y14" s="194">
        <v>16223764118</v>
      </c>
      <c r="Z14" s="194">
        <f>SUM(Z4:Z13)</f>
        <v>16440309448</v>
      </c>
      <c r="AA14" s="194"/>
      <c r="AB14" s="194"/>
      <c r="AC14" s="48">
        <f>Z14-Y14</f>
        <v>216545330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18.75" hidden="1" outlineLevel="1">
      <c r="D15" s="326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  <c r="R15" s="328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hidden="1" outlineLevel="1">
      <c r="U16" s="238"/>
      <c r="V16" s="238"/>
      <c r="W16" s="241"/>
      <c r="X16" s="241"/>
      <c r="AC16" s="245"/>
      <c r="AD16" s="237"/>
      <c r="AE16" s="237"/>
    </row>
    <row r="17" spans="1:60" collapsed="1">
      <c r="U17" s="238"/>
      <c r="V17" s="238"/>
      <c r="W17" s="238"/>
      <c r="X17" s="238"/>
      <c r="AC17" s="244"/>
      <c r="AD17" s="274"/>
      <c r="AE17" s="237"/>
    </row>
    <row r="18" spans="1:60">
      <c r="V18" s="329"/>
      <c r="W18" s="240"/>
      <c r="X18" s="240"/>
      <c r="AC18" s="245"/>
      <c r="AD18" s="245"/>
    </row>
    <row r="19" spans="1:60" ht="17.25">
      <c r="V19" s="330"/>
      <c r="W19" s="289" t="s">
        <v>745</v>
      </c>
      <c r="X19" s="289" t="s">
        <v>746</v>
      </c>
      <c r="AA19" s="312" t="s">
        <v>787</v>
      </c>
      <c r="AB19" s="312" t="s">
        <v>792</v>
      </c>
    </row>
    <row r="20" spans="1:60" ht="19.899999999999999" customHeight="1" thickBot="1">
      <c r="A20" s="6">
        <f>SUBTOTAL(3,$A$22:$A$83959)</f>
        <v>732</v>
      </c>
      <c r="H20" s="312" t="s">
        <v>788</v>
      </c>
      <c r="J20" s="197"/>
      <c r="K20" s="198"/>
      <c r="L20" s="312" t="s">
        <v>790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706</v>
      </c>
      <c r="U20" s="10">
        <f>SUBTOTAL(9,U753:U1048576)</f>
        <v>813445299</v>
      </c>
      <c r="V20" s="10">
        <f>SUBTOTAL(9,V753:V1048576)</f>
        <v>1017386980</v>
      </c>
      <c r="W20" s="10">
        <f>SUBTOTAL(9,W22:W1048576)</f>
        <v>19947632375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>SUBTOTAL(9,AC22:AC1048576)</f>
        <v>25072609448</v>
      </c>
      <c r="AD20" s="9">
        <f>SUBTOTAL(9,AD22:AD1048576)</f>
        <v>27709072218</v>
      </c>
      <c r="AE20" s="9">
        <f>SUBTOTAL(9,AE22:AE1048576)</f>
        <v>-2636462770</v>
      </c>
      <c r="AF20" s="7">
        <f>SUBTOTAL(9,AF22:AF1048576)</f>
        <v>912122974</v>
      </c>
      <c r="AG20" s="270">
        <f>SUBTOTAL(9,AG22:AG1048576)</f>
        <v>2033613604</v>
      </c>
      <c r="AH20" s="7">
        <f>SUBTOTAL(9,AH22:AH1048576)</f>
        <v>0</v>
      </c>
      <c r="AI20" s="7">
        <f>SUBTOTAL(9,AI22:AI1048576)</f>
        <v>1086625950</v>
      </c>
      <c r="AJ20" s="270">
        <f>SUBTOTAL(9,AJ22:AJ1048576)</f>
        <v>721701442</v>
      </c>
      <c r="AK20" s="7">
        <f>SUBTOTAL(9,AK22:AK1048576)</f>
        <v>0</v>
      </c>
      <c r="AL20" s="7">
        <f>SUBTOTAL(9,AL22:AL1048576)</f>
        <v>1186522046.1818182</v>
      </c>
      <c r="AM20" s="270">
        <f>SUBTOTAL(9,AM22:AM1048576)</f>
        <v>1194334838</v>
      </c>
      <c r="AN20" s="7">
        <f>SUBTOTAL(9,AN22:AN1048576)</f>
        <v>0</v>
      </c>
      <c r="AO20" s="7">
        <f>SUBTOTAL(9,AO22:AO1048576)</f>
        <v>1070216629</v>
      </c>
      <c r="AP20" s="7">
        <f>SUBTOTAL(9,AP22:AP1048576)</f>
        <v>0</v>
      </c>
      <c r="AQ20" s="7">
        <f>SUBTOTAL(9,AQ22:AQ1048576)</f>
        <v>3589643091</v>
      </c>
      <c r="AR20" s="7">
        <f>SUBTOTAL(9,AR22:AR1048576)</f>
        <v>0</v>
      </c>
      <c r="AS20" s="7">
        <f>SUBTOTAL(9,AS22:AS1048576)</f>
        <v>1459113461</v>
      </c>
      <c r="AT20" s="7">
        <f>SUBTOTAL(9,AT22:AT1048576)</f>
        <v>0</v>
      </c>
      <c r="AU20" s="7">
        <f>SUBTOTAL(9,AU22:AU1048576)</f>
        <v>2170601091</v>
      </c>
      <c r="AV20" s="7">
        <f>SUBTOTAL(9,AV22:AV1048576)</f>
        <v>0</v>
      </c>
      <c r="AW20" s="7">
        <f>SUBTOTAL(9,AW22:AW1048576)</f>
        <v>1618383636</v>
      </c>
      <c r="AX20" s="7">
        <f>SUBTOTAL(9,AX22:AX1048576)</f>
        <v>0</v>
      </c>
      <c r="AY20" s="7">
        <f>SUBTOTAL(9,AY22:AY1048576)</f>
        <v>1753962091</v>
      </c>
      <c r="AZ20" s="7">
        <f>SUBTOTAL(9,AZ22:AZ1048576)</f>
        <v>0</v>
      </c>
      <c r="BA20" s="7">
        <f>SUBTOTAL(9,BA22:BA1048576)</f>
        <v>1716519586</v>
      </c>
      <c r="BB20" s="7">
        <f>SUBTOTAL(9,BB22:BB1048576)</f>
        <v>0</v>
      </c>
      <c r="BC20" s="7">
        <f>SUBTOTAL(9,BC22:BC1048576)</f>
        <v>2731445188</v>
      </c>
      <c r="BD20" s="7">
        <f>SUBTOTAL(9,BD22:BD1048576)</f>
        <v>0</v>
      </c>
      <c r="BE20" s="7">
        <f>SUBTOTAL(9,BE22:BE1048576)</f>
        <v>5013074791</v>
      </c>
      <c r="BF20" s="7">
        <f>SUBTOTAL(9,BF22:BF1048576)</f>
        <v>0</v>
      </c>
    </row>
    <row r="21" spans="1:60" s="14" customFormat="1" ht="56.45" customHeight="1">
      <c r="A21" s="11" t="s">
        <v>676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658</v>
      </c>
      <c r="H21" s="313" t="s">
        <v>789</v>
      </c>
      <c r="I21" s="248" t="s">
        <v>582</v>
      </c>
      <c r="J21" s="249" t="s">
        <v>11</v>
      </c>
      <c r="K21" s="51" t="s">
        <v>742</v>
      </c>
      <c r="L21" s="314" t="s">
        <v>791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707</v>
      </c>
      <c r="U21" s="45" t="s">
        <v>18</v>
      </c>
      <c r="V21" s="45" t="s">
        <v>19</v>
      </c>
      <c r="W21" s="287" t="s">
        <v>743</v>
      </c>
      <c r="X21" s="288" t="s">
        <v>744</v>
      </c>
      <c r="Y21" s="243" t="s">
        <v>575</v>
      </c>
      <c r="Z21" s="12" t="s">
        <v>576</v>
      </c>
      <c r="AA21" s="316" t="s">
        <v>793</v>
      </c>
      <c r="AB21" s="316" t="s">
        <v>794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703</v>
      </c>
      <c r="AH21" s="41" t="s">
        <v>666</v>
      </c>
      <c r="AI21" s="41" t="s">
        <v>197</v>
      </c>
      <c r="AJ21" s="266" t="s">
        <v>717</v>
      </c>
      <c r="AK21" s="41" t="s">
        <v>666</v>
      </c>
      <c r="AL21" s="41" t="s">
        <v>198</v>
      </c>
      <c r="AM21" s="319" t="s">
        <v>795</v>
      </c>
      <c r="AN21" s="41" t="s">
        <v>666</v>
      </c>
      <c r="AO21" s="41" t="s">
        <v>199</v>
      </c>
      <c r="AP21" s="41" t="s">
        <v>666</v>
      </c>
      <c r="AQ21" s="41" t="s">
        <v>200</v>
      </c>
      <c r="AR21" s="41" t="s">
        <v>666</v>
      </c>
      <c r="AS21" s="41" t="s">
        <v>201</v>
      </c>
      <c r="AT21" s="41" t="s">
        <v>666</v>
      </c>
      <c r="AU21" s="41" t="s">
        <v>202</v>
      </c>
      <c r="AV21" s="41" t="s">
        <v>666</v>
      </c>
      <c r="AW21" s="41" t="s">
        <v>203</v>
      </c>
      <c r="AX21" s="41" t="s">
        <v>666</v>
      </c>
      <c r="AY21" s="41" t="s">
        <v>204</v>
      </c>
      <c r="AZ21" s="41" t="s">
        <v>666</v>
      </c>
      <c r="BA21" s="41" t="s">
        <v>205</v>
      </c>
      <c r="BB21" s="41" t="s">
        <v>666</v>
      </c>
      <c r="BC21" s="41" t="s">
        <v>206</v>
      </c>
      <c r="BD21" s="41" t="s">
        <v>666</v>
      </c>
      <c r="BE21" s="41" t="s">
        <v>207</v>
      </c>
      <c r="BF21" s="41" t="s">
        <v>666</v>
      </c>
    </row>
    <row r="22" spans="1:60" s="310" customFormat="1" ht="16.5" customHeight="1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1">AG22+AJ22+AM22+AO22+AQ22+AS22+AU22+AW22+AY22+BA22+BC22+BE22</f>
        <v>10000000</v>
      </c>
      <c r="AD22" s="303">
        <v>10000000</v>
      </c>
      <c r="AE22" s="303">
        <f t="shared" ref="AE22:AE85" si="2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customHeight="1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1"/>
        <v>50000000</v>
      </c>
      <c r="AD23" s="303">
        <v>50000000</v>
      </c>
      <c r="AE23" s="303">
        <f t="shared" si="2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customHeight="1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1"/>
        <v>1000000</v>
      </c>
      <c r="AD24" s="303">
        <v>1000000</v>
      </c>
      <c r="AE24" s="303">
        <f t="shared" si="2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customHeight="1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681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1"/>
        <v>0</v>
      </c>
      <c r="AD25" s="303">
        <v>0</v>
      </c>
      <c r="AE25" s="303">
        <f t="shared" si="2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customHeight="1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1"/>
        <v>20000000</v>
      </c>
      <c r="AD26" s="303">
        <v>40000000</v>
      </c>
      <c r="AE26" s="303">
        <f t="shared" si="2"/>
        <v>-20000000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/>
      <c r="AR26" s="306" t="s">
        <v>855</v>
      </c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customHeight="1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809</v>
      </c>
      <c r="H27" s="311" t="s">
        <v>808</v>
      </c>
      <c r="I27" s="295"/>
      <c r="J27" s="296" t="s">
        <v>777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683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1"/>
        <v>4100000</v>
      </c>
      <c r="AD27" s="303">
        <v>4100000</v>
      </c>
      <c r="AE27" s="303">
        <f t="shared" si="2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807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customHeight="1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809</v>
      </c>
      <c r="H28" s="311" t="s">
        <v>808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1"/>
        <v>100000000</v>
      </c>
      <c r="AD28" s="303">
        <v>100000000</v>
      </c>
      <c r="AE28" s="303">
        <f t="shared" si="2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/>
      <c r="AP28" s="306"/>
      <c r="AQ28" s="306">
        <v>30000000</v>
      </c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customHeight="1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1"/>
        <v>20000000</v>
      </c>
      <c r="AD29" s="303">
        <v>20000000</v>
      </c>
      <c r="AE29" s="303">
        <f t="shared" si="2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customHeight="1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1"/>
        <v>0</v>
      </c>
      <c r="AD30" s="303">
        <v>0</v>
      </c>
      <c r="AE30" s="303">
        <f t="shared" si="2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customHeight="1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1"/>
        <v>0</v>
      </c>
      <c r="AD31" s="303">
        <v>0</v>
      </c>
      <c r="AE31" s="303">
        <f t="shared" si="2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customHeight="1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1"/>
        <v>0</v>
      </c>
      <c r="AD32" s="303">
        <v>0</v>
      </c>
      <c r="AE32" s="303">
        <f t="shared" si="2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customHeight="1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683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1"/>
        <v>0</v>
      </c>
      <c r="AD33" s="303">
        <v>0</v>
      </c>
      <c r="AE33" s="303">
        <f t="shared" si="2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customHeight="1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683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1"/>
        <v>100000000</v>
      </c>
      <c r="AD34" s="303">
        <v>100000000</v>
      </c>
      <c r="AE34" s="303">
        <f t="shared" si="2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customHeight="1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785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1"/>
        <v>30000000</v>
      </c>
      <c r="AD35" s="303">
        <v>30000000</v>
      </c>
      <c r="AE35" s="303">
        <f t="shared" si="2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customHeight="1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1"/>
        <v>0</v>
      </c>
      <c r="AD36" s="303">
        <v>0</v>
      </c>
      <c r="AE36" s="303">
        <f t="shared" si="2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customHeight="1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1"/>
        <v>0</v>
      </c>
      <c r="AD37" s="303">
        <v>0</v>
      </c>
      <c r="AE37" s="303">
        <f t="shared" si="2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customHeight="1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1"/>
        <v>0</v>
      </c>
      <c r="AD38" s="303">
        <v>0</v>
      </c>
      <c r="AE38" s="303">
        <f t="shared" si="2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customHeight="1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1"/>
        <v>11000000</v>
      </c>
      <c r="AD39" s="303">
        <v>11000000</v>
      </c>
      <c r="AE39" s="303">
        <f t="shared" si="2"/>
        <v>0</v>
      </c>
      <c r="AF39" s="304">
        <v>480000</v>
      </c>
      <c r="AG39" s="305">
        <v>480000</v>
      </c>
      <c r="AH39" s="304" t="s">
        <v>672</v>
      </c>
      <c r="AI39" s="304"/>
      <c r="AJ39" s="305"/>
      <c r="AK39" s="304"/>
      <c r="AL39" s="306">
        <v>0</v>
      </c>
      <c r="AM39" s="318"/>
      <c r="AN39" s="306" t="s">
        <v>720</v>
      </c>
      <c r="AO39" s="307"/>
      <c r="AP39" s="306"/>
      <c r="AQ39" s="306">
        <v>2000000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customHeight="1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1"/>
        <v>13000000</v>
      </c>
      <c r="AD40" s="303">
        <v>13000000</v>
      </c>
      <c r="AE40" s="303">
        <f t="shared" si="2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customHeight="1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1"/>
        <v>130033000</v>
      </c>
      <c r="AD41" s="303">
        <v>130033000</v>
      </c>
      <c r="AE41" s="303">
        <f t="shared" si="2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/>
      <c r="AP41" s="306"/>
      <c r="AQ41" s="306">
        <v>20853000</v>
      </c>
      <c r="AR41" s="306" t="s">
        <v>765</v>
      </c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customHeight="1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1"/>
        <v>80000000</v>
      </c>
      <c r="AD42" s="303">
        <v>80000000</v>
      </c>
      <c r="AE42" s="303">
        <f t="shared" si="2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customHeight="1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1"/>
        <v>62000000</v>
      </c>
      <c r="AD43" s="303">
        <v>62000000</v>
      </c>
      <c r="AE43" s="303">
        <f t="shared" si="2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customHeight="1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683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1"/>
        <v>20000000</v>
      </c>
      <c r="AD44" s="303">
        <v>20000000</v>
      </c>
      <c r="AE44" s="303">
        <f t="shared" si="2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customHeight="1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684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1"/>
        <v>10909092</v>
      </c>
      <c r="AD45" s="303">
        <v>10909092</v>
      </c>
      <c r="AE45" s="303">
        <f t="shared" si="2"/>
        <v>0</v>
      </c>
      <c r="AF45" s="304">
        <v>909091</v>
      </c>
      <c r="AG45" s="305">
        <v>909091</v>
      </c>
      <c r="AH45" s="304" t="s">
        <v>700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customHeight="1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1"/>
        <v>10000000</v>
      </c>
      <c r="AD46" s="303">
        <v>10000000</v>
      </c>
      <c r="AE46" s="303">
        <f t="shared" si="2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740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customHeight="1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683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1"/>
        <v>0</v>
      </c>
      <c r="AD47" s="303">
        <v>500000000</v>
      </c>
      <c r="AE47" s="303">
        <f t="shared" si="2"/>
        <v>-500000000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/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customHeight="1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1"/>
        <v>56000000</v>
      </c>
      <c r="AD48" s="303">
        <v>56000000</v>
      </c>
      <c r="AE48" s="303">
        <f t="shared" si="2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customHeight="1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1"/>
        <v>0</v>
      </c>
      <c r="AD49" s="303">
        <v>0</v>
      </c>
      <c r="AE49" s="303">
        <f t="shared" si="2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customHeight="1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1"/>
        <v>12000000</v>
      </c>
      <c r="AD50" s="303">
        <v>12000000</v>
      </c>
      <c r="AE50" s="303">
        <f t="shared" si="2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customHeight="1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1"/>
        <v>300000000</v>
      </c>
      <c r="AD51" s="303">
        <v>300000000</v>
      </c>
      <c r="AE51" s="303">
        <f t="shared" si="2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customHeight="1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1"/>
        <v>0</v>
      </c>
      <c r="AD52" s="303">
        <v>0</v>
      </c>
      <c r="AE52" s="303">
        <f t="shared" si="2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customHeight="1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776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1"/>
        <v>190000000</v>
      </c>
      <c r="AD53" s="303">
        <v>190000000</v>
      </c>
      <c r="AE53" s="303">
        <f t="shared" si="2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customHeight="1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296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31</v>
      </c>
      <c r="AA54" s="317"/>
      <c r="AB54" s="317"/>
      <c r="AC54" s="303">
        <f t="shared" si="1"/>
        <v>200000000</v>
      </c>
      <c r="AD54" s="303">
        <v>330000000</v>
      </c>
      <c r="AE54" s="303">
        <f t="shared" si="2"/>
        <v>-130000000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/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200000000</v>
      </c>
      <c r="BF54" s="306" t="s">
        <v>856</v>
      </c>
      <c r="BG54" s="308"/>
      <c r="BH54" s="309"/>
    </row>
    <row r="55" spans="1:60" s="310" customFormat="1" ht="16.5" customHeight="1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296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747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1"/>
        <v>386675627</v>
      </c>
      <c r="AD55" s="303">
        <v>386675627</v>
      </c>
      <c r="AE55" s="303">
        <f t="shared" si="2"/>
        <v>0</v>
      </c>
      <c r="AF55" s="304">
        <v>500300</v>
      </c>
      <c r="AG55" s="305"/>
      <c r="AH55" s="304" t="s">
        <v>750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722</v>
      </c>
      <c r="AO55" s="307">
        <v>29666585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40333415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customHeight="1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296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31</v>
      </c>
      <c r="AA56" s="317"/>
      <c r="AB56" s="317"/>
      <c r="AC56" s="303">
        <f t="shared" si="1"/>
        <v>14900000</v>
      </c>
      <c r="AD56" s="303">
        <v>10000000</v>
      </c>
      <c r="AE56" s="303">
        <f t="shared" si="2"/>
        <v>4900000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/>
      <c r="AV56" s="306"/>
      <c r="AW56" s="306"/>
      <c r="AX56" s="306"/>
      <c r="AY56" s="306"/>
      <c r="AZ56" s="306"/>
      <c r="BA56" s="306"/>
      <c r="BB56" s="306"/>
      <c r="BC56" s="306">
        <v>14900000</v>
      </c>
      <c r="BD56" s="306"/>
      <c r="BE56" s="306"/>
      <c r="BF56" s="306"/>
      <c r="BG56" s="308"/>
      <c r="BH56" s="309"/>
    </row>
    <row r="57" spans="1:60" s="310" customFormat="1" ht="16.5" customHeight="1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683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1"/>
        <v>20000000</v>
      </c>
      <c r="AD57" s="303">
        <v>20000000</v>
      </c>
      <c r="AE57" s="303">
        <f t="shared" si="2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customHeight="1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1"/>
        <v>20000000</v>
      </c>
      <c r="AD58" s="303">
        <v>20000000</v>
      </c>
      <c r="AE58" s="303">
        <f t="shared" si="2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customHeight="1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1"/>
        <v>12000000</v>
      </c>
      <c r="AD59" s="303">
        <v>12000000</v>
      </c>
      <c r="AE59" s="303">
        <f t="shared" si="2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customHeight="1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1"/>
        <v>0</v>
      </c>
      <c r="AD60" s="303">
        <v>0</v>
      </c>
      <c r="AE60" s="303">
        <f t="shared" si="2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customHeight="1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1"/>
        <v>0</v>
      </c>
      <c r="AD61" s="303">
        <v>0</v>
      </c>
      <c r="AE61" s="303">
        <f t="shared" si="2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customHeight="1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754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683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1"/>
        <v>20000000</v>
      </c>
      <c r="AD62" s="303">
        <v>20000000</v>
      </c>
      <c r="AE62" s="303">
        <f t="shared" si="2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customHeight="1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1"/>
        <v>10000000</v>
      </c>
      <c r="AD63" s="303">
        <v>10000000</v>
      </c>
      <c r="AE63" s="303">
        <f t="shared" si="2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customHeight="1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1"/>
        <v>15000000</v>
      </c>
      <c r="AD64" s="303">
        <v>15000000</v>
      </c>
      <c r="AE64" s="303">
        <f t="shared" si="2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customHeight="1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802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1"/>
        <v>55000000</v>
      </c>
      <c r="AD65" s="303">
        <v>55000000</v>
      </c>
      <c r="AE65" s="303">
        <f t="shared" si="2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723</v>
      </c>
      <c r="AO65" s="307"/>
      <c r="AP65" s="306"/>
      <c r="AQ65" s="306">
        <v>5000000</v>
      </c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724</v>
      </c>
      <c r="BG65" s="308"/>
      <c r="BH65" s="309"/>
    </row>
    <row r="66" spans="1:60" s="310" customFormat="1" ht="16.5" customHeight="1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1"/>
        <v>100000000</v>
      </c>
      <c r="AD66" s="303">
        <v>100000000</v>
      </c>
      <c r="AE66" s="303">
        <f t="shared" si="2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customHeight="1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1"/>
        <v>0</v>
      </c>
      <c r="AD67" s="303">
        <v>0</v>
      </c>
      <c r="AE67" s="303">
        <f t="shared" si="2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customHeight="1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1"/>
        <v>4900000</v>
      </c>
      <c r="AD68" s="303">
        <v>5600000</v>
      </c>
      <c r="AE68" s="303">
        <f t="shared" si="2"/>
        <v>-700000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/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customHeight="1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1"/>
        <v>140000000</v>
      </c>
      <c r="AD69" s="303">
        <v>140000000</v>
      </c>
      <c r="AE69" s="303">
        <f t="shared" si="2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customHeight="1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1"/>
        <v>500000000</v>
      </c>
      <c r="AD70" s="303">
        <v>500000000</v>
      </c>
      <c r="AE70" s="303">
        <f t="shared" si="2"/>
        <v>0</v>
      </c>
      <c r="AF70" s="304">
        <v>19054545</v>
      </c>
      <c r="AG70" s="305"/>
      <c r="AH70" s="304" t="s">
        <v>696</v>
      </c>
      <c r="AI70" s="304">
        <v>34327273</v>
      </c>
      <c r="AJ70" s="305">
        <v>34327273</v>
      </c>
      <c r="AK70" s="304" t="s">
        <v>725</v>
      </c>
      <c r="AL70" s="306">
        <v>71029299</v>
      </c>
      <c r="AM70" s="318">
        <v>71029299</v>
      </c>
      <c r="AN70" s="306" t="s">
        <v>726</v>
      </c>
      <c r="AO70" s="307">
        <v>74507771</v>
      </c>
      <c r="AP70" s="306" t="s">
        <v>766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customHeight="1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1"/>
        <v>70000000</v>
      </c>
      <c r="AD71" s="303">
        <v>70000000</v>
      </c>
      <c r="AE71" s="303">
        <f t="shared" si="2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 t="s">
        <v>855</v>
      </c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customHeight="1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683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1"/>
        <v>0</v>
      </c>
      <c r="AD72" s="303">
        <v>0</v>
      </c>
      <c r="AE72" s="303">
        <f t="shared" si="2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customHeight="1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1"/>
        <v>50000000</v>
      </c>
      <c r="AD73" s="303">
        <v>100000000</v>
      </c>
      <c r="AE73" s="303">
        <f t="shared" si="2"/>
        <v>-50000000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/>
      <c r="AR73" s="306" t="s">
        <v>855</v>
      </c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customHeight="1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296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747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1"/>
        <v>100955280</v>
      </c>
      <c r="AD74" s="303">
        <v>100955280</v>
      </c>
      <c r="AE74" s="303">
        <f t="shared" si="2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14760540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455620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customHeight="1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1"/>
        <v>30000000</v>
      </c>
      <c r="AD75" s="303">
        <v>30000000</v>
      </c>
      <c r="AE75" s="303">
        <f t="shared" si="2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customHeight="1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1"/>
        <v>0</v>
      </c>
      <c r="AD76" s="303">
        <v>0</v>
      </c>
      <c r="AE76" s="303">
        <f t="shared" si="2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customHeight="1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1"/>
        <v>216361227</v>
      </c>
      <c r="AD77" s="303">
        <v>216361227</v>
      </c>
      <c r="AE77" s="303">
        <f t="shared" si="2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customHeight="1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1"/>
        <v>200000000</v>
      </c>
      <c r="AD78" s="303">
        <v>200000000</v>
      </c>
      <c r="AE78" s="303">
        <f t="shared" si="2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customHeight="1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691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1"/>
        <v>0</v>
      </c>
      <c r="AD79" s="303">
        <v>0</v>
      </c>
      <c r="AE79" s="303">
        <f t="shared" si="2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customHeight="1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296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1"/>
        <v>51857730</v>
      </c>
      <c r="AD80" s="303">
        <v>52212400</v>
      </c>
      <c r="AE80" s="303">
        <f t="shared" si="2"/>
        <v>-354670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721</v>
      </c>
      <c r="AO80" s="307">
        <v>4145330</v>
      </c>
      <c r="AP80" s="306" t="s">
        <v>857</v>
      </c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customHeight="1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1"/>
        <v>23000000</v>
      </c>
      <c r="AD81" s="303">
        <v>23000000</v>
      </c>
      <c r="AE81" s="303">
        <f t="shared" si="2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customHeight="1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1"/>
        <v>0</v>
      </c>
      <c r="AD82" s="303">
        <v>5000000</v>
      </c>
      <c r="AE82" s="303">
        <f t="shared" si="2"/>
        <v>-5000000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/>
      <c r="AR82" s="306" t="s">
        <v>858</v>
      </c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customHeight="1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1"/>
        <v>40000000</v>
      </c>
      <c r="AD83" s="303">
        <v>60000000</v>
      </c>
      <c r="AE83" s="303">
        <f t="shared" si="2"/>
        <v>-20000000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/>
      <c r="AR83" s="306" t="s">
        <v>858</v>
      </c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customHeight="1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1"/>
        <v>0</v>
      </c>
      <c r="AD84" s="303">
        <v>0</v>
      </c>
      <c r="AE84" s="303">
        <f t="shared" si="2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customHeight="1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684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1"/>
        <v>0</v>
      </c>
      <c r="AD85" s="303">
        <v>0</v>
      </c>
      <c r="AE85" s="303">
        <f t="shared" si="2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customHeight="1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688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3">AG86+AJ86+AM86+AO86+AQ86+AS86+AU86+AW86+AY86+BA86+BC86+BE86</f>
        <v>0</v>
      </c>
      <c r="AD86" s="303">
        <v>0</v>
      </c>
      <c r="AE86" s="303">
        <f t="shared" ref="AE86:AE149" si="4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customHeight="1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3"/>
        <v>0</v>
      </c>
      <c r="AD87" s="303">
        <v>0</v>
      </c>
      <c r="AE87" s="303">
        <f t="shared" si="4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customHeight="1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683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3"/>
        <v>0</v>
      </c>
      <c r="AD88" s="303">
        <v>0</v>
      </c>
      <c r="AE88" s="303">
        <f t="shared" si="4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customHeight="1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684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3"/>
        <v>0</v>
      </c>
      <c r="AD89" s="303">
        <v>0</v>
      </c>
      <c r="AE89" s="303">
        <f t="shared" si="4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customHeight="1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3"/>
        <v>0</v>
      </c>
      <c r="AD90" s="303">
        <v>0</v>
      </c>
      <c r="AE90" s="303">
        <f t="shared" si="4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customHeight="1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3"/>
        <v>5000000</v>
      </c>
      <c r="AD91" s="303">
        <v>5000000</v>
      </c>
      <c r="AE91" s="303">
        <f t="shared" si="4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727</v>
      </c>
      <c r="BG91" s="308"/>
      <c r="BH91" s="309"/>
    </row>
    <row r="92" spans="1:60" s="310" customFormat="1" ht="16.5" customHeight="1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3"/>
        <v>10500000</v>
      </c>
      <c r="AD92" s="303">
        <v>10500000</v>
      </c>
      <c r="AE92" s="303">
        <f t="shared" si="4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customHeight="1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3"/>
        <v>0</v>
      </c>
      <c r="AD93" s="303">
        <v>0</v>
      </c>
      <c r="AE93" s="303">
        <f t="shared" si="4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customHeight="1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3"/>
        <v>0</v>
      </c>
      <c r="AD94" s="303">
        <v>0</v>
      </c>
      <c r="AE94" s="303">
        <f t="shared" si="4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customHeight="1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3"/>
        <v>0</v>
      </c>
      <c r="AD95" s="303">
        <v>0</v>
      </c>
      <c r="AE95" s="303">
        <f t="shared" si="4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customHeight="1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816</v>
      </c>
      <c r="H96" s="311" t="s">
        <v>805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3"/>
        <v>130000000</v>
      </c>
      <c r="AD96" s="303">
        <v>130000000</v>
      </c>
      <c r="AE96" s="303">
        <f t="shared" si="4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customHeight="1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3"/>
        <v>5000000</v>
      </c>
      <c r="AD97" s="303">
        <v>5000000</v>
      </c>
      <c r="AE97" s="303">
        <f t="shared" si="4"/>
        <v>0</v>
      </c>
      <c r="AF97" s="304"/>
      <c r="AG97" s="305"/>
      <c r="AH97" s="304" t="s">
        <v>673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674</v>
      </c>
      <c r="BG97" s="308"/>
      <c r="BH97" s="309"/>
    </row>
    <row r="98" spans="1:60" s="310" customFormat="1" ht="16.5" customHeight="1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683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3"/>
        <v>30000000</v>
      </c>
      <c r="AD98" s="303">
        <v>30000000</v>
      </c>
      <c r="AE98" s="303">
        <f t="shared" si="4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customHeight="1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3"/>
        <v>25891600</v>
      </c>
      <c r="AD99" s="303">
        <v>25891600</v>
      </c>
      <c r="AE99" s="303">
        <f t="shared" si="4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/>
      <c r="AP99" s="306"/>
      <c r="AQ99" s="306">
        <v>4000000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customHeight="1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3"/>
        <v>35000000</v>
      </c>
      <c r="AD100" s="303">
        <v>35000000</v>
      </c>
      <c r="AE100" s="303">
        <f t="shared" si="4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customHeight="1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3"/>
        <v>2000000</v>
      </c>
      <c r="AD101" s="303">
        <v>2000000</v>
      </c>
      <c r="AE101" s="303">
        <f t="shared" si="4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customHeight="1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3"/>
        <v>30000000</v>
      </c>
      <c r="AD102" s="303">
        <v>30000000</v>
      </c>
      <c r="AE102" s="303">
        <f t="shared" si="4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customHeight="1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3"/>
        <v>2000000</v>
      </c>
      <c r="AD103" s="303">
        <v>2000000</v>
      </c>
      <c r="AE103" s="303">
        <f t="shared" si="4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customHeight="1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683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3"/>
        <v>0</v>
      </c>
      <c r="AD104" s="303">
        <v>0</v>
      </c>
      <c r="AE104" s="303">
        <f t="shared" si="4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customHeight="1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3"/>
        <v>20000000</v>
      </c>
      <c r="AD105" s="303">
        <v>20000000</v>
      </c>
      <c r="AE105" s="303">
        <f t="shared" si="4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741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customHeight="1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3"/>
        <v>0</v>
      </c>
      <c r="AD106" s="303">
        <v>4000000</v>
      </c>
      <c r="AE106" s="303">
        <f t="shared" si="4"/>
        <v>-4000000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/>
      <c r="BF106" s="306"/>
      <c r="BG106" s="308"/>
      <c r="BH106" s="309"/>
    </row>
    <row r="107" spans="1:60" s="310" customFormat="1" ht="16.5" customHeight="1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3"/>
        <v>0</v>
      </c>
      <c r="AD107" s="303">
        <v>0</v>
      </c>
      <c r="AE107" s="303">
        <f t="shared" si="4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customHeight="1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683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3"/>
        <v>0</v>
      </c>
      <c r="AD108" s="303">
        <v>0</v>
      </c>
      <c r="AE108" s="303">
        <f t="shared" si="4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customHeight="1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3"/>
        <v>85740000</v>
      </c>
      <c r="AD109" s="303">
        <v>85740000</v>
      </c>
      <c r="AE109" s="303">
        <f t="shared" si="4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728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customHeight="1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3"/>
        <v>50000000</v>
      </c>
      <c r="AD110" s="303">
        <v>50000000</v>
      </c>
      <c r="AE110" s="303">
        <f t="shared" si="4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customHeight="1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3"/>
        <v>10000000</v>
      </c>
      <c r="AD111" s="303">
        <v>10000000</v>
      </c>
      <c r="AE111" s="303">
        <f t="shared" si="4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customHeight="1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3"/>
        <v>0</v>
      </c>
      <c r="AD112" s="303">
        <v>0</v>
      </c>
      <c r="AE112" s="303">
        <f t="shared" si="4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customHeight="1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3"/>
        <v>2000000</v>
      </c>
      <c r="AD113" s="303">
        <v>2000000</v>
      </c>
      <c r="AE113" s="303">
        <f t="shared" si="4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customHeight="1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296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684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3"/>
        <v>52260000</v>
      </c>
      <c r="AD114" s="303">
        <v>52260000</v>
      </c>
      <c r="AE114" s="303">
        <f t="shared" si="4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729</v>
      </c>
      <c r="AL114" s="306">
        <v>3800000</v>
      </c>
      <c r="AM114" s="318"/>
      <c r="AN114" s="306" t="s">
        <v>800</v>
      </c>
      <c r="AO114" s="307">
        <v>7600000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5280000</v>
      </c>
      <c r="BF114" s="306"/>
      <c r="BG114" s="308"/>
      <c r="BH114" s="309"/>
    </row>
    <row r="115" spans="1:60" s="310" customFormat="1" ht="16.5" customHeight="1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683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3"/>
        <v>15000000</v>
      </c>
      <c r="AD115" s="303">
        <v>15000000</v>
      </c>
      <c r="AE115" s="303">
        <f t="shared" si="4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customHeight="1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684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3"/>
        <v>50000000</v>
      </c>
      <c r="AD116" s="303">
        <v>50000000</v>
      </c>
      <c r="AE116" s="303">
        <f t="shared" si="4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customHeight="1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3"/>
        <v>0</v>
      </c>
      <c r="AD117" s="303">
        <v>0</v>
      </c>
      <c r="AE117" s="303">
        <f t="shared" si="4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customHeight="1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3"/>
        <v>600000000</v>
      </c>
      <c r="AD118" s="303">
        <v>600000000</v>
      </c>
      <c r="AE118" s="303">
        <f t="shared" si="4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767</v>
      </c>
      <c r="AQ118" s="306">
        <v>400000000</v>
      </c>
      <c r="AR118" s="306" t="s">
        <v>859</v>
      </c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customHeight="1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3"/>
        <v>0</v>
      </c>
      <c r="AD119" s="303">
        <v>0</v>
      </c>
      <c r="AE119" s="303">
        <f t="shared" si="4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customHeight="1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3"/>
        <v>500300</v>
      </c>
      <c r="AD120" s="303">
        <v>500300</v>
      </c>
      <c r="AE120" s="303">
        <f t="shared" si="4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customHeight="1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3"/>
        <v>0</v>
      </c>
      <c r="AD121" s="303">
        <v>0</v>
      </c>
      <c r="AE121" s="303">
        <f t="shared" si="4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customHeight="1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296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3"/>
        <v>132010092</v>
      </c>
      <c r="AD122" s="303">
        <v>132010092</v>
      </c>
      <c r="AE122" s="303">
        <f t="shared" si="4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8279910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16302687</v>
      </c>
      <c r="BF122" s="306"/>
      <c r="BG122" s="308"/>
      <c r="BH122" s="309"/>
    </row>
    <row r="123" spans="1:60" s="310" customFormat="1" ht="16.5" customHeight="1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684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3"/>
        <v>0</v>
      </c>
      <c r="AD123" s="303">
        <v>0</v>
      </c>
      <c r="AE123" s="303">
        <f t="shared" si="4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customHeight="1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688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3"/>
        <v>24681818</v>
      </c>
      <c r="AD124" s="303">
        <v>24681818</v>
      </c>
      <c r="AE124" s="303">
        <f t="shared" si="4"/>
        <v>0</v>
      </c>
      <c r="AF124" s="304">
        <v>0</v>
      </c>
      <c r="AG124" s="305"/>
      <c r="AH124" s="304" t="s">
        <v>750</v>
      </c>
      <c r="AI124" s="304">
        <v>0</v>
      </c>
      <c r="AJ124" s="305"/>
      <c r="AK124" s="304" t="s">
        <v>730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customHeight="1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809</v>
      </c>
      <c r="H125" s="311" t="s">
        <v>798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3"/>
        <v>200000000</v>
      </c>
      <c r="AD125" s="303">
        <v>200000000</v>
      </c>
      <c r="AE125" s="303">
        <f t="shared" si="4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customHeight="1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815</v>
      </c>
      <c r="H126" s="311" t="s">
        <v>805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3"/>
        <v>0</v>
      </c>
      <c r="AD126" s="303">
        <v>0</v>
      </c>
      <c r="AE126" s="303">
        <f t="shared" si="4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customHeight="1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809</v>
      </c>
      <c r="H127" s="311" t="s">
        <v>799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3"/>
        <v>0</v>
      </c>
      <c r="AD127" s="303">
        <v>0</v>
      </c>
      <c r="AE127" s="303">
        <f t="shared" si="4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customHeight="1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3"/>
        <v>50000000</v>
      </c>
      <c r="AD128" s="303">
        <v>50000000</v>
      </c>
      <c r="AE128" s="303">
        <f t="shared" si="4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customHeight="1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3"/>
        <v>0</v>
      </c>
      <c r="AD129" s="303">
        <v>0</v>
      </c>
      <c r="AE129" s="303">
        <f t="shared" si="4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customHeight="1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3"/>
        <v>10000000</v>
      </c>
      <c r="AD130" s="303">
        <v>10000000</v>
      </c>
      <c r="AE130" s="303">
        <f t="shared" si="4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customHeight="1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679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3"/>
        <v>0</v>
      </c>
      <c r="AD131" s="303">
        <v>0</v>
      </c>
      <c r="AE131" s="303">
        <f t="shared" si="4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customHeight="1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3"/>
        <v>15000000</v>
      </c>
      <c r="AD132" s="303">
        <v>15000000</v>
      </c>
      <c r="AE132" s="303">
        <f t="shared" si="4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801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customHeight="1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3"/>
        <v>14000000</v>
      </c>
      <c r="AD133" s="303">
        <v>21208100</v>
      </c>
      <c r="AE133" s="303">
        <f t="shared" si="4"/>
        <v>-7208100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/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customHeight="1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3"/>
        <v>5000000</v>
      </c>
      <c r="AD134" s="303">
        <v>5000000</v>
      </c>
      <c r="AE134" s="303">
        <f t="shared" si="4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customHeight="1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3"/>
        <v>10000000</v>
      </c>
      <c r="AD135" s="303">
        <v>10000000</v>
      </c>
      <c r="AE135" s="303">
        <f t="shared" si="4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customHeight="1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680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3"/>
        <v>0</v>
      </c>
      <c r="AD136" s="303">
        <v>0</v>
      </c>
      <c r="AE136" s="303">
        <f t="shared" si="4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customHeight="1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3"/>
        <v>284430000</v>
      </c>
      <c r="AD137" s="303">
        <v>284430000</v>
      </c>
      <c r="AE137" s="303">
        <f t="shared" si="4"/>
        <v>0</v>
      </c>
      <c r="AF137" s="304"/>
      <c r="AG137" s="305">
        <v>100000</v>
      </c>
      <c r="AH137" s="304" t="s">
        <v>699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customHeight="1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3"/>
        <v>27589000</v>
      </c>
      <c r="AD138" s="303">
        <v>27589000</v>
      </c>
      <c r="AE138" s="303">
        <f t="shared" si="4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customHeight="1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3"/>
        <v>80000000</v>
      </c>
      <c r="AD139" s="303">
        <v>80000000</v>
      </c>
      <c r="AE139" s="303">
        <f t="shared" si="4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customHeight="1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684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3"/>
        <v>28000000</v>
      </c>
      <c r="AD140" s="303">
        <v>28000000</v>
      </c>
      <c r="AE140" s="303">
        <f t="shared" si="4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796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customHeight="1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685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3"/>
        <v>10000000</v>
      </c>
      <c r="AD141" s="303">
        <v>10000000</v>
      </c>
      <c r="AE141" s="303">
        <f t="shared" si="4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customHeight="1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688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3"/>
        <v>0</v>
      </c>
      <c r="AD142" s="303">
        <v>0</v>
      </c>
      <c r="AE142" s="303">
        <f t="shared" si="4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customHeight="1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691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3"/>
        <v>0</v>
      </c>
      <c r="AD143" s="303">
        <v>0</v>
      </c>
      <c r="AE143" s="303">
        <f t="shared" si="4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customHeight="1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3"/>
        <v>0</v>
      </c>
      <c r="AD144" s="303">
        <v>0</v>
      </c>
      <c r="AE144" s="303">
        <f t="shared" si="4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customHeight="1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3"/>
        <v>0</v>
      </c>
      <c r="AD145" s="303">
        <v>0</v>
      </c>
      <c r="AE145" s="303">
        <f t="shared" si="4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customHeight="1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3"/>
        <v>8000000</v>
      </c>
      <c r="AD146" s="303">
        <v>8000000</v>
      </c>
      <c r="AE146" s="303">
        <f t="shared" si="4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customHeight="1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680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3"/>
        <v>0</v>
      </c>
      <c r="AD147" s="303">
        <v>0</v>
      </c>
      <c r="AE147" s="303">
        <f t="shared" si="4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customHeight="1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688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3"/>
        <v>0</v>
      </c>
      <c r="AD148" s="303">
        <v>0</v>
      </c>
      <c r="AE148" s="303">
        <f t="shared" si="4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customHeight="1">
      <c r="A149" s="290">
        <v>128</v>
      </c>
      <c r="B149" s="291"/>
      <c r="C149" s="291"/>
      <c r="D149" s="292" t="s">
        <v>184</v>
      </c>
      <c r="E149" s="292" t="s">
        <v>781</v>
      </c>
      <c r="F149" s="293" t="s">
        <v>208</v>
      </c>
      <c r="G149" s="294" t="s">
        <v>782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747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3"/>
        <v>345777640</v>
      </c>
      <c r="AD149" s="303">
        <v>345777640</v>
      </c>
      <c r="AE149" s="303">
        <f t="shared" si="4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701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customHeight="1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5">AG150+AJ150+AM150+AO150+AQ150+AS150+AU150+AW150+AY150+BA150+BC150+BE150</f>
        <v>40909091</v>
      </c>
      <c r="AD150" s="303">
        <v>40909091</v>
      </c>
      <c r="AE150" s="303">
        <f t="shared" ref="AE150:AE213" si="6">AC150-AD150</f>
        <v>0</v>
      </c>
      <c r="AF150" s="304">
        <v>40000000</v>
      </c>
      <c r="AG150" s="305">
        <v>40909091</v>
      </c>
      <c r="AH150" s="304" t="s">
        <v>695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customHeight="1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5"/>
        <v>120000000</v>
      </c>
      <c r="AD151" s="303">
        <v>120000000</v>
      </c>
      <c r="AE151" s="303">
        <f t="shared" si="6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customHeight="1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5"/>
        <v>3000000</v>
      </c>
      <c r="AD152" s="303">
        <v>3000000</v>
      </c>
      <c r="AE152" s="303">
        <f t="shared" si="6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customHeight="1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5"/>
        <v>3000000</v>
      </c>
      <c r="AD153" s="303">
        <v>3000000</v>
      </c>
      <c r="AE153" s="303">
        <f t="shared" si="6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customHeight="1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5"/>
        <v>0</v>
      </c>
      <c r="AD154" s="303">
        <v>0</v>
      </c>
      <c r="AE154" s="303">
        <f t="shared" si="6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customHeight="1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5"/>
        <v>3000000</v>
      </c>
      <c r="AD155" s="303">
        <v>3000000</v>
      </c>
      <c r="AE155" s="303">
        <f t="shared" si="6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06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customHeight="1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684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5"/>
        <v>0</v>
      </c>
      <c r="AD156" s="303">
        <v>0</v>
      </c>
      <c r="AE156" s="303">
        <f t="shared" si="6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customHeight="1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747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5"/>
        <v>158809210</v>
      </c>
      <c r="AD157" s="303">
        <v>158809210</v>
      </c>
      <c r="AE157" s="303">
        <f t="shared" si="6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customHeight="1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5"/>
        <v>0</v>
      </c>
      <c r="AD158" s="303">
        <v>0</v>
      </c>
      <c r="AE158" s="303">
        <f t="shared" si="6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customHeight="1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5"/>
        <v>20000000</v>
      </c>
      <c r="AD159" s="303">
        <v>20000000</v>
      </c>
      <c r="AE159" s="303">
        <f t="shared" si="6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customHeight="1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5"/>
        <v>27500000</v>
      </c>
      <c r="AD160" s="303">
        <v>27500000</v>
      </c>
      <c r="AE160" s="303">
        <f t="shared" si="6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customHeight="1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680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5"/>
        <v>0</v>
      </c>
      <c r="AD161" s="303">
        <v>0</v>
      </c>
      <c r="AE161" s="303">
        <f t="shared" si="6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customHeight="1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688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5"/>
        <v>1000000</v>
      </c>
      <c r="AD162" s="303">
        <v>1000000</v>
      </c>
      <c r="AE162" s="303">
        <f t="shared" si="6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customHeight="1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5"/>
        <v>0</v>
      </c>
      <c r="AD163" s="303">
        <v>0</v>
      </c>
      <c r="AE163" s="303">
        <f t="shared" si="6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customHeight="1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747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5"/>
        <v>51055360</v>
      </c>
      <c r="AD164" s="303">
        <v>51055360</v>
      </c>
      <c r="AE164" s="303">
        <f t="shared" si="6"/>
        <v>0</v>
      </c>
      <c r="AF164" s="304">
        <v>4000000</v>
      </c>
      <c r="AG164" s="305"/>
      <c r="AH164" s="304" t="s">
        <v>751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customHeight="1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5"/>
        <v>30000000</v>
      </c>
      <c r="AD165" s="303">
        <v>30000000</v>
      </c>
      <c r="AE165" s="303">
        <f t="shared" si="6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customHeight="1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5"/>
        <v>0</v>
      </c>
      <c r="AD166" s="303">
        <v>0</v>
      </c>
      <c r="AE166" s="303">
        <f t="shared" si="6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customHeight="1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5"/>
        <v>2500000</v>
      </c>
      <c r="AD167" s="303">
        <v>2500000</v>
      </c>
      <c r="AE167" s="303">
        <f t="shared" si="6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customHeight="1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5"/>
        <v>0</v>
      </c>
      <c r="AD168" s="303">
        <v>0</v>
      </c>
      <c r="AE168" s="303">
        <f t="shared" si="6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customHeight="1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679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5"/>
        <v>0</v>
      </c>
      <c r="AD169" s="303">
        <v>0</v>
      </c>
      <c r="AE169" s="303">
        <f t="shared" si="6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customHeight="1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679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5"/>
        <v>11000000</v>
      </c>
      <c r="AD170" s="303">
        <v>11000000</v>
      </c>
      <c r="AE170" s="303">
        <f t="shared" si="6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customHeight="1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752</v>
      </c>
      <c r="K171" s="292"/>
      <c r="L171" s="292"/>
      <c r="M171" s="292" t="s">
        <v>753</v>
      </c>
      <c r="N171" s="292"/>
      <c r="O171" s="292"/>
      <c r="P171" s="292"/>
      <c r="Q171" s="292"/>
      <c r="R171" s="292" t="s">
        <v>352</v>
      </c>
      <c r="S171" s="297" t="s">
        <v>686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5"/>
        <v>30000000</v>
      </c>
      <c r="AD171" s="303">
        <v>30000000</v>
      </c>
      <c r="AE171" s="303">
        <f t="shared" si="6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customHeight="1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747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5"/>
        <v>109345340</v>
      </c>
      <c r="AD172" s="303">
        <v>109345340</v>
      </c>
      <c r="AE172" s="303">
        <f t="shared" si="6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customHeight="1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5"/>
        <v>5000000</v>
      </c>
      <c r="AD173" s="303">
        <v>5000000</v>
      </c>
      <c r="AE173" s="303">
        <f t="shared" si="6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customHeight="1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5"/>
        <v>10000000</v>
      </c>
      <c r="AD174" s="303">
        <v>10000000</v>
      </c>
      <c r="AE174" s="303">
        <f t="shared" si="6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06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customHeight="1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5"/>
        <v>6000000</v>
      </c>
      <c r="AD175" s="303">
        <v>6000000</v>
      </c>
      <c r="AE175" s="303">
        <f t="shared" si="6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06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customHeight="1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679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5"/>
        <v>0</v>
      </c>
      <c r="AD176" s="303">
        <v>0</v>
      </c>
      <c r="AE176" s="303">
        <f t="shared" si="6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customHeight="1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688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5"/>
        <v>4509091</v>
      </c>
      <c r="AD177" s="303">
        <v>4509091</v>
      </c>
      <c r="AE177" s="303">
        <f t="shared" si="6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customHeight="1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5"/>
        <v>30000000</v>
      </c>
      <c r="AD178" s="303">
        <v>30000000</v>
      </c>
      <c r="AE178" s="303">
        <f t="shared" si="6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customHeight="1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5"/>
        <v>30000000</v>
      </c>
      <c r="AD179" s="303">
        <v>30000000</v>
      </c>
      <c r="AE179" s="303">
        <f t="shared" si="6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customHeight="1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5"/>
        <v>3000000</v>
      </c>
      <c r="AD180" s="303">
        <v>3000000</v>
      </c>
      <c r="AE180" s="303">
        <f t="shared" si="6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customHeight="1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683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5"/>
        <v>10000000</v>
      </c>
      <c r="AD181" s="303">
        <v>10000000</v>
      </c>
      <c r="AE181" s="303">
        <f t="shared" si="6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customHeight="1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684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5"/>
        <v>41000000</v>
      </c>
      <c r="AD182" s="303">
        <v>41000000</v>
      </c>
      <c r="AE182" s="303">
        <f t="shared" si="6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customHeight="1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691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5"/>
        <v>0</v>
      </c>
      <c r="AD183" s="303">
        <v>0</v>
      </c>
      <c r="AE183" s="303">
        <f t="shared" si="6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customHeight="1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835</v>
      </c>
      <c r="H184" s="311" t="s">
        <v>844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5"/>
        <v>10000000</v>
      </c>
      <c r="AD184" s="303">
        <v>10000000</v>
      </c>
      <c r="AE184" s="303">
        <f t="shared" si="6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customHeight="1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848</v>
      </c>
      <c r="H185" s="311" t="s">
        <v>844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5"/>
        <v>10000000</v>
      </c>
      <c r="AD185" s="303">
        <v>10000000</v>
      </c>
      <c r="AE185" s="303">
        <f t="shared" si="6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customHeight="1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5"/>
        <v>15000000</v>
      </c>
      <c r="AD186" s="303">
        <v>15000000</v>
      </c>
      <c r="AE186" s="303">
        <f t="shared" si="6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customHeight="1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679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5"/>
        <v>0</v>
      </c>
      <c r="AD187" s="303">
        <v>0</v>
      </c>
      <c r="AE187" s="303">
        <f t="shared" si="6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customHeight="1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669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747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5"/>
        <v>34010580</v>
      </c>
      <c r="AD188" s="303">
        <v>34010580</v>
      </c>
      <c r="AE188" s="303">
        <f t="shared" si="6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customHeight="1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669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5"/>
        <v>8000000</v>
      </c>
      <c r="AD189" s="303">
        <v>8000000</v>
      </c>
      <c r="AE189" s="303">
        <f t="shared" si="6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customHeight="1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669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5"/>
        <v>6000000</v>
      </c>
      <c r="AD190" s="303">
        <v>7500000</v>
      </c>
      <c r="AE190" s="303">
        <f t="shared" si="6"/>
        <v>-1500000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/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customHeight="1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747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5"/>
        <v>209032510</v>
      </c>
      <c r="AD191" s="303">
        <v>209032510</v>
      </c>
      <c r="AE191" s="303">
        <f t="shared" si="6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customHeight="1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755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5"/>
        <v>10000000</v>
      </c>
      <c r="AD192" s="303">
        <v>10000000</v>
      </c>
      <c r="AE192" s="303">
        <f t="shared" si="6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customHeight="1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5"/>
        <v>24715000</v>
      </c>
      <c r="AD193" s="303">
        <v>24715000</v>
      </c>
      <c r="AE193" s="303">
        <f t="shared" si="6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customHeight="1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5"/>
        <v>10500000</v>
      </c>
      <c r="AD194" s="303">
        <v>10500000</v>
      </c>
      <c r="AE194" s="303">
        <f t="shared" si="6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customHeight="1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5"/>
        <v>15000000</v>
      </c>
      <c r="AD195" s="303">
        <v>15000000</v>
      </c>
      <c r="AE195" s="303">
        <f t="shared" si="6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customHeight="1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688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5"/>
        <v>0</v>
      </c>
      <c r="AD196" s="303">
        <v>0</v>
      </c>
      <c r="AE196" s="303">
        <f t="shared" si="6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customHeight="1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747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5"/>
        <v>48781310</v>
      </c>
      <c r="AD197" s="303">
        <v>48781310</v>
      </c>
      <c r="AE197" s="303">
        <f t="shared" si="6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customHeight="1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5"/>
        <v>7000000</v>
      </c>
      <c r="AD198" s="303">
        <v>7000000</v>
      </c>
      <c r="AE198" s="303">
        <f t="shared" si="6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customHeight="1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686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5"/>
        <v>90000000</v>
      </c>
      <c r="AD199" s="303">
        <v>90000000</v>
      </c>
      <c r="AE199" s="303">
        <f t="shared" si="6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customHeight="1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747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5"/>
        <v>95677890</v>
      </c>
      <c r="AD200" s="303">
        <v>95677890</v>
      </c>
      <c r="AE200" s="303">
        <f t="shared" si="6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customHeight="1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5"/>
        <v>0</v>
      </c>
      <c r="AD201" s="303">
        <v>0</v>
      </c>
      <c r="AE201" s="303">
        <f t="shared" si="6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customHeight="1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5"/>
        <v>0</v>
      </c>
      <c r="AD202" s="303">
        <v>0</v>
      </c>
      <c r="AE202" s="303">
        <f t="shared" si="6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customHeight="1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851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5"/>
        <v>0</v>
      </c>
      <c r="AD203" s="303">
        <v>0</v>
      </c>
      <c r="AE203" s="303">
        <f t="shared" si="6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customHeight="1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5"/>
        <v>120000000</v>
      </c>
      <c r="AD204" s="303">
        <v>120000000</v>
      </c>
      <c r="AE204" s="303">
        <f t="shared" si="6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customHeight="1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852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5"/>
        <v>0</v>
      </c>
      <c r="AD205" s="303">
        <v>0</v>
      </c>
      <c r="AE205" s="303">
        <f t="shared" si="6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customHeight="1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852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5"/>
        <v>0</v>
      </c>
      <c r="AD206" s="303">
        <v>0</v>
      </c>
      <c r="AE206" s="303">
        <f t="shared" si="6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customHeight="1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852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5"/>
        <v>0</v>
      </c>
      <c r="AD207" s="303">
        <v>0</v>
      </c>
      <c r="AE207" s="303">
        <f t="shared" si="6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customHeight="1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852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5"/>
        <v>0</v>
      </c>
      <c r="AD208" s="303">
        <v>0</v>
      </c>
      <c r="AE208" s="303">
        <f t="shared" si="6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customHeight="1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851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5"/>
        <v>0</v>
      </c>
      <c r="AD209" s="303">
        <v>0</v>
      </c>
      <c r="AE209" s="303">
        <f t="shared" si="6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customHeight="1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853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5"/>
        <v>0</v>
      </c>
      <c r="AD210" s="303">
        <v>0</v>
      </c>
      <c r="AE210" s="303">
        <f t="shared" si="6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customHeight="1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5"/>
        <v>8831500</v>
      </c>
      <c r="AD211" s="303">
        <v>8831500</v>
      </c>
      <c r="AE211" s="303">
        <f t="shared" si="6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customHeight="1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853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5"/>
        <v>0</v>
      </c>
      <c r="AD212" s="303">
        <v>0</v>
      </c>
      <c r="AE212" s="303">
        <f t="shared" si="6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customHeight="1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851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5"/>
        <v>0</v>
      </c>
      <c r="AD213" s="303">
        <v>0</v>
      </c>
      <c r="AE213" s="303">
        <f t="shared" si="6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customHeight="1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681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7">AG214+AJ214+AM214+AO214+AQ214+AS214+AU214+AW214+AY214+BA214+BC214+BE214</f>
        <v>0</v>
      </c>
      <c r="AD214" s="303">
        <v>0</v>
      </c>
      <c r="AE214" s="303">
        <f t="shared" ref="AE214:AE277" si="8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customHeight="1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7"/>
        <v>10000000</v>
      </c>
      <c r="AD215" s="303">
        <v>10000000</v>
      </c>
      <c r="AE215" s="303">
        <f t="shared" si="8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06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customHeight="1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7"/>
        <v>40000000</v>
      </c>
      <c r="AD216" s="303">
        <v>40000000</v>
      </c>
      <c r="AE216" s="303">
        <f t="shared" si="8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customHeight="1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7"/>
        <v>90000000</v>
      </c>
      <c r="AD217" s="303">
        <v>90000000</v>
      </c>
      <c r="AE217" s="303">
        <f t="shared" si="8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customHeight="1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7"/>
        <v>3000000</v>
      </c>
      <c r="AD218" s="303">
        <v>3000000</v>
      </c>
      <c r="AE218" s="303">
        <f t="shared" si="8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customHeight="1">
      <c r="A219" s="290">
        <v>198</v>
      </c>
      <c r="B219" s="291"/>
      <c r="C219" s="291"/>
      <c r="D219" s="292" t="s">
        <v>208</v>
      </c>
      <c r="E219" s="292" t="s">
        <v>106</v>
      </c>
      <c r="F219" s="293" t="s">
        <v>208</v>
      </c>
      <c r="G219" s="294" t="s">
        <v>868</v>
      </c>
      <c r="H219" s="311" t="s">
        <v>871</v>
      </c>
      <c r="I219" s="295"/>
      <c r="J219" s="296" t="s">
        <v>492</v>
      </c>
      <c r="K219" s="292"/>
      <c r="L219" s="292"/>
      <c r="M219" s="292">
        <v>13408</v>
      </c>
      <c r="N219" s="292" t="s">
        <v>26</v>
      </c>
      <c r="O219" s="292"/>
      <c r="P219" s="292"/>
      <c r="Q219" s="292"/>
      <c r="R219" s="292" t="s">
        <v>23</v>
      </c>
      <c r="S219" s="297" t="s">
        <v>23</v>
      </c>
      <c r="T219" s="298"/>
      <c r="U219" s="299"/>
      <c r="V219" s="299">
        <v>0</v>
      </c>
      <c r="W219" s="300">
        <v>0</v>
      </c>
      <c r="X219" s="301"/>
      <c r="Y219" s="292" t="s">
        <v>29</v>
      </c>
      <c r="Z219" s="302" t="s">
        <v>29</v>
      </c>
      <c r="AA219" s="317"/>
      <c r="AB219" s="317"/>
      <c r="AC219" s="303">
        <f t="shared" si="7"/>
        <v>0</v>
      </c>
      <c r="AD219" s="303">
        <v>0</v>
      </c>
      <c r="AE219" s="303">
        <f t="shared" si="8"/>
        <v>0</v>
      </c>
      <c r="AF219" s="304"/>
      <c r="AG219" s="305"/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customHeight="1">
      <c r="A220" s="290">
        <v>199</v>
      </c>
      <c r="B220" s="291"/>
      <c r="C220" s="291"/>
      <c r="D220" s="292" t="s">
        <v>208</v>
      </c>
      <c r="E220" s="292" t="s">
        <v>106</v>
      </c>
      <c r="F220" s="293" t="s">
        <v>208</v>
      </c>
      <c r="G220" s="294" t="s">
        <v>868</v>
      </c>
      <c r="H220" s="311" t="s">
        <v>872</v>
      </c>
      <c r="I220" s="295"/>
      <c r="J220" s="296" t="s">
        <v>128</v>
      </c>
      <c r="K220" s="292"/>
      <c r="L220" s="292"/>
      <c r="M220" s="292">
        <v>13408</v>
      </c>
      <c r="N220" s="292" t="s">
        <v>26</v>
      </c>
      <c r="O220" s="292"/>
      <c r="P220" s="292"/>
      <c r="Q220" s="292" t="s">
        <v>46</v>
      </c>
      <c r="R220" s="292" t="s">
        <v>351</v>
      </c>
      <c r="S220" s="297" t="s">
        <v>691</v>
      </c>
      <c r="T220" s="298"/>
      <c r="U220" s="299"/>
      <c r="V220" s="299">
        <v>500000</v>
      </c>
      <c r="W220" s="300">
        <v>0</v>
      </c>
      <c r="X220" s="301"/>
      <c r="Y220" s="292" t="s">
        <v>29</v>
      </c>
      <c r="Z220" s="302" t="s">
        <v>29</v>
      </c>
      <c r="AA220" s="317"/>
      <c r="AB220" s="317"/>
      <c r="AC220" s="303">
        <f t="shared" si="7"/>
        <v>0</v>
      </c>
      <c r="AD220" s="303">
        <v>0</v>
      </c>
      <c r="AE220" s="303">
        <f t="shared" si="8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customHeight="1">
      <c r="A221" s="290">
        <v>200</v>
      </c>
      <c r="B221" s="291"/>
      <c r="C221" s="291"/>
      <c r="D221" s="292" t="s">
        <v>208</v>
      </c>
      <c r="E221" s="292" t="s">
        <v>106</v>
      </c>
      <c r="F221" s="293" t="s">
        <v>208</v>
      </c>
      <c r="G221" s="294" t="s">
        <v>868</v>
      </c>
      <c r="H221" s="311" t="s">
        <v>873</v>
      </c>
      <c r="I221" s="295"/>
      <c r="J221" s="296" t="s">
        <v>129</v>
      </c>
      <c r="K221" s="292"/>
      <c r="L221" s="292"/>
      <c r="M221" s="292">
        <v>6238</v>
      </c>
      <c r="N221" s="292" t="s">
        <v>21</v>
      </c>
      <c r="O221" s="292"/>
      <c r="P221" s="292"/>
      <c r="Q221" s="292" t="s">
        <v>30</v>
      </c>
      <c r="R221" s="292" t="s">
        <v>353</v>
      </c>
      <c r="S221" s="297" t="s">
        <v>353</v>
      </c>
      <c r="T221" s="298"/>
      <c r="U221" s="299"/>
      <c r="V221" s="299">
        <v>0</v>
      </c>
      <c r="W221" s="300">
        <v>0</v>
      </c>
      <c r="X221" s="301"/>
      <c r="Y221" s="292" t="s">
        <v>29</v>
      </c>
      <c r="Z221" s="302" t="s">
        <v>29</v>
      </c>
      <c r="AA221" s="317"/>
      <c r="AB221" s="317"/>
      <c r="AC221" s="303">
        <f t="shared" si="7"/>
        <v>0</v>
      </c>
      <c r="AD221" s="303">
        <v>0</v>
      </c>
      <c r="AE221" s="303">
        <f t="shared" si="8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customHeight="1">
      <c r="A222" s="290">
        <v>201</v>
      </c>
      <c r="B222" s="291"/>
      <c r="C222" s="291"/>
      <c r="D222" s="292" t="s">
        <v>208</v>
      </c>
      <c r="E222" s="292" t="s">
        <v>106</v>
      </c>
      <c r="F222" s="293" t="s">
        <v>208</v>
      </c>
      <c r="G222" s="294" t="s">
        <v>869</v>
      </c>
      <c r="H222" s="311" t="s">
        <v>874</v>
      </c>
      <c r="I222" s="295"/>
      <c r="J222" s="296" t="s">
        <v>130</v>
      </c>
      <c r="K222" s="292"/>
      <c r="L222" s="292"/>
      <c r="M222" s="292">
        <v>16394</v>
      </c>
      <c r="N222" s="292" t="s">
        <v>26</v>
      </c>
      <c r="O222" s="292"/>
      <c r="P222" s="292"/>
      <c r="Q222" s="292"/>
      <c r="R222" s="292" t="s">
        <v>32</v>
      </c>
      <c r="S222" s="297" t="s">
        <v>353</v>
      </c>
      <c r="T222" s="298"/>
      <c r="U222" s="299"/>
      <c r="V222" s="299">
        <v>0</v>
      </c>
      <c r="W222" s="300">
        <v>0</v>
      </c>
      <c r="X222" s="301"/>
      <c r="Y222" s="292" t="s">
        <v>29</v>
      </c>
      <c r="Z222" s="302" t="s">
        <v>29</v>
      </c>
      <c r="AA222" s="317"/>
      <c r="AB222" s="317"/>
      <c r="AC222" s="303">
        <f t="shared" si="7"/>
        <v>0</v>
      </c>
      <c r="AD222" s="303">
        <v>0</v>
      </c>
      <c r="AE222" s="303">
        <f t="shared" si="8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customHeight="1">
      <c r="A223" s="290">
        <v>202</v>
      </c>
      <c r="B223" s="291"/>
      <c r="C223" s="291"/>
      <c r="D223" s="292" t="s">
        <v>208</v>
      </c>
      <c r="E223" s="292" t="s">
        <v>106</v>
      </c>
      <c r="F223" s="293" t="s">
        <v>208</v>
      </c>
      <c r="G223" s="294" t="s">
        <v>868</v>
      </c>
      <c r="H223" s="311" t="s">
        <v>875</v>
      </c>
      <c r="I223" s="295"/>
      <c r="J223" s="296" t="s">
        <v>130</v>
      </c>
      <c r="K223" s="292"/>
      <c r="L223" s="292"/>
      <c r="M223" s="292">
        <v>16394</v>
      </c>
      <c r="N223" s="292" t="s">
        <v>26</v>
      </c>
      <c r="O223" s="292"/>
      <c r="P223" s="292"/>
      <c r="Q223" s="292"/>
      <c r="R223" s="292" t="s">
        <v>353</v>
      </c>
      <c r="S223" s="297" t="s">
        <v>353</v>
      </c>
      <c r="T223" s="298"/>
      <c r="U223" s="299"/>
      <c r="V223" s="299">
        <v>0</v>
      </c>
      <c r="W223" s="300">
        <v>0</v>
      </c>
      <c r="X223" s="301"/>
      <c r="Y223" s="292" t="s">
        <v>29</v>
      </c>
      <c r="Z223" s="302" t="s">
        <v>29</v>
      </c>
      <c r="AA223" s="317"/>
      <c r="AB223" s="317"/>
      <c r="AC223" s="303">
        <f t="shared" si="7"/>
        <v>0</v>
      </c>
      <c r="AD223" s="303">
        <v>0</v>
      </c>
      <c r="AE223" s="303">
        <f t="shared" si="8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/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customHeight="1">
      <c r="A224" s="290">
        <v>203</v>
      </c>
      <c r="B224" s="291"/>
      <c r="C224" s="291"/>
      <c r="D224" s="292" t="s">
        <v>208</v>
      </c>
      <c r="E224" s="292" t="s">
        <v>106</v>
      </c>
      <c r="F224" s="293" t="s">
        <v>208</v>
      </c>
      <c r="G224" s="294" t="s">
        <v>870</v>
      </c>
      <c r="H224" s="311" t="s">
        <v>876</v>
      </c>
      <c r="I224" s="295"/>
      <c r="J224" s="296" t="s">
        <v>130</v>
      </c>
      <c r="K224" s="292"/>
      <c r="L224" s="292"/>
      <c r="M224" s="292">
        <v>16394</v>
      </c>
      <c r="N224" s="292" t="s">
        <v>26</v>
      </c>
      <c r="O224" s="292"/>
      <c r="P224" s="292"/>
      <c r="Q224" s="292" t="s">
        <v>30</v>
      </c>
      <c r="R224" s="292" t="s">
        <v>361</v>
      </c>
      <c r="S224" s="297" t="s">
        <v>361</v>
      </c>
      <c r="T224" s="298"/>
      <c r="U224" s="299">
        <v>32550000</v>
      </c>
      <c r="V224" s="299">
        <v>19600000</v>
      </c>
      <c r="W224" s="300">
        <v>43965000</v>
      </c>
      <c r="X224" s="301"/>
      <c r="Y224" s="292" t="s">
        <v>31</v>
      </c>
      <c r="Z224" s="302" t="s">
        <v>28</v>
      </c>
      <c r="AA224" s="317"/>
      <c r="AB224" s="317"/>
      <c r="AC224" s="303">
        <f t="shared" si="7"/>
        <v>25000000</v>
      </c>
      <c r="AD224" s="303">
        <v>25000000</v>
      </c>
      <c r="AE224" s="303">
        <f t="shared" si="8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/>
      <c r="AV224" s="306"/>
      <c r="AW224" s="306">
        <v>25000000</v>
      </c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customHeight="1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233</v>
      </c>
      <c r="K225" s="292"/>
      <c r="L225" s="292"/>
      <c r="M225" s="292">
        <v>21113</v>
      </c>
      <c r="N225" s="292" t="s">
        <v>35</v>
      </c>
      <c r="O225" s="292"/>
      <c r="P225" s="292"/>
      <c r="Q225" s="292" t="s">
        <v>33</v>
      </c>
      <c r="R225" s="292" t="s">
        <v>34</v>
      </c>
      <c r="S225" s="297" t="s">
        <v>34</v>
      </c>
      <c r="T225" s="298"/>
      <c r="U225" s="299" t="s">
        <v>188</v>
      </c>
      <c r="V225" s="299">
        <v>0</v>
      </c>
      <c r="W225" s="300">
        <v>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7"/>
        <v>1906368</v>
      </c>
      <c r="AD225" s="303">
        <v>1906368</v>
      </c>
      <c r="AE225" s="303">
        <f t="shared" si="8"/>
        <v>0</v>
      </c>
      <c r="AF225" s="304"/>
      <c r="AG225" s="305">
        <v>1906368</v>
      </c>
      <c r="AH225" s="304"/>
      <c r="AI225" s="304"/>
      <c r="AJ225" s="305"/>
      <c r="AK225" s="304"/>
      <c r="AL225" s="306"/>
      <c r="AM225" s="318"/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customHeight="1">
      <c r="A226" s="290">
        <v>205</v>
      </c>
      <c r="B226" s="291"/>
      <c r="C226" s="291"/>
      <c r="D226" s="292" t="s">
        <v>184</v>
      </c>
      <c r="E226" s="292" t="s">
        <v>781</v>
      </c>
      <c r="F226" s="293" t="s">
        <v>208</v>
      </c>
      <c r="G226" s="294" t="s">
        <v>783</v>
      </c>
      <c r="H226" s="311"/>
      <c r="I226" s="295"/>
      <c r="J226" s="296" t="s">
        <v>641</v>
      </c>
      <c r="K226" s="292"/>
      <c r="L226" s="292"/>
      <c r="M226" s="292">
        <v>3819</v>
      </c>
      <c r="N226" s="292" t="s">
        <v>26</v>
      </c>
      <c r="O226" s="292" t="s">
        <v>47</v>
      </c>
      <c r="P226" s="292" t="s">
        <v>186</v>
      </c>
      <c r="Q226" s="292" t="s">
        <v>22</v>
      </c>
      <c r="R226" s="292" t="s">
        <v>23</v>
      </c>
      <c r="S226" s="297" t="s">
        <v>23</v>
      </c>
      <c r="T226" s="298"/>
      <c r="U226" s="299">
        <v>2576000</v>
      </c>
      <c r="V226" s="299">
        <v>2462000</v>
      </c>
      <c r="W226" s="300">
        <v>0</v>
      </c>
      <c r="X226" s="301"/>
      <c r="Y226" s="292" t="s">
        <v>31</v>
      </c>
      <c r="Z226" s="302" t="s">
        <v>484</v>
      </c>
      <c r="AA226" s="317"/>
      <c r="AB226" s="317"/>
      <c r="AC226" s="303">
        <f t="shared" si="7"/>
        <v>0</v>
      </c>
      <c r="AD226" s="303">
        <v>0</v>
      </c>
      <c r="AE226" s="303">
        <f t="shared" si="8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/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customHeight="1">
      <c r="A227" s="290">
        <v>206</v>
      </c>
      <c r="B227" s="291"/>
      <c r="C227" s="291"/>
      <c r="D227" s="292" t="s">
        <v>184</v>
      </c>
      <c r="E227" s="292" t="s">
        <v>781</v>
      </c>
      <c r="F227" s="293" t="s">
        <v>208</v>
      </c>
      <c r="G227" s="294" t="s">
        <v>784</v>
      </c>
      <c r="H227" s="311"/>
      <c r="I227" s="295"/>
      <c r="J227" s="296" t="s">
        <v>641</v>
      </c>
      <c r="K227" s="292"/>
      <c r="L227" s="292"/>
      <c r="M227" s="292">
        <v>3819</v>
      </c>
      <c r="N227" s="292" t="s">
        <v>26</v>
      </c>
      <c r="O227" s="292" t="s">
        <v>47</v>
      </c>
      <c r="P227" s="292" t="s">
        <v>186</v>
      </c>
      <c r="Q227" s="292" t="s">
        <v>33</v>
      </c>
      <c r="R227" s="292" t="s">
        <v>34</v>
      </c>
      <c r="S227" s="297" t="s">
        <v>34</v>
      </c>
      <c r="T227" s="298"/>
      <c r="U227" s="299" t="s">
        <v>188</v>
      </c>
      <c r="V227" s="299">
        <v>400000</v>
      </c>
      <c r="W227" s="300">
        <v>0</v>
      </c>
      <c r="X227" s="301"/>
      <c r="Y227" s="292" t="s">
        <v>441</v>
      </c>
      <c r="Z227" s="302"/>
      <c r="AA227" s="317"/>
      <c r="AB227" s="317"/>
      <c r="AC227" s="303">
        <f t="shared" si="7"/>
        <v>0</v>
      </c>
      <c r="AD227" s="303">
        <v>0</v>
      </c>
      <c r="AE227" s="303">
        <f t="shared" si="8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06"/>
      <c r="AR227" s="306"/>
      <c r="AS227" s="306"/>
      <c r="AT227" s="306"/>
      <c r="AU227" s="306"/>
      <c r="AV227" s="306"/>
      <c r="AW227" s="306"/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customHeight="1">
      <c r="A228" s="290">
        <v>207</v>
      </c>
      <c r="B228" s="291"/>
      <c r="C228" s="291"/>
      <c r="D228" s="292" t="s">
        <v>184</v>
      </c>
      <c r="E228" s="292" t="s">
        <v>781</v>
      </c>
      <c r="F228" s="293" t="s">
        <v>208</v>
      </c>
      <c r="G228" s="294" t="s">
        <v>784</v>
      </c>
      <c r="H228" s="311"/>
      <c r="I228" s="295"/>
      <c r="J228" s="296" t="s">
        <v>641</v>
      </c>
      <c r="K228" s="292"/>
      <c r="L228" s="292"/>
      <c r="M228" s="292">
        <v>3819</v>
      </c>
      <c r="N228" s="292" t="s">
        <v>26</v>
      </c>
      <c r="O228" s="292" t="s">
        <v>47</v>
      </c>
      <c r="P228" s="292" t="s">
        <v>186</v>
      </c>
      <c r="Q228" s="292" t="s">
        <v>30</v>
      </c>
      <c r="R228" s="292" t="s">
        <v>353</v>
      </c>
      <c r="S228" s="297" t="s">
        <v>353</v>
      </c>
      <c r="T228" s="298"/>
      <c r="U228" s="299">
        <v>2450000</v>
      </c>
      <c r="V228" s="299">
        <v>6517273</v>
      </c>
      <c r="W228" s="300">
        <v>0</v>
      </c>
      <c r="X228" s="301"/>
      <c r="Y228" s="292" t="s">
        <v>29</v>
      </c>
      <c r="Z228" s="302"/>
      <c r="AA228" s="317"/>
      <c r="AB228" s="317"/>
      <c r="AC228" s="303">
        <f t="shared" si="7"/>
        <v>0</v>
      </c>
      <c r="AD228" s="303">
        <v>0</v>
      </c>
      <c r="AE228" s="303">
        <f t="shared" si="8"/>
        <v>0</v>
      </c>
      <c r="AF228" s="304"/>
      <c r="AG228" s="305"/>
      <c r="AH228" s="304"/>
      <c r="AI228" s="304"/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customHeight="1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642</v>
      </c>
      <c r="K229" s="292"/>
      <c r="L229" s="292"/>
      <c r="M229" s="292" t="s">
        <v>761</v>
      </c>
      <c r="N229" s="292"/>
      <c r="O229" s="292"/>
      <c r="P229" s="292"/>
      <c r="Q229" s="292"/>
      <c r="R229" s="292"/>
      <c r="S229" s="297" t="s">
        <v>361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7"/>
        <v>8000000</v>
      </c>
      <c r="AD229" s="303">
        <v>8000000</v>
      </c>
      <c r="AE229" s="303">
        <f t="shared" si="8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>
        <v>8000000</v>
      </c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/>
      <c r="BF229" s="306"/>
      <c r="BG229" s="308"/>
      <c r="BH229" s="309"/>
    </row>
    <row r="230" spans="1:60" s="310" customFormat="1" ht="16.5" customHeight="1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339</v>
      </c>
      <c r="K230" s="292"/>
      <c r="L230" s="292"/>
      <c r="M230" s="292">
        <v>9000</v>
      </c>
      <c r="N230" s="292"/>
      <c r="O230" s="292"/>
      <c r="P230" s="292"/>
      <c r="Q230" s="292" t="s">
        <v>30</v>
      </c>
      <c r="R230" s="292" t="s">
        <v>353</v>
      </c>
      <c r="S230" s="297" t="s">
        <v>353</v>
      </c>
      <c r="T230" s="298"/>
      <c r="U230" s="299"/>
      <c r="V230" s="299">
        <v>0</v>
      </c>
      <c r="W230" s="300">
        <v>0</v>
      </c>
      <c r="X230" s="301"/>
      <c r="Y230" s="292" t="s">
        <v>29</v>
      </c>
      <c r="Z230" s="302" t="s">
        <v>29</v>
      </c>
      <c r="AA230" s="317"/>
      <c r="AB230" s="317"/>
      <c r="AC230" s="303">
        <f t="shared" si="7"/>
        <v>10000000</v>
      </c>
      <c r="AD230" s="303">
        <v>10000000</v>
      </c>
      <c r="AE230" s="303">
        <f t="shared" si="8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06"/>
      <c r="AR230" s="306"/>
      <c r="AS230" s="306"/>
      <c r="AT230" s="306"/>
      <c r="AU230" s="306">
        <v>10000000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customHeight="1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499</v>
      </c>
      <c r="K231" s="292"/>
      <c r="L231" s="292"/>
      <c r="M231" s="292">
        <v>11679</v>
      </c>
      <c r="N231" s="292"/>
      <c r="O231" s="292" t="s">
        <v>36</v>
      </c>
      <c r="P231" s="292"/>
      <c r="Q231" s="292"/>
      <c r="R231" s="292" t="s">
        <v>353</v>
      </c>
      <c r="S231" s="297" t="s">
        <v>353</v>
      </c>
      <c r="T231" s="298"/>
      <c r="U231" s="299"/>
      <c r="V231" s="299"/>
      <c r="W231" s="300">
        <v>18880000</v>
      </c>
      <c r="X231" s="301"/>
      <c r="Y231" s="292" t="s">
        <v>29</v>
      </c>
      <c r="Z231" s="302" t="s">
        <v>31</v>
      </c>
      <c r="AA231" s="317"/>
      <c r="AB231" s="317"/>
      <c r="AC231" s="303">
        <f t="shared" si="7"/>
        <v>8500000</v>
      </c>
      <c r="AD231" s="303">
        <v>8500000</v>
      </c>
      <c r="AE231" s="303">
        <f t="shared" si="8"/>
        <v>0</v>
      </c>
      <c r="AF231" s="304"/>
      <c r="AG231" s="305"/>
      <c r="AH231" s="304"/>
      <c r="AI231" s="304"/>
      <c r="AJ231" s="305"/>
      <c r="AK231" s="304"/>
      <c r="AL231" s="306">
        <v>8500000</v>
      </c>
      <c r="AM231" s="318">
        <v>8500000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customHeight="1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499</v>
      </c>
      <c r="K232" s="292"/>
      <c r="L232" s="292"/>
      <c r="M232" s="292">
        <v>11679</v>
      </c>
      <c r="N232" s="292"/>
      <c r="O232" s="292"/>
      <c r="P232" s="292"/>
      <c r="Q232" s="292"/>
      <c r="R232" s="292" t="s">
        <v>353</v>
      </c>
      <c r="S232" s="297" t="s">
        <v>353</v>
      </c>
      <c r="T232" s="298"/>
      <c r="U232" s="299"/>
      <c r="V232" s="299"/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7"/>
        <v>40000000</v>
      </c>
      <c r="AD232" s="303">
        <v>40000000</v>
      </c>
      <c r="AE232" s="303">
        <f t="shared" si="8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/>
      <c r="AX232" s="306"/>
      <c r="AY232" s="306">
        <v>40000000</v>
      </c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customHeight="1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499</v>
      </c>
      <c r="K233" s="292"/>
      <c r="L233" s="292"/>
      <c r="M233" s="292">
        <v>11679</v>
      </c>
      <c r="N233" s="292"/>
      <c r="O233" s="292" t="s">
        <v>36</v>
      </c>
      <c r="P233" s="292"/>
      <c r="Q233" s="292"/>
      <c r="R233" s="292" t="s">
        <v>361</v>
      </c>
      <c r="S233" s="297" t="s">
        <v>361</v>
      </c>
      <c r="T233" s="298"/>
      <c r="U233" s="299"/>
      <c r="V233" s="299">
        <v>0</v>
      </c>
      <c r="W233" s="300">
        <v>31940000</v>
      </c>
      <c r="X233" s="301"/>
      <c r="Y233" s="292" t="s">
        <v>31</v>
      </c>
      <c r="Z233" s="302" t="s">
        <v>28</v>
      </c>
      <c r="AA233" s="317"/>
      <c r="AB233" s="317"/>
      <c r="AC233" s="303">
        <f t="shared" si="7"/>
        <v>30000000</v>
      </c>
      <c r="AD233" s="303">
        <v>30000000</v>
      </c>
      <c r="AE233" s="303">
        <f t="shared" si="8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06">
        <v>15000000</v>
      </c>
      <c r="AR233" s="306"/>
      <c r="AS233" s="306"/>
      <c r="AT233" s="306"/>
      <c r="AU233" s="306"/>
      <c r="AV233" s="306"/>
      <c r="AW233" s="306">
        <v>15000000</v>
      </c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customHeight="1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499</v>
      </c>
      <c r="K234" s="292"/>
      <c r="L234" s="292"/>
      <c r="M234" s="292">
        <v>11679</v>
      </c>
      <c r="N234" s="292"/>
      <c r="O234" s="292"/>
      <c r="P234" s="292"/>
      <c r="Q234" s="292"/>
      <c r="R234" s="292" t="s">
        <v>355</v>
      </c>
      <c r="S234" s="297" t="s">
        <v>679</v>
      </c>
      <c r="T234" s="298"/>
      <c r="U234" s="299"/>
      <c r="V234" s="299"/>
      <c r="W234" s="300">
        <v>0</v>
      </c>
      <c r="X234" s="301"/>
      <c r="Y234" s="292" t="s">
        <v>29</v>
      </c>
      <c r="Z234" s="302" t="s">
        <v>29</v>
      </c>
      <c r="AA234" s="317"/>
      <c r="AB234" s="317"/>
      <c r="AC234" s="303">
        <f t="shared" si="7"/>
        <v>0</v>
      </c>
      <c r="AD234" s="303">
        <v>0</v>
      </c>
      <c r="AE234" s="303">
        <f t="shared" si="8"/>
        <v>0</v>
      </c>
      <c r="AF234" s="304"/>
      <c r="AG234" s="305"/>
      <c r="AH234" s="304"/>
      <c r="AI234" s="304">
        <v>5000000</v>
      </c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/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customHeight="1">
      <c r="A235" s="290">
        <v>214</v>
      </c>
      <c r="B235" s="291"/>
      <c r="C235" s="291"/>
      <c r="D235" s="292"/>
      <c r="E235" s="292"/>
      <c r="F235" s="293" t="s">
        <v>208</v>
      </c>
      <c r="G235" s="294" t="s">
        <v>246</v>
      </c>
      <c r="H235" s="311"/>
      <c r="I235" s="295"/>
      <c r="J235" s="296" t="s">
        <v>786</v>
      </c>
      <c r="K235" s="292"/>
      <c r="L235" s="292"/>
      <c r="M235" s="292"/>
      <c r="N235" s="292"/>
      <c r="O235" s="292"/>
      <c r="P235" s="292"/>
      <c r="Q235" s="292"/>
      <c r="R235" s="292"/>
      <c r="S235" s="297" t="s">
        <v>32</v>
      </c>
      <c r="T235" s="298"/>
      <c r="U235" s="299"/>
      <c r="V235" s="299"/>
      <c r="W235" s="300"/>
      <c r="X235" s="301"/>
      <c r="Y235" s="292"/>
      <c r="Z235" s="302" t="s">
        <v>31</v>
      </c>
      <c r="AA235" s="317"/>
      <c r="AB235" s="317"/>
      <c r="AC235" s="303">
        <f t="shared" si="7"/>
        <v>400000000</v>
      </c>
      <c r="AD235" s="303">
        <v>400000000</v>
      </c>
      <c r="AE235" s="303">
        <f t="shared" si="8"/>
        <v>0</v>
      </c>
      <c r="AF235" s="304"/>
      <c r="AG235" s="305"/>
      <c r="AH235" s="304"/>
      <c r="AI235" s="304"/>
      <c r="AJ235" s="305"/>
      <c r="AK235" s="304"/>
      <c r="AL235" s="306"/>
      <c r="AM235" s="318"/>
      <c r="AN235" s="306"/>
      <c r="AO235" s="307"/>
      <c r="AP235" s="306"/>
      <c r="AQ235" s="306"/>
      <c r="AR235" s="306"/>
      <c r="AS235" s="306"/>
      <c r="AT235" s="306"/>
      <c r="AU235" s="306"/>
      <c r="AV235" s="306"/>
      <c r="AW235" s="306"/>
      <c r="AX235" s="306"/>
      <c r="AY235" s="306"/>
      <c r="AZ235" s="306"/>
      <c r="BA235" s="306"/>
      <c r="BB235" s="306"/>
      <c r="BC235" s="306"/>
      <c r="BD235" s="306"/>
      <c r="BE235" s="306">
        <v>400000000</v>
      </c>
      <c r="BF235" s="306"/>
      <c r="BG235" s="308"/>
      <c r="BH235" s="309"/>
    </row>
    <row r="236" spans="1:60" s="310" customFormat="1" ht="16.5" customHeight="1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266</v>
      </c>
      <c r="K236" s="292"/>
      <c r="L236" s="292"/>
      <c r="M236" s="292">
        <v>2514</v>
      </c>
      <c r="N236" s="292"/>
      <c r="O236" s="292"/>
      <c r="P236" s="292"/>
      <c r="Q236" s="292" t="s">
        <v>98</v>
      </c>
      <c r="R236" s="292" t="s">
        <v>353</v>
      </c>
      <c r="S236" s="297" t="s">
        <v>353</v>
      </c>
      <c r="T236" s="298"/>
      <c r="U236" s="299" t="s">
        <v>188</v>
      </c>
      <c r="V236" s="299">
        <v>61808700</v>
      </c>
      <c r="W236" s="300">
        <v>40685000</v>
      </c>
      <c r="X236" s="301"/>
      <c r="Y236" s="292" t="s">
        <v>31</v>
      </c>
      <c r="Z236" s="302" t="s">
        <v>28</v>
      </c>
      <c r="AA236" s="317"/>
      <c r="AB236" s="317"/>
      <c r="AC236" s="303">
        <f t="shared" si="7"/>
        <v>50000000</v>
      </c>
      <c r="AD236" s="303">
        <v>50000000</v>
      </c>
      <c r="AE236" s="303">
        <f t="shared" si="8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>
        <v>30000000</v>
      </c>
      <c r="AR236" s="306"/>
      <c r="AS236" s="306"/>
      <c r="AT236" s="306"/>
      <c r="AU236" s="306">
        <v>20000000</v>
      </c>
      <c r="AV236" s="306"/>
      <c r="AW236" s="306"/>
      <c r="AX236" s="306"/>
      <c r="AY236" s="306"/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customHeight="1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266</v>
      </c>
      <c r="K237" s="292"/>
      <c r="L237" s="292"/>
      <c r="M237" s="292">
        <v>2514</v>
      </c>
      <c r="N237" s="292"/>
      <c r="O237" s="292"/>
      <c r="P237" s="292"/>
      <c r="Q237" s="292"/>
      <c r="R237" s="292" t="s">
        <v>361</v>
      </c>
      <c r="S237" s="297" t="s">
        <v>361</v>
      </c>
      <c r="T237" s="298"/>
      <c r="U237" s="299"/>
      <c r="V237" s="299"/>
      <c r="W237" s="300">
        <v>12750000</v>
      </c>
      <c r="X237" s="301"/>
      <c r="Y237" s="292" t="s">
        <v>31</v>
      </c>
      <c r="Z237" s="302" t="s">
        <v>31</v>
      </c>
      <c r="AA237" s="317"/>
      <c r="AB237" s="317"/>
      <c r="AC237" s="303">
        <f t="shared" si="7"/>
        <v>8500000</v>
      </c>
      <c r="AD237" s="303">
        <v>8500000</v>
      </c>
      <c r="AE237" s="303">
        <f t="shared" si="8"/>
        <v>0</v>
      </c>
      <c r="AF237" s="304"/>
      <c r="AG237" s="305">
        <v>3900000</v>
      </c>
      <c r="AH237" s="304"/>
      <c r="AI237" s="304">
        <v>2000000</v>
      </c>
      <c r="AJ237" s="305">
        <v>2300000</v>
      </c>
      <c r="AK237" s="304"/>
      <c r="AL237" s="306"/>
      <c r="AM237" s="318">
        <v>2300000</v>
      </c>
      <c r="AN237" s="306"/>
      <c r="AO237" s="307"/>
      <c r="AP237" s="306"/>
      <c r="AQ237" s="306"/>
      <c r="AR237" s="306"/>
      <c r="AS237" s="306"/>
      <c r="AT237" s="306"/>
      <c r="AU237" s="306"/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customHeight="1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266</v>
      </c>
      <c r="K238" s="292"/>
      <c r="L238" s="292"/>
      <c r="M238" s="292">
        <v>2514</v>
      </c>
      <c r="N238" s="292"/>
      <c r="O238" s="292"/>
      <c r="P238" s="292"/>
      <c r="Q238" s="292" t="s">
        <v>22</v>
      </c>
      <c r="R238" s="292" t="s">
        <v>357</v>
      </c>
      <c r="S238" s="297" t="s">
        <v>680</v>
      </c>
      <c r="T238" s="298"/>
      <c r="U238" s="299" t="s">
        <v>188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7"/>
        <v>5000000</v>
      </c>
      <c r="AD238" s="303">
        <v>5000000</v>
      </c>
      <c r="AE238" s="303">
        <f t="shared" si="8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>
        <v>5000000</v>
      </c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customHeight="1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266</v>
      </c>
      <c r="K239" s="292"/>
      <c r="L239" s="292"/>
      <c r="M239" s="292">
        <v>2514</v>
      </c>
      <c r="N239" s="292"/>
      <c r="O239" s="292"/>
      <c r="P239" s="292"/>
      <c r="Q239" s="292" t="s">
        <v>22</v>
      </c>
      <c r="R239" s="292" t="s">
        <v>363</v>
      </c>
      <c r="S239" s="297" t="s">
        <v>682</v>
      </c>
      <c r="T239" s="298"/>
      <c r="U239" s="299" t="s">
        <v>188</v>
      </c>
      <c r="V239" s="299">
        <v>0</v>
      </c>
      <c r="W239" s="300">
        <v>0</v>
      </c>
      <c r="X239" s="301"/>
      <c r="Y239" s="292" t="s">
        <v>29</v>
      </c>
      <c r="Z239" s="302" t="s">
        <v>29</v>
      </c>
      <c r="AA239" s="317"/>
      <c r="AB239" s="317"/>
      <c r="AC239" s="303">
        <f t="shared" si="7"/>
        <v>5000000</v>
      </c>
      <c r="AD239" s="303">
        <v>5000000</v>
      </c>
      <c r="AE239" s="303">
        <f t="shared" si="8"/>
        <v>0</v>
      </c>
      <c r="AF239" s="304"/>
      <c r="AG239" s="305"/>
      <c r="AH239" s="304"/>
      <c r="AI239" s="304"/>
      <c r="AJ239" s="305"/>
      <c r="AK239" s="304"/>
      <c r="AL239" s="306"/>
      <c r="AM239" s="318"/>
      <c r="AN239" s="306"/>
      <c r="AO239" s="307"/>
      <c r="AP239" s="306"/>
      <c r="AQ239" s="306">
        <v>5000000</v>
      </c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/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customHeight="1">
      <c r="A240" s="290">
        <v>219</v>
      </c>
      <c r="B240" s="291"/>
      <c r="C240" s="291"/>
      <c r="D240" s="292" t="s">
        <v>208</v>
      </c>
      <c r="E240" s="292" t="s">
        <v>246</v>
      </c>
      <c r="F240" s="293" t="s">
        <v>208</v>
      </c>
      <c r="G240" s="294" t="s">
        <v>246</v>
      </c>
      <c r="H240" s="311"/>
      <c r="I240" s="295"/>
      <c r="J240" s="296" t="s">
        <v>267</v>
      </c>
      <c r="K240" s="292"/>
      <c r="L240" s="292"/>
      <c r="M240" s="292">
        <v>4738</v>
      </c>
      <c r="N240" s="292" t="s">
        <v>44</v>
      </c>
      <c r="O240" s="292" t="s">
        <v>47</v>
      </c>
      <c r="P240" s="292" t="s">
        <v>48</v>
      </c>
      <c r="Q240" s="292" t="s">
        <v>40</v>
      </c>
      <c r="R240" s="292" t="s">
        <v>354</v>
      </c>
      <c r="S240" s="297" t="s">
        <v>354</v>
      </c>
      <c r="T240" s="298"/>
      <c r="U240" s="299">
        <v>65000000</v>
      </c>
      <c r="V240" s="299">
        <v>0</v>
      </c>
      <c r="W240" s="300">
        <v>40000000</v>
      </c>
      <c r="X240" s="301"/>
      <c r="Y240" s="292" t="s">
        <v>31</v>
      </c>
      <c r="Z240" s="302" t="s">
        <v>31</v>
      </c>
      <c r="AA240" s="317"/>
      <c r="AB240" s="317"/>
      <c r="AC240" s="303">
        <f t="shared" si="7"/>
        <v>30000000</v>
      </c>
      <c r="AD240" s="303">
        <v>30000000</v>
      </c>
      <c r="AE240" s="303">
        <f t="shared" si="8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>
        <v>30000000</v>
      </c>
      <c r="AX240" s="306"/>
      <c r="AY240" s="306"/>
      <c r="AZ240" s="306"/>
      <c r="BA240" s="306"/>
      <c r="BB240" s="306"/>
      <c r="BC240" s="306"/>
      <c r="BD240" s="306"/>
      <c r="BE240" s="306"/>
      <c r="BF240" s="306"/>
      <c r="BG240" s="308"/>
      <c r="BH240" s="309"/>
    </row>
    <row r="241" spans="1:60" s="310" customFormat="1" ht="16.5" customHeight="1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269</v>
      </c>
      <c r="K241" s="292"/>
      <c r="L241" s="292"/>
      <c r="M241" s="292">
        <v>14442</v>
      </c>
      <c r="N241" s="292" t="s">
        <v>26</v>
      </c>
      <c r="O241" s="292" t="s">
        <v>36</v>
      </c>
      <c r="P241" s="292" t="s">
        <v>189</v>
      </c>
      <c r="Q241" s="292" t="s">
        <v>83</v>
      </c>
      <c r="R241" s="292" t="s">
        <v>32</v>
      </c>
      <c r="S241" s="297" t="s">
        <v>32</v>
      </c>
      <c r="T241" s="298" t="s">
        <v>747</v>
      </c>
      <c r="U241" s="299">
        <v>169045130</v>
      </c>
      <c r="V241" s="299">
        <v>178072052</v>
      </c>
      <c r="W241" s="300">
        <v>159280955</v>
      </c>
      <c r="X241" s="301"/>
      <c r="Y241" s="292" t="s">
        <v>31</v>
      </c>
      <c r="Z241" s="302" t="s">
        <v>31</v>
      </c>
      <c r="AA241" s="317"/>
      <c r="AB241" s="317"/>
      <c r="AC241" s="303">
        <f t="shared" si="7"/>
        <v>109256760</v>
      </c>
      <c r="AD241" s="303">
        <v>109256760</v>
      </c>
      <c r="AE241" s="303">
        <f t="shared" si="8"/>
        <v>0</v>
      </c>
      <c r="AF241" s="304">
        <v>9000000</v>
      </c>
      <c r="AG241" s="305">
        <v>10127980</v>
      </c>
      <c r="AH241" s="304"/>
      <c r="AI241" s="304">
        <v>10965990</v>
      </c>
      <c r="AJ241" s="305">
        <v>9315990</v>
      </c>
      <c r="AK241" s="304"/>
      <c r="AL241" s="306">
        <v>10562790</v>
      </c>
      <c r="AM241" s="318">
        <v>9812790</v>
      </c>
      <c r="AN241" s="306"/>
      <c r="AO241" s="307">
        <v>9000000</v>
      </c>
      <c r="AP241" s="306"/>
      <c r="AQ241" s="306">
        <v>9000000</v>
      </c>
      <c r="AR241" s="306"/>
      <c r="AS241" s="306">
        <v>9000000</v>
      </c>
      <c r="AT241" s="306"/>
      <c r="AU241" s="306">
        <v>9000000</v>
      </c>
      <c r="AV241" s="306"/>
      <c r="AW241" s="306">
        <v>9000000</v>
      </c>
      <c r="AX241" s="306"/>
      <c r="AY241" s="306">
        <v>9000000</v>
      </c>
      <c r="AZ241" s="306"/>
      <c r="BA241" s="306">
        <v>9000000</v>
      </c>
      <c r="BB241" s="306"/>
      <c r="BC241" s="306">
        <v>9000000</v>
      </c>
      <c r="BD241" s="306"/>
      <c r="BE241" s="306">
        <v>8000000</v>
      </c>
      <c r="BF241" s="306"/>
      <c r="BG241" s="308"/>
      <c r="BH241" s="309"/>
    </row>
    <row r="242" spans="1:60" s="310" customFormat="1" ht="16.5" customHeight="1">
      <c r="A242" s="290">
        <v>221</v>
      </c>
      <c r="B242" s="291"/>
      <c r="C242" s="291"/>
      <c r="D242" s="292" t="s">
        <v>208</v>
      </c>
      <c r="E242" s="292" t="s">
        <v>246</v>
      </c>
      <c r="F242" s="293" t="s">
        <v>208</v>
      </c>
      <c r="G242" s="294" t="s">
        <v>246</v>
      </c>
      <c r="H242" s="311"/>
      <c r="I242" s="295"/>
      <c r="J242" s="296" t="s">
        <v>269</v>
      </c>
      <c r="K242" s="292"/>
      <c r="L242" s="292"/>
      <c r="M242" s="292">
        <v>14442</v>
      </c>
      <c r="N242" s="292" t="s">
        <v>38</v>
      </c>
      <c r="O242" s="292" t="s">
        <v>47</v>
      </c>
      <c r="P242" s="292" t="s">
        <v>48</v>
      </c>
      <c r="Q242" s="292" t="s">
        <v>33</v>
      </c>
      <c r="R242" s="292" t="s">
        <v>34</v>
      </c>
      <c r="S242" s="297" t="s">
        <v>34</v>
      </c>
      <c r="T242" s="298"/>
      <c r="U242" s="299">
        <v>16762500</v>
      </c>
      <c r="V242" s="299">
        <v>8992500</v>
      </c>
      <c r="W242" s="300">
        <v>8042500</v>
      </c>
      <c r="X242" s="301"/>
      <c r="Y242" s="292" t="s">
        <v>29</v>
      </c>
      <c r="Z242" s="302" t="s">
        <v>28</v>
      </c>
      <c r="AA242" s="317"/>
      <c r="AB242" s="317"/>
      <c r="AC242" s="303">
        <f t="shared" si="7"/>
        <v>20000000</v>
      </c>
      <c r="AD242" s="303">
        <v>20000000</v>
      </c>
      <c r="AE242" s="303">
        <f t="shared" si="8"/>
        <v>0</v>
      </c>
      <c r="AF242" s="304"/>
      <c r="AG242" s="305"/>
      <c r="AH242" s="304"/>
      <c r="AI242" s="304"/>
      <c r="AJ242" s="305"/>
      <c r="AK242" s="304"/>
      <c r="AL242" s="306"/>
      <c r="AM242" s="318"/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>
        <v>20000000</v>
      </c>
      <c r="AZ242" s="306"/>
      <c r="BA242" s="306"/>
      <c r="BB242" s="306"/>
      <c r="BC242" s="306"/>
      <c r="BD242" s="306"/>
      <c r="BE242" s="306"/>
      <c r="BF242" s="306"/>
      <c r="BG242" s="308"/>
      <c r="BH242" s="309"/>
    </row>
    <row r="243" spans="1:60" s="310" customFormat="1" ht="16.5" customHeight="1">
      <c r="A243" s="290">
        <v>222</v>
      </c>
      <c r="B243" s="291"/>
      <c r="C243" s="291"/>
      <c r="D243" s="292" t="s">
        <v>208</v>
      </c>
      <c r="E243" s="292" t="s">
        <v>246</v>
      </c>
      <c r="F243" s="293" t="s">
        <v>208</v>
      </c>
      <c r="G243" s="294" t="s">
        <v>246</v>
      </c>
      <c r="H243" s="311"/>
      <c r="I243" s="295"/>
      <c r="J243" s="296" t="s">
        <v>269</v>
      </c>
      <c r="K243" s="292"/>
      <c r="L243" s="292"/>
      <c r="M243" s="292">
        <v>14442</v>
      </c>
      <c r="N243" s="292" t="s">
        <v>26</v>
      </c>
      <c r="O243" s="292"/>
      <c r="P243" s="292"/>
      <c r="Q243" s="292" t="s">
        <v>30</v>
      </c>
      <c r="R243" s="292" t="s">
        <v>353</v>
      </c>
      <c r="S243" s="297" t="s">
        <v>353</v>
      </c>
      <c r="T243" s="298"/>
      <c r="U243" s="299"/>
      <c r="V243" s="299">
        <v>0</v>
      </c>
      <c r="W243" s="300">
        <v>58588000</v>
      </c>
      <c r="X243" s="301"/>
      <c r="Y243" s="292" t="s">
        <v>31</v>
      </c>
      <c r="Z243" s="302" t="s">
        <v>28</v>
      </c>
      <c r="AA243" s="317"/>
      <c r="AB243" s="317"/>
      <c r="AC243" s="303">
        <f t="shared" si="7"/>
        <v>70000000</v>
      </c>
      <c r="AD243" s="303">
        <v>70000000</v>
      </c>
      <c r="AE243" s="303">
        <f t="shared" si="8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>
        <v>20000000</v>
      </c>
      <c r="AR243" s="306"/>
      <c r="AS243" s="306"/>
      <c r="AT243" s="306"/>
      <c r="AU243" s="306">
        <v>50000000</v>
      </c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customHeight="1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269</v>
      </c>
      <c r="K244" s="292"/>
      <c r="L244" s="292"/>
      <c r="M244" s="292">
        <v>14442</v>
      </c>
      <c r="N244" s="292" t="s">
        <v>26</v>
      </c>
      <c r="O244" s="292" t="s">
        <v>47</v>
      </c>
      <c r="P244" s="292" t="s">
        <v>189</v>
      </c>
      <c r="Q244" s="292" t="s">
        <v>27</v>
      </c>
      <c r="R244" s="292" t="s">
        <v>273</v>
      </c>
      <c r="S244" s="297" t="s">
        <v>683</v>
      </c>
      <c r="T244" s="298"/>
      <c r="U244" s="299">
        <v>19000000</v>
      </c>
      <c r="V244" s="299">
        <v>0</v>
      </c>
      <c r="W244" s="300">
        <v>0</v>
      </c>
      <c r="X244" s="301"/>
      <c r="Y244" s="292" t="s">
        <v>29</v>
      </c>
      <c r="Z244" s="302" t="s">
        <v>29</v>
      </c>
      <c r="AA244" s="317"/>
      <c r="AB244" s="317"/>
      <c r="AC244" s="303">
        <f t="shared" si="7"/>
        <v>0</v>
      </c>
      <c r="AD244" s="303">
        <v>0</v>
      </c>
      <c r="AE244" s="303">
        <f t="shared" si="8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/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customHeight="1">
      <c r="A245" s="290">
        <v>224</v>
      </c>
      <c r="B245" s="291"/>
      <c r="C245" s="291"/>
      <c r="D245" s="292" t="s">
        <v>208</v>
      </c>
      <c r="E245" s="292" t="s">
        <v>246</v>
      </c>
      <c r="F245" s="293" t="s">
        <v>208</v>
      </c>
      <c r="G245" s="294" t="s">
        <v>246</v>
      </c>
      <c r="H245" s="311"/>
      <c r="I245" s="295"/>
      <c r="J245" s="296" t="s">
        <v>503</v>
      </c>
      <c r="K245" s="292"/>
      <c r="L245" s="292"/>
      <c r="M245" s="292">
        <v>11031</v>
      </c>
      <c r="N245" s="292"/>
      <c r="O245" s="292"/>
      <c r="P245" s="292"/>
      <c r="Q245" s="292" t="s">
        <v>22</v>
      </c>
      <c r="R245" s="292" t="s">
        <v>34</v>
      </c>
      <c r="S245" s="297" t="s">
        <v>34</v>
      </c>
      <c r="T245" s="298"/>
      <c r="U245" s="299"/>
      <c r="V245" s="299">
        <v>1654000</v>
      </c>
      <c r="W245" s="300">
        <v>520000</v>
      </c>
      <c r="X245" s="301"/>
      <c r="Y245" s="292" t="s">
        <v>31</v>
      </c>
      <c r="Z245" s="302" t="s">
        <v>31</v>
      </c>
      <c r="AA245" s="317"/>
      <c r="AB245" s="317"/>
      <c r="AC245" s="303">
        <f t="shared" si="7"/>
        <v>1520000</v>
      </c>
      <c r="AD245" s="303">
        <v>1520000</v>
      </c>
      <c r="AE245" s="303">
        <f t="shared" si="8"/>
        <v>0</v>
      </c>
      <c r="AF245" s="304"/>
      <c r="AG245" s="305"/>
      <c r="AH245" s="304"/>
      <c r="AI245" s="304"/>
      <c r="AJ245" s="305"/>
      <c r="AK245" s="304"/>
      <c r="AL245" s="306"/>
      <c r="AM245" s="318">
        <v>520000</v>
      </c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>
        <v>1000000</v>
      </c>
      <c r="BB245" s="306"/>
      <c r="BC245" s="306"/>
      <c r="BD245" s="306"/>
      <c r="BE245" s="306"/>
      <c r="BF245" s="306"/>
      <c r="BG245" s="308"/>
      <c r="BH245" s="309"/>
    </row>
    <row r="246" spans="1:60" s="310" customFormat="1" ht="16.5" customHeight="1">
      <c r="A246" s="290">
        <v>225</v>
      </c>
      <c r="B246" s="291"/>
      <c r="C246" s="291"/>
      <c r="D246" s="292" t="s">
        <v>208</v>
      </c>
      <c r="E246" s="292" t="s">
        <v>1</v>
      </c>
      <c r="F246" s="293" t="s">
        <v>208</v>
      </c>
      <c r="G246" s="294" t="s">
        <v>246</v>
      </c>
      <c r="H246" s="311"/>
      <c r="I246" s="295"/>
      <c r="J246" s="296" t="s">
        <v>270</v>
      </c>
      <c r="K246" s="292"/>
      <c r="L246" s="292"/>
      <c r="M246" s="292">
        <v>3847</v>
      </c>
      <c r="N246" s="292" t="s">
        <v>26</v>
      </c>
      <c r="O246" s="292"/>
      <c r="P246" s="292"/>
      <c r="Q246" s="292"/>
      <c r="R246" s="292" t="s">
        <v>34</v>
      </c>
      <c r="S246" s="297" t="s">
        <v>34</v>
      </c>
      <c r="T246" s="298"/>
      <c r="U246" s="299">
        <v>15000000</v>
      </c>
      <c r="V246" s="299"/>
      <c r="W246" s="300">
        <v>12566500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7"/>
        <v>10000000</v>
      </c>
      <c r="AD246" s="303">
        <v>10000000</v>
      </c>
      <c r="AE246" s="303">
        <f t="shared" si="8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>
        <v>10000000</v>
      </c>
      <c r="BF246" s="306"/>
      <c r="BG246" s="308"/>
      <c r="BH246" s="309"/>
    </row>
    <row r="247" spans="1:60" s="310" customFormat="1" ht="16.5" customHeight="1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270</v>
      </c>
      <c r="K247" s="292"/>
      <c r="L247" s="292"/>
      <c r="M247" s="292">
        <v>3847</v>
      </c>
      <c r="N247" s="292" t="s">
        <v>26</v>
      </c>
      <c r="O247" s="292" t="s">
        <v>36</v>
      </c>
      <c r="P247" s="292" t="s">
        <v>48</v>
      </c>
      <c r="Q247" s="292" t="s">
        <v>40</v>
      </c>
      <c r="R247" s="292" t="s">
        <v>354</v>
      </c>
      <c r="S247" s="297" t="s">
        <v>354</v>
      </c>
      <c r="T247" s="298"/>
      <c r="U247" s="299"/>
      <c r="V247" s="299"/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7"/>
        <v>0</v>
      </c>
      <c r="AD247" s="303">
        <v>0</v>
      </c>
      <c r="AE247" s="303">
        <f t="shared" si="8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/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customHeight="1">
      <c r="A248" s="290">
        <v>227</v>
      </c>
      <c r="B248" s="291"/>
      <c r="C248" s="291"/>
      <c r="D248" s="292" t="s">
        <v>208</v>
      </c>
      <c r="E248" s="292" t="s">
        <v>1</v>
      </c>
      <c r="F248" s="293" t="s">
        <v>208</v>
      </c>
      <c r="G248" s="294" t="s">
        <v>246</v>
      </c>
      <c r="H248" s="311"/>
      <c r="I248" s="295"/>
      <c r="J248" s="296" t="s">
        <v>270</v>
      </c>
      <c r="K248" s="292"/>
      <c r="L248" s="292"/>
      <c r="M248" s="292">
        <v>3847</v>
      </c>
      <c r="N248" s="292"/>
      <c r="O248" s="292"/>
      <c r="P248" s="292"/>
      <c r="Q248" s="292"/>
      <c r="R248" s="292" t="s">
        <v>538</v>
      </c>
      <c r="S248" s="297" t="s">
        <v>681</v>
      </c>
      <c r="T248" s="298"/>
      <c r="U248" s="299"/>
      <c r="V248" s="299"/>
      <c r="W248" s="300">
        <v>0</v>
      </c>
      <c r="X248" s="301"/>
      <c r="Y248" s="292" t="s">
        <v>29</v>
      </c>
      <c r="Z248" s="302" t="s">
        <v>31</v>
      </c>
      <c r="AA248" s="317"/>
      <c r="AB248" s="317"/>
      <c r="AC248" s="303">
        <f t="shared" si="7"/>
        <v>60000</v>
      </c>
      <c r="AD248" s="303">
        <v>60000</v>
      </c>
      <c r="AE248" s="303">
        <f t="shared" si="8"/>
        <v>0</v>
      </c>
      <c r="AF248" s="304"/>
      <c r="AG248" s="305">
        <v>30000</v>
      </c>
      <c r="AH248" s="304"/>
      <c r="AI248" s="304"/>
      <c r="AJ248" s="305"/>
      <c r="AK248" s="304"/>
      <c r="AL248" s="306"/>
      <c r="AM248" s="318">
        <v>30000</v>
      </c>
      <c r="AN248" s="306"/>
      <c r="AO248" s="307"/>
      <c r="AP248" s="306"/>
      <c r="AQ248" s="306"/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>
        <v>0</v>
      </c>
      <c r="BF248" s="306"/>
      <c r="BG248" s="308"/>
      <c r="BH248" s="309"/>
    </row>
    <row r="249" spans="1:60" s="310" customFormat="1" ht="16.5" customHeight="1">
      <c r="A249" s="290">
        <v>228</v>
      </c>
      <c r="B249" s="291"/>
      <c r="C249" s="291"/>
      <c r="D249" s="292" t="s">
        <v>208</v>
      </c>
      <c r="E249" s="292" t="s">
        <v>1</v>
      </c>
      <c r="F249" s="293" t="s">
        <v>208</v>
      </c>
      <c r="G249" s="294" t="s">
        <v>246</v>
      </c>
      <c r="H249" s="311"/>
      <c r="I249" s="295"/>
      <c r="J249" s="296" t="s">
        <v>270</v>
      </c>
      <c r="K249" s="292"/>
      <c r="L249" s="292"/>
      <c r="M249" s="292">
        <v>3847</v>
      </c>
      <c r="N249" s="292" t="s">
        <v>26</v>
      </c>
      <c r="O249" s="292"/>
      <c r="P249" s="292"/>
      <c r="Q249" s="292" t="s">
        <v>27</v>
      </c>
      <c r="R249" s="292" t="s">
        <v>273</v>
      </c>
      <c r="S249" s="297" t="s">
        <v>683</v>
      </c>
      <c r="T249" s="298"/>
      <c r="U249" s="299" t="s">
        <v>188</v>
      </c>
      <c r="V249" s="299">
        <v>11363636</v>
      </c>
      <c r="W249" s="300">
        <v>12545454</v>
      </c>
      <c r="X249" s="301"/>
      <c r="Y249" s="292" t="s">
        <v>31</v>
      </c>
      <c r="Z249" s="302" t="s">
        <v>31</v>
      </c>
      <c r="AA249" s="317"/>
      <c r="AB249" s="317"/>
      <c r="AC249" s="303">
        <f t="shared" si="7"/>
        <v>0</v>
      </c>
      <c r="AD249" s="303">
        <v>0</v>
      </c>
      <c r="AE249" s="303">
        <f t="shared" si="8"/>
        <v>0</v>
      </c>
      <c r="AF249" s="304"/>
      <c r="AG249" s="305"/>
      <c r="AH249" s="304"/>
      <c r="AI249" s="304"/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customHeight="1">
      <c r="A250" s="290">
        <v>229</v>
      </c>
      <c r="B250" s="291"/>
      <c r="C250" s="291"/>
      <c r="D250" s="292" t="s">
        <v>208</v>
      </c>
      <c r="E250" s="292" t="s">
        <v>246</v>
      </c>
      <c r="F250" s="293" t="s">
        <v>208</v>
      </c>
      <c r="G250" s="294" t="s">
        <v>246</v>
      </c>
      <c r="H250" s="311"/>
      <c r="I250" s="295"/>
      <c r="J250" s="296" t="s">
        <v>270</v>
      </c>
      <c r="K250" s="292"/>
      <c r="L250" s="292"/>
      <c r="M250" s="292">
        <v>3847</v>
      </c>
      <c r="N250" s="292" t="s">
        <v>26</v>
      </c>
      <c r="O250" s="292"/>
      <c r="P250" s="292"/>
      <c r="Q250" s="292" t="s">
        <v>27</v>
      </c>
      <c r="R250" s="292" t="s">
        <v>273</v>
      </c>
      <c r="S250" s="297" t="s">
        <v>683</v>
      </c>
      <c r="T250" s="298"/>
      <c r="U250" s="299"/>
      <c r="V250" s="299"/>
      <c r="W250" s="300">
        <v>0</v>
      </c>
      <c r="X250" s="301"/>
      <c r="Y250" s="292" t="s">
        <v>31</v>
      </c>
      <c r="Z250" s="302" t="s">
        <v>29</v>
      </c>
      <c r="AA250" s="317"/>
      <c r="AB250" s="317"/>
      <c r="AC250" s="303">
        <f t="shared" si="7"/>
        <v>30000000</v>
      </c>
      <c r="AD250" s="303">
        <v>30000000</v>
      </c>
      <c r="AE250" s="303">
        <f t="shared" si="8"/>
        <v>0</v>
      </c>
      <c r="AF250" s="304"/>
      <c r="AG250" s="305"/>
      <c r="AH250" s="304"/>
      <c r="AI250" s="304"/>
      <c r="AJ250" s="305"/>
      <c r="AK250" s="304"/>
      <c r="AL250" s="306"/>
      <c r="AM250" s="318"/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30000000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customHeight="1">
      <c r="A251" s="290">
        <v>230</v>
      </c>
      <c r="B251" s="291"/>
      <c r="C251" s="291"/>
      <c r="D251" s="292" t="s">
        <v>208</v>
      </c>
      <c r="E251" s="292" t="s">
        <v>1</v>
      </c>
      <c r="F251" s="293" t="s">
        <v>208</v>
      </c>
      <c r="G251" s="294" t="s">
        <v>246</v>
      </c>
      <c r="H251" s="311"/>
      <c r="I251" s="295"/>
      <c r="J251" s="296" t="s">
        <v>270</v>
      </c>
      <c r="K251" s="292"/>
      <c r="L251" s="292"/>
      <c r="M251" s="292">
        <v>3847</v>
      </c>
      <c r="N251" s="292" t="s">
        <v>26</v>
      </c>
      <c r="O251" s="292" t="s">
        <v>36</v>
      </c>
      <c r="P251" s="292" t="s">
        <v>48</v>
      </c>
      <c r="Q251" s="292" t="s">
        <v>40</v>
      </c>
      <c r="R251" s="292" t="s">
        <v>273</v>
      </c>
      <c r="S251" s="297" t="s">
        <v>683</v>
      </c>
      <c r="T251" s="298"/>
      <c r="U251" s="299"/>
      <c r="V251" s="299">
        <v>0</v>
      </c>
      <c r="W251" s="300">
        <v>0</v>
      </c>
      <c r="X251" s="301"/>
      <c r="Y251" s="292" t="s">
        <v>107</v>
      </c>
      <c r="Z251" s="302" t="s">
        <v>107</v>
      </c>
      <c r="AA251" s="317"/>
      <c r="AB251" s="317"/>
      <c r="AC251" s="303">
        <f t="shared" si="7"/>
        <v>0</v>
      </c>
      <c r="AD251" s="303">
        <v>0</v>
      </c>
      <c r="AE251" s="303">
        <f t="shared" si="8"/>
        <v>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customHeight="1">
      <c r="A252" s="290">
        <v>231</v>
      </c>
      <c r="B252" s="291"/>
      <c r="C252" s="291"/>
      <c r="D252" s="292" t="s">
        <v>208</v>
      </c>
      <c r="E252" s="292" t="s">
        <v>246</v>
      </c>
      <c r="F252" s="293" t="s">
        <v>208</v>
      </c>
      <c r="G252" s="294" t="s">
        <v>246</v>
      </c>
      <c r="H252" s="311"/>
      <c r="I252" s="295"/>
      <c r="J252" s="296" t="s">
        <v>271</v>
      </c>
      <c r="K252" s="292"/>
      <c r="L252" s="292"/>
      <c r="M252" s="292">
        <v>7283</v>
      </c>
      <c r="N252" s="292"/>
      <c r="O252" s="292"/>
      <c r="P252" s="292"/>
      <c r="Q252" s="292" t="s">
        <v>30</v>
      </c>
      <c r="R252" s="292" t="s">
        <v>353</v>
      </c>
      <c r="S252" s="297" t="s">
        <v>353</v>
      </c>
      <c r="T252" s="298"/>
      <c r="U252" s="299" t="s">
        <v>188</v>
      </c>
      <c r="V252" s="299">
        <v>32970454</v>
      </c>
      <c r="W252" s="300">
        <v>19200000</v>
      </c>
      <c r="X252" s="301"/>
      <c r="Y252" s="292" t="s">
        <v>31</v>
      </c>
      <c r="Z252" s="302" t="s">
        <v>28</v>
      </c>
      <c r="AA252" s="317"/>
      <c r="AB252" s="317"/>
      <c r="AC252" s="303">
        <f t="shared" si="7"/>
        <v>0</v>
      </c>
      <c r="AD252" s="303">
        <v>0</v>
      </c>
      <c r="AE252" s="303">
        <f t="shared" si="8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/>
      <c r="BD252" s="306"/>
      <c r="BE252" s="306"/>
      <c r="BF252" s="306"/>
      <c r="BG252" s="308"/>
      <c r="BH252" s="309"/>
    </row>
    <row r="253" spans="1:60" s="310" customFormat="1" ht="16.5" customHeight="1">
      <c r="A253" s="290">
        <v>232</v>
      </c>
      <c r="B253" s="291"/>
      <c r="C253" s="291"/>
      <c r="D253" s="292" t="s">
        <v>208</v>
      </c>
      <c r="E253" s="292" t="s">
        <v>246</v>
      </c>
      <c r="F253" s="293" t="s">
        <v>208</v>
      </c>
      <c r="G253" s="294" t="s">
        <v>246</v>
      </c>
      <c r="H253" s="311"/>
      <c r="I253" s="295"/>
      <c r="J253" s="296" t="s">
        <v>271</v>
      </c>
      <c r="K253" s="292"/>
      <c r="L253" s="292"/>
      <c r="M253" s="292">
        <v>7283</v>
      </c>
      <c r="N253" s="292"/>
      <c r="O253" s="292"/>
      <c r="P253" s="292"/>
      <c r="Q253" s="292" t="s">
        <v>30</v>
      </c>
      <c r="R253" s="292" t="s">
        <v>353</v>
      </c>
      <c r="S253" s="297" t="s">
        <v>353</v>
      </c>
      <c r="T253" s="298"/>
      <c r="U253" s="299"/>
      <c r="V253" s="299">
        <v>0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7"/>
        <v>20000000</v>
      </c>
      <c r="AD253" s="303">
        <v>20000000</v>
      </c>
      <c r="AE253" s="303">
        <f t="shared" si="8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>
        <v>20000000</v>
      </c>
      <c r="AT253" s="306"/>
      <c r="AU253" s="306"/>
      <c r="AV253" s="306"/>
      <c r="AW253" s="306"/>
      <c r="AX253" s="306"/>
      <c r="AY253" s="306"/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customHeight="1">
      <c r="A254" s="290">
        <v>233</v>
      </c>
      <c r="B254" s="291"/>
      <c r="C254" s="291"/>
      <c r="D254" s="292" t="s">
        <v>208</v>
      </c>
      <c r="E254" s="292" t="s">
        <v>246</v>
      </c>
      <c r="F254" s="293" t="s">
        <v>208</v>
      </c>
      <c r="G254" s="294" t="s">
        <v>246</v>
      </c>
      <c r="H254" s="311"/>
      <c r="I254" s="295"/>
      <c r="J254" s="296" t="s">
        <v>271</v>
      </c>
      <c r="K254" s="292"/>
      <c r="L254" s="292"/>
      <c r="M254" s="292">
        <v>7283</v>
      </c>
      <c r="N254" s="292"/>
      <c r="O254" s="292"/>
      <c r="P254" s="292"/>
      <c r="Q254" s="292" t="s">
        <v>27</v>
      </c>
      <c r="R254" s="292" t="s">
        <v>273</v>
      </c>
      <c r="S254" s="297" t="s">
        <v>683</v>
      </c>
      <c r="T254" s="298"/>
      <c r="U254" s="299" t="s">
        <v>188</v>
      </c>
      <c r="V254" s="299">
        <v>4636364</v>
      </c>
      <c r="W254" s="300">
        <v>11363636</v>
      </c>
      <c r="X254" s="301"/>
      <c r="Y254" s="292" t="s">
        <v>28</v>
      </c>
      <c r="Z254" s="302" t="s">
        <v>28</v>
      </c>
      <c r="AA254" s="317"/>
      <c r="AB254" s="317"/>
      <c r="AC254" s="303">
        <f t="shared" si="7"/>
        <v>20000000</v>
      </c>
      <c r="AD254" s="303">
        <v>20000000</v>
      </c>
      <c r="AE254" s="303">
        <f t="shared" si="8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>
        <v>20000000</v>
      </c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customHeight="1">
      <c r="A255" s="290">
        <v>234</v>
      </c>
      <c r="B255" s="291"/>
      <c r="C255" s="291"/>
      <c r="D255" s="292" t="s">
        <v>208</v>
      </c>
      <c r="E255" s="292" t="s">
        <v>246</v>
      </c>
      <c r="F255" s="293" t="s">
        <v>208</v>
      </c>
      <c r="G255" s="294" t="s">
        <v>246</v>
      </c>
      <c r="H255" s="311"/>
      <c r="I255" s="295"/>
      <c r="J255" s="296" t="s">
        <v>343</v>
      </c>
      <c r="K255" s="292"/>
      <c r="L255" s="292"/>
      <c r="M255" s="292">
        <v>3710</v>
      </c>
      <c r="N255" s="292"/>
      <c r="O255" s="292"/>
      <c r="P255" s="292"/>
      <c r="Q255" s="292" t="s">
        <v>40</v>
      </c>
      <c r="R255" s="292" t="s">
        <v>354</v>
      </c>
      <c r="S255" s="297" t="s">
        <v>354</v>
      </c>
      <c r="T255" s="298"/>
      <c r="U255" s="299"/>
      <c r="V255" s="299">
        <v>0</v>
      </c>
      <c r="W255" s="300">
        <v>0</v>
      </c>
      <c r="X255" s="301"/>
      <c r="Y255" s="292" t="s">
        <v>29</v>
      </c>
      <c r="Z255" s="302" t="s">
        <v>29</v>
      </c>
      <c r="AA255" s="317"/>
      <c r="AB255" s="317"/>
      <c r="AC255" s="303">
        <f t="shared" si="7"/>
        <v>0</v>
      </c>
      <c r="AD255" s="303">
        <v>0</v>
      </c>
      <c r="AE255" s="303">
        <f t="shared" si="8"/>
        <v>0</v>
      </c>
      <c r="AF255" s="304"/>
      <c r="AG255" s="305"/>
      <c r="AH255" s="304"/>
      <c r="AI255" s="304">
        <v>10000000</v>
      </c>
      <c r="AJ255" s="305"/>
      <c r="AK255" s="304"/>
      <c r="AL255" s="306"/>
      <c r="AM255" s="318"/>
      <c r="AN255" s="306"/>
      <c r="AO255" s="307"/>
      <c r="AP255" s="306"/>
      <c r="AQ255" s="306"/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customHeight="1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596</v>
      </c>
      <c r="K256" s="292"/>
      <c r="L256" s="292"/>
      <c r="M256" s="292">
        <v>61301</v>
      </c>
      <c r="N256" s="292"/>
      <c r="O256" s="292"/>
      <c r="P256" s="292"/>
      <c r="Q256" s="292"/>
      <c r="R256" s="292" t="s">
        <v>32</v>
      </c>
      <c r="S256" s="297" t="s">
        <v>32</v>
      </c>
      <c r="T256" s="298" t="s">
        <v>747</v>
      </c>
      <c r="U256" s="299"/>
      <c r="V256" s="299"/>
      <c r="W256" s="300">
        <v>27512970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7"/>
        <v>13180200</v>
      </c>
      <c r="AD256" s="303">
        <v>13180200</v>
      </c>
      <c r="AE256" s="303">
        <f t="shared" si="8"/>
        <v>0</v>
      </c>
      <c r="AF256" s="304">
        <v>2749500</v>
      </c>
      <c r="AG256" s="305">
        <v>2749500</v>
      </c>
      <c r="AH256" s="304"/>
      <c r="AI256" s="304">
        <v>1967750</v>
      </c>
      <c r="AJ256" s="305">
        <v>1967750</v>
      </c>
      <c r="AK256" s="304"/>
      <c r="AL256" s="306">
        <v>1462950</v>
      </c>
      <c r="AM256" s="318">
        <v>1462950</v>
      </c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/>
      <c r="AX256" s="306"/>
      <c r="AY256" s="306"/>
      <c r="AZ256" s="306"/>
      <c r="BA256" s="306">
        <v>7000000</v>
      </c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customHeight="1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877</v>
      </c>
      <c r="K257" s="292"/>
      <c r="L257" s="292"/>
      <c r="M257" s="292">
        <v>22246</v>
      </c>
      <c r="N257" s="292"/>
      <c r="O257" s="292"/>
      <c r="P257" s="292"/>
      <c r="Q257" s="292" t="s">
        <v>30</v>
      </c>
      <c r="R257" s="292" t="s">
        <v>353</v>
      </c>
      <c r="S257" s="297" t="s">
        <v>353</v>
      </c>
      <c r="T257" s="298"/>
      <c r="U257" s="299">
        <v>681769455</v>
      </c>
      <c r="V257" s="299">
        <v>42448125</v>
      </c>
      <c r="W257" s="300">
        <v>0</v>
      </c>
      <c r="X257" s="301"/>
      <c r="Y257" s="292" t="s">
        <v>28</v>
      </c>
      <c r="Z257" s="302" t="s">
        <v>31</v>
      </c>
      <c r="AA257" s="317"/>
      <c r="AB257" s="317"/>
      <c r="AC257" s="303">
        <f t="shared" si="7"/>
        <v>2000000</v>
      </c>
      <c r="AD257" s="303">
        <v>0</v>
      </c>
      <c r="AE257" s="303">
        <f t="shared" si="8"/>
        <v>2000000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>
        <v>2000000</v>
      </c>
      <c r="AR257" s="306"/>
      <c r="AS257" s="306"/>
      <c r="AT257" s="306"/>
      <c r="AU257" s="306"/>
      <c r="AV257" s="306"/>
      <c r="AW257" s="306"/>
      <c r="AX257" s="306"/>
      <c r="AY257" s="306"/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customHeight="1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596</v>
      </c>
      <c r="K258" s="292"/>
      <c r="L258" s="292"/>
      <c r="M258" s="292">
        <v>22246</v>
      </c>
      <c r="N258" s="292" t="s">
        <v>353</v>
      </c>
      <c r="O258" s="292"/>
      <c r="P258" s="292"/>
      <c r="Q258" s="292"/>
      <c r="R258" s="292" t="s">
        <v>361</v>
      </c>
      <c r="S258" s="297" t="s">
        <v>361</v>
      </c>
      <c r="T258" s="298"/>
      <c r="U258" s="299"/>
      <c r="V258" s="299"/>
      <c r="W258" s="300">
        <v>12554000</v>
      </c>
      <c r="X258" s="301"/>
      <c r="Y258" s="292" t="s">
        <v>107</v>
      </c>
      <c r="Z258" s="302" t="s">
        <v>29</v>
      </c>
      <c r="AA258" s="317"/>
      <c r="AB258" s="317"/>
      <c r="AC258" s="303">
        <f t="shared" si="7"/>
        <v>100000000</v>
      </c>
      <c r="AD258" s="303">
        <v>100000000</v>
      </c>
      <c r="AE258" s="303">
        <f t="shared" si="8"/>
        <v>0</v>
      </c>
      <c r="AF258" s="304"/>
      <c r="AG258" s="305"/>
      <c r="AH258" s="304"/>
      <c r="AI258" s="304"/>
      <c r="AJ258" s="305"/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>
        <v>100000000</v>
      </c>
      <c r="BD258" s="306"/>
      <c r="BE258" s="306"/>
      <c r="BF258" s="306"/>
      <c r="BG258" s="308"/>
      <c r="BH258" s="309"/>
    </row>
    <row r="259" spans="1:60" s="310" customFormat="1" ht="16.5" customHeight="1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596</v>
      </c>
      <c r="K259" s="292"/>
      <c r="L259" s="292"/>
      <c r="M259" s="292">
        <v>22246</v>
      </c>
      <c r="N259" s="292"/>
      <c r="O259" s="292"/>
      <c r="P259" s="292"/>
      <c r="Q259" s="292" t="s">
        <v>27</v>
      </c>
      <c r="R259" s="292" t="s">
        <v>273</v>
      </c>
      <c r="S259" s="297" t="s">
        <v>683</v>
      </c>
      <c r="T259" s="298"/>
      <c r="U259" s="299" t="s">
        <v>188</v>
      </c>
      <c r="V259" s="299">
        <v>6363636</v>
      </c>
      <c r="W259" s="300">
        <v>0</v>
      </c>
      <c r="X259" s="301"/>
      <c r="Y259" s="292" t="s">
        <v>29</v>
      </c>
      <c r="Z259" s="302" t="s">
        <v>29</v>
      </c>
      <c r="AA259" s="317"/>
      <c r="AB259" s="317"/>
      <c r="AC259" s="303">
        <f t="shared" si="7"/>
        <v>6000000</v>
      </c>
      <c r="AD259" s="303">
        <v>6000000</v>
      </c>
      <c r="AE259" s="303">
        <f t="shared" si="8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>
        <v>6000000</v>
      </c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customHeight="1">
      <c r="A260" s="290">
        <v>239</v>
      </c>
      <c r="B260" s="291"/>
      <c r="C260" s="291"/>
      <c r="D260" s="292"/>
      <c r="E260" s="292"/>
      <c r="F260" s="293" t="s">
        <v>208</v>
      </c>
      <c r="G260" s="294" t="s">
        <v>2</v>
      </c>
      <c r="H260" s="311"/>
      <c r="I260" s="295"/>
      <c r="J260" s="296" t="s">
        <v>596</v>
      </c>
      <c r="K260" s="292"/>
      <c r="L260" s="292"/>
      <c r="M260" s="292">
        <v>61301</v>
      </c>
      <c r="N260" s="292"/>
      <c r="O260" s="292"/>
      <c r="P260" s="292"/>
      <c r="Q260" s="292"/>
      <c r="R260" s="292"/>
      <c r="S260" s="297" t="s">
        <v>683</v>
      </c>
      <c r="T260" s="298"/>
      <c r="U260" s="299"/>
      <c r="V260" s="299"/>
      <c r="W260" s="300">
        <v>40845455</v>
      </c>
      <c r="X260" s="301"/>
      <c r="Y260" s="292"/>
      <c r="Z260" s="302" t="s">
        <v>578</v>
      </c>
      <c r="AA260" s="317"/>
      <c r="AB260" s="317"/>
      <c r="AC260" s="303">
        <f t="shared" si="7"/>
        <v>0</v>
      </c>
      <c r="AD260" s="303">
        <v>0</v>
      </c>
      <c r="AE260" s="303">
        <f t="shared" si="8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customHeight="1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2</v>
      </c>
      <c r="H261" s="311"/>
      <c r="I261" s="295"/>
      <c r="J261" s="296" t="s">
        <v>597</v>
      </c>
      <c r="K261" s="292"/>
      <c r="L261" s="292"/>
      <c r="M261" s="292">
        <v>22246</v>
      </c>
      <c r="N261" s="292"/>
      <c r="O261" s="292"/>
      <c r="P261" s="292"/>
      <c r="Q261" s="292"/>
      <c r="R261" s="292" t="s">
        <v>361</v>
      </c>
      <c r="S261" s="297" t="s">
        <v>361</v>
      </c>
      <c r="T261" s="298"/>
      <c r="U261" s="299"/>
      <c r="V261" s="299"/>
      <c r="W261" s="300">
        <v>0</v>
      </c>
      <c r="X261" s="301"/>
      <c r="Y261" s="292" t="s">
        <v>31</v>
      </c>
      <c r="Z261" s="302" t="s">
        <v>28</v>
      </c>
      <c r="AA261" s="317"/>
      <c r="AB261" s="317"/>
      <c r="AC261" s="303">
        <f t="shared" si="7"/>
        <v>17000000</v>
      </c>
      <c r="AD261" s="303">
        <v>17000000</v>
      </c>
      <c r="AE261" s="303">
        <f t="shared" si="8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>
        <v>17000000</v>
      </c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customHeight="1">
      <c r="A262" s="290">
        <v>241</v>
      </c>
      <c r="B262" s="291"/>
      <c r="C262" s="291"/>
      <c r="D262" s="292" t="s">
        <v>184</v>
      </c>
      <c r="E262" s="292" t="s">
        <v>555</v>
      </c>
      <c r="F262" s="293" t="s">
        <v>208</v>
      </c>
      <c r="G262" s="294" t="s">
        <v>2</v>
      </c>
      <c r="H262" s="311"/>
      <c r="I262" s="295"/>
      <c r="J262" s="296" t="s">
        <v>694</v>
      </c>
      <c r="K262" s="292"/>
      <c r="L262" s="292"/>
      <c r="M262" s="292">
        <v>22246</v>
      </c>
      <c r="N262" s="292" t="s">
        <v>26</v>
      </c>
      <c r="O262" s="292" t="s">
        <v>36</v>
      </c>
      <c r="P262" s="292"/>
      <c r="Q262" s="292"/>
      <c r="R262" s="292" t="s">
        <v>353</v>
      </c>
      <c r="S262" s="297" t="s">
        <v>353</v>
      </c>
      <c r="T262" s="298"/>
      <c r="U262" s="299"/>
      <c r="V262" s="299">
        <v>0</v>
      </c>
      <c r="W262" s="300">
        <v>224636363</v>
      </c>
      <c r="X262" s="301"/>
      <c r="Y262" s="292" t="s">
        <v>31</v>
      </c>
      <c r="Z262" s="302" t="s">
        <v>31</v>
      </c>
      <c r="AA262" s="317"/>
      <c r="AB262" s="317"/>
      <c r="AC262" s="303">
        <f t="shared" si="7"/>
        <v>120000000</v>
      </c>
      <c r="AD262" s="303">
        <v>120000000</v>
      </c>
      <c r="AE262" s="303">
        <f t="shared" si="8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/>
      <c r="AR262" s="306"/>
      <c r="AS262" s="306"/>
      <c r="AT262" s="306"/>
      <c r="AU262" s="306"/>
      <c r="AV262" s="306"/>
      <c r="AW262" s="306">
        <v>120000000</v>
      </c>
      <c r="AX262" s="306" t="s">
        <v>675</v>
      </c>
      <c r="AY262" s="306"/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customHeight="1">
      <c r="A263" s="290">
        <v>242</v>
      </c>
      <c r="B263" s="291"/>
      <c r="C263" s="291"/>
      <c r="D263" s="292" t="s">
        <v>184</v>
      </c>
      <c r="E263" s="292" t="s">
        <v>555</v>
      </c>
      <c r="F263" s="293" t="s">
        <v>208</v>
      </c>
      <c r="G263" s="294" t="s">
        <v>2</v>
      </c>
      <c r="H263" s="311"/>
      <c r="I263" s="295"/>
      <c r="J263" s="296" t="s">
        <v>598</v>
      </c>
      <c r="K263" s="292"/>
      <c r="L263" s="292"/>
      <c r="M263" s="292">
        <v>22246</v>
      </c>
      <c r="N263" s="292" t="s">
        <v>26</v>
      </c>
      <c r="O263" s="292" t="s">
        <v>47</v>
      </c>
      <c r="P263" s="292" t="s">
        <v>186</v>
      </c>
      <c r="Q263" s="292" t="s">
        <v>98</v>
      </c>
      <c r="R263" s="292" t="s">
        <v>353</v>
      </c>
      <c r="S263" s="297" t="s">
        <v>353</v>
      </c>
      <c r="T263" s="298"/>
      <c r="U263" s="299" t="s">
        <v>188</v>
      </c>
      <c r="V263" s="299">
        <v>330309000</v>
      </c>
      <c r="W263" s="300">
        <v>344634002</v>
      </c>
      <c r="X263" s="301"/>
      <c r="Y263" s="292" t="s">
        <v>31</v>
      </c>
      <c r="Z263" s="302" t="s">
        <v>107</v>
      </c>
      <c r="AA263" s="317"/>
      <c r="AB263" s="317"/>
      <c r="AC263" s="303">
        <f t="shared" si="7"/>
        <v>0</v>
      </c>
      <c r="AD263" s="303">
        <v>300000000</v>
      </c>
      <c r="AE263" s="303">
        <f t="shared" si="8"/>
        <v>-300000000</v>
      </c>
      <c r="AF263" s="304"/>
      <c r="AG263" s="305"/>
      <c r="AH263" s="304"/>
      <c r="AI263" s="304"/>
      <c r="AJ263" s="305"/>
      <c r="AK263" s="304"/>
      <c r="AL263" s="306"/>
      <c r="AM263" s="318"/>
      <c r="AN263" s="306"/>
      <c r="AO263" s="307"/>
      <c r="AP263" s="306"/>
      <c r="AQ263" s="306"/>
      <c r="AR263" s="306"/>
      <c r="AS263" s="306"/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customHeight="1">
      <c r="A264" s="290">
        <v>243</v>
      </c>
      <c r="B264" s="291"/>
      <c r="C264" s="291"/>
      <c r="D264" s="292" t="s">
        <v>184</v>
      </c>
      <c r="E264" s="292" t="s">
        <v>555</v>
      </c>
      <c r="F264" s="293" t="s">
        <v>208</v>
      </c>
      <c r="G264" s="294" t="s">
        <v>2</v>
      </c>
      <c r="H264" s="311"/>
      <c r="I264" s="295"/>
      <c r="J264" s="296" t="s">
        <v>603</v>
      </c>
      <c r="K264" s="292"/>
      <c r="L264" s="292"/>
      <c r="M264" s="292">
        <v>61303</v>
      </c>
      <c r="N264" s="292"/>
      <c r="O264" s="292"/>
      <c r="P264" s="292"/>
      <c r="Q264" s="292"/>
      <c r="R264" s="292" t="s">
        <v>32</v>
      </c>
      <c r="S264" s="297" t="s">
        <v>32</v>
      </c>
      <c r="T264" s="298" t="s">
        <v>747</v>
      </c>
      <c r="U264" s="299"/>
      <c r="V264" s="299">
        <v>0</v>
      </c>
      <c r="W264" s="300"/>
      <c r="X264" s="301"/>
      <c r="Y264" s="292" t="s">
        <v>31</v>
      </c>
      <c r="Z264" s="302" t="s">
        <v>31</v>
      </c>
      <c r="AA264" s="317"/>
      <c r="AB264" s="317"/>
      <c r="AC264" s="303">
        <f t="shared" si="7"/>
        <v>20561950</v>
      </c>
      <c r="AD264" s="303">
        <v>20561950</v>
      </c>
      <c r="AE264" s="303">
        <f t="shared" si="8"/>
        <v>0</v>
      </c>
      <c r="AF264" s="304">
        <v>19473950</v>
      </c>
      <c r="AG264" s="305">
        <v>19997950</v>
      </c>
      <c r="AH264" s="304"/>
      <c r="AI264" s="304">
        <v>35000000</v>
      </c>
      <c r="AJ264" s="305">
        <v>564000</v>
      </c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customHeight="1">
      <c r="A265" s="290">
        <v>244</v>
      </c>
      <c r="B265" s="291"/>
      <c r="C265" s="291"/>
      <c r="D265" s="292" t="s">
        <v>184</v>
      </c>
      <c r="E265" s="292" t="s">
        <v>555</v>
      </c>
      <c r="F265" s="293" t="s">
        <v>208</v>
      </c>
      <c r="G265" s="294" t="s">
        <v>2</v>
      </c>
      <c r="H265" s="311"/>
      <c r="I265" s="295"/>
      <c r="J265" s="296" t="s">
        <v>603</v>
      </c>
      <c r="K265" s="292"/>
      <c r="L265" s="292"/>
      <c r="M265" s="292">
        <v>61303</v>
      </c>
      <c r="N265" s="292"/>
      <c r="O265" s="292"/>
      <c r="P265" s="292"/>
      <c r="Q265" s="292"/>
      <c r="R265" s="292"/>
      <c r="S265" s="297" t="s">
        <v>361</v>
      </c>
      <c r="T265" s="298"/>
      <c r="U265" s="299"/>
      <c r="V265" s="299"/>
      <c r="W265" s="300">
        <v>3000000</v>
      </c>
      <c r="X265" s="301"/>
      <c r="Y265" s="292"/>
      <c r="Z265" s="302" t="s">
        <v>578</v>
      </c>
      <c r="AA265" s="317"/>
      <c r="AB265" s="317"/>
      <c r="AC265" s="303">
        <f t="shared" si="7"/>
        <v>0</v>
      </c>
      <c r="AD265" s="303">
        <v>0</v>
      </c>
      <c r="AE265" s="303">
        <f t="shared" si="8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/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customHeight="1">
      <c r="A266" s="290">
        <v>245</v>
      </c>
      <c r="B266" s="291"/>
      <c r="C266" s="291"/>
      <c r="D266" s="292" t="s">
        <v>184</v>
      </c>
      <c r="E266" s="292" t="s">
        <v>555</v>
      </c>
      <c r="F266" s="293" t="s">
        <v>208</v>
      </c>
      <c r="G266" s="294" t="s">
        <v>2</v>
      </c>
      <c r="H266" s="311"/>
      <c r="I266" s="295"/>
      <c r="J266" s="296" t="s">
        <v>603</v>
      </c>
      <c r="K266" s="292"/>
      <c r="L266" s="292"/>
      <c r="M266" s="292">
        <v>61303</v>
      </c>
      <c r="N266" s="292"/>
      <c r="O266" s="292"/>
      <c r="P266" s="292"/>
      <c r="Q266" s="292"/>
      <c r="R266" s="292" t="s">
        <v>354</v>
      </c>
      <c r="S266" s="297" t="s">
        <v>683</v>
      </c>
      <c r="T266" s="298"/>
      <c r="U266" s="299"/>
      <c r="V266" s="299"/>
      <c r="W266" s="300">
        <v>11000000</v>
      </c>
      <c r="X266" s="301"/>
      <c r="Y266" s="292" t="s">
        <v>31</v>
      </c>
      <c r="Z266" s="302" t="s">
        <v>578</v>
      </c>
      <c r="AA266" s="317"/>
      <c r="AB266" s="317"/>
      <c r="AC266" s="303">
        <f t="shared" si="7"/>
        <v>0</v>
      </c>
      <c r="AD266" s="303">
        <v>0</v>
      </c>
      <c r="AE266" s="303">
        <f t="shared" si="8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customHeight="1">
      <c r="A267" s="290">
        <v>246</v>
      </c>
      <c r="B267" s="291"/>
      <c r="C267" s="291"/>
      <c r="D267" s="292" t="s">
        <v>184</v>
      </c>
      <c r="E267" s="292" t="s">
        <v>555</v>
      </c>
      <c r="F267" s="293" t="s">
        <v>208</v>
      </c>
      <c r="G267" s="294" t="s">
        <v>821</v>
      </c>
      <c r="H267" s="311" t="s">
        <v>808</v>
      </c>
      <c r="I267" s="295"/>
      <c r="J267" s="296" t="s">
        <v>609</v>
      </c>
      <c r="K267" s="292"/>
      <c r="L267" s="292"/>
      <c r="M267" s="292">
        <v>12837</v>
      </c>
      <c r="N267" s="292" t="s">
        <v>21</v>
      </c>
      <c r="O267" s="292" t="s">
        <v>47</v>
      </c>
      <c r="P267" s="292" t="s">
        <v>48</v>
      </c>
      <c r="Q267" s="292" t="s">
        <v>27</v>
      </c>
      <c r="R267" s="292" t="s">
        <v>273</v>
      </c>
      <c r="S267" s="297" t="s">
        <v>683</v>
      </c>
      <c r="T267" s="298"/>
      <c r="U267" s="299">
        <v>880000</v>
      </c>
      <c r="V267" s="299">
        <v>0</v>
      </c>
      <c r="W267" s="300">
        <v>0</v>
      </c>
      <c r="X267" s="301"/>
      <c r="Y267" s="292" t="s">
        <v>107</v>
      </c>
      <c r="Z267" s="302" t="s">
        <v>484</v>
      </c>
      <c r="AA267" s="317"/>
      <c r="AB267" s="317"/>
      <c r="AC267" s="303">
        <f t="shared" si="7"/>
        <v>0</v>
      </c>
      <c r="AD267" s="303">
        <v>0</v>
      </c>
      <c r="AE267" s="303">
        <f t="shared" si="8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/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/>
      <c r="BF267" s="306"/>
      <c r="BG267" s="308"/>
      <c r="BH267" s="309"/>
    </row>
    <row r="268" spans="1:60" s="310" customFormat="1" ht="16.5" customHeight="1">
      <c r="A268" s="290">
        <v>247</v>
      </c>
      <c r="B268" s="291"/>
      <c r="C268" s="291"/>
      <c r="D268" s="292" t="s">
        <v>208</v>
      </c>
      <c r="E268" s="292" t="s">
        <v>2</v>
      </c>
      <c r="F268" s="293" t="s">
        <v>208</v>
      </c>
      <c r="G268" s="294" t="s">
        <v>2</v>
      </c>
      <c r="H268" s="311"/>
      <c r="I268" s="295"/>
      <c r="J268" s="296" t="s">
        <v>78</v>
      </c>
      <c r="K268" s="292"/>
      <c r="L268" s="292"/>
      <c r="M268" s="292">
        <v>1897</v>
      </c>
      <c r="N268" s="292" t="s">
        <v>26</v>
      </c>
      <c r="O268" s="292"/>
      <c r="P268" s="292"/>
      <c r="Q268" s="292" t="s">
        <v>83</v>
      </c>
      <c r="R268" s="292" t="s">
        <v>23</v>
      </c>
      <c r="S268" s="297" t="s">
        <v>32</v>
      </c>
      <c r="T268" s="298"/>
      <c r="U268" s="299">
        <v>115536708</v>
      </c>
      <c r="V268" s="299">
        <v>37135400</v>
      </c>
      <c r="W268" s="300">
        <v>0</v>
      </c>
      <c r="X268" s="301"/>
      <c r="Y268" s="292" t="s">
        <v>31</v>
      </c>
      <c r="Z268" s="302" t="s">
        <v>28</v>
      </c>
      <c r="AA268" s="317"/>
      <c r="AB268" s="317"/>
      <c r="AC268" s="303">
        <f t="shared" si="7"/>
        <v>200000000</v>
      </c>
      <c r="AD268" s="303">
        <v>200000000</v>
      </c>
      <c r="AE268" s="303">
        <f t="shared" si="8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>
        <v>100000000</v>
      </c>
      <c r="AR268" s="306"/>
      <c r="AS268" s="306"/>
      <c r="AT268" s="306"/>
      <c r="AU268" s="306"/>
      <c r="AV268" s="306"/>
      <c r="AW268" s="306"/>
      <c r="AX268" s="306"/>
      <c r="AY268" s="306">
        <v>100000000</v>
      </c>
      <c r="AZ268" s="306"/>
      <c r="BA268" s="306"/>
      <c r="BB268" s="306"/>
      <c r="BC268" s="306"/>
      <c r="BD268" s="306"/>
      <c r="BE268" s="306"/>
      <c r="BF268" s="306"/>
      <c r="BG268" s="308"/>
      <c r="BH268" s="309"/>
    </row>
    <row r="269" spans="1:60" s="310" customFormat="1" ht="16.5" customHeight="1">
      <c r="A269" s="290">
        <v>248</v>
      </c>
      <c r="B269" s="291"/>
      <c r="C269" s="291"/>
      <c r="D269" s="292" t="s">
        <v>208</v>
      </c>
      <c r="E269" s="292" t="s">
        <v>2</v>
      </c>
      <c r="F269" s="293" t="s">
        <v>208</v>
      </c>
      <c r="G269" s="294" t="s">
        <v>2</v>
      </c>
      <c r="H269" s="311"/>
      <c r="I269" s="295"/>
      <c r="J269" s="296" t="s">
        <v>769</v>
      </c>
      <c r="K269" s="292"/>
      <c r="L269" s="292"/>
      <c r="M269" s="292">
        <v>1897</v>
      </c>
      <c r="N269" s="292" t="s">
        <v>26</v>
      </c>
      <c r="O269" s="292"/>
      <c r="P269" s="292"/>
      <c r="Q269" s="292" t="s">
        <v>83</v>
      </c>
      <c r="R269" s="292" t="s">
        <v>23</v>
      </c>
      <c r="S269" s="297" t="s">
        <v>23</v>
      </c>
      <c r="T269" s="298" t="s">
        <v>747</v>
      </c>
      <c r="U269" s="299"/>
      <c r="V269" s="299">
        <v>0</v>
      </c>
      <c r="W269" s="300">
        <v>37767900</v>
      </c>
      <c r="X269" s="301"/>
      <c r="Y269" s="292" t="s">
        <v>28</v>
      </c>
      <c r="Z269" s="302" t="s">
        <v>31</v>
      </c>
      <c r="AA269" s="317"/>
      <c r="AB269" s="317"/>
      <c r="AC269" s="303">
        <f t="shared" si="7"/>
        <v>35251080</v>
      </c>
      <c r="AD269" s="303">
        <v>35251080</v>
      </c>
      <c r="AE269" s="303">
        <f t="shared" si="8"/>
        <v>0</v>
      </c>
      <c r="AF269" s="304">
        <v>3761220</v>
      </c>
      <c r="AG269" s="305">
        <v>3761220</v>
      </c>
      <c r="AH269" s="304"/>
      <c r="AI269" s="304">
        <v>6000000</v>
      </c>
      <c r="AJ269" s="305">
        <v>6837180</v>
      </c>
      <c r="AK269" s="304"/>
      <c r="AL269" s="306">
        <v>6652680</v>
      </c>
      <c r="AM269" s="318">
        <v>6652680</v>
      </c>
      <c r="AN269" s="306"/>
      <c r="AO269" s="307">
        <v>6000000</v>
      </c>
      <c r="AP269" s="306"/>
      <c r="AQ269" s="306">
        <v>6000000</v>
      </c>
      <c r="AR269" s="306"/>
      <c r="AS269" s="306">
        <v>6000000</v>
      </c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/>
      <c r="BF269" s="306"/>
      <c r="BG269" s="308"/>
      <c r="BH269" s="309"/>
    </row>
    <row r="270" spans="1:60" s="310" customFormat="1" ht="16.5" customHeight="1">
      <c r="A270" s="290">
        <v>249</v>
      </c>
      <c r="B270" s="291"/>
      <c r="C270" s="291"/>
      <c r="D270" s="292" t="s">
        <v>208</v>
      </c>
      <c r="E270" s="292" t="s">
        <v>2</v>
      </c>
      <c r="F270" s="293" t="s">
        <v>208</v>
      </c>
      <c r="G270" s="294" t="s">
        <v>2</v>
      </c>
      <c r="H270" s="311"/>
      <c r="I270" s="295"/>
      <c r="J270" s="296" t="s">
        <v>78</v>
      </c>
      <c r="K270" s="292"/>
      <c r="L270" s="292"/>
      <c r="M270" s="292">
        <v>1897</v>
      </c>
      <c r="N270" s="292" t="s">
        <v>26</v>
      </c>
      <c r="O270" s="292"/>
      <c r="P270" s="292"/>
      <c r="Q270" s="292" t="s">
        <v>22</v>
      </c>
      <c r="R270" s="292" t="s">
        <v>23</v>
      </c>
      <c r="S270" s="297" t="s">
        <v>23</v>
      </c>
      <c r="T270" s="298"/>
      <c r="U270" s="299"/>
      <c r="V270" s="299">
        <v>3687000</v>
      </c>
      <c r="W270" s="300">
        <v>0</v>
      </c>
      <c r="X270" s="301"/>
      <c r="Y270" s="292" t="s">
        <v>24</v>
      </c>
      <c r="Z270" s="302" t="s">
        <v>578</v>
      </c>
      <c r="AA270" s="317"/>
      <c r="AB270" s="317"/>
      <c r="AC270" s="303">
        <f t="shared" si="7"/>
        <v>0</v>
      </c>
      <c r="AD270" s="303">
        <v>0</v>
      </c>
      <c r="AE270" s="303">
        <f t="shared" si="8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/>
      <c r="BF270" s="306"/>
      <c r="BG270" s="308"/>
      <c r="BH270" s="309"/>
    </row>
    <row r="271" spans="1:60" s="310" customFormat="1" ht="16.5" customHeight="1">
      <c r="A271" s="290">
        <v>250</v>
      </c>
      <c r="B271" s="291"/>
      <c r="C271" s="291"/>
      <c r="D271" s="292" t="s">
        <v>208</v>
      </c>
      <c r="E271" s="292" t="s">
        <v>2</v>
      </c>
      <c r="F271" s="293" t="s">
        <v>208</v>
      </c>
      <c r="G271" s="294" t="s">
        <v>2</v>
      </c>
      <c r="H271" s="311"/>
      <c r="I271" s="295"/>
      <c r="J271" s="296" t="s">
        <v>78</v>
      </c>
      <c r="K271" s="292"/>
      <c r="L271" s="292"/>
      <c r="M271" s="292">
        <v>1897</v>
      </c>
      <c r="N271" s="292" t="s">
        <v>26</v>
      </c>
      <c r="O271" s="292"/>
      <c r="P271" s="292"/>
      <c r="Q271" s="292"/>
      <c r="R271" s="292" t="s">
        <v>357</v>
      </c>
      <c r="S271" s="297" t="s">
        <v>680</v>
      </c>
      <c r="T271" s="298"/>
      <c r="U271" s="299"/>
      <c r="V271" s="299"/>
      <c r="W271" s="300">
        <v>0</v>
      </c>
      <c r="X271" s="301"/>
      <c r="Y271" s="292" t="s">
        <v>29</v>
      </c>
      <c r="Z271" s="302" t="s">
        <v>29</v>
      </c>
      <c r="AA271" s="317"/>
      <c r="AB271" s="317"/>
      <c r="AC271" s="303">
        <f t="shared" si="7"/>
        <v>20000000</v>
      </c>
      <c r="AD271" s="303">
        <v>20000000</v>
      </c>
      <c r="AE271" s="303">
        <f t="shared" si="8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>
        <v>20000000</v>
      </c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/>
      <c r="BF271" s="306"/>
      <c r="BG271" s="308"/>
      <c r="BH271" s="309"/>
    </row>
    <row r="272" spans="1:60" s="310" customFormat="1" ht="16.5" customHeight="1">
      <c r="A272" s="290">
        <v>251</v>
      </c>
      <c r="B272" s="291"/>
      <c r="C272" s="291"/>
      <c r="D272" s="292" t="s">
        <v>208</v>
      </c>
      <c r="E272" s="292" t="s">
        <v>2</v>
      </c>
      <c r="F272" s="293" t="s">
        <v>208</v>
      </c>
      <c r="G272" s="294" t="s">
        <v>840</v>
      </c>
      <c r="H272" s="311" t="s">
        <v>841</v>
      </c>
      <c r="I272" s="295"/>
      <c r="J272" s="296" t="s">
        <v>274</v>
      </c>
      <c r="K272" s="292"/>
      <c r="L272" s="292"/>
      <c r="M272" s="292">
        <v>43954</v>
      </c>
      <c r="N272" s="292"/>
      <c r="O272" s="292"/>
      <c r="P272" s="292"/>
      <c r="Q272" s="292" t="s">
        <v>22</v>
      </c>
      <c r="R272" s="292" t="s">
        <v>23</v>
      </c>
      <c r="S272" s="297" t="s">
        <v>23</v>
      </c>
      <c r="T272" s="298"/>
      <c r="U272" s="299"/>
      <c r="V272" s="299">
        <v>350000</v>
      </c>
      <c r="W272" s="300">
        <v>0</v>
      </c>
      <c r="X272" s="301"/>
      <c r="Y272" s="292" t="s">
        <v>24</v>
      </c>
      <c r="Z272" s="302" t="s">
        <v>24</v>
      </c>
      <c r="AA272" s="317"/>
      <c r="AB272" s="317"/>
      <c r="AC272" s="303">
        <f t="shared" si="7"/>
        <v>0</v>
      </c>
      <c r="AD272" s="303">
        <v>0</v>
      </c>
      <c r="AE272" s="303">
        <f t="shared" si="8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/>
      <c r="BF272" s="306"/>
      <c r="BG272" s="308"/>
      <c r="BH272" s="309"/>
    </row>
    <row r="273" spans="1:60" s="310" customFormat="1" ht="16.5" customHeight="1">
      <c r="A273" s="290">
        <v>252</v>
      </c>
      <c r="B273" s="291"/>
      <c r="C273" s="291"/>
      <c r="D273" s="292" t="s">
        <v>208</v>
      </c>
      <c r="E273" s="292" t="s">
        <v>2</v>
      </c>
      <c r="F273" s="293" t="s">
        <v>208</v>
      </c>
      <c r="G273" s="294" t="s">
        <v>842</v>
      </c>
      <c r="H273" s="311" t="s">
        <v>843</v>
      </c>
      <c r="I273" s="295"/>
      <c r="J273" s="296" t="s">
        <v>274</v>
      </c>
      <c r="K273" s="292"/>
      <c r="L273" s="292"/>
      <c r="M273" s="292">
        <v>61066</v>
      </c>
      <c r="N273" s="292"/>
      <c r="O273" s="292"/>
      <c r="P273" s="292"/>
      <c r="Q273" s="292" t="s">
        <v>30</v>
      </c>
      <c r="R273" s="292" t="s">
        <v>353</v>
      </c>
      <c r="S273" s="297" t="s">
        <v>353</v>
      </c>
      <c r="T273" s="298"/>
      <c r="U273" s="299"/>
      <c r="V273" s="299">
        <v>108374545</v>
      </c>
      <c r="W273" s="300">
        <v>116383818</v>
      </c>
      <c r="X273" s="301"/>
      <c r="Y273" s="292" t="s">
        <v>31</v>
      </c>
      <c r="Z273" s="302" t="s">
        <v>107</v>
      </c>
      <c r="AA273" s="317"/>
      <c r="AB273" s="317"/>
      <c r="AC273" s="303">
        <f t="shared" si="7"/>
        <v>0</v>
      </c>
      <c r="AD273" s="303">
        <v>110000000</v>
      </c>
      <c r="AE273" s="303">
        <f t="shared" si="8"/>
        <v>-110000000</v>
      </c>
      <c r="AF273" s="304"/>
      <c r="AG273" s="305"/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/>
      <c r="AR273" s="306"/>
      <c r="AS273" s="306"/>
      <c r="AT273" s="306"/>
      <c r="AU273" s="306"/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customHeight="1">
      <c r="A274" s="290">
        <v>253</v>
      </c>
      <c r="B274" s="291"/>
      <c r="C274" s="291"/>
      <c r="D274" s="292" t="s">
        <v>208</v>
      </c>
      <c r="E274" s="292" t="s">
        <v>1</v>
      </c>
      <c r="F274" s="293" t="s">
        <v>208</v>
      </c>
      <c r="G274" s="294" t="s">
        <v>2</v>
      </c>
      <c r="H274" s="311"/>
      <c r="I274" s="295"/>
      <c r="J274" s="296" t="s">
        <v>53</v>
      </c>
      <c r="K274" s="292"/>
      <c r="L274" s="292"/>
      <c r="M274" s="292">
        <v>1355</v>
      </c>
      <c r="N274" s="292" t="s">
        <v>26</v>
      </c>
      <c r="O274" s="292"/>
      <c r="P274" s="292"/>
      <c r="Q274" s="292" t="s">
        <v>33</v>
      </c>
      <c r="R274" s="292" t="s">
        <v>34</v>
      </c>
      <c r="S274" s="297" t="s">
        <v>34</v>
      </c>
      <c r="T274" s="298"/>
      <c r="U274" s="299">
        <v>14559000</v>
      </c>
      <c r="V274" s="299">
        <v>0</v>
      </c>
      <c r="W274" s="300">
        <v>50250000</v>
      </c>
      <c r="X274" s="301"/>
      <c r="Y274" s="292" t="s">
        <v>28</v>
      </c>
      <c r="Z274" s="302" t="s">
        <v>28</v>
      </c>
      <c r="AA274" s="317"/>
      <c r="AB274" s="317"/>
      <c r="AC274" s="303">
        <f t="shared" si="7"/>
        <v>0</v>
      </c>
      <c r="AD274" s="303">
        <v>0</v>
      </c>
      <c r="AE274" s="303">
        <f t="shared" si="8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>
        <v>0</v>
      </c>
      <c r="BF274" s="306"/>
      <c r="BG274" s="308"/>
      <c r="BH274" s="309"/>
    </row>
    <row r="275" spans="1:60" s="310" customFormat="1" ht="16.5" customHeight="1">
      <c r="A275" s="290">
        <v>254</v>
      </c>
      <c r="B275" s="291"/>
      <c r="C275" s="291"/>
      <c r="D275" s="292" t="s">
        <v>208</v>
      </c>
      <c r="E275" s="292" t="s">
        <v>1</v>
      </c>
      <c r="F275" s="293" t="s">
        <v>208</v>
      </c>
      <c r="G275" s="294" t="s">
        <v>2</v>
      </c>
      <c r="H275" s="311"/>
      <c r="I275" s="295"/>
      <c r="J275" s="296" t="s">
        <v>53</v>
      </c>
      <c r="K275" s="292"/>
      <c r="L275" s="292"/>
      <c r="M275" s="292">
        <v>1355</v>
      </c>
      <c r="N275" s="292" t="s">
        <v>26</v>
      </c>
      <c r="O275" s="292"/>
      <c r="P275" s="292"/>
      <c r="Q275" s="292" t="s">
        <v>27</v>
      </c>
      <c r="R275" s="292" t="s">
        <v>273</v>
      </c>
      <c r="S275" s="297" t="s">
        <v>683</v>
      </c>
      <c r="T275" s="298"/>
      <c r="U275" s="299"/>
      <c r="V275" s="299">
        <v>0</v>
      </c>
      <c r="W275" s="300">
        <v>0</v>
      </c>
      <c r="X275" s="301"/>
      <c r="Y275" s="292" t="s">
        <v>29</v>
      </c>
      <c r="Z275" s="302" t="s">
        <v>29</v>
      </c>
      <c r="AA275" s="317"/>
      <c r="AB275" s="317"/>
      <c r="AC275" s="303">
        <f t="shared" si="7"/>
        <v>10000000</v>
      </c>
      <c r="AD275" s="303">
        <v>10000000</v>
      </c>
      <c r="AE275" s="303">
        <f t="shared" si="8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>
        <v>10000000</v>
      </c>
      <c r="BF275" s="306"/>
      <c r="BG275" s="308"/>
      <c r="BH275" s="309"/>
    </row>
    <row r="276" spans="1:60" s="310" customFormat="1" ht="16.5" customHeight="1">
      <c r="A276" s="290">
        <v>255</v>
      </c>
      <c r="B276" s="291"/>
      <c r="C276" s="291"/>
      <c r="D276" s="292" t="s">
        <v>208</v>
      </c>
      <c r="E276" s="292" t="s">
        <v>1</v>
      </c>
      <c r="F276" s="293" t="s">
        <v>208</v>
      </c>
      <c r="G276" s="294" t="s">
        <v>2</v>
      </c>
      <c r="H276" s="311"/>
      <c r="I276" s="295"/>
      <c r="J276" s="296" t="s">
        <v>580</v>
      </c>
      <c r="K276" s="292"/>
      <c r="L276" s="292"/>
      <c r="M276" s="292">
        <v>1355</v>
      </c>
      <c r="N276" s="292" t="s">
        <v>26</v>
      </c>
      <c r="O276" s="292"/>
      <c r="P276" s="292"/>
      <c r="Q276" s="292" t="s">
        <v>40</v>
      </c>
      <c r="R276" s="292" t="s">
        <v>504</v>
      </c>
      <c r="S276" s="297" t="s">
        <v>677</v>
      </c>
      <c r="T276" s="298"/>
      <c r="U276" s="299"/>
      <c r="V276" s="299">
        <v>0</v>
      </c>
      <c r="W276" s="300">
        <v>2940000</v>
      </c>
      <c r="X276" s="301"/>
      <c r="Y276" s="292" t="s">
        <v>31</v>
      </c>
      <c r="Z276" s="302" t="s">
        <v>28</v>
      </c>
      <c r="AA276" s="317"/>
      <c r="AB276" s="317"/>
      <c r="AC276" s="303">
        <f t="shared" si="7"/>
        <v>3000000</v>
      </c>
      <c r="AD276" s="303">
        <v>3000000</v>
      </c>
      <c r="AE276" s="303">
        <f t="shared" si="8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/>
      <c r="AX276" s="306"/>
      <c r="AY276" s="306"/>
      <c r="AZ276" s="306"/>
      <c r="BA276" s="306"/>
      <c r="BB276" s="306"/>
      <c r="BC276" s="306"/>
      <c r="BD276" s="306"/>
      <c r="BE276" s="306">
        <v>3000000</v>
      </c>
      <c r="BF276" s="306"/>
      <c r="BG276" s="308"/>
      <c r="BH276" s="309"/>
    </row>
    <row r="277" spans="1:60" s="310" customFormat="1" ht="16.5" customHeight="1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54</v>
      </c>
      <c r="K277" s="292"/>
      <c r="L277" s="292"/>
      <c r="M277" s="292">
        <v>28917</v>
      </c>
      <c r="N277" s="292" t="s">
        <v>26</v>
      </c>
      <c r="O277" s="292"/>
      <c r="P277" s="292"/>
      <c r="Q277" s="292" t="s">
        <v>33</v>
      </c>
      <c r="R277" s="292" t="s">
        <v>34</v>
      </c>
      <c r="S277" s="297" t="s">
        <v>34</v>
      </c>
      <c r="T277" s="298"/>
      <c r="U277" s="299"/>
      <c r="V277" s="299">
        <v>5869300</v>
      </c>
      <c r="W277" s="300">
        <v>1596000</v>
      </c>
      <c r="X277" s="301"/>
      <c r="Y277" s="292" t="s">
        <v>484</v>
      </c>
      <c r="Z277" s="302" t="s">
        <v>484</v>
      </c>
      <c r="AA277" s="317"/>
      <c r="AB277" s="317"/>
      <c r="AC277" s="303">
        <f t="shared" si="7"/>
        <v>0</v>
      </c>
      <c r="AD277" s="303">
        <v>0</v>
      </c>
      <c r="AE277" s="303">
        <f t="shared" si="8"/>
        <v>0</v>
      </c>
      <c r="AF277" s="304"/>
      <c r="AG277" s="305"/>
      <c r="AH277" s="304"/>
      <c r="AI277" s="304"/>
      <c r="AJ277" s="305"/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customHeight="1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55</v>
      </c>
      <c r="K278" s="292"/>
      <c r="L278" s="292"/>
      <c r="M278" s="292">
        <v>15383</v>
      </c>
      <c r="N278" s="292" t="s">
        <v>21</v>
      </c>
      <c r="O278" s="292"/>
      <c r="P278" s="292"/>
      <c r="Q278" s="292" t="s">
        <v>33</v>
      </c>
      <c r="R278" s="292" t="s">
        <v>34</v>
      </c>
      <c r="S278" s="297" t="s">
        <v>34</v>
      </c>
      <c r="T278" s="298"/>
      <c r="U278" s="299"/>
      <c r="V278" s="299">
        <v>0</v>
      </c>
      <c r="W278" s="300">
        <v>0</v>
      </c>
      <c r="X278" s="301"/>
      <c r="Y278" s="292" t="s">
        <v>29</v>
      </c>
      <c r="Z278" s="302" t="s">
        <v>29</v>
      </c>
      <c r="AA278" s="317"/>
      <c r="AB278" s="317"/>
      <c r="AC278" s="303">
        <f t="shared" ref="AC278:AC340" si="9">AG278+AJ278+AM278+AO278+AQ278+AS278+AU278+AW278+AY278+BA278+BC278+BE278</f>
        <v>0</v>
      </c>
      <c r="AD278" s="303">
        <v>0</v>
      </c>
      <c r="AE278" s="303">
        <f t="shared" ref="AE278:AE340" si="10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>
        <v>0</v>
      </c>
      <c r="BF278" s="306"/>
      <c r="BG278" s="308"/>
      <c r="BH278" s="309"/>
    </row>
    <row r="279" spans="1:60" s="310" customFormat="1" ht="16.5" customHeight="1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56</v>
      </c>
      <c r="K279" s="292"/>
      <c r="L279" s="292"/>
      <c r="M279" s="292">
        <v>49830</v>
      </c>
      <c r="N279" s="292" t="s">
        <v>21</v>
      </c>
      <c r="O279" s="292"/>
      <c r="P279" s="292"/>
      <c r="Q279" s="292" t="s">
        <v>33</v>
      </c>
      <c r="R279" s="292" t="s">
        <v>34</v>
      </c>
      <c r="S279" s="297" t="s">
        <v>687</v>
      </c>
      <c r="T279" s="298"/>
      <c r="U279" s="299"/>
      <c r="V279" s="299">
        <v>0</v>
      </c>
      <c r="W279" s="300">
        <v>0</v>
      </c>
      <c r="X279" s="301"/>
      <c r="Y279" s="292" t="s">
        <v>29</v>
      </c>
      <c r="Z279" s="302" t="s">
        <v>31</v>
      </c>
      <c r="AA279" s="317"/>
      <c r="AB279" s="317"/>
      <c r="AC279" s="303">
        <f t="shared" si="9"/>
        <v>132500000</v>
      </c>
      <c r="AD279" s="303">
        <v>132500000</v>
      </c>
      <c r="AE279" s="303">
        <f t="shared" si="10"/>
        <v>0</v>
      </c>
      <c r="AF279" s="304"/>
      <c r="AG279" s="305">
        <v>52500000</v>
      </c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>
        <v>40000000</v>
      </c>
      <c r="AR279" s="306"/>
      <c r="AS279" s="306"/>
      <c r="AT279" s="306"/>
      <c r="AU279" s="306">
        <v>40000000</v>
      </c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/>
      <c r="BF279" s="306"/>
      <c r="BG279" s="308"/>
      <c r="BH279" s="309"/>
    </row>
    <row r="280" spans="1:60" s="310" customFormat="1" ht="16.5" customHeight="1">
      <c r="A280" s="290">
        <v>259</v>
      </c>
      <c r="B280" s="291"/>
      <c r="C280" s="291"/>
      <c r="D280" s="292" t="s">
        <v>208</v>
      </c>
      <c r="E280" s="292" t="s">
        <v>2</v>
      </c>
      <c r="F280" s="293" t="s">
        <v>208</v>
      </c>
      <c r="G280" s="294" t="s">
        <v>2</v>
      </c>
      <c r="H280" s="311"/>
      <c r="I280" s="295"/>
      <c r="J280" s="296" t="s">
        <v>79</v>
      </c>
      <c r="K280" s="292"/>
      <c r="L280" s="292"/>
      <c r="M280" s="292">
        <v>4915</v>
      </c>
      <c r="N280" s="292" t="s">
        <v>26</v>
      </c>
      <c r="O280" s="292"/>
      <c r="P280" s="292"/>
      <c r="Q280" s="292" t="s">
        <v>83</v>
      </c>
      <c r="R280" s="292" t="s">
        <v>32</v>
      </c>
      <c r="S280" s="297" t="s">
        <v>32</v>
      </c>
      <c r="T280" s="298"/>
      <c r="U280" s="299">
        <v>83400000</v>
      </c>
      <c r="V280" s="299">
        <v>100000000</v>
      </c>
      <c r="W280" s="300">
        <v>16600000</v>
      </c>
      <c r="X280" s="301"/>
      <c r="Y280" s="292" t="s">
        <v>107</v>
      </c>
      <c r="Z280" s="302" t="s">
        <v>107</v>
      </c>
      <c r="AA280" s="317"/>
      <c r="AB280" s="317"/>
      <c r="AC280" s="303">
        <f t="shared" si="9"/>
        <v>0</v>
      </c>
      <c r="AD280" s="303">
        <v>0</v>
      </c>
      <c r="AE280" s="303">
        <f t="shared" si="10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/>
      <c r="BF280" s="306"/>
      <c r="BG280" s="308"/>
      <c r="BH280" s="309"/>
    </row>
    <row r="281" spans="1:60" s="310" customFormat="1" ht="16.5" customHeight="1">
      <c r="A281" s="290">
        <v>260</v>
      </c>
      <c r="B281" s="291"/>
      <c r="C281" s="291"/>
      <c r="D281" s="292" t="s">
        <v>208</v>
      </c>
      <c r="E281" s="292" t="s">
        <v>2</v>
      </c>
      <c r="F281" s="293" t="s">
        <v>208</v>
      </c>
      <c r="G281" s="294" t="s">
        <v>2</v>
      </c>
      <c r="H281" s="311"/>
      <c r="I281" s="295"/>
      <c r="J281" s="296" t="s">
        <v>79</v>
      </c>
      <c r="K281" s="292"/>
      <c r="L281" s="292"/>
      <c r="M281" s="292">
        <v>4915</v>
      </c>
      <c r="N281" s="292" t="s">
        <v>26</v>
      </c>
      <c r="O281" s="292"/>
      <c r="P281" s="292"/>
      <c r="Q281" s="292"/>
      <c r="R281" s="292" t="s">
        <v>32</v>
      </c>
      <c r="S281" s="297" t="s">
        <v>32</v>
      </c>
      <c r="T281" s="298"/>
      <c r="U281" s="299"/>
      <c r="V281" s="299"/>
      <c r="W281" s="300">
        <v>0</v>
      </c>
      <c r="X281" s="301"/>
      <c r="Y281" s="292" t="s">
        <v>31</v>
      </c>
      <c r="Z281" s="302" t="s">
        <v>24</v>
      </c>
      <c r="AA281" s="317"/>
      <c r="AB281" s="317"/>
      <c r="AC281" s="303">
        <f t="shared" si="9"/>
        <v>0</v>
      </c>
      <c r="AD281" s="303">
        <v>0</v>
      </c>
      <c r="AE281" s="303">
        <f t="shared" si="10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/>
      <c r="BF281" s="306"/>
      <c r="BG281" s="308"/>
      <c r="BH281" s="309"/>
    </row>
    <row r="282" spans="1:60" s="310" customFormat="1" ht="16.5" customHeight="1">
      <c r="A282" s="290">
        <v>261</v>
      </c>
      <c r="B282" s="291"/>
      <c r="C282" s="291"/>
      <c r="D282" s="292" t="s">
        <v>208</v>
      </c>
      <c r="E282" s="292" t="s">
        <v>2</v>
      </c>
      <c r="F282" s="293" t="s">
        <v>208</v>
      </c>
      <c r="G282" s="294" t="s">
        <v>2</v>
      </c>
      <c r="H282" s="311"/>
      <c r="I282" s="295"/>
      <c r="J282" s="296" t="s">
        <v>79</v>
      </c>
      <c r="K282" s="292"/>
      <c r="L282" s="292"/>
      <c r="M282" s="292">
        <v>4915</v>
      </c>
      <c r="N282" s="292" t="s">
        <v>26</v>
      </c>
      <c r="O282" s="292"/>
      <c r="P282" s="292"/>
      <c r="Q282" s="292" t="s">
        <v>30</v>
      </c>
      <c r="R282" s="292" t="s">
        <v>353</v>
      </c>
      <c r="S282" s="297" t="s">
        <v>353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9"/>
        <v>5000000</v>
      </c>
      <c r="AD282" s="303">
        <v>5000000</v>
      </c>
      <c r="AE282" s="303">
        <f t="shared" si="10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>
        <v>5000000</v>
      </c>
      <c r="AX282" s="306"/>
      <c r="AY282" s="306"/>
      <c r="AZ282" s="306"/>
      <c r="BA282" s="306"/>
      <c r="BB282" s="306"/>
      <c r="BC282" s="306"/>
      <c r="BD282" s="306"/>
      <c r="BE282" s="306"/>
      <c r="BF282" s="306"/>
      <c r="BG282" s="308"/>
      <c r="BH282" s="309"/>
    </row>
    <row r="283" spans="1:60" s="310" customFormat="1" ht="16.5" customHeight="1">
      <c r="A283" s="290">
        <v>262</v>
      </c>
      <c r="B283" s="291"/>
      <c r="C283" s="291"/>
      <c r="D283" s="292" t="s">
        <v>208</v>
      </c>
      <c r="E283" s="292" t="s">
        <v>1</v>
      </c>
      <c r="F283" s="293" t="s">
        <v>208</v>
      </c>
      <c r="G283" s="294" t="s">
        <v>2</v>
      </c>
      <c r="H283" s="311"/>
      <c r="I283" s="295"/>
      <c r="J283" s="296" t="s">
        <v>445</v>
      </c>
      <c r="K283" s="292"/>
      <c r="L283" s="292"/>
      <c r="M283" s="292">
        <v>23467</v>
      </c>
      <c r="N283" s="292" t="s">
        <v>26</v>
      </c>
      <c r="O283" s="292"/>
      <c r="P283" s="292"/>
      <c r="Q283" s="292" t="s">
        <v>83</v>
      </c>
      <c r="R283" s="292" t="s">
        <v>32</v>
      </c>
      <c r="S283" s="297" t="s">
        <v>32</v>
      </c>
      <c r="T283" s="298"/>
      <c r="U283" s="299">
        <v>384903301</v>
      </c>
      <c r="V283" s="299">
        <v>469885632</v>
      </c>
      <c r="W283" s="300">
        <v>656703923</v>
      </c>
      <c r="X283" s="301"/>
      <c r="Y283" s="292" t="s">
        <v>31</v>
      </c>
      <c r="Z283" s="302" t="s">
        <v>31</v>
      </c>
      <c r="AA283" s="317"/>
      <c r="AB283" s="317"/>
      <c r="AC283" s="303">
        <f t="shared" si="9"/>
        <v>34834322</v>
      </c>
      <c r="AD283" s="303">
        <v>34834322</v>
      </c>
      <c r="AE283" s="303">
        <f t="shared" si="10"/>
        <v>0</v>
      </c>
      <c r="AF283" s="304">
        <v>30496326</v>
      </c>
      <c r="AG283" s="305">
        <v>30496326</v>
      </c>
      <c r="AH283" s="304"/>
      <c r="AI283" s="304">
        <v>4337996</v>
      </c>
      <c r="AJ283" s="305">
        <v>4337996</v>
      </c>
      <c r="AK283" s="304"/>
      <c r="AL283" s="306"/>
      <c r="AM283" s="318"/>
      <c r="AN283" s="306"/>
      <c r="AO283" s="307"/>
      <c r="AP283" s="306"/>
      <c r="AQ283" s="306"/>
      <c r="AR283" s="306"/>
      <c r="AS283" s="306"/>
      <c r="AT283" s="306"/>
      <c r="AU283" s="306"/>
      <c r="AV283" s="306"/>
      <c r="AW283" s="306"/>
      <c r="AX283" s="306"/>
      <c r="AY283" s="306"/>
      <c r="AZ283" s="306"/>
      <c r="BA283" s="306"/>
      <c r="BB283" s="306"/>
      <c r="BC283" s="306"/>
      <c r="BD283" s="306"/>
      <c r="BE283" s="306"/>
      <c r="BF283" s="306"/>
      <c r="BG283" s="308"/>
      <c r="BH283" s="309"/>
    </row>
    <row r="284" spans="1:60" s="310" customFormat="1" ht="16.5" customHeight="1">
      <c r="A284" s="290">
        <v>263</v>
      </c>
      <c r="B284" s="291"/>
      <c r="C284" s="291"/>
      <c r="D284" s="292" t="s">
        <v>208</v>
      </c>
      <c r="E284" s="292" t="s">
        <v>1</v>
      </c>
      <c r="F284" s="293" t="s">
        <v>208</v>
      </c>
      <c r="G284" s="294" t="s">
        <v>2</v>
      </c>
      <c r="H284" s="311"/>
      <c r="I284" s="295"/>
      <c r="J284" s="296" t="s">
        <v>445</v>
      </c>
      <c r="K284" s="292"/>
      <c r="L284" s="292"/>
      <c r="M284" s="292">
        <v>23467</v>
      </c>
      <c r="N284" s="292" t="s">
        <v>26</v>
      </c>
      <c r="O284" s="292"/>
      <c r="P284" s="292"/>
      <c r="Q284" s="292" t="s">
        <v>83</v>
      </c>
      <c r="R284" s="292" t="s">
        <v>32</v>
      </c>
      <c r="S284" s="297" t="s">
        <v>32</v>
      </c>
      <c r="T284" s="298"/>
      <c r="U284" s="299"/>
      <c r="V284" s="299">
        <v>0</v>
      </c>
      <c r="W284" s="300">
        <v>0</v>
      </c>
      <c r="X284" s="301"/>
      <c r="Y284" s="292" t="s">
        <v>28</v>
      </c>
      <c r="Z284" s="302" t="s">
        <v>28</v>
      </c>
      <c r="AA284" s="317"/>
      <c r="AB284" s="317"/>
      <c r="AC284" s="303">
        <f t="shared" si="9"/>
        <v>0</v>
      </c>
      <c r="AD284" s="303">
        <v>0</v>
      </c>
      <c r="AE284" s="303">
        <f t="shared" si="10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/>
      <c r="BF284" s="306"/>
      <c r="BG284" s="308"/>
      <c r="BH284" s="309"/>
    </row>
    <row r="285" spans="1:60" s="310" customFormat="1" ht="16.5" customHeight="1">
      <c r="A285" s="290">
        <v>264</v>
      </c>
      <c r="B285" s="291"/>
      <c r="C285" s="291"/>
      <c r="D285" s="292" t="s">
        <v>208</v>
      </c>
      <c r="E285" s="292" t="s">
        <v>1</v>
      </c>
      <c r="F285" s="293" t="s">
        <v>208</v>
      </c>
      <c r="G285" s="294" t="s">
        <v>2</v>
      </c>
      <c r="H285" s="311"/>
      <c r="I285" s="295"/>
      <c r="J285" s="296" t="s">
        <v>445</v>
      </c>
      <c r="K285" s="292"/>
      <c r="L285" s="292"/>
      <c r="M285" s="292">
        <v>23467</v>
      </c>
      <c r="N285" s="292" t="s">
        <v>26</v>
      </c>
      <c r="O285" s="292"/>
      <c r="P285" s="292"/>
      <c r="Q285" s="292" t="s">
        <v>30</v>
      </c>
      <c r="R285" s="292" t="s">
        <v>353</v>
      </c>
      <c r="S285" s="297" t="s">
        <v>353</v>
      </c>
      <c r="T285" s="298"/>
      <c r="U285" s="299">
        <v>34100000</v>
      </c>
      <c r="V285" s="299">
        <v>25500000</v>
      </c>
      <c r="W285" s="300">
        <v>24327055</v>
      </c>
      <c r="X285" s="301"/>
      <c r="Y285" s="292" t="s">
        <v>31</v>
      </c>
      <c r="Z285" s="302" t="s">
        <v>28</v>
      </c>
      <c r="AA285" s="317"/>
      <c r="AB285" s="317"/>
      <c r="AC285" s="303">
        <f t="shared" si="9"/>
        <v>20000000</v>
      </c>
      <c r="AD285" s="303">
        <v>20000000</v>
      </c>
      <c r="AE285" s="303">
        <f t="shared" si="10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>
        <v>20000000</v>
      </c>
      <c r="BF285" s="306"/>
      <c r="BG285" s="308"/>
      <c r="BH285" s="309"/>
    </row>
    <row r="286" spans="1:60" s="310" customFormat="1" ht="16.5" customHeight="1">
      <c r="A286" s="290">
        <v>265</v>
      </c>
      <c r="B286" s="291"/>
      <c r="C286" s="291"/>
      <c r="D286" s="292" t="s">
        <v>208</v>
      </c>
      <c r="E286" s="292" t="s">
        <v>1</v>
      </c>
      <c r="F286" s="293" t="s">
        <v>208</v>
      </c>
      <c r="G286" s="294" t="s">
        <v>2</v>
      </c>
      <c r="H286" s="311"/>
      <c r="I286" s="295"/>
      <c r="J286" s="296" t="s">
        <v>445</v>
      </c>
      <c r="K286" s="292"/>
      <c r="L286" s="292"/>
      <c r="M286" s="292">
        <v>23467</v>
      </c>
      <c r="N286" s="292" t="s">
        <v>26</v>
      </c>
      <c r="O286" s="292"/>
      <c r="P286" s="292"/>
      <c r="Q286" s="292" t="s">
        <v>30</v>
      </c>
      <c r="R286" s="292" t="s">
        <v>353</v>
      </c>
      <c r="S286" s="297" t="s">
        <v>353</v>
      </c>
      <c r="T286" s="298"/>
      <c r="U286" s="299"/>
      <c r="V286" s="299">
        <v>0</v>
      </c>
      <c r="W286" s="300">
        <v>0</v>
      </c>
      <c r="X286" s="301"/>
      <c r="Y286" s="292" t="s">
        <v>28</v>
      </c>
      <c r="Z286" s="302" t="s">
        <v>28</v>
      </c>
      <c r="AA286" s="317"/>
      <c r="AB286" s="317"/>
      <c r="AC286" s="303">
        <f t="shared" si="9"/>
        <v>0</v>
      </c>
      <c r="AD286" s="303">
        <v>0</v>
      </c>
      <c r="AE286" s="303">
        <f t="shared" si="10"/>
        <v>0</v>
      </c>
      <c r="AF286" s="304"/>
      <c r="AG286" s="305"/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>
        <v>0</v>
      </c>
      <c r="BF286" s="306"/>
      <c r="BG286" s="308"/>
      <c r="BH286" s="309"/>
    </row>
    <row r="287" spans="1:60" s="310" customFormat="1" ht="16.5" customHeight="1">
      <c r="A287" s="290">
        <v>266</v>
      </c>
      <c r="B287" s="291"/>
      <c r="C287" s="291"/>
      <c r="D287" s="292" t="s">
        <v>208</v>
      </c>
      <c r="E287" s="292" t="s">
        <v>1</v>
      </c>
      <c r="F287" s="293" t="s">
        <v>208</v>
      </c>
      <c r="G287" s="294" t="s">
        <v>2</v>
      </c>
      <c r="H287" s="311"/>
      <c r="I287" s="295"/>
      <c r="J287" s="296" t="s">
        <v>445</v>
      </c>
      <c r="K287" s="292"/>
      <c r="L287" s="292"/>
      <c r="M287" s="292">
        <v>23467</v>
      </c>
      <c r="N287" s="292" t="s">
        <v>26</v>
      </c>
      <c r="O287" s="292"/>
      <c r="P287" s="292"/>
      <c r="Q287" s="292" t="s">
        <v>27</v>
      </c>
      <c r="R287" s="292" t="s">
        <v>273</v>
      </c>
      <c r="S287" s="297" t="s">
        <v>683</v>
      </c>
      <c r="T287" s="298"/>
      <c r="U287" s="299"/>
      <c r="V287" s="299">
        <v>1200000</v>
      </c>
      <c r="W287" s="300">
        <v>9200000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9"/>
        <v>3000000</v>
      </c>
      <c r="AD287" s="303">
        <v>3000000</v>
      </c>
      <c r="AE287" s="303">
        <f t="shared" si="10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3000000</v>
      </c>
      <c r="BF287" s="306"/>
      <c r="BG287" s="308"/>
      <c r="BH287" s="309"/>
    </row>
    <row r="288" spans="1:60" s="310" customFormat="1" ht="16.5" customHeight="1">
      <c r="A288" s="290">
        <v>267</v>
      </c>
      <c r="B288" s="291"/>
      <c r="C288" s="291"/>
      <c r="D288" s="292" t="s">
        <v>208</v>
      </c>
      <c r="E288" s="292" t="s">
        <v>1</v>
      </c>
      <c r="F288" s="293" t="s">
        <v>208</v>
      </c>
      <c r="G288" s="294" t="s">
        <v>2</v>
      </c>
      <c r="H288" s="311"/>
      <c r="I288" s="295"/>
      <c r="J288" s="296" t="s">
        <v>445</v>
      </c>
      <c r="K288" s="292"/>
      <c r="L288" s="292"/>
      <c r="M288" s="292">
        <v>23467</v>
      </c>
      <c r="N288" s="292" t="s">
        <v>26</v>
      </c>
      <c r="O288" s="292"/>
      <c r="P288" s="292"/>
      <c r="Q288" s="292" t="s">
        <v>27</v>
      </c>
      <c r="R288" s="292" t="s">
        <v>273</v>
      </c>
      <c r="S288" s="297" t="s">
        <v>683</v>
      </c>
      <c r="T288" s="298"/>
      <c r="U288" s="299"/>
      <c r="V288" s="299">
        <v>0</v>
      </c>
      <c r="W288" s="300">
        <v>0</v>
      </c>
      <c r="X288" s="301"/>
      <c r="Y288" s="292" t="s">
        <v>29</v>
      </c>
      <c r="Z288" s="302" t="s">
        <v>29</v>
      </c>
      <c r="AA288" s="317"/>
      <c r="AB288" s="317"/>
      <c r="AC288" s="303">
        <f t="shared" si="9"/>
        <v>0</v>
      </c>
      <c r="AD288" s="303">
        <v>0</v>
      </c>
      <c r="AE288" s="303">
        <f t="shared" si="10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>
        <v>0</v>
      </c>
      <c r="BF288" s="306"/>
      <c r="BG288" s="308"/>
      <c r="BH288" s="309"/>
    </row>
    <row r="289" spans="1:60" s="310" customFormat="1" ht="16.5" customHeight="1">
      <c r="A289" s="290">
        <v>268</v>
      </c>
      <c r="B289" s="291"/>
      <c r="C289" s="291"/>
      <c r="D289" s="292" t="s">
        <v>184</v>
      </c>
      <c r="E289" s="292" t="s">
        <v>555</v>
      </c>
      <c r="F289" s="293" t="s">
        <v>208</v>
      </c>
      <c r="G289" s="294" t="s">
        <v>817</v>
      </c>
      <c r="H289" s="311" t="s">
        <v>820</v>
      </c>
      <c r="I289" s="295"/>
      <c r="J289" s="296" t="s">
        <v>633</v>
      </c>
      <c r="K289" s="292"/>
      <c r="L289" s="292"/>
      <c r="M289" s="292">
        <v>12837</v>
      </c>
      <c r="N289" s="292" t="s">
        <v>21</v>
      </c>
      <c r="O289" s="292" t="s">
        <v>47</v>
      </c>
      <c r="P289" s="292" t="s">
        <v>48</v>
      </c>
      <c r="Q289" s="292" t="s">
        <v>83</v>
      </c>
      <c r="R289" s="292" t="s">
        <v>32</v>
      </c>
      <c r="S289" s="297" t="s">
        <v>32</v>
      </c>
      <c r="T289" s="298"/>
      <c r="U289" s="299">
        <v>1736640729</v>
      </c>
      <c r="V289" s="299">
        <v>2207604250</v>
      </c>
      <c r="W289" s="300">
        <v>0</v>
      </c>
      <c r="X289" s="301"/>
      <c r="Y289" s="292" t="s">
        <v>107</v>
      </c>
      <c r="Z289" s="302" t="s">
        <v>31</v>
      </c>
      <c r="AA289" s="317"/>
      <c r="AB289" s="317"/>
      <c r="AC289" s="303">
        <f t="shared" si="9"/>
        <v>2000000000</v>
      </c>
      <c r="AD289" s="303">
        <v>2000000000</v>
      </c>
      <c r="AE289" s="303">
        <f t="shared" si="10"/>
        <v>0</v>
      </c>
      <c r="AF289" s="304"/>
      <c r="AG289" s="305"/>
      <c r="AH289" s="304"/>
      <c r="AI289" s="304"/>
      <c r="AJ289" s="305"/>
      <c r="AK289" s="304"/>
      <c r="AL289" s="306">
        <v>143879780</v>
      </c>
      <c r="AM289" s="318">
        <v>148339270</v>
      </c>
      <c r="AN289" s="306"/>
      <c r="AO289" s="307">
        <v>146760000</v>
      </c>
      <c r="AP289" s="306"/>
      <c r="AQ289" s="306">
        <v>200000000</v>
      </c>
      <c r="AR289" s="306"/>
      <c r="AS289" s="306">
        <v>200000000</v>
      </c>
      <c r="AT289" s="306"/>
      <c r="AU289" s="306">
        <v>200000000</v>
      </c>
      <c r="AV289" s="306"/>
      <c r="AW289" s="306">
        <v>200000000</v>
      </c>
      <c r="AX289" s="306"/>
      <c r="AY289" s="306">
        <v>200000000</v>
      </c>
      <c r="AZ289" s="306"/>
      <c r="BA289" s="306">
        <v>200000000</v>
      </c>
      <c r="BB289" s="306"/>
      <c r="BC289" s="306">
        <v>253240000</v>
      </c>
      <c r="BD289" s="306"/>
      <c r="BE289" s="306">
        <v>251660730</v>
      </c>
      <c r="BF289" s="306"/>
      <c r="BG289" s="308"/>
      <c r="BH289" s="309"/>
    </row>
    <row r="290" spans="1:60" s="310" customFormat="1" ht="16.5" customHeight="1">
      <c r="A290" s="290">
        <v>269</v>
      </c>
      <c r="B290" s="291"/>
      <c r="C290" s="291"/>
      <c r="D290" s="292" t="s">
        <v>184</v>
      </c>
      <c r="E290" s="292" t="s">
        <v>555</v>
      </c>
      <c r="F290" s="293" t="s">
        <v>208</v>
      </c>
      <c r="G290" s="294" t="s">
        <v>818</v>
      </c>
      <c r="H290" s="311" t="s">
        <v>820</v>
      </c>
      <c r="I290" s="295"/>
      <c r="J290" s="296" t="s">
        <v>633</v>
      </c>
      <c r="K290" s="292"/>
      <c r="L290" s="292"/>
      <c r="M290" s="292">
        <v>12837</v>
      </c>
      <c r="N290" s="292"/>
      <c r="O290" s="292"/>
      <c r="P290" s="292"/>
      <c r="Q290" s="292" t="s">
        <v>27</v>
      </c>
      <c r="R290" s="292" t="s">
        <v>273</v>
      </c>
      <c r="S290" s="297" t="s">
        <v>683</v>
      </c>
      <c r="T290" s="298"/>
      <c r="U290" s="299" t="s">
        <v>188</v>
      </c>
      <c r="V290" s="299">
        <v>128227273</v>
      </c>
      <c r="W290" s="300">
        <v>0</v>
      </c>
      <c r="X290" s="301"/>
      <c r="Y290" s="292" t="s">
        <v>107</v>
      </c>
      <c r="Z290" s="302" t="s">
        <v>29</v>
      </c>
      <c r="AA290" s="317"/>
      <c r="AB290" s="317"/>
      <c r="AC290" s="303">
        <f t="shared" si="9"/>
        <v>150000000</v>
      </c>
      <c r="AD290" s="303">
        <v>150000000</v>
      </c>
      <c r="AE290" s="303">
        <f t="shared" si="10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/>
      <c r="AZ290" s="306"/>
      <c r="BA290" s="306"/>
      <c r="BB290" s="306"/>
      <c r="BC290" s="306"/>
      <c r="BD290" s="306"/>
      <c r="BE290" s="306">
        <v>150000000</v>
      </c>
      <c r="BF290" s="306"/>
      <c r="BG290" s="308"/>
      <c r="BH290" s="309"/>
    </row>
    <row r="291" spans="1:60" s="310" customFormat="1" ht="16.5" customHeight="1">
      <c r="A291" s="290">
        <v>270</v>
      </c>
      <c r="B291" s="291"/>
      <c r="C291" s="291"/>
      <c r="D291" s="292" t="s">
        <v>184</v>
      </c>
      <c r="E291" s="292" t="s">
        <v>555</v>
      </c>
      <c r="F291" s="293" t="s">
        <v>208</v>
      </c>
      <c r="G291" s="294" t="s">
        <v>818</v>
      </c>
      <c r="H291" s="311" t="s">
        <v>820</v>
      </c>
      <c r="I291" s="295"/>
      <c r="J291" s="296" t="s">
        <v>634</v>
      </c>
      <c r="K291" s="292"/>
      <c r="L291" s="292"/>
      <c r="M291" s="292">
        <v>50518</v>
      </c>
      <c r="N291" s="292" t="s">
        <v>21</v>
      </c>
      <c r="O291" s="292" t="s">
        <v>47</v>
      </c>
      <c r="P291" s="292" t="s">
        <v>48</v>
      </c>
      <c r="Q291" s="292" t="s">
        <v>83</v>
      </c>
      <c r="R291" s="292" t="s">
        <v>32</v>
      </c>
      <c r="S291" s="297" t="s">
        <v>32</v>
      </c>
      <c r="T291" s="298"/>
      <c r="U291" s="299">
        <v>7600120</v>
      </c>
      <c r="V291" s="299">
        <v>7068860</v>
      </c>
      <c r="W291" s="300">
        <v>0</v>
      </c>
      <c r="X291" s="301"/>
      <c r="Y291" s="292" t="s">
        <v>24</v>
      </c>
      <c r="Z291" s="302" t="s">
        <v>29</v>
      </c>
      <c r="AA291" s="317"/>
      <c r="AB291" s="317"/>
      <c r="AC291" s="303">
        <f t="shared" si="9"/>
        <v>0</v>
      </c>
      <c r="AD291" s="303">
        <v>0</v>
      </c>
      <c r="AE291" s="303">
        <f t="shared" si="10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/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customHeight="1">
      <c r="A292" s="290">
        <v>271</v>
      </c>
      <c r="B292" s="291"/>
      <c r="C292" s="291"/>
      <c r="D292" s="292" t="s">
        <v>184</v>
      </c>
      <c r="E292" s="292" t="s">
        <v>555</v>
      </c>
      <c r="F292" s="293" t="s">
        <v>208</v>
      </c>
      <c r="G292" s="294" t="s">
        <v>818</v>
      </c>
      <c r="H292" s="311" t="s">
        <v>820</v>
      </c>
      <c r="I292" s="295"/>
      <c r="J292" s="296" t="s">
        <v>635</v>
      </c>
      <c r="K292" s="292"/>
      <c r="L292" s="292"/>
      <c r="M292" s="292">
        <v>52537</v>
      </c>
      <c r="N292" s="292" t="s">
        <v>21</v>
      </c>
      <c r="O292" s="292" t="s">
        <v>47</v>
      </c>
      <c r="P292" s="292" t="s">
        <v>48</v>
      </c>
      <c r="Q292" s="292" t="s">
        <v>33</v>
      </c>
      <c r="R292" s="292" t="s">
        <v>34</v>
      </c>
      <c r="S292" s="297" t="s">
        <v>23</v>
      </c>
      <c r="T292" s="298"/>
      <c r="U292" s="299">
        <v>25906800</v>
      </c>
      <c r="V292" s="299">
        <v>73692700</v>
      </c>
      <c r="W292" s="300">
        <v>0</v>
      </c>
      <c r="X292" s="301"/>
      <c r="Y292" s="292" t="s">
        <v>28</v>
      </c>
      <c r="Z292" s="302" t="s">
        <v>31</v>
      </c>
      <c r="AA292" s="317"/>
      <c r="AB292" s="317"/>
      <c r="AC292" s="303">
        <f t="shared" si="9"/>
        <v>1500000</v>
      </c>
      <c r="AD292" s="303">
        <v>1500000</v>
      </c>
      <c r="AE292" s="303">
        <f t="shared" si="10"/>
        <v>0</v>
      </c>
      <c r="AF292" s="304"/>
      <c r="AG292" s="305">
        <v>1500000</v>
      </c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/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customHeight="1">
      <c r="A293" s="290">
        <v>272</v>
      </c>
      <c r="B293" s="291"/>
      <c r="C293" s="291"/>
      <c r="D293" s="292" t="s">
        <v>184</v>
      </c>
      <c r="E293" s="292" t="s">
        <v>555</v>
      </c>
      <c r="F293" s="293" t="s">
        <v>208</v>
      </c>
      <c r="G293" s="294" t="s">
        <v>819</v>
      </c>
      <c r="H293" s="311" t="s">
        <v>820</v>
      </c>
      <c r="I293" s="295"/>
      <c r="J293" s="296" t="s">
        <v>635</v>
      </c>
      <c r="K293" s="292"/>
      <c r="L293" s="292"/>
      <c r="M293" s="292">
        <v>52537</v>
      </c>
      <c r="N293" s="292" t="s">
        <v>21</v>
      </c>
      <c r="O293" s="292" t="s">
        <v>47</v>
      </c>
      <c r="P293" s="292"/>
      <c r="Q293" s="292"/>
      <c r="R293" s="292" t="s">
        <v>353</v>
      </c>
      <c r="S293" s="297" t="s">
        <v>353</v>
      </c>
      <c r="T293" s="298"/>
      <c r="U293" s="299"/>
      <c r="V293" s="299">
        <v>0</v>
      </c>
      <c r="W293" s="300">
        <v>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9"/>
        <v>168000000</v>
      </c>
      <c r="AD293" s="303">
        <v>168000000</v>
      </c>
      <c r="AE293" s="303">
        <f t="shared" si="10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/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>
        <v>168000000</v>
      </c>
      <c r="BF293" s="306"/>
      <c r="BG293" s="308"/>
      <c r="BH293" s="309"/>
    </row>
    <row r="294" spans="1:60" s="310" customFormat="1" ht="16.5" customHeight="1">
      <c r="A294" s="290">
        <v>273</v>
      </c>
      <c r="B294" s="291"/>
      <c r="C294" s="291"/>
      <c r="D294" s="292"/>
      <c r="E294" s="292"/>
      <c r="F294" s="293" t="s">
        <v>208</v>
      </c>
      <c r="G294" s="294" t="s">
        <v>818</v>
      </c>
      <c r="H294" s="311" t="s">
        <v>820</v>
      </c>
      <c r="I294" s="295"/>
      <c r="J294" s="296" t="s">
        <v>635</v>
      </c>
      <c r="K294" s="292"/>
      <c r="L294" s="292"/>
      <c r="M294" s="292">
        <v>52537</v>
      </c>
      <c r="N294" s="292"/>
      <c r="O294" s="292"/>
      <c r="P294" s="292"/>
      <c r="Q294" s="292"/>
      <c r="R294" s="292"/>
      <c r="S294" s="297" t="s">
        <v>361</v>
      </c>
      <c r="T294" s="298"/>
      <c r="U294" s="299"/>
      <c r="V294" s="299"/>
      <c r="W294" s="300">
        <v>264560000</v>
      </c>
      <c r="X294" s="301"/>
      <c r="Y294" s="292"/>
      <c r="Z294" s="302" t="s">
        <v>578</v>
      </c>
      <c r="AA294" s="317"/>
      <c r="AB294" s="317"/>
      <c r="AC294" s="303">
        <f t="shared" si="9"/>
        <v>0</v>
      </c>
      <c r="AD294" s="303">
        <v>0</v>
      </c>
      <c r="AE294" s="303">
        <f t="shared" si="10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/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customHeight="1">
      <c r="A295" s="290">
        <v>274</v>
      </c>
      <c r="B295" s="291"/>
      <c r="C295" s="291"/>
      <c r="D295" s="292"/>
      <c r="E295" s="292"/>
      <c r="F295" s="293" t="s">
        <v>208</v>
      </c>
      <c r="G295" s="294" t="s">
        <v>818</v>
      </c>
      <c r="H295" s="311" t="s">
        <v>820</v>
      </c>
      <c r="I295" s="295"/>
      <c r="J295" s="296" t="s">
        <v>635</v>
      </c>
      <c r="K295" s="292"/>
      <c r="L295" s="292"/>
      <c r="M295" s="292">
        <v>52537</v>
      </c>
      <c r="N295" s="292"/>
      <c r="O295" s="292"/>
      <c r="P295" s="292"/>
      <c r="Q295" s="292"/>
      <c r="R295" s="292"/>
      <c r="S295" s="297" t="s">
        <v>683</v>
      </c>
      <c r="T295" s="298"/>
      <c r="U295" s="299"/>
      <c r="V295" s="299"/>
      <c r="W295" s="300">
        <v>11000000</v>
      </c>
      <c r="X295" s="301"/>
      <c r="Y295" s="292"/>
      <c r="Z295" s="302" t="s">
        <v>578</v>
      </c>
      <c r="AA295" s="317"/>
      <c r="AB295" s="317"/>
      <c r="AC295" s="303">
        <f t="shared" si="9"/>
        <v>0</v>
      </c>
      <c r="AD295" s="303">
        <v>0</v>
      </c>
      <c r="AE295" s="303">
        <f t="shared" si="10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customHeight="1">
      <c r="A296" s="290">
        <v>275</v>
      </c>
      <c r="B296" s="291"/>
      <c r="C296" s="291"/>
      <c r="D296" s="292" t="s">
        <v>208</v>
      </c>
      <c r="E296" s="292" t="s">
        <v>2</v>
      </c>
      <c r="F296" s="293" t="s">
        <v>208</v>
      </c>
      <c r="G296" s="294" t="s">
        <v>2</v>
      </c>
      <c r="H296" s="311"/>
      <c r="I296" s="295"/>
      <c r="J296" s="296" t="s">
        <v>100</v>
      </c>
      <c r="K296" s="292"/>
      <c r="L296" s="292"/>
      <c r="M296" s="292">
        <v>47018</v>
      </c>
      <c r="N296" s="292"/>
      <c r="O296" s="292"/>
      <c r="P296" s="292"/>
      <c r="Q296" s="292"/>
      <c r="R296" s="292" t="s">
        <v>353</v>
      </c>
      <c r="S296" s="297" t="s">
        <v>353</v>
      </c>
      <c r="T296" s="298"/>
      <c r="U296" s="299"/>
      <c r="V296" s="299"/>
      <c r="W296" s="300">
        <v>0</v>
      </c>
      <c r="X296" s="301"/>
      <c r="Y296" s="292" t="s">
        <v>29</v>
      </c>
      <c r="Z296" s="302" t="s">
        <v>29</v>
      </c>
      <c r="AA296" s="317"/>
      <c r="AB296" s="317"/>
      <c r="AC296" s="303">
        <f t="shared" si="9"/>
        <v>30000000</v>
      </c>
      <c r="AD296" s="303">
        <v>30000000</v>
      </c>
      <c r="AE296" s="303">
        <f t="shared" si="10"/>
        <v>0</v>
      </c>
      <c r="AF296" s="304"/>
      <c r="AG296" s="305"/>
      <c r="AH296" s="304"/>
      <c r="AI296" s="304"/>
      <c r="AJ296" s="305"/>
      <c r="AK296" s="304"/>
      <c r="AL296" s="306"/>
      <c r="AM296" s="318"/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>
        <v>30000000</v>
      </c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customHeight="1">
      <c r="A297" s="290">
        <v>276</v>
      </c>
      <c r="B297" s="291"/>
      <c r="C297" s="291"/>
      <c r="D297" s="292" t="s">
        <v>208</v>
      </c>
      <c r="E297" s="292" t="s">
        <v>2</v>
      </c>
      <c r="F297" s="293" t="s">
        <v>208</v>
      </c>
      <c r="G297" s="294" t="s">
        <v>2</v>
      </c>
      <c r="H297" s="311"/>
      <c r="I297" s="295"/>
      <c r="J297" s="296" t="s">
        <v>100</v>
      </c>
      <c r="K297" s="292"/>
      <c r="L297" s="292"/>
      <c r="M297" s="292">
        <v>47018</v>
      </c>
      <c r="N297" s="292"/>
      <c r="O297" s="292"/>
      <c r="P297" s="292"/>
      <c r="Q297" s="292"/>
      <c r="R297" s="292" t="s">
        <v>357</v>
      </c>
      <c r="S297" s="297" t="s">
        <v>680</v>
      </c>
      <c r="T297" s="298"/>
      <c r="U297" s="299"/>
      <c r="V297" s="299"/>
      <c r="W297" s="300">
        <v>2227500</v>
      </c>
      <c r="X297" s="301"/>
      <c r="Y297" s="292" t="s">
        <v>29</v>
      </c>
      <c r="Z297" s="302" t="s">
        <v>29</v>
      </c>
      <c r="AA297" s="317"/>
      <c r="AB297" s="317"/>
      <c r="AC297" s="303">
        <f t="shared" si="9"/>
        <v>2000000</v>
      </c>
      <c r="AD297" s="303">
        <v>2000000</v>
      </c>
      <c r="AE297" s="303">
        <f t="shared" si="10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>
        <v>2000000</v>
      </c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customHeight="1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100</v>
      </c>
      <c r="K298" s="292"/>
      <c r="L298" s="292"/>
      <c r="M298" s="292">
        <v>47018</v>
      </c>
      <c r="N298" s="292"/>
      <c r="O298" s="292"/>
      <c r="P298" s="292"/>
      <c r="Q298" s="292" t="s">
        <v>27</v>
      </c>
      <c r="R298" s="292" t="s">
        <v>273</v>
      </c>
      <c r="S298" s="297" t="s">
        <v>683</v>
      </c>
      <c r="T298" s="298"/>
      <c r="U298" s="299">
        <v>1500000</v>
      </c>
      <c r="V298" s="299">
        <v>1600000</v>
      </c>
      <c r="W298" s="300">
        <v>11611000</v>
      </c>
      <c r="X298" s="301"/>
      <c r="Y298" s="292" t="s">
        <v>31</v>
      </c>
      <c r="Z298" s="302" t="s">
        <v>29</v>
      </c>
      <c r="AA298" s="317"/>
      <c r="AB298" s="317"/>
      <c r="AC298" s="303">
        <f t="shared" si="9"/>
        <v>1700000</v>
      </c>
      <c r="AD298" s="303">
        <v>1700000</v>
      </c>
      <c r="AE298" s="303">
        <f t="shared" si="10"/>
        <v>0</v>
      </c>
      <c r="AF298" s="304"/>
      <c r="AG298" s="305"/>
      <c r="AH298" s="304"/>
      <c r="AI298" s="304"/>
      <c r="AJ298" s="305"/>
      <c r="AK298" s="304"/>
      <c r="AL298" s="306"/>
      <c r="AM298" s="318"/>
      <c r="AN298" s="306"/>
      <c r="AO298" s="307"/>
      <c r="AP298" s="306"/>
      <c r="AQ298" s="306"/>
      <c r="AR298" s="306"/>
      <c r="AS298" s="306">
        <v>1700000</v>
      </c>
      <c r="AT298" s="306"/>
      <c r="AU298" s="306"/>
      <c r="AV298" s="306"/>
      <c r="AW298" s="306"/>
      <c r="AX298" s="306"/>
      <c r="AY298" s="306"/>
      <c r="AZ298" s="306"/>
      <c r="BA298" s="306"/>
      <c r="BB298" s="306"/>
      <c r="BC298" s="306"/>
      <c r="BD298" s="306"/>
      <c r="BE298" s="306"/>
      <c r="BF298" s="306"/>
      <c r="BG298" s="308"/>
      <c r="BH298" s="309"/>
    </row>
    <row r="299" spans="1:60" s="310" customFormat="1" ht="16.5" customHeight="1">
      <c r="A299" s="290">
        <v>278</v>
      </c>
      <c r="B299" s="291"/>
      <c r="C299" s="291"/>
      <c r="D299" s="292" t="s">
        <v>208</v>
      </c>
      <c r="E299" s="292" t="s">
        <v>246</v>
      </c>
      <c r="F299" s="293" t="s">
        <v>208</v>
      </c>
      <c r="G299" s="294" t="s">
        <v>2</v>
      </c>
      <c r="H299" s="311" t="s">
        <v>814</v>
      </c>
      <c r="I299" s="295"/>
      <c r="J299" s="296" t="s">
        <v>813</v>
      </c>
      <c r="K299" s="292"/>
      <c r="L299" s="292"/>
      <c r="M299" s="292">
        <v>46883</v>
      </c>
      <c r="N299" s="292"/>
      <c r="O299" s="292"/>
      <c r="P299" s="292"/>
      <c r="Q299" s="292" t="s">
        <v>33</v>
      </c>
      <c r="R299" s="292" t="s">
        <v>34</v>
      </c>
      <c r="S299" s="297" t="s">
        <v>34</v>
      </c>
      <c r="T299" s="298"/>
      <c r="U299" s="299">
        <v>8718060</v>
      </c>
      <c r="V299" s="299">
        <v>10098800</v>
      </c>
      <c r="W299" s="300">
        <v>9164000</v>
      </c>
      <c r="X299" s="301"/>
      <c r="Y299" s="292" t="s">
        <v>31</v>
      </c>
      <c r="Z299" s="302" t="s">
        <v>28</v>
      </c>
      <c r="AA299" s="317"/>
      <c r="AB299" s="317"/>
      <c r="AC299" s="303">
        <f t="shared" si="9"/>
        <v>10000000</v>
      </c>
      <c r="AD299" s="303">
        <v>10000000</v>
      </c>
      <c r="AE299" s="303">
        <f t="shared" si="10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/>
      <c r="AP299" s="306"/>
      <c r="AQ299" s="306">
        <v>10000000</v>
      </c>
      <c r="AR299" s="306"/>
      <c r="AS299" s="306"/>
      <c r="AT299" s="306"/>
      <c r="AU299" s="306"/>
      <c r="AV299" s="306"/>
      <c r="AW299" s="306"/>
      <c r="AX299" s="306"/>
      <c r="AY299" s="306"/>
      <c r="AZ299" s="306"/>
      <c r="BA299" s="306"/>
      <c r="BB299" s="306"/>
      <c r="BC299" s="306"/>
      <c r="BD299" s="306"/>
      <c r="BE299" s="306"/>
      <c r="BF299" s="306"/>
      <c r="BG299" s="308"/>
      <c r="BH299" s="309"/>
    </row>
    <row r="300" spans="1:60" s="310" customFormat="1" ht="16.5" customHeight="1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523</v>
      </c>
      <c r="K300" s="292"/>
      <c r="L300" s="292"/>
      <c r="M300" s="292">
        <v>57133</v>
      </c>
      <c r="N300" s="292"/>
      <c r="O300" s="292"/>
      <c r="P300" s="292"/>
      <c r="Q300" s="292"/>
      <c r="R300" s="292" t="s">
        <v>353</v>
      </c>
      <c r="S300" s="297" t="s">
        <v>353</v>
      </c>
      <c r="T300" s="298"/>
      <c r="U300" s="299"/>
      <c r="V300" s="299"/>
      <c r="W300" s="300">
        <v>0</v>
      </c>
      <c r="X300" s="301"/>
      <c r="Y300" s="292" t="s">
        <v>29</v>
      </c>
      <c r="Z300" s="302" t="s">
        <v>29</v>
      </c>
      <c r="AA300" s="317"/>
      <c r="AB300" s="317"/>
      <c r="AC300" s="303">
        <f t="shared" si="9"/>
        <v>10000000</v>
      </c>
      <c r="AD300" s="303">
        <v>10000000</v>
      </c>
      <c r="AE300" s="303">
        <f t="shared" si="10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customHeight="1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523</v>
      </c>
      <c r="K301" s="292"/>
      <c r="L301" s="292"/>
      <c r="M301" s="292">
        <v>57133</v>
      </c>
      <c r="N301" s="292"/>
      <c r="O301" s="292"/>
      <c r="P301" s="292"/>
      <c r="Q301" s="292" t="s">
        <v>46</v>
      </c>
      <c r="R301" s="292" t="s">
        <v>351</v>
      </c>
      <c r="S301" s="297" t="s">
        <v>691</v>
      </c>
      <c r="T301" s="298"/>
      <c r="U301" s="299"/>
      <c r="V301" s="299">
        <v>550000</v>
      </c>
      <c r="W301" s="300">
        <v>0</v>
      </c>
      <c r="X301" s="301"/>
      <c r="Y301" s="292" t="s">
        <v>24</v>
      </c>
      <c r="Z301" s="302" t="s">
        <v>24</v>
      </c>
      <c r="AA301" s="317"/>
      <c r="AB301" s="317"/>
      <c r="AC301" s="303">
        <f t="shared" si="9"/>
        <v>0</v>
      </c>
      <c r="AD301" s="303">
        <v>0</v>
      </c>
      <c r="AE301" s="303">
        <f t="shared" si="10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customHeight="1">
      <c r="A302" s="290">
        <v>281</v>
      </c>
      <c r="B302" s="291"/>
      <c r="C302" s="291"/>
      <c r="D302" s="292" t="s">
        <v>208</v>
      </c>
      <c r="E302" s="292" t="s">
        <v>106</v>
      </c>
      <c r="F302" s="293" t="s">
        <v>208</v>
      </c>
      <c r="G302" s="294" t="s">
        <v>2</v>
      </c>
      <c r="H302" s="311"/>
      <c r="I302" s="295"/>
      <c r="J302" s="296" t="s">
        <v>101</v>
      </c>
      <c r="K302" s="292"/>
      <c r="L302" s="292"/>
      <c r="M302" s="292">
        <v>3918</v>
      </c>
      <c r="N302" s="292" t="s">
        <v>26</v>
      </c>
      <c r="O302" s="292"/>
      <c r="P302" s="292"/>
      <c r="Q302" s="292" t="s">
        <v>83</v>
      </c>
      <c r="R302" s="292" t="s">
        <v>32</v>
      </c>
      <c r="S302" s="297" t="s">
        <v>32</v>
      </c>
      <c r="T302" s="298"/>
      <c r="U302" s="299">
        <v>282246070</v>
      </c>
      <c r="V302" s="299">
        <v>480825570</v>
      </c>
      <c r="W302" s="300">
        <v>482142070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9"/>
        <v>-26542870</v>
      </c>
      <c r="AD302" s="303">
        <v>-26542870</v>
      </c>
      <c r="AE302" s="303">
        <f t="shared" si="10"/>
        <v>0</v>
      </c>
      <c r="AF302" s="304"/>
      <c r="AG302" s="305"/>
      <c r="AH302" s="304"/>
      <c r="AI302" s="304"/>
      <c r="AJ302" s="305">
        <v>-54833780</v>
      </c>
      <c r="AK302" s="304"/>
      <c r="AL302" s="306">
        <v>28290910</v>
      </c>
      <c r="AM302" s="318">
        <v>28290910</v>
      </c>
      <c r="AN302" s="306"/>
      <c r="AO302" s="307"/>
      <c r="AP302" s="306"/>
      <c r="AQ302" s="306"/>
      <c r="AR302" s="306"/>
      <c r="AS302" s="306"/>
      <c r="AT302" s="306"/>
      <c r="AU302" s="306"/>
      <c r="AV302" s="306"/>
      <c r="AW302" s="306"/>
      <c r="AX302" s="306"/>
      <c r="AY302" s="306"/>
      <c r="AZ302" s="306"/>
      <c r="BA302" s="306"/>
      <c r="BB302" s="306"/>
      <c r="BC302" s="306"/>
      <c r="BD302" s="306"/>
      <c r="BE302" s="306"/>
      <c r="BF302" s="306"/>
      <c r="BG302" s="308"/>
      <c r="BH302" s="309"/>
    </row>
    <row r="303" spans="1:60" s="310" customFormat="1" ht="16.5" customHeight="1">
      <c r="A303" s="290">
        <v>282</v>
      </c>
      <c r="B303" s="291"/>
      <c r="C303" s="291"/>
      <c r="D303" s="292" t="s">
        <v>208</v>
      </c>
      <c r="E303" s="292" t="s">
        <v>1</v>
      </c>
      <c r="F303" s="293" t="s">
        <v>208</v>
      </c>
      <c r="G303" s="294" t="s">
        <v>2</v>
      </c>
      <c r="H303" s="311"/>
      <c r="I303" s="295"/>
      <c r="J303" s="296" t="s">
        <v>39</v>
      </c>
      <c r="K303" s="292"/>
      <c r="L303" s="292"/>
      <c r="M303" s="292">
        <v>23637</v>
      </c>
      <c r="N303" s="292" t="s">
        <v>26</v>
      </c>
      <c r="O303" s="292"/>
      <c r="P303" s="292"/>
      <c r="Q303" s="292" t="s">
        <v>22</v>
      </c>
      <c r="R303" s="292" t="s">
        <v>23</v>
      </c>
      <c r="S303" s="297" t="s">
        <v>23</v>
      </c>
      <c r="T303" s="298"/>
      <c r="U303" s="299">
        <v>4362844</v>
      </c>
      <c r="V303" s="299">
        <v>1477979</v>
      </c>
      <c r="W303" s="300">
        <v>0</v>
      </c>
      <c r="X303" s="301"/>
      <c r="Y303" s="292" t="s">
        <v>31</v>
      </c>
      <c r="Z303" s="302" t="s">
        <v>28</v>
      </c>
      <c r="AA303" s="317"/>
      <c r="AB303" s="317"/>
      <c r="AC303" s="303">
        <f t="shared" si="9"/>
        <v>0</v>
      </c>
      <c r="AD303" s="303">
        <v>0</v>
      </c>
      <c r="AE303" s="303">
        <f t="shared" si="10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customHeight="1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471</v>
      </c>
      <c r="K304" s="292"/>
      <c r="L304" s="292"/>
      <c r="M304" s="292">
        <v>4105</v>
      </c>
      <c r="N304" s="292" t="s">
        <v>44</v>
      </c>
      <c r="O304" s="292"/>
      <c r="P304" s="292"/>
      <c r="Q304" s="292" t="s">
        <v>83</v>
      </c>
      <c r="R304" s="292" t="s">
        <v>32</v>
      </c>
      <c r="S304" s="297" t="s">
        <v>32</v>
      </c>
      <c r="T304" s="298"/>
      <c r="U304" s="299">
        <v>130623250</v>
      </c>
      <c r="V304" s="299">
        <v>101645300</v>
      </c>
      <c r="W304" s="300">
        <v>121210420</v>
      </c>
      <c r="X304" s="301"/>
      <c r="Y304" s="292" t="s">
        <v>31</v>
      </c>
      <c r="Z304" s="302" t="s">
        <v>31</v>
      </c>
      <c r="AA304" s="317"/>
      <c r="AB304" s="317"/>
      <c r="AC304" s="303">
        <f t="shared" si="9"/>
        <v>110380950</v>
      </c>
      <c r="AD304" s="303">
        <v>110380950</v>
      </c>
      <c r="AE304" s="303">
        <f t="shared" si="10"/>
        <v>0</v>
      </c>
      <c r="AF304" s="304"/>
      <c r="AG304" s="305"/>
      <c r="AH304" s="304"/>
      <c r="AI304" s="304"/>
      <c r="AJ304" s="305"/>
      <c r="AK304" s="304"/>
      <c r="AL304" s="306">
        <v>11380950</v>
      </c>
      <c r="AM304" s="318">
        <v>11380950</v>
      </c>
      <c r="AN304" s="306"/>
      <c r="AO304" s="307">
        <v>12000000</v>
      </c>
      <c r="AP304" s="306"/>
      <c r="AQ304" s="306">
        <v>12000000</v>
      </c>
      <c r="AR304" s="306"/>
      <c r="AS304" s="306">
        <v>12000000</v>
      </c>
      <c r="AT304" s="306"/>
      <c r="AU304" s="306">
        <v>13000000</v>
      </c>
      <c r="AV304" s="306"/>
      <c r="AW304" s="306">
        <v>10000000</v>
      </c>
      <c r="AX304" s="306"/>
      <c r="AY304" s="306">
        <v>10000000</v>
      </c>
      <c r="AZ304" s="306"/>
      <c r="BA304" s="306">
        <v>10000000</v>
      </c>
      <c r="BB304" s="306"/>
      <c r="BC304" s="306">
        <v>10000000</v>
      </c>
      <c r="BD304" s="306"/>
      <c r="BE304" s="306">
        <v>10000000</v>
      </c>
      <c r="BF304" s="306"/>
      <c r="BG304" s="308"/>
      <c r="BH304" s="309"/>
    </row>
    <row r="305" spans="1:60" s="310" customFormat="1" ht="16.5" customHeight="1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471</v>
      </c>
      <c r="K305" s="292"/>
      <c r="L305" s="292"/>
      <c r="M305" s="292">
        <v>4105</v>
      </c>
      <c r="N305" s="292" t="s">
        <v>44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/>
      <c r="U305" s="299"/>
      <c r="V305" s="299">
        <v>0</v>
      </c>
      <c r="W305" s="300">
        <v>0</v>
      </c>
      <c r="X305" s="301"/>
      <c r="Y305" s="292" t="s">
        <v>28</v>
      </c>
      <c r="Z305" s="302" t="s">
        <v>28</v>
      </c>
      <c r="AA305" s="317"/>
      <c r="AB305" s="317"/>
      <c r="AC305" s="303">
        <f t="shared" si="9"/>
        <v>8000000</v>
      </c>
      <c r="AD305" s="303">
        <v>9000000</v>
      </c>
      <c r="AE305" s="303">
        <f t="shared" si="10"/>
        <v>-1000000</v>
      </c>
      <c r="AF305" s="304"/>
      <c r="AG305" s="305"/>
      <c r="AH305" s="304"/>
      <c r="AI305" s="304"/>
      <c r="AJ305" s="305"/>
      <c r="AK305" s="304"/>
      <c r="AL305" s="306"/>
      <c r="AM305" s="318"/>
      <c r="AN305" s="306"/>
      <c r="AO305" s="307"/>
      <c r="AP305" s="306"/>
      <c r="AQ305" s="306">
        <v>1000000</v>
      </c>
      <c r="AR305" s="306"/>
      <c r="AS305" s="306">
        <v>1000000</v>
      </c>
      <c r="AT305" s="306"/>
      <c r="AU305" s="306">
        <v>1000000</v>
      </c>
      <c r="AV305" s="306"/>
      <c r="AW305" s="306">
        <v>1000000</v>
      </c>
      <c r="AX305" s="306"/>
      <c r="AY305" s="306">
        <v>1000000</v>
      </c>
      <c r="AZ305" s="306"/>
      <c r="BA305" s="306">
        <v>1000000</v>
      </c>
      <c r="BB305" s="306"/>
      <c r="BC305" s="306">
        <v>1000000</v>
      </c>
      <c r="BD305" s="306"/>
      <c r="BE305" s="306">
        <v>1000000</v>
      </c>
      <c r="BF305" s="306"/>
      <c r="BG305" s="308"/>
      <c r="BH305" s="309"/>
    </row>
    <row r="306" spans="1:60" s="310" customFormat="1" ht="16.5" customHeight="1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471</v>
      </c>
      <c r="K306" s="292"/>
      <c r="L306" s="292"/>
      <c r="M306" s="292">
        <v>4105</v>
      </c>
      <c r="N306" s="292" t="s">
        <v>44</v>
      </c>
      <c r="O306" s="292"/>
      <c r="P306" s="292"/>
      <c r="Q306" s="292" t="s">
        <v>30</v>
      </c>
      <c r="R306" s="292" t="s">
        <v>353</v>
      </c>
      <c r="S306" s="297" t="s">
        <v>353</v>
      </c>
      <c r="T306" s="298"/>
      <c r="U306" s="299"/>
      <c r="V306" s="299">
        <v>650000</v>
      </c>
      <c r="W306" s="300">
        <v>650000</v>
      </c>
      <c r="X306" s="301"/>
      <c r="Y306" s="292" t="s">
        <v>31</v>
      </c>
      <c r="Z306" s="302" t="s">
        <v>28</v>
      </c>
      <c r="AA306" s="317"/>
      <c r="AB306" s="317"/>
      <c r="AC306" s="303">
        <f t="shared" si="9"/>
        <v>1000000</v>
      </c>
      <c r="AD306" s="303">
        <v>1000000</v>
      </c>
      <c r="AE306" s="303">
        <f t="shared" si="10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/>
      <c r="AP306" s="306"/>
      <c r="AQ306" s="306"/>
      <c r="AR306" s="306"/>
      <c r="AS306" s="306">
        <v>1000000</v>
      </c>
      <c r="AT306" s="306"/>
      <c r="AU306" s="306"/>
      <c r="AV306" s="306"/>
      <c r="AW306" s="306"/>
      <c r="AX306" s="306"/>
      <c r="AY306" s="306"/>
      <c r="AZ306" s="306"/>
      <c r="BA306" s="306"/>
      <c r="BB306" s="306"/>
      <c r="BC306" s="306"/>
      <c r="BD306" s="306"/>
      <c r="BE306" s="306"/>
      <c r="BF306" s="306"/>
      <c r="BG306" s="308"/>
      <c r="BH306" s="309"/>
    </row>
    <row r="307" spans="1:60" s="310" customFormat="1" ht="16.5" customHeight="1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471</v>
      </c>
      <c r="K307" s="292"/>
      <c r="L307" s="292"/>
      <c r="M307" s="292">
        <v>4105</v>
      </c>
      <c r="N307" s="292" t="s">
        <v>44</v>
      </c>
      <c r="O307" s="292"/>
      <c r="P307" s="292"/>
      <c r="Q307" s="292" t="s">
        <v>45</v>
      </c>
      <c r="R307" s="292" t="s">
        <v>352</v>
      </c>
      <c r="S307" s="297" t="s">
        <v>691</v>
      </c>
      <c r="T307" s="298"/>
      <c r="U307" s="299"/>
      <c r="V307" s="299">
        <v>1520000</v>
      </c>
      <c r="W307" s="300">
        <v>8974000</v>
      </c>
      <c r="X307" s="301"/>
      <c r="Y307" s="292" t="s">
        <v>31</v>
      </c>
      <c r="Z307" s="302" t="s">
        <v>441</v>
      </c>
      <c r="AA307" s="317"/>
      <c r="AB307" s="317"/>
      <c r="AC307" s="303">
        <f t="shared" si="9"/>
        <v>0</v>
      </c>
      <c r="AD307" s="303">
        <v>0</v>
      </c>
      <c r="AE307" s="303">
        <f t="shared" si="10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06"/>
      <c r="AR307" s="306"/>
      <c r="AS307" s="306"/>
      <c r="AT307" s="306"/>
      <c r="AU307" s="306"/>
      <c r="AV307" s="306"/>
      <c r="AW307" s="306"/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customHeight="1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806</v>
      </c>
      <c r="H308" s="311"/>
      <c r="I308" s="295"/>
      <c r="J308" s="296" t="s">
        <v>759</v>
      </c>
      <c r="K308" s="292"/>
      <c r="L308" s="292"/>
      <c r="M308" s="292">
        <v>65944</v>
      </c>
      <c r="N308" s="292"/>
      <c r="O308" s="292"/>
      <c r="P308" s="292"/>
      <c r="Q308" s="292"/>
      <c r="R308" s="292" t="s">
        <v>32</v>
      </c>
      <c r="S308" s="297" t="s">
        <v>32</v>
      </c>
      <c r="T308" s="298" t="s">
        <v>747</v>
      </c>
      <c r="U308" s="299"/>
      <c r="V308" s="299"/>
      <c r="W308" s="300">
        <v>0</v>
      </c>
      <c r="X308" s="301"/>
      <c r="Y308" s="292" t="s">
        <v>31</v>
      </c>
      <c r="Z308" s="302" t="s">
        <v>31</v>
      </c>
      <c r="AA308" s="317"/>
      <c r="AB308" s="317"/>
      <c r="AC308" s="303">
        <f t="shared" si="9"/>
        <v>43000000</v>
      </c>
      <c r="AD308" s="303">
        <v>43000000</v>
      </c>
      <c r="AE308" s="303">
        <f t="shared" si="10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>
        <v>4000000</v>
      </c>
      <c r="AP308" s="306"/>
      <c r="AQ308" s="306">
        <v>3000000</v>
      </c>
      <c r="AR308" s="306"/>
      <c r="AS308" s="306">
        <v>5000000</v>
      </c>
      <c r="AT308" s="306"/>
      <c r="AU308" s="306">
        <v>5000000</v>
      </c>
      <c r="AV308" s="306"/>
      <c r="AW308" s="306">
        <v>5000000</v>
      </c>
      <c r="AX308" s="306"/>
      <c r="AY308" s="306">
        <v>5000000</v>
      </c>
      <c r="AZ308" s="306"/>
      <c r="BA308" s="306">
        <v>5000000</v>
      </c>
      <c r="BB308" s="306"/>
      <c r="BC308" s="306">
        <v>5000000</v>
      </c>
      <c r="BD308" s="306"/>
      <c r="BE308" s="306">
        <v>6000000</v>
      </c>
      <c r="BF308" s="306"/>
      <c r="BG308" s="308"/>
      <c r="BH308" s="309"/>
    </row>
    <row r="309" spans="1:60" s="310" customFormat="1" ht="16.5" customHeight="1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524</v>
      </c>
      <c r="K309" s="292"/>
      <c r="L309" s="292"/>
      <c r="M309" s="292">
        <v>3902</v>
      </c>
      <c r="N309" s="292"/>
      <c r="O309" s="292"/>
      <c r="P309" s="292"/>
      <c r="Q309" s="292"/>
      <c r="R309" s="292" t="s">
        <v>353</v>
      </c>
      <c r="S309" s="297" t="s">
        <v>353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24</v>
      </c>
      <c r="AA309" s="317"/>
      <c r="AB309" s="317"/>
      <c r="AC309" s="303">
        <f t="shared" si="9"/>
        <v>0</v>
      </c>
      <c r="AD309" s="303">
        <v>0</v>
      </c>
      <c r="AE309" s="303">
        <f t="shared" si="10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06"/>
      <c r="AR309" s="306"/>
      <c r="AS309" s="306"/>
      <c r="AT309" s="306"/>
      <c r="AU309" s="306"/>
      <c r="AV309" s="306"/>
      <c r="AW309" s="306"/>
      <c r="AX309" s="306"/>
      <c r="AY309" s="306"/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customHeight="1">
      <c r="A310" s="290">
        <v>289</v>
      </c>
      <c r="B310" s="291"/>
      <c r="C310" s="291"/>
      <c r="D310" s="292" t="s">
        <v>208</v>
      </c>
      <c r="E310" s="292" t="s">
        <v>2</v>
      </c>
      <c r="F310" s="293" t="s">
        <v>208</v>
      </c>
      <c r="G310" s="294" t="s">
        <v>2</v>
      </c>
      <c r="H310" s="311"/>
      <c r="I310" s="295"/>
      <c r="J310" s="296" t="s">
        <v>85</v>
      </c>
      <c r="K310" s="292"/>
      <c r="L310" s="292"/>
      <c r="M310" s="292">
        <v>13332</v>
      </c>
      <c r="N310" s="292" t="s">
        <v>44</v>
      </c>
      <c r="O310" s="292"/>
      <c r="P310" s="292"/>
      <c r="Q310" s="292" t="s">
        <v>30</v>
      </c>
      <c r="R310" s="292" t="s">
        <v>353</v>
      </c>
      <c r="S310" s="297" t="s">
        <v>353</v>
      </c>
      <c r="T310" s="298"/>
      <c r="U310" s="299">
        <v>25383000</v>
      </c>
      <c r="V310" s="299">
        <v>0</v>
      </c>
      <c r="W310" s="300">
        <v>0</v>
      </c>
      <c r="X310" s="301"/>
      <c r="Y310" s="292" t="s">
        <v>24</v>
      </c>
      <c r="Z310" s="302" t="s">
        <v>24</v>
      </c>
      <c r="AA310" s="317"/>
      <c r="AB310" s="317"/>
      <c r="AC310" s="303">
        <f t="shared" si="9"/>
        <v>0</v>
      </c>
      <c r="AD310" s="303">
        <v>0</v>
      </c>
      <c r="AE310" s="303">
        <f t="shared" si="10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customHeight="1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2</v>
      </c>
      <c r="H311" s="311"/>
      <c r="I311" s="295"/>
      <c r="J311" s="296" t="s">
        <v>760</v>
      </c>
      <c r="K311" s="292"/>
      <c r="L311" s="292"/>
      <c r="M311" s="292">
        <v>7175</v>
      </c>
      <c r="N311" s="292" t="s">
        <v>26</v>
      </c>
      <c r="O311" s="292"/>
      <c r="P311" s="292"/>
      <c r="Q311" s="292" t="s">
        <v>83</v>
      </c>
      <c r="R311" s="292" t="s">
        <v>32</v>
      </c>
      <c r="S311" s="297" t="s">
        <v>32</v>
      </c>
      <c r="T311" s="298" t="s">
        <v>747</v>
      </c>
      <c r="U311" s="299">
        <v>77550380</v>
      </c>
      <c r="V311" s="299">
        <v>113699900</v>
      </c>
      <c r="W311" s="300">
        <v>112926140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9"/>
        <v>59094640</v>
      </c>
      <c r="AD311" s="303">
        <v>59094640</v>
      </c>
      <c r="AE311" s="303">
        <f t="shared" si="10"/>
        <v>0</v>
      </c>
      <c r="AF311" s="304"/>
      <c r="AG311" s="305"/>
      <c r="AH311" s="304"/>
      <c r="AI311" s="304"/>
      <c r="AJ311" s="305">
        <v>6854640</v>
      </c>
      <c r="AK311" s="304"/>
      <c r="AL311" s="306">
        <v>1240000</v>
      </c>
      <c r="AM311" s="318">
        <v>1240000</v>
      </c>
      <c r="AN311" s="306"/>
      <c r="AO311" s="307">
        <v>5000000</v>
      </c>
      <c r="AP311" s="306"/>
      <c r="AQ311" s="306">
        <v>5000000</v>
      </c>
      <c r="AR311" s="306"/>
      <c r="AS311" s="306">
        <v>5000000</v>
      </c>
      <c r="AT311" s="306"/>
      <c r="AU311" s="306">
        <v>6000000</v>
      </c>
      <c r="AV311" s="306"/>
      <c r="AW311" s="306">
        <v>6000000</v>
      </c>
      <c r="AX311" s="306"/>
      <c r="AY311" s="306">
        <v>6000000</v>
      </c>
      <c r="AZ311" s="306"/>
      <c r="BA311" s="306">
        <v>6000000</v>
      </c>
      <c r="BB311" s="306"/>
      <c r="BC311" s="306">
        <v>6000000</v>
      </c>
      <c r="BD311" s="306"/>
      <c r="BE311" s="306">
        <v>6000000</v>
      </c>
      <c r="BF311" s="306"/>
      <c r="BG311" s="308"/>
      <c r="BH311" s="309"/>
    </row>
    <row r="312" spans="1:60" s="310" customFormat="1" ht="16.5" customHeight="1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2</v>
      </c>
      <c r="H312" s="311"/>
      <c r="I312" s="295"/>
      <c r="J312" s="296" t="s">
        <v>760</v>
      </c>
      <c r="K312" s="292"/>
      <c r="L312" s="292"/>
      <c r="M312" s="292">
        <v>7175</v>
      </c>
      <c r="N312" s="292" t="s">
        <v>26</v>
      </c>
      <c r="O312" s="292"/>
      <c r="P312" s="292"/>
      <c r="Q312" s="292" t="s">
        <v>83</v>
      </c>
      <c r="R312" s="292" t="s">
        <v>32</v>
      </c>
      <c r="S312" s="297" t="s">
        <v>32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9"/>
        <v>8000000</v>
      </c>
      <c r="AD312" s="303">
        <v>9000000</v>
      </c>
      <c r="AE312" s="303">
        <f t="shared" si="10"/>
        <v>-1000000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>
        <v>1000000</v>
      </c>
      <c r="AR312" s="306"/>
      <c r="AS312" s="306">
        <v>1000000</v>
      </c>
      <c r="AT312" s="306"/>
      <c r="AU312" s="306">
        <v>1000000</v>
      </c>
      <c r="AV312" s="306"/>
      <c r="AW312" s="306">
        <v>1000000</v>
      </c>
      <c r="AX312" s="306"/>
      <c r="AY312" s="306">
        <v>1000000</v>
      </c>
      <c r="AZ312" s="306"/>
      <c r="BA312" s="306">
        <v>1000000</v>
      </c>
      <c r="BB312" s="306"/>
      <c r="BC312" s="306">
        <v>1000000</v>
      </c>
      <c r="BD312" s="306"/>
      <c r="BE312" s="306">
        <v>1000000</v>
      </c>
      <c r="BF312" s="306"/>
      <c r="BG312" s="308"/>
      <c r="BH312" s="309"/>
    </row>
    <row r="313" spans="1:60" s="310" customFormat="1" ht="16.5" customHeight="1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760</v>
      </c>
      <c r="K313" s="292"/>
      <c r="L313" s="292"/>
      <c r="M313" s="292">
        <v>7175</v>
      </c>
      <c r="N313" s="292" t="s">
        <v>26</v>
      </c>
      <c r="O313" s="292"/>
      <c r="P313" s="292"/>
      <c r="Q313" s="292" t="s">
        <v>30</v>
      </c>
      <c r="R313" s="292" t="s">
        <v>353</v>
      </c>
      <c r="S313" s="297" t="s">
        <v>353</v>
      </c>
      <c r="T313" s="298"/>
      <c r="U313" s="299"/>
      <c r="V313" s="299">
        <v>7064000</v>
      </c>
      <c r="W313" s="300">
        <v>2800000</v>
      </c>
      <c r="X313" s="301"/>
      <c r="Y313" s="292" t="s">
        <v>31</v>
      </c>
      <c r="Z313" s="302" t="s">
        <v>29</v>
      </c>
      <c r="AA313" s="317"/>
      <c r="AB313" s="317"/>
      <c r="AC313" s="303">
        <f t="shared" si="9"/>
        <v>6000000</v>
      </c>
      <c r="AD313" s="303">
        <v>6000000</v>
      </c>
      <c r="AE313" s="303">
        <f t="shared" si="10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>
        <v>3000000</v>
      </c>
      <c r="AR313" s="306"/>
      <c r="AS313" s="306"/>
      <c r="AT313" s="306"/>
      <c r="AU313" s="306"/>
      <c r="AV313" s="306"/>
      <c r="AW313" s="306">
        <v>3000000</v>
      </c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customHeight="1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760</v>
      </c>
      <c r="K314" s="292"/>
      <c r="L314" s="292"/>
      <c r="M314" s="292">
        <v>7175</v>
      </c>
      <c r="N314" s="292" t="s">
        <v>26</v>
      </c>
      <c r="O314" s="292"/>
      <c r="P314" s="292"/>
      <c r="Q314" s="292" t="s">
        <v>30</v>
      </c>
      <c r="R314" s="292" t="s">
        <v>353</v>
      </c>
      <c r="S314" s="297" t="s">
        <v>353</v>
      </c>
      <c r="T314" s="298"/>
      <c r="U314" s="299"/>
      <c r="V314" s="299">
        <v>0</v>
      </c>
      <c r="W314" s="300">
        <v>0</v>
      </c>
      <c r="X314" s="301"/>
      <c r="Y314" s="292" t="s">
        <v>29</v>
      </c>
      <c r="Z314" s="302" t="s">
        <v>441</v>
      </c>
      <c r="AA314" s="317"/>
      <c r="AB314" s="317"/>
      <c r="AC314" s="303">
        <f t="shared" si="9"/>
        <v>0</v>
      </c>
      <c r="AD314" s="303">
        <v>0</v>
      </c>
      <c r="AE314" s="303">
        <f t="shared" si="10"/>
        <v>0</v>
      </c>
      <c r="AF314" s="304"/>
      <c r="AG314" s="305"/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customHeight="1">
      <c r="A315" s="290">
        <v>294</v>
      </c>
      <c r="B315" s="291"/>
      <c r="C315" s="291"/>
      <c r="D315" s="292" t="s">
        <v>208</v>
      </c>
      <c r="E315" s="292" t="s">
        <v>2</v>
      </c>
      <c r="F315" s="293" t="s">
        <v>208</v>
      </c>
      <c r="G315" s="294" t="s">
        <v>2</v>
      </c>
      <c r="H315" s="311"/>
      <c r="I315" s="295"/>
      <c r="J315" s="296" t="s">
        <v>760</v>
      </c>
      <c r="K315" s="292"/>
      <c r="L315" s="292"/>
      <c r="M315" s="292">
        <v>7175</v>
      </c>
      <c r="N315" s="292" t="s">
        <v>26</v>
      </c>
      <c r="O315" s="292"/>
      <c r="P315" s="292"/>
      <c r="Q315" s="292"/>
      <c r="R315" s="292" t="s">
        <v>355</v>
      </c>
      <c r="S315" s="297" t="s">
        <v>679</v>
      </c>
      <c r="T315" s="298"/>
      <c r="U315" s="299"/>
      <c r="V315" s="299"/>
      <c r="W315" s="300">
        <v>0</v>
      </c>
      <c r="X315" s="301"/>
      <c r="Y315" s="292" t="s">
        <v>29</v>
      </c>
      <c r="Z315" s="302" t="s">
        <v>29</v>
      </c>
      <c r="AA315" s="317"/>
      <c r="AB315" s="317"/>
      <c r="AC315" s="303">
        <f t="shared" si="9"/>
        <v>10000000</v>
      </c>
      <c r="AD315" s="303">
        <v>10000000</v>
      </c>
      <c r="AE315" s="303">
        <f t="shared" si="10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>
        <v>5000000</v>
      </c>
      <c r="AR315" s="306"/>
      <c r="AS315" s="306"/>
      <c r="AT315" s="306"/>
      <c r="AU315" s="306"/>
      <c r="AV315" s="306"/>
      <c r="AW315" s="306"/>
      <c r="AX315" s="306"/>
      <c r="AY315" s="306">
        <v>5000000</v>
      </c>
      <c r="AZ315" s="306"/>
      <c r="BA315" s="306"/>
      <c r="BB315" s="306"/>
      <c r="BC315" s="306"/>
      <c r="BD315" s="306"/>
      <c r="BE315" s="306"/>
      <c r="BF315" s="306"/>
      <c r="BG315" s="308"/>
      <c r="BH315" s="309"/>
    </row>
    <row r="316" spans="1:60" s="310" customFormat="1" ht="16.5" customHeight="1">
      <c r="A316" s="290">
        <v>295</v>
      </c>
      <c r="B316" s="291"/>
      <c r="C316" s="291"/>
      <c r="D316" s="292"/>
      <c r="E316" s="292"/>
      <c r="F316" s="293" t="s">
        <v>208</v>
      </c>
      <c r="G316" s="294" t="s">
        <v>2</v>
      </c>
      <c r="H316" s="311"/>
      <c r="I316" s="295"/>
      <c r="J316" s="296" t="s">
        <v>760</v>
      </c>
      <c r="K316" s="292"/>
      <c r="L316" s="292"/>
      <c r="M316" s="292">
        <v>7175</v>
      </c>
      <c r="N316" s="292"/>
      <c r="O316" s="292"/>
      <c r="P316" s="292"/>
      <c r="Q316" s="292"/>
      <c r="R316" s="292"/>
      <c r="S316" s="297" t="s">
        <v>691</v>
      </c>
      <c r="T316" s="298"/>
      <c r="U316" s="299"/>
      <c r="V316" s="299"/>
      <c r="W316" s="300">
        <v>9254000</v>
      </c>
      <c r="X316" s="301"/>
      <c r="Y316" s="292"/>
      <c r="Z316" s="302" t="s">
        <v>578</v>
      </c>
      <c r="AA316" s="317"/>
      <c r="AB316" s="317"/>
      <c r="AC316" s="303">
        <f t="shared" si="9"/>
        <v>0</v>
      </c>
      <c r="AD316" s="303">
        <v>0</v>
      </c>
      <c r="AE316" s="303">
        <f t="shared" si="10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customHeight="1">
      <c r="A317" s="290">
        <v>296</v>
      </c>
      <c r="B317" s="291"/>
      <c r="C317" s="291"/>
      <c r="D317" s="292" t="s">
        <v>208</v>
      </c>
      <c r="E317" s="292" t="s">
        <v>2</v>
      </c>
      <c r="F317" s="293" t="s">
        <v>208</v>
      </c>
      <c r="G317" s="294" t="s">
        <v>799</v>
      </c>
      <c r="H317" s="311"/>
      <c r="I317" s="295"/>
      <c r="J317" s="296" t="s">
        <v>86</v>
      </c>
      <c r="K317" s="292"/>
      <c r="L317" s="292"/>
      <c r="M317" s="292">
        <v>30465</v>
      </c>
      <c r="N317" s="292" t="s">
        <v>44</v>
      </c>
      <c r="O317" s="292"/>
      <c r="P317" s="292"/>
      <c r="Q317" s="292" t="s">
        <v>22</v>
      </c>
      <c r="R317" s="292" t="s">
        <v>23</v>
      </c>
      <c r="S317" s="297" t="s">
        <v>23</v>
      </c>
      <c r="T317" s="298" t="s">
        <v>747</v>
      </c>
      <c r="U317" s="299">
        <v>15153000</v>
      </c>
      <c r="V317" s="299">
        <v>12299300</v>
      </c>
      <c r="W317" s="300">
        <v>41233850</v>
      </c>
      <c r="X317" s="301"/>
      <c r="Y317" s="292" t="s">
        <v>31</v>
      </c>
      <c r="Z317" s="302" t="s">
        <v>31</v>
      </c>
      <c r="AA317" s="317"/>
      <c r="AB317" s="317"/>
      <c r="AC317" s="303">
        <f t="shared" si="9"/>
        <v>8720250</v>
      </c>
      <c r="AD317" s="303">
        <v>8720250</v>
      </c>
      <c r="AE317" s="303">
        <f t="shared" si="10"/>
        <v>0</v>
      </c>
      <c r="AF317" s="304">
        <v>2000000</v>
      </c>
      <c r="AG317" s="305">
        <v>32000</v>
      </c>
      <c r="AH317" s="304"/>
      <c r="AI317" s="304">
        <v>2000000</v>
      </c>
      <c r="AJ317" s="305">
        <v>5403800</v>
      </c>
      <c r="AK317" s="304"/>
      <c r="AL317" s="306">
        <v>3284450</v>
      </c>
      <c r="AM317" s="318">
        <v>3284450</v>
      </c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customHeight="1">
      <c r="A318" s="290">
        <v>297</v>
      </c>
      <c r="B318" s="291"/>
      <c r="C318" s="291"/>
      <c r="D318" s="292" t="s">
        <v>208</v>
      </c>
      <c r="E318" s="292" t="s">
        <v>2</v>
      </c>
      <c r="F318" s="293" t="s">
        <v>208</v>
      </c>
      <c r="G318" s="294" t="s">
        <v>799</v>
      </c>
      <c r="H318" s="311"/>
      <c r="I318" s="295"/>
      <c r="J318" s="296" t="s">
        <v>86</v>
      </c>
      <c r="K318" s="292"/>
      <c r="L318" s="292"/>
      <c r="M318" s="292">
        <v>30465</v>
      </c>
      <c r="N318" s="292" t="s">
        <v>44</v>
      </c>
      <c r="O318" s="292"/>
      <c r="P318" s="292"/>
      <c r="Q318" s="292" t="s">
        <v>22</v>
      </c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28</v>
      </c>
      <c r="Z318" s="302" t="s">
        <v>28</v>
      </c>
      <c r="AA318" s="317"/>
      <c r="AB318" s="317"/>
      <c r="AC318" s="303">
        <f t="shared" si="9"/>
        <v>10000000</v>
      </c>
      <c r="AD318" s="303">
        <v>10000000</v>
      </c>
      <c r="AE318" s="303">
        <f t="shared" si="10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>
        <v>10000000</v>
      </c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customHeight="1">
      <c r="A319" s="290">
        <v>298</v>
      </c>
      <c r="B319" s="291"/>
      <c r="C319" s="291"/>
      <c r="D319" s="292" t="s">
        <v>208</v>
      </c>
      <c r="E319" s="292" t="s">
        <v>2</v>
      </c>
      <c r="F319" s="293" t="s">
        <v>208</v>
      </c>
      <c r="G319" s="294" t="s">
        <v>2</v>
      </c>
      <c r="H319" s="311"/>
      <c r="I319" s="295"/>
      <c r="J319" s="296" t="s">
        <v>103</v>
      </c>
      <c r="K319" s="292"/>
      <c r="L319" s="292"/>
      <c r="M319" s="292">
        <v>54459</v>
      </c>
      <c r="N319" s="292" t="s">
        <v>26</v>
      </c>
      <c r="O319" s="292"/>
      <c r="P319" s="292"/>
      <c r="Q319" s="292" t="s">
        <v>22</v>
      </c>
      <c r="R319" s="292" t="s">
        <v>23</v>
      </c>
      <c r="S319" s="297" t="s">
        <v>23</v>
      </c>
      <c r="T319" s="298"/>
      <c r="U319" s="299">
        <v>10880000</v>
      </c>
      <c r="V319" s="299">
        <v>0</v>
      </c>
      <c r="W319" s="300">
        <v>0</v>
      </c>
      <c r="X319" s="301"/>
      <c r="Y319" s="292" t="s">
        <v>28</v>
      </c>
      <c r="Z319" s="302" t="s">
        <v>441</v>
      </c>
      <c r="AA319" s="317"/>
      <c r="AB319" s="317"/>
      <c r="AC319" s="303">
        <f t="shared" si="9"/>
        <v>0</v>
      </c>
      <c r="AD319" s="303">
        <v>0</v>
      </c>
      <c r="AE319" s="303">
        <f t="shared" si="10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customHeight="1">
      <c r="A320" s="290">
        <v>299</v>
      </c>
      <c r="B320" s="291"/>
      <c r="C320" s="291"/>
      <c r="D320" s="292" t="s">
        <v>208</v>
      </c>
      <c r="E320" s="292" t="s">
        <v>2</v>
      </c>
      <c r="F320" s="293" t="s">
        <v>208</v>
      </c>
      <c r="G320" s="294" t="s">
        <v>2</v>
      </c>
      <c r="H320" s="311"/>
      <c r="I320" s="295"/>
      <c r="J320" s="296" t="s">
        <v>103</v>
      </c>
      <c r="K320" s="292"/>
      <c r="L320" s="292"/>
      <c r="M320" s="292">
        <v>54459</v>
      </c>
      <c r="N320" s="292" t="s">
        <v>26</v>
      </c>
      <c r="O320" s="292"/>
      <c r="P320" s="292"/>
      <c r="Q320" s="292" t="s">
        <v>33</v>
      </c>
      <c r="R320" s="292" t="s">
        <v>34</v>
      </c>
      <c r="S320" s="297" t="s">
        <v>34</v>
      </c>
      <c r="T320" s="298"/>
      <c r="U320" s="299"/>
      <c r="V320" s="299">
        <v>39075000</v>
      </c>
      <c r="W320" s="300">
        <v>15235000</v>
      </c>
      <c r="X320" s="301"/>
      <c r="Y320" s="292" t="s">
        <v>31</v>
      </c>
      <c r="Z320" s="302" t="s">
        <v>31</v>
      </c>
      <c r="AA320" s="317"/>
      <c r="AB320" s="317"/>
      <c r="AC320" s="303">
        <f t="shared" si="9"/>
        <v>11600000</v>
      </c>
      <c r="AD320" s="303">
        <v>11600000</v>
      </c>
      <c r="AE320" s="303">
        <f t="shared" si="10"/>
        <v>0</v>
      </c>
      <c r="AF320" s="304">
        <v>11600000</v>
      </c>
      <c r="AG320" s="305">
        <v>11600000</v>
      </c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customHeight="1">
      <c r="A321" s="290">
        <v>300</v>
      </c>
      <c r="B321" s="291"/>
      <c r="C321" s="291"/>
      <c r="D321" s="292"/>
      <c r="E321" s="292"/>
      <c r="F321" s="293" t="s">
        <v>208</v>
      </c>
      <c r="G321" s="294" t="s">
        <v>847</v>
      </c>
      <c r="H321" s="311" t="s">
        <v>846</v>
      </c>
      <c r="I321" s="295"/>
      <c r="J321" s="296" t="s">
        <v>103</v>
      </c>
      <c r="K321" s="292"/>
      <c r="L321" s="292"/>
      <c r="M321" s="292">
        <v>54459</v>
      </c>
      <c r="N321" s="292" t="s">
        <v>26</v>
      </c>
      <c r="O321" s="292"/>
      <c r="P321" s="292"/>
      <c r="Q321" s="292" t="s">
        <v>33</v>
      </c>
      <c r="R321" s="292" t="s">
        <v>34</v>
      </c>
      <c r="S321" s="297" t="s">
        <v>34</v>
      </c>
      <c r="T321" s="298"/>
      <c r="U321" s="299"/>
      <c r="V321" s="299"/>
      <c r="W321" s="300"/>
      <c r="X321" s="301"/>
      <c r="Y321" s="292"/>
      <c r="Z321" s="302" t="s">
        <v>29</v>
      </c>
      <c r="AA321" s="317"/>
      <c r="AB321" s="317"/>
      <c r="AC321" s="303">
        <f t="shared" si="9"/>
        <v>10000000</v>
      </c>
      <c r="AD321" s="303">
        <v>10000000</v>
      </c>
      <c r="AE321" s="303">
        <f t="shared" si="10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>
        <v>10000000</v>
      </c>
      <c r="BF321" s="306"/>
      <c r="BG321" s="308"/>
      <c r="BH321" s="309"/>
    </row>
    <row r="322" spans="1:60" s="310" customFormat="1" ht="16.5" customHeight="1">
      <c r="A322" s="290">
        <v>301</v>
      </c>
      <c r="B322" s="291"/>
      <c r="C322" s="291"/>
      <c r="D322" s="292" t="s">
        <v>208</v>
      </c>
      <c r="E322" s="292" t="s">
        <v>2</v>
      </c>
      <c r="F322" s="293" t="s">
        <v>208</v>
      </c>
      <c r="G322" s="294" t="s">
        <v>2</v>
      </c>
      <c r="H322" s="311"/>
      <c r="I322" s="295"/>
      <c r="J322" s="296" t="s">
        <v>103</v>
      </c>
      <c r="K322" s="292"/>
      <c r="L322" s="292"/>
      <c r="M322" s="292">
        <v>54459</v>
      </c>
      <c r="N322" s="292" t="s">
        <v>26</v>
      </c>
      <c r="O322" s="292"/>
      <c r="P322" s="292"/>
      <c r="Q322" s="292" t="s">
        <v>33</v>
      </c>
      <c r="R322" s="292" t="s">
        <v>34</v>
      </c>
      <c r="S322" s="297" t="s">
        <v>34</v>
      </c>
      <c r="T322" s="298"/>
      <c r="U322" s="299"/>
      <c r="V322" s="299"/>
      <c r="W322" s="300">
        <v>0</v>
      </c>
      <c r="X322" s="301"/>
      <c r="Y322" s="292" t="s">
        <v>28</v>
      </c>
      <c r="Z322" s="302" t="s">
        <v>441</v>
      </c>
      <c r="AA322" s="317"/>
      <c r="AB322" s="317"/>
      <c r="AC322" s="303">
        <f t="shared" si="9"/>
        <v>0</v>
      </c>
      <c r="AD322" s="303">
        <v>0</v>
      </c>
      <c r="AE322" s="303">
        <f t="shared" si="10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customHeight="1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295"/>
      <c r="J323" s="296" t="s">
        <v>127</v>
      </c>
      <c r="K323" s="292"/>
      <c r="L323" s="292"/>
      <c r="M323" s="292">
        <v>2271</v>
      </c>
      <c r="N323" s="292"/>
      <c r="O323" s="292"/>
      <c r="P323" s="292"/>
      <c r="Q323" s="292" t="s">
        <v>30</v>
      </c>
      <c r="R323" s="292" t="s">
        <v>353</v>
      </c>
      <c r="S323" s="297" t="s">
        <v>353</v>
      </c>
      <c r="T323" s="298"/>
      <c r="U323" s="299">
        <v>2800000</v>
      </c>
      <c r="V323" s="299">
        <v>0</v>
      </c>
      <c r="W323" s="300">
        <v>0</v>
      </c>
      <c r="X323" s="301"/>
      <c r="Y323" s="292" t="s">
        <v>25</v>
      </c>
      <c r="Z323" s="302" t="s">
        <v>25</v>
      </c>
      <c r="AA323" s="317"/>
      <c r="AB323" s="317"/>
      <c r="AC323" s="303">
        <f t="shared" si="9"/>
        <v>0</v>
      </c>
      <c r="AD323" s="303">
        <v>0</v>
      </c>
      <c r="AE323" s="303">
        <f t="shared" si="10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/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customHeight="1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747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9"/>
        <v>95000000</v>
      </c>
      <c r="AD324" s="303">
        <v>95000000</v>
      </c>
      <c r="AE324" s="303">
        <f t="shared" si="10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customHeight="1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9"/>
        <v>0</v>
      </c>
      <c r="AD325" s="303">
        <v>0</v>
      </c>
      <c r="AE325" s="303">
        <f t="shared" si="10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customHeight="1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9"/>
        <v>0</v>
      </c>
      <c r="AD326" s="303">
        <v>0</v>
      </c>
      <c r="AE326" s="303">
        <f t="shared" si="10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customHeight="1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9"/>
        <v>10000000</v>
      </c>
      <c r="AD327" s="303">
        <v>10000000</v>
      </c>
      <c r="AE327" s="303">
        <f t="shared" si="10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customHeight="1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9"/>
        <v>0</v>
      </c>
      <c r="AD328" s="303">
        <v>0</v>
      </c>
      <c r="AE328" s="303">
        <f t="shared" si="10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customHeight="1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680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9"/>
        <v>0</v>
      </c>
      <c r="AD329" s="303">
        <v>0</v>
      </c>
      <c r="AE329" s="303">
        <f t="shared" si="10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customHeight="1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884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747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9"/>
        <v>62249810</v>
      </c>
      <c r="AD330" s="303">
        <v>62249810</v>
      </c>
      <c r="AE330" s="303">
        <f t="shared" si="10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customHeight="1">
      <c r="A331" s="290">
        <v>311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104</v>
      </c>
      <c r="K331" s="292"/>
      <c r="L331" s="292"/>
      <c r="M331" s="292">
        <v>22746</v>
      </c>
      <c r="N331" s="292" t="s">
        <v>44</v>
      </c>
      <c r="O331" s="292"/>
      <c r="P331" s="292"/>
      <c r="Q331" s="292" t="s">
        <v>27</v>
      </c>
      <c r="R331" s="292" t="s">
        <v>273</v>
      </c>
      <c r="S331" s="297" t="s">
        <v>683</v>
      </c>
      <c r="T331" s="298"/>
      <c r="U331" s="299">
        <v>3100000</v>
      </c>
      <c r="V331" s="299">
        <v>0</v>
      </c>
      <c r="W331" s="300">
        <v>0</v>
      </c>
      <c r="X331" s="301"/>
      <c r="Y331" s="292" t="s">
        <v>25</v>
      </c>
      <c r="Z331" s="302" t="s">
        <v>25</v>
      </c>
      <c r="AA331" s="317"/>
      <c r="AB331" s="317"/>
      <c r="AC331" s="303">
        <f t="shared" si="9"/>
        <v>0</v>
      </c>
      <c r="AD331" s="303">
        <v>0</v>
      </c>
      <c r="AE331" s="303">
        <f t="shared" si="10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customHeight="1">
      <c r="A332" s="290">
        <v>312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438</v>
      </c>
      <c r="K332" s="292"/>
      <c r="L332" s="292"/>
      <c r="M332" s="292">
        <v>22867</v>
      </c>
      <c r="N332" s="292"/>
      <c r="O332" s="292"/>
      <c r="P332" s="292"/>
      <c r="Q332" s="292" t="s">
        <v>46</v>
      </c>
      <c r="R332" s="292" t="s">
        <v>359</v>
      </c>
      <c r="S332" s="297" t="s">
        <v>690</v>
      </c>
      <c r="T332" s="298"/>
      <c r="U332" s="299"/>
      <c r="V332" s="299">
        <v>450000</v>
      </c>
      <c r="W332" s="300">
        <v>0</v>
      </c>
      <c r="X332" s="301"/>
      <c r="Y332" s="292" t="s">
        <v>29</v>
      </c>
      <c r="Z332" s="302" t="s">
        <v>24</v>
      </c>
      <c r="AA332" s="317"/>
      <c r="AB332" s="317"/>
      <c r="AC332" s="303">
        <f t="shared" si="9"/>
        <v>0</v>
      </c>
      <c r="AD332" s="303">
        <v>0</v>
      </c>
      <c r="AE332" s="303">
        <f t="shared" si="10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customHeight="1">
      <c r="A333" s="290">
        <v>313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502</v>
      </c>
      <c r="K333" s="292"/>
      <c r="L333" s="292"/>
      <c r="M333" s="292">
        <v>54877</v>
      </c>
      <c r="N333" s="292"/>
      <c r="O333" s="292"/>
      <c r="P333" s="292"/>
      <c r="Q333" s="292" t="s">
        <v>33</v>
      </c>
      <c r="R333" s="292" t="s">
        <v>34</v>
      </c>
      <c r="S333" s="297" t="s">
        <v>34</v>
      </c>
      <c r="T333" s="298"/>
      <c r="U333" s="299"/>
      <c r="V333" s="299">
        <v>660000</v>
      </c>
      <c r="W333" s="300">
        <v>595000</v>
      </c>
      <c r="X333" s="301"/>
      <c r="Y333" s="292" t="s">
        <v>24</v>
      </c>
      <c r="Z333" s="302" t="s">
        <v>24</v>
      </c>
      <c r="AA333" s="317"/>
      <c r="AB333" s="317"/>
      <c r="AC333" s="303">
        <f t="shared" si="9"/>
        <v>0</v>
      </c>
      <c r="AD333" s="303">
        <v>0</v>
      </c>
      <c r="AE333" s="303">
        <f t="shared" si="10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customHeight="1">
      <c r="A334" s="290">
        <v>314</v>
      </c>
      <c r="B334" s="291"/>
      <c r="C334" s="291"/>
      <c r="D334" s="292" t="s">
        <v>208</v>
      </c>
      <c r="E334" s="292" t="s">
        <v>1</v>
      </c>
      <c r="F334" s="293" t="s">
        <v>208</v>
      </c>
      <c r="G334" s="294" t="s">
        <v>2</v>
      </c>
      <c r="H334" s="311"/>
      <c r="I334" s="295"/>
      <c r="J334" s="296" t="s">
        <v>657</v>
      </c>
      <c r="K334" s="292"/>
      <c r="L334" s="292"/>
      <c r="M334" s="292">
        <v>25057</v>
      </c>
      <c r="N334" s="292" t="s">
        <v>21</v>
      </c>
      <c r="O334" s="292"/>
      <c r="P334" s="292"/>
      <c r="Q334" s="292" t="s">
        <v>22</v>
      </c>
      <c r="R334" s="292" t="s">
        <v>23</v>
      </c>
      <c r="S334" s="297" t="s">
        <v>23</v>
      </c>
      <c r="T334" s="298"/>
      <c r="U334" s="299"/>
      <c r="V334" s="299">
        <v>0</v>
      </c>
      <c r="W334" s="300">
        <v>0</v>
      </c>
      <c r="X334" s="301"/>
      <c r="Y334" s="292"/>
      <c r="Z334" s="302" t="s">
        <v>28</v>
      </c>
      <c r="AA334" s="317"/>
      <c r="AB334" s="317"/>
      <c r="AC334" s="303">
        <f t="shared" si="9"/>
        <v>0</v>
      </c>
      <c r="AD334" s="303">
        <v>0</v>
      </c>
      <c r="AE334" s="303">
        <f t="shared" si="10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>
        <v>0</v>
      </c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customHeight="1">
      <c r="A335" s="290">
        <v>315</v>
      </c>
      <c r="B335" s="291"/>
      <c r="C335" s="291"/>
      <c r="D335" s="292" t="s">
        <v>208</v>
      </c>
      <c r="E335" s="292" t="s">
        <v>2</v>
      </c>
      <c r="F335" s="293" t="s">
        <v>208</v>
      </c>
      <c r="G335" s="294" t="s">
        <v>2</v>
      </c>
      <c r="H335" s="311"/>
      <c r="I335" s="295"/>
      <c r="J335" s="296" t="s">
        <v>469</v>
      </c>
      <c r="K335" s="292"/>
      <c r="L335" s="292"/>
      <c r="M335" s="292">
        <v>27732</v>
      </c>
      <c r="N335" s="292" t="s">
        <v>26</v>
      </c>
      <c r="O335" s="292"/>
      <c r="P335" s="292"/>
      <c r="Q335" s="292" t="s">
        <v>83</v>
      </c>
      <c r="R335" s="292" t="s">
        <v>32</v>
      </c>
      <c r="S335" s="297" t="s">
        <v>32</v>
      </c>
      <c r="T335" s="298" t="s">
        <v>747</v>
      </c>
      <c r="U335" s="299">
        <v>187517046</v>
      </c>
      <c r="V335" s="299">
        <v>225788344</v>
      </c>
      <c r="W335" s="300">
        <v>320351712</v>
      </c>
      <c r="X335" s="301"/>
      <c r="Y335" s="292" t="s">
        <v>31</v>
      </c>
      <c r="Z335" s="302" t="s">
        <v>31</v>
      </c>
      <c r="AA335" s="317"/>
      <c r="AB335" s="317"/>
      <c r="AC335" s="303">
        <f t="shared" si="9"/>
        <v>317256266</v>
      </c>
      <c r="AD335" s="303">
        <v>317256266</v>
      </c>
      <c r="AE335" s="303">
        <f t="shared" si="10"/>
        <v>0</v>
      </c>
      <c r="AF335" s="304">
        <v>3160350</v>
      </c>
      <c r="AG335" s="305">
        <v>3160350</v>
      </c>
      <c r="AH335" s="304" t="s">
        <v>701</v>
      </c>
      <c r="AI335" s="304">
        <v>30000000</v>
      </c>
      <c r="AJ335" s="305">
        <v>52271136</v>
      </c>
      <c r="AK335" s="304"/>
      <c r="AL335" s="306">
        <v>46824780</v>
      </c>
      <c r="AM335" s="318">
        <v>46824780</v>
      </c>
      <c r="AN335" s="306"/>
      <c r="AO335" s="307">
        <v>30000000</v>
      </c>
      <c r="AP335" s="306"/>
      <c r="AQ335" s="306">
        <v>20000000</v>
      </c>
      <c r="AR335" s="306"/>
      <c r="AS335" s="306">
        <v>20000000</v>
      </c>
      <c r="AT335" s="306"/>
      <c r="AU335" s="306">
        <v>20000000</v>
      </c>
      <c r="AV335" s="306"/>
      <c r="AW335" s="306">
        <v>20000000</v>
      </c>
      <c r="AX335" s="306"/>
      <c r="AY335" s="306">
        <v>25000000</v>
      </c>
      <c r="AZ335" s="306"/>
      <c r="BA335" s="306">
        <v>25000000</v>
      </c>
      <c r="BB335" s="306"/>
      <c r="BC335" s="306">
        <v>25000000</v>
      </c>
      <c r="BD335" s="306"/>
      <c r="BE335" s="306">
        <v>30000000</v>
      </c>
      <c r="BF335" s="306"/>
      <c r="BG335" s="308"/>
      <c r="BH335" s="309"/>
    </row>
    <row r="336" spans="1:60" s="310" customFormat="1" ht="16.5" customHeight="1">
      <c r="A336" s="290">
        <v>316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22</v>
      </c>
      <c r="R336" s="292" t="s">
        <v>23</v>
      </c>
      <c r="S336" s="297" t="s">
        <v>23</v>
      </c>
      <c r="T336" s="298"/>
      <c r="U336" s="299"/>
      <c r="V336" s="299">
        <v>0</v>
      </c>
      <c r="W336" s="300">
        <v>0</v>
      </c>
      <c r="X336" s="301"/>
      <c r="Y336" s="292" t="s">
        <v>28</v>
      </c>
      <c r="Z336" s="302" t="s">
        <v>28</v>
      </c>
      <c r="AA336" s="317"/>
      <c r="AB336" s="317"/>
      <c r="AC336" s="303">
        <f t="shared" si="9"/>
        <v>20000000</v>
      </c>
      <c r="AD336" s="303">
        <v>20000000</v>
      </c>
      <c r="AE336" s="303">
        <f t="shared" si="10"/>
        <v>0</v>
      </c>
      <c r="AF336" s="304"/>
      <c r="AG336" s="305"/>
      <c r="AH336" s="304"/>
      <c r="AI336" s="304"/>
      <c r="AJ336" s="305"/>
      <c r="AK336" s="304"/>
      <c r="AL336" s="306"/>
      <c r="AM336" s="318"/>
      <c r="AN336" s="306"/>
      <c r="AO336" s="307"/>
      <c r="AP336" s="306"/>
      <c r="AQ336" s="306">
        <v>10000000</v>
      </c>
      <c r="AR336" s="306"/>
      <c r="AS336" s="306"/>
      <c r="AT336" s="306"/>
      <c r="AU336" s="306"/>
      <c r="AV336" s="306"/>
      <c r="AW336" s="306"/>
      <c r="AX336" s="306"/>
      <c r="AY336" s="306">
        <v>10000000</v>
      </c>
      <c r="AZ336" s="306"/>
      <c r="BA336" s="306"/>
      <c r="BB336" s="306"/>
      <c r="BC336" s="306"/>
      <c r="BD336" s="306"/>
      <c r="BE336" s="306"/>
      <c r="BF336" s="306"/>
      <c r="BG336" s="308"/>
      <c r="BH336" s="309"/>
    </row>
    <row r="337" spans="1:60" s="310" customFormat="1" ht="16.5" customHeight="1">
      <c r="A337" s="290">
        <v>317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/>
      <c r="R337" s="292" t="s">
        <v>355</v>
      </c>
      <c r="S337" s="297" t="s">
        <v>361</v>
      </c>
      <c r="T337" s="298"/>
      <c r="U337" s="299"/>
      <c r="V337" s="299"/>
      <c r="W337" s="300">
        <v>0</v>
      </c>
      <c r="X337" s="301"/>
      <c r="Y337" s="292" t="s">
        <v>29</v>
      </c>
      <c r="Z337" s="302" t="s">
        <v>31</v>
      </c>
      <c r="AA337" s="317"/>
      <c r="AB337" s="317"/>
      <c r="AC337" s="303">
        <f t="shared" si="9"/>
        <v>1400000</v>
      </c>
      <c r="AD337" s="303">
        <v>1400000</v>
      </c>
      <c r="AE337" s="303">
        <f t="shared" si="10"/>
        <v>0</v>
      </c>
      <c r="AF337" s="304"/>
      <c r="AG337" s="305"/>
      <c r="AH337" s="304"/>
      <c r="AI337" s="304">
        <v>1400000</v>
      </c>
      <c r="AJ337" s="305">
        <v>1400000</v>
      </c>
      <c r="AK337" s="304"/>
      <c r="AL337" s="306"/>
      <c r="AM337" s="318"/>
      <c r="AN337" s="306"/>
      <c r="AO337" s="307"/>
      <c r="AP337" s="306"/>
      <c r="AQ337" s="306"/>
      <c r="AR337" s="306"/>
      <c r="AS337" s="306"/>
      <c r="AT337" s="306"/>
      <c r="AU337" s="306"/>
      <c r="AV337" s="306"/>
      <c r="AW337" s="306"/>
      <c r="AX337" s="306"/>
      <c r="AY337" s="306"/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customHeight="1">
      <c r="A338" s="290">
        <v>318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679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29</v>
      </c>
      <c r="AA338" s="317"/>
      <c r="AB338" s="317"/>
      <c r="AC338" s="303">
        <f t="shared" si="9"/>
        <v>5000000</v>
      </c>
      <c r="AD338" s="303">
        <v>5000000</v>
      </c>
      <c r="AE338" s="303">
        <f t="shared" si="10"/>
        <v>0</v>
      </c>
      <c r="AF338" s="304"/>
      <c r="AG338" s="305"/>
      <c r="AH338" s="304"/>
      <c r="AI338" s="304"/>
      <c r="AJ338" s="305"/>
      <c r="AK338" s="304"/>
      <c r="AL338" s="306"/>
      <c r="AM338" s="318"/>
      <c r="AN338" s="306"/>
      <c r="AO338" s="307"/>
      <c r="AP338" s="306"/>
      <c r="AQ338" s="306">
        <v>5000000</v>
      </c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customHeight="1">
      <c r="A339" s="290">
        <v>319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 t="s">
        <v>27</v>
      </c>
      <c r="R339" s="292" t="s">
        <v>273</v>
      </c>
      <c r="S339" s="297" t="s">
        <v>683</v>
      </c>
      <c r="T339" s="298"/>
      <c r="U339" s="299">
        <v>41400000</v>
      </c>
      <c r="V339" s="299">
        <v>0</v>
      </c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9"/>
        <v>5000000</v>
      </c>
      <c r="AD339" s="303">
        <v>5000000</v>
      </c>
      <c r="AE339" s="303">
        <f t="shared" si="10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customHeight="1">
      <c r="A340" s="290">
        <v>320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470</v>
      </c>
      <c r="K340" s="292"/>
      <c r="L340" s="292"/>
      <c r="M340" s="292">
        <v>43289</v>
      </c>
      <c r="N340" s="292" t="s">
        <v>21</v>
      </c>
      <c r="O340" s="292"/>
      <c r="P340" s="292"/>
      <c r="Q340" s="292" t="s">
        <v>22</v>
      </c>
      <c r="R340" s="292" t="s">
        <v>23</v>
      </c>
      <c r="S340" s="297" t="s">
        <v>23</v>
      </c>
      <c r="T340" s="298"/>
      <c r="U340" s="299"/>
      <c r="V340" s="299">
        <v>3050000</v>
      </c>
      <c r="W340" s="300">
        <v>1280000</v>
      </c>
      <c r="X340" s="301"/>
      <c r="Y340" s="292" t="s">
        <v>31</v>
      </c>
      <c r="Z340" s="302" t="s">
        <v>28</v>
      </c>
      <c r="AA340" s="317"/>
      <c r="AB340" s="317"/>
      <c r="AC340" s="303">
        <f t="shared" si="9"/>
        <v>3000000</v>
      </c>
      <c r="AD340" s="303">
        <v>3000000</v>
      </c>
      <c r="AE340" s="303">
        <f t="shared" si="10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3000000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customHeight="1">
      <c r="A341" s="290">
        <v>321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92</v>
      </c>
      <c r="K341" s="292"/>
      <c r="L341" s="292"/>
      <c r="M341" s="292">
        <v>620</v>
      </c>
      <c r="N341" s="292" t="s">
        <v>35</v>
      </c>
      <c r="O341" s="292"/>
      <c r="P341" s="292"/>
      <c r="Q341" s="292" t="s">
        <v>30</v>
      </c>
      <c r="R341" s="292" t="s">
        <v>353</v>
      </c>
      <c r="S341" s="297" t="s">
        <v>353</v>
      </c>
      <c r="T341" s="298"/>
      <c r="U341" s="299"/>
      <c r="V341" s="299">
        <v>3840000</v>
      </c>
      <c r="W341" s="300">
        <v>0</v>
      </c>
      <c r="X341" s="301"/>
      <c r="Y341" s="292" t="s">
        <v>29</v>
      </c>
      <c r="Z341" s="302" t="s">
        <v>24</v>
      </c>
      <c r="AA341" s="317"/>
      <c r="AB341" s="317"/>
      <c r="AC341" s="303">
        <f t="shared" ref="AC341:AC404" si="11">AG341+AJ341+AM341+AO341+AQ341+AS341+AU341+AW341+AY341+BA341+BC341+BE341</f>
        <v>0</v>
      </c>
      <c r="AD341" s="303">
        <v>0</v>
      </c>
      <c r="AE341" s="303">
        <f t="shared" ref="AE341:AE404" si="12">AC341-AD341</f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/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customHeight="1">
      <c r="A342" s="290">
        <v>322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472</v>
      </c>
      <c r="K342" s="292"/>
      <c r="L342" s="292"/>
      <c r="M342" s="292">
        <v>4413</v>
      </c>
      <c r="N342" s="292" t="s">
        <v>35</v>
      </c>
      <c r="O342" s="292"/>
      <c r="P342" s="292"/>
      <c r="Q342" s="292" t="s">
        <v>83</v>
      </c>
      <c r="R342" s="292" t="s">
        <v>32</v>
      </c>
      <c r="S342" s="297" t="s">
        <v>32</v>
      </c>
      <c r="T342" s="298"/>
      <c r="U342" s="299">
        <v>119918000</v>
      </c>
      <c r="V342" s="299">
        <v>29725200</v>
      </c>
      <c r="W342" s="300">
        <v>0</v>
      </c>
      <c r="X342" s="301"/>
      <c r="Y342" s="292" t="s">
        <v>24</v>
      </c>
      <c r="Z342" s="302" t="s">
        <v>107</v>
      </c>
      <c r="AA342" s="317"/>
      <c r="AB342" s="317"/>
      <c r="AC342" s="303">
        <f t="shared" si="11"/>
        <v>0</v>
      </c>
      <c r="AD342" s="303">
        <v>100000000</v>
      </c>
      <c r="AE342" s="303">
        <f t="shared" si="12"/>
        <v>-100000000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customHeight="1">
      <c r="A343" s="290">
        <v>323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/>
      <c r="R343" s="292" t="s">
        <v>23</v>
      </c>
      <c r="S343" s="297" t="s">
        <v>23</v>
      </c>
      <c r="T343" s="298"/>
      <c r="U343" s="299"/>
      <c r="V343" s="299"/>
      <c r="W343" s="300">
        <v>730000</v>
      </c>
      <c r="X343" s="301"/>
      <c r="Y343" s="292" t="s">
        <v>31</v>
      </c>
      <c r="Z343" s="302" t="s">
        <v>24</v>
      </c>
      <c r="AA343" s="317"/>
      <c r="AB343" s="317"/>
      <c r="AC343" s="303">
        <f t="shared" si="11"/>
        <v>0</v>
      </c>
      <c r="AD343" s="303">
        <v>0</v>
      </c>
      <c r="AE343" s="303">
        <f t="shared" si="12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/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/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customHeight="1">
      <c r="A344" s="290">
        <v>324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 t="s">
        <v>27</v>
      </c>
      <c r="R344" s="292" t="s">
        <v>354</v>
      </c>
      <c r="S344" s="297" t="s">
        <v>354</v>
      </c>
      <c r="T344" s="298"/>
      <c r="U344" s="299"/>
      <c r="V344" s="299">
        <v>0</v>
      </c>
      <c r="W344" s="300">
        <v>0</v>
      </c>
      <c r="X344" s="301"/>
      <c r="Y344" s="292" t="s">
        <v>29</v>
      </c>
      <c r="Z344" s="302" t="s">
        <v>441</v>
      </c>
      <c r="AA344" s="317"/>
      <c r="AB344" s="317"/>
      <c r="AC344" s="303">
        <f t="shared" si="11"/>
        <v>0</v>
      </c>
      <c r="AD344" s="303">
        <v>0</v>
      </c>
      <c r="AE344" s="303">
        <f t="shared" si="12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customHeight="1">
      <c r="A345" s="290">
        <v>325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/>
      <c r="R345" s="292" t="s">
        <v>273</v>
      </c>
      <c r="S345" s="297" t="s">
        <v>683</v>
      </c>
      <c r="T345" s="298"/>
      <c r="U345" s="299"/>
      <c r="V345" s="299"/>
      <c r="W345" s="300">
        <v>0</v>
      </c>
      <c r="X345" s="301"/>
      <c r="Y345" s="292" t="s">
        <v>107</v>
      </c>
      <c r="Z345" s="302" t="s">
        <v>29</v>
      </c>
      <c r="AA345" s="317"/>
      <c r="AB345" s="317"/>
      <c r="AC345" s="303">
        <f t="shared" si="11"/>
        <v>700000000</v>
      </c>
      <c r="AD345" s="303">
        <v>700000000</v>
      </c>
      <c r="AE345" s="303">
        <f t="shared" si="12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>
        <v>700000000</v>
      </c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customHeight="1">
      <c r="A346" s="290">
        <v>326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105</v>
      </c>
      <c r="K346" s="292"/>
      <c r="L346" s="292"/>
      <c r="M346" s="292">
        <v>2504</v>
      </c>
      <c r="N346" s="292" t="s">
        <v>26</v>
      </c>
      <c r="O346" s="292"/>
      <c r="P346" s="292"/>
      <c r="Q346" s="292" t="s">
        <v>83</v>
      </c>
      <c r="R346" s="292" t="s">
        <v>32</v>
      </c>
      <c r="S346" s="297" t="s">
        <v>32</v>
      </c>
      <c r="T346" s="298" t="s">
        <v>747</v>
      </c>
      <c r="U346" s="299">
        <v>381418204</v>
      </c>
      <c r="V346" s="299">
        <v>418481584</v>
      </c>
      <c r="W346" s="300">
        <v>313689620</v>
      </c>
      <c r="X346" s="301"/>
      <c r="Y346" s="292" t="s">
        <v>31</v>
      </c>
      <c r="Z346" s="302" t="s">
        <v>31</v>
      </c>
      <c r="AA346" s="317"/>
      <c r="AB346" s="317"/>
      <c r="AC346" s="303">
        <f t="shared" si="11"/>
        <v>327784640</v>
      </c>
      <c r="AD346" s="303">
        <v>327784640</v>
      </c>
      <c r="AE346" s="303">
        <f t="shared" si="12"/>
        <v>0</v>
      </c>
      <c r="AF346" s="304">
        <v>19840700</v>
      </c>
      <c r="AG346" s="305">
        <v>19840700</v>
      </c>
      <c r="AH346" s="304"/>
      <c r="AI346" s="304">
        <v>20000000</v>
      </c>
      <c r="AJ346" s="305">
        <v>16613730</v>
      </c>
      <c r="AK346" s="304"/>
      <c r="AL346" s="306">
        <v>21330210</v>
      </c>
      <c r="AM346" s="318">
        <v>21330210</v>
      </c>
      <c r="AN346" s="306"/>
      <c r="AO346" s="307">
        <v>30000000</v>
      </c>
      <c r="AP346" s="306"/>
      <c r="AQ346" s="306">
        <v>30000000</v>
      </c>
      <c r="AR346" s="306"/>
      <c r="AS346" s="306">
        <v>30000000</v>
      </c>
      <c r="AT346" s="306"/>
      <c r="AU346" s="306">
        <v>30000000</v>
      </c>
      <c r="AV346" s="306"/>
      <c r="AW346" s="306">
        <v>30000000</v>
      </c>
      <c r="AX346" s="306"/>
      <c r="AY346" s="306">
        <v>30000000</v>
      </c>
      <c r="AZ346" s="306"/>
      <c r="BA346" s="306">
        <v>30000000</v>
      </c>
      <c r="BB346" s="306"/>
      <c r="BC346" s="306">
        <v>30000000</v>
      </c>
      <c r="BD346" s="306"/>
      <c r="BE346" s="306">
        <v>30000000</v>
      </c>
      <c r="BF346" s="306"/>
      <c r="BG346" s="308"/>
      <c r="BH346" s="309"/>
    </row>
    <row r="347" spans="1:60" s="310" customFormat="1" ht="16.5" customHeight="1">
      <c r="A347" s="290">
        <v>327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30</v>
      </c>
      <c r="R347" s="292" t="s">
        <v>353</v>
      </c>
      <c r="S347" s="297" t="s">
        <v>353</v>
      </c>
      <c r="T347" s="298"/>
      <c r="U347" s="299"/>
      <c r="V347" s="299">
        <v>10050000</v>
      </c>
      <c r="W347" s="300">
        <v>11455000</v>
      </c>
      <c r="X347" s="301"/>
      <c r="Y347" s="292" t="s">
        <v>31</v>
      </c>
      <c r="Z347" s="302" t="s">
        <v>28</v>
      </c>
      <c r="AA347" s="317"/>
      <c r="AB347" s="317"/>
      <c r="AC347" s="303">
        <f t="shared" si="11"/>
        <v>4000000</v>
      </c>
      <c r="AD347" s="303">
        <v>4000000</v>
      </c>
      <c r="AE347" s="303">
        <f t="shared" si="12"/>
        <v>0</v>
      </c>
      <c r="AF347" s="304"/>
      <c r="AG347" s="305"/>
      <c r="AH347" s="304"/>
      <c r="AI347" s="304"/>
      <c r="AJ347" s="305"/>
      <c r="AK347" s="304"/>
      <c r="AL347" s="306"/>
      <c r="AM347" s="318"/>
      <c r="AN347" s="306"/>
      <c r="AO347" s="307"/>
      <c r="AP347" s="306"/>
      <c r="AQ347" s="306"/>
      <c r="AR347" s="306"/>
      <c r="AS347" s="306"/>
      <c r="AT347" s="306"/>
      <c r="AU347" s="306"/>
      <c r="AV347" s="306"/>
      <c r="AW347" s="306">
        <v>2000000</v>
      </c>
      <c r="AX347" s="306"/>
      <c r="AY347" s="306"/>
      <c r="AZ347" s="306"/>
      <c r="BA347" s="306"/>
      <c r="BB347" s="306"/>
      <c r="BC347" s="306">
        <v>2000000</v>
      </c>
      <c r="BD347" s="306"/>
      <c r="BE347" s="306"/>
      <c r="BF347" s="306"/>
      <c r="BG347" s="308"/>
      <c r="BH347" s="309"/>
    </row>
    <row r="348" spans="1:60" s="310" customFormat="1" ht="16.5" customHeight="1">
      <c r="A348" s="290">
        <v>328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0</v>
      </c>
      <c r="W348" s="300">
        <v>0</v>
      </c>
      <c r="X348" s="301"/>
      <c r="Y348" s="292" t="s">
        <v>28</v>
      </c>
      <c r="Z348" s="302" t="s">
        <v>28</v>
      </c>
      <c r="AA348" s="317"/>
      <c r="AB348" s="317"/>
      <c r="AC348" s="303">
        <f t="shared" si="11"/>
        <v>4000000</v>
      </c>
      <c r="AD348" s="303">
        <v>4000000</v>
      </c>
      <c r="AE348" s="303">
        <f t="shared" si="12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customHeight="1">
      <c r="A349" s="290">
        <v>329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/>
      <c r="R349" s="292" t="s">
        <v>355</v>
      </c>
      <c r="S349" s="297" t="s">
        <v>679</v>
      </c>
      <c r="T349" s="298"/>
      <c r="U349" s="299"/>
      <c r="V349" s="299"/>
      <c r="W349" s="300">
        <v>0</v>
      </c>
      <c r="X349" s="301"/>
      <c r="Y349" s="292" t="s">
        <v>29</v>
      </c>
      <c r="Z349" s="302" t="s">
        <v>29</v>
      </c>
      <c r="AA349" s="317"/>
      <c r="AB349" s="317"/>
      <c r="AC349" s="303">
        <f t="shared" si="11"/>
        <v>5000000</v>
      </c>
      <c r="AD349" s="303">
        <v>5000000</v>
      </c>
      <c r="AE349" s="303">
        <f t="shared" si="12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>
        <v>5000000</v>
      </c>
      <c r="AV349" s="306"/>
      <c r="AW349" s="306"/>
      <c r="AX349" s="306"/>
      <c r="AY349" s="306"/>
      <c r="AZ349" s="306"/>
      <c r="BA349" s="306"/>
      <c r="BB349" s="306"/>
      <c r="BC349" s="306"/>
      <c r="BD349" s="306"/>
      <c r="BE349" s="306"/>
      <c r="BF349" s="306"/>
      <c r="BG349" s="308"/>
      <c r="BH349" s="309"/>
    </row>
    <row r="350" spans="1:60" s="310" customFormat="1" ht="16.5" customHeight="1">
      <c r="A350" s="290">
        <v>330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 t="s">
        <v>46</v>
      </c>
      <c r="R350" s="292" t="s">
        <v>351</v>
      </c>
      <c r="S350" s="297" t="s">
        <v>691</v>
      </c>
      <c r="T350" s="298"/>
      <c r="U350" s="299"/>
      <c r="V350" s="299">
        <v>1500000</v>
      </c>
      <c r="W350" s="300">
        <v>0</v>
      </c>
      <c r="X350" s="301"/>
      <c r="Y350" s="292" t="s">
        <v>29</v>
      </c>
      <c r="Z350" s="302" t="s">
        <v>441</v>
      </c>
      <c r="AA350" s="317"/>
      <c r="AB350" s="317"/>
      <c r="AC350" s="303">
        <f t="shared" si="11"/>
        <v>0</v>
      </c>
      <c r="AD350" s="303">
        <v>0</v>
      </c>
      <c r="AE350" s="303">
        <f t="shared" si="12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/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customHeight="1">
      <c r="A351" s="290">
        <v>331</v>
      </c>
      <c r="B351" s="291"/>
      <c r="C351" s="291"/>
      <c r="D351" s="292" t="s">
        <v>208</v>
      </c>
      <c r="E351" s="292" t="s">
        <v>5</v>
      </c>
      <c r="F351" s="293" t="s">
        <v>208</v>
      </c>
      <c r="G351" s="294" t="s">
        <v>4</v>
      </c>
      <c r="H351" s="311"/>
      <c r="I351" s="295"/>
      <c r="J351" s="296" t="s">
        <v>133</v>
      </c>
      <c r="K351" s="292"/>
      <c r="L351" s="292"/>
      <c r="M351" s="292">
        <v>16767</v>
      </c>
      <c r="N351" s="292" t="s">
        <v>26</v>
      </c>
      <c r="O351" s="292"/>
      <c r="P351" s="292"/>
      <c r="Q351" s="292" t="s">
        <v>22</v>
      </c>
      <c r="R351" s="292" t="s">
        <v>23</v>
      </c>
      <c r="S351" s="297" t="s">
        <v>23</v>
      </c>
      <c r="T351" s="298"/>
      <c r="U351" s="299"/>
      <c r="V351" s="299">
        <v>0</v>
      </c>
      <c r="W351" s="300">
        <v>0</v>
      </c>
      <c r="X351" s="301"/>
      <c r="Y351" s="292" t="s">
        <v>29</v>
      </c>
      <c r="Z351" s="302" t="s">
        <v>29</v>
      </c>
      <c r="AA351" s="317"/>
      <c r="AB351" s="317"/>
      <c r="AC351" s="303">
        <f t="shared" si="11"/>
        <v>0</v>
      </c>
      <c r="AD351" s="303">
        <v>0</v>
      </c>
      <c r="AE351" s="303">
        <f t="shared" si="12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customHeight="1">
      <c r="A352" s="290">
        <v>332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/>
      <c r="R352" s="292" t="s">
        <v>357</v>
      </c>
      <c r="S352" s="297" t="s">
        <v>680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441</v>
      </c>
      <c r="AA352" s="317"/>
      <c r="AB352" s="317"/>
      <c r="AC352" s="303">
        <f t="shared" si="11"/>
        <v>0</v>
      </c>
      <c r="AD352" s="303">
        <v>0</v>
      </c>
      <c r="AE352" s="303">
        <f t="shared" si="12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customHeight="1">
      <c r="A353" s="290">
        <v>333</v>
      </c>
      <c r="B353" s="291"/>
      <c r="C353" s="291"/>
      <c r="D353" s="292" t="s">
        <v>208</v>
      </c>
      <c r="E353" s="292" t="s">
        <v>4</v>
      </c>
      <c r="F353" s="293" t="s">
        <v>208</v>
      </c>
      <c r="G353" s="294" t="s">
        <v>4</v>
      </c>
      <c r="H353" s="311"/>
      <c r="I353" s="295"/>
      <c r="J353" s="296" t="s">
        <v>134</v>
      </c>
      <c r="K353" s="292"/>
      <c r="L353" s="292"/>
      <c r="M353" s="292">
        <v>4411</v>
      </c>
      <c r="N353" s="292"/>
      <c r="O353" s="292"/>
      <c r="P353" s="292"/>
      <c r="Q353" s="292"/>
      <c r="R353" s="292"/>
      <c r="S353" s="297" t="s">
        <v>34</v>
      </c>
      <c r="T353" s="298"/>
      <c r="U353" s="299"/>
      <c r="V353" s="299"/>
      <c r="W353" s="300">
        <v>336000</v>
      </c>
      <c r="X353" s="301"/>
      <c r="Y353" s="292"/>
      <c r="Z353" s="302" t="s">
        <v>578</v>
      </c>
      <c r="AA353" s="317"/>
      <c r="AB353" s="317"/>
      <c r="AC353" s="303">
        <f t="shared" si="11"/>
        <v>0</v>
      </c>
      <c r="AD353" s="303">
        <v>0</v>
      </c>
      <c r="AE353" s="303">
        <f t="shared" si="12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customHeight="1">
      <c r="A354" s="290">
        <v>334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 t="s">
        <v>26</v>
      </c>
      <c r="O354" s="292"/>
      <c r="P354" s="292"/>
      <c r="Q354" s="292" t="s">
        <v>30</v>
      </c>
      <c r="R354" s="292" t="s">
        <v>353</v>
      </c>
      <c r="S354" s="297" t="s">
        <v>353</v>
      </c>
      <c r="T354" s="298"/>
      <c r="U354" s="299"/>
      <c r="V354" s="299">
        <v>0</v>
      </c>
      <c r="W354" s="300">
        <v>0</v>
      </c>
      <c r="X354" s="301"/>
      <c r="Y354" s="292" t="s">
        <v>29</v>
      </c>
      <c r="Z354" s="302" t="s">
        <v>29</v>
      </c>
      <c r="AA354" s="317"/>
      <c r="AB354" s="317"/>
      <c r="AC354" s="303">
        <f t="shared" si="11"/>
        <v>30000000</v>
      </c>
      <c r="AD354" s="303">
        <v>30000000</v>
      </c>
      <c r="AE354" s="303">
        <f t="shared" si="12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>
        <v>30000000</v>
      </c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customHeight="1">
      <c r="A355" s="290">
        <v>335</v>
      </c>
      <c r="B355" s="291"/>
      <c r="C355" s="291"/>
      <c r="D355" s="292" t="s">
        <v>208</v>
      </c>
      <c r="E355" s="292" t="s">
        <v>5</v>
      </c>
      <c r="F355" s="293" t="s">
        <v>208</v>
      </c>
      <c r="G355" s="294" t="s">
        <v>4</v>
      </c>
      <c r="H355" s="311"/>
      <c r="I355" s="295"/>
      <c r="J355" s="296" t="s">
        <v>167</v>
      </c>
      <c r="K355" s="292"/>
      <c r="L355" s="292"/>
      <c r="M355" s="292">
        <v>1624</v>
      </c>
      <c r="N355" s="292" t="s">
        <v>21</v>
      </c>
      <c r="O355" s="292"/>
      <c r="P355" s="292"/>
      <c r="Q355" s="292" t="s">
        <v>22</v>
      </c>
      <c r="R355" s="292" t="s">
        <v>23</v>
      </c>
      <c r="S355" s="297" t="s">
        <v>23</v>
      </c>
      <c r="T355" s="298"/>
      <c r="U355" s="299">
        <v>527000</v>
      </c>
      <c r="V355" s="299">
        <v>4400000</v>
      </c>
      <c r="W355" s="300">
        <v>0</v>
      </c>
      <c r="X355" s="301"/>
      <c r="Y355" s="292" t="s">
        <v>28</v>
      </c>
      <c r="Z355" s="302" t="s">
        <v>31</v>
      </c>
      <c r="AA355" s="317"/>
      <c r="AB355" s="317"/>
      <c r="AC355" s="303">
        <f t="shared" si="11"/>
        <v>4350000</v>
      </c>
      <c r="AD355" s="303">
        <v>4350000</v>
      </c>
      <c r="AE355" s="303">
        <f t="shared" si="12"/>
        <v>0</v>
      </c>
      <c r="AF355" s="304">
        <v>350000</v>
      </c>
      <c r="AG355" s="305">
        <v>350000</v>
      </c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>
        <v>4000000</v>
      </c>
      <c r="AX355" s="306"/>
      <c r="AY355" s="306"/>
      <c r="AZ355" s="306"/>
      <c r="BA355" s="306"/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customHeight="1">
      <c r="A356" s="290">
        <v>336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/>
      <c r="R356" s="292" t="s">
        <v>355</v>
      </c>
      <c r="S356" s="297" t="s">
        <v>679</v>
      </c>
      <c r="T356" s="298"/>
      <c r="U356" s="299"/>
      <c r="V356" s="299"/>
      <c r="W356" s="300">
        <v>0</v>
      </c>
      <c r="X356" s="301"/>
      <c r="Y356" s="292" t="s">
        <v>29</v>
      </c>
      <c r="Z356" s="302" t="s">
        <v>29</v>
      </c>
      <c r="AA356" s="317"/>
      <c r="AB356" s="317"/>
      <c r="AC356" s="303">
        <f t="shared" si="11"/>
        <v>5000000</v>
      </c>
      <c r="AD356" s="303">
        <v>5000000</v>
      </c>
      <c r="AE356" s="303">
        <f t="shared" si="12"/>
        <v>0</v>
      </c>
      <c r="AF356" s="304"/>
      <c r="AG356" s="305"/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5000000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customHeight="1">
      <c r="A357" s="290">
        <v>337</v>
      </c>
      <c r="B357" s="291"/>
      <c r="C357" s="291"/>
      <c r="D357" s="292" t="s">
        <v>184</v>
      </c>
      <c r="E357" s="292" t="s">
        <v>562</v>
      </c>
      <c r="F357" s="293" t="s">
        <v>208</v>
      </c>
      <c r="G357" s="294" t="s">
        <v>4</v>
      </c>
      <c r="H357" s="311"/>
      <c r="I357" s="295"/>
      <c r="J357" s="296" t="s">
        <v>604</v>
      </c>
      <c r="K357" s="292"/>
      <c r="L357" s="292"/>
      <c r="M357" s="292">
        <v>54545</v>
      </c>
      <c r="N357" s="292" t="s">
        <v>26</v>
      </c>
      <c r="O357" s="292" t="s">
        <v>47</v>
      </c>
      <c r="P357" s="292"/>
      <c r="Q357" s="292"/>
      <c r="R357" s="292" t="s">
        <v>23</v>
      </c>
      <c r="S357" s="297" t="s">
        <v>23</v>
      </c>
      <c r="T357" s="298"/>
      <c r="U357" s="299"/>
      <c r="V357" s="299">
        <v>0</v>
      </c>
      <c r="W357" s="300">
        <v>6634800</v>
      </c>
      <c r="X357" s="301"/>
      <c r="Y357" s="292" t="s">
        <v>31</v>
      </c>
      <c r="Z357" s="302" t="s">
        <v>31</v>
      </c>
      <c r="AA357" s="317"/>
      <c r="AB357" s="317"/>
      <c r="AC357" s="303">
        <f t="shared" si="11"/>
        <v>8080780</v>
      </c>
      <c r="AD357" s="303">
        <v>8080780</v>
      </c>
      <c r="AE357" s="303">
        <f t="shared" si="12"/>
        <v>0</v>
      </c>
      <c r="AF357" s="304">
        <v>500000</v>
      </c>
      <c r="AG357" s="305"/>
      <c r="AH357" s="304"/>
      <c r="AI357" s="304">
        <v>500000</v>
      </c>
      <c r="AJ357" s="305">
        <v>80780</v>
      </c>
      <c r="AK357" s="304"/>
      <c r="AL357" s="306"/>
      <c r="AM357" s="318"/>
      <c r="AN357" s="306"/>
      <c r="AO357" s="307">
        <v>1000000</v>
      </c>
      <c r="AP357" s="306"/>
      <c r="AQ357" s="306">
        <v>500000</v>
      </c>
      <c r="AR357" s="306"/>
      <c r="AS357" s="306">
        <v>500000</v>
      </c>
      <c r="AT357" s="306"/>
      <c r="AU357" s="306">
        <v>1000000</v>
      </c>
      <c r="AV357" s="306"/>
      <c r="AW357" s="306">
        <v>1000000</v>
      </c>
      <c r="AX357" s="306"/>
      <c r="AY357" s="306">
        <v>1000000</v>
      </c>
      <c r="AZ357" s="306"/>
      <c r="BA357" s="306">
        <v>1000000</v>
      </c>
      <c r="BB357" s="306"/>
      <c r="BC357" s="306">
        <v>1000000</v>
      </c>
      <c r="BD357" s="306"/>
      <c r="BE357" s="306">
        <v>1000000</v>
      </c>
      <c r="BF357" s="306"/>
      <c r="BG357" s="308"/>
      <c r="BH357" s="309"/>
    </row>
    <row r="358" spans="1:60" s="310" customFormat="1" ht="16.5" customHeight="1">
      <c r="A358" s="290">
        <v>338</v>
      </c>
      <c r="B358" s="291"/>
      <c r="C358" s="291"/>
      <c r="D358" s="292"/>
      <c r="E358" s="292"/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/>
      <c r="O358" s="292"/>
      <c r="P358" s="292"/>
      <c r="Q358" s="292"/>
      <c r="R358" s="292"/>
      <c r="S358" s="297" t="s">
        <v>353</v>
      </c>
      <c r="T358" s="298"/>
      <c r="U358" s="299"/>
      <c r="V358" s="299"/>
      <c r="W358" s="300">
        <v>3000000</v>
      </c>
      <c r="X358" s="301"/>
      <c r="Y358" s="292"/>
      <c r="Z358" s="302" t="s">
        <v>578</v>
      </c>
      <c r="AA358" s="317"/>
      <c r="AB358" s="317"/>
      <c r="AC358" s="303">
        <f t="shared" si="11"/>
        <v>0</v>
      </c>
      <c r="AD358" s="303">
        <v>0</v>
      </c>
      <c r="AE358" s="303">
        <f t="shared" si="12"/>
        <v>0</v>
      </c>
      <c r="AF358" s="304"/>
      <c r="AG358" s="305"/>
      <c r="AH358" s="304"/>
      <c r="AI358" s="304"/>
      <c r="AJ358" s="305"/>
      <c r="AK358" s="304"/>
      <c r="AL358" s="306"/>
      <c r="AM358" s="318"/>
      <c r="AN358" s="306"/>
      <c r="AO358" s="307"/>
      <c r="AP358" s="306"/>
      <c r="AQ358" s="306"/>
      <c r="AR358" s="306"/>
      <c r="AS358" s="306"/>
      <c r="AT358" s="306"/>
      <c r="AU358" s="306"/>
      <c r="AV358" s="306"/>
      <c r="AW358" s="306"/>
      <c r="AX358" s="306"/>
      <c r="AY358" s="306"/>
      <c r="AZ358" s="306"/>
      <c r="BA358" s="306"/>
      <c r="BB358" s="306"/>
      <c r="BC358" s="306"/>
      <c r="BD358" s="306"/>
      <c r="BE358" s="306"/>
      <c r="BF358" s="306"/>
      <c r="BG358" s="308"/>
      <c r="BH358" s="309"/>
    </row>
    <row r="359" spans="1:60" s="310" customFormat="1" ht="16.5" customHeight="1">
      <c r="A359" s="290">
        <v>339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748</v>
      </c>
      <c r="K359" s="292"/>
      <c r="L359" s="292"/>
      <c r="M359" s="292">
        <v>61309</v>
      </c>
      <c r="N359" s="292"/>
      <c r="O359" s="292"/>
      <c r="P359" s="292"/>
      <c r="Q359" s="292"/>
      <c r="R359" s="292"/>
      <c r="S359" s="297" t="s">
        <v>23</v>
      </c>
      <c r="T359" s="298"/>
      <c r="U359" s="299"/>
      <c r="V359" s="299"/>
      <c r="W359" s="300">
        <v>0</v>
      </c>
      <c r="X359" s="301"/>
      <c r="Y359" s="292"/>
      <c r="Z359" s="302" t="s">
        <v>578</v>
      </c>
      <c r="AA359" s="317"/>
      <c r="AB359" s="317"/>
      <c r="AC359" s="303">
        <f t="shared" si="11"/>
        <v>0</v>
      </c>
      <c r="AD359" s="303">
        <v>0</v>
      </c>
      <c r="AE359" s="303">
        <f t="shared" si="12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customHeight="1">
      <c r="A360" s="290">
        <v>340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748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353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1"/>
        <v>0</v>
      </c>
      <c r="AD360" s="303">
        <v>0</v>
      </c>
      <c r="AE360" s="303">
        <f t="shared" si="12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customHeight="1">
      <c r="A361" s="290">
        <v>341</v>
      </c>
      <c r="B361" s="291"/>
      <c r="C361" s="291"/>
      <c r="D361" s="292" t="s">
        <v>184</v>
      </c>
      <c r="E361" s="292" t="s">
        <v>555</v>
      </c>
      <c r="F361" s="293" t="s">
        <v>208</v>
      </c>
      <c r="G361" s="294" t="s">
        <v>778</v>
      </c>
      <c r="H361" s="311"/>
      <c r="I361" s="295"/>
      <c r="J361" s="296" t="s">
        <v>605</v>
      </c>
      <c r="K361" s="292"/>
      <c r="L361" s="292"/>
      <c r="M361" s="292">
        <v>61307</v>
      </c>
      <c r="N361" s="292"/>
      <c r="O361" s="292"/>
      <c r="P361" s="292"/>
      <c r="Q361" s="292"/>
      <c r="R361" s="292" t="s">
        <v>361</v>
      </c>
      <c r="S361" s="297" t="s">
        <v>361</v>
      </c>
      <c r="T361" s="298"/>
      <c r="U361" s="299"/>
      <c r="V361" s="299">
        <v>0</v>
      </c>
      <c r="W361" s="300">
        <v>21850000</v>
      </c>
      <c r="X361" s="301"/>
      <c r="Y361" s="292" t="s">
        <v>31</v>
      </c>
      <c r="Z361" s="302" t="s">
        <v>28</v>
      </c>
      <c r="AA361" s="317"/>
      <c r="AB361" s="317"/>
      <c r="AC361" s="303">
        <f t="shared" si="11"/>
        <v>3000000</v>
      </c>
      <c r="AD361" s="303">
        <v>3000000</v>
      </c>
      <c r="AE361" s="303">
        <f t="shared" si="12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>
        <v>3000000</v>
      </c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customHeight="1">
      <c r="A362" s="290">
        <v>342</v>
      </c>
      <c r="B362" s="291"/>
      <c r="C362" s="291"/>
      <c r="D362" s="292" t="s">
        <v>208</v>
      </c>
      <c r="E362" s="292" t="s">
        <v>5</v>
      </c>
      <c r="F362" s="293" t="s">
        <v>208</v>
      </c>
      <c r="G362" s="294" t="s">
        <v>4</v>
      </c>
      <c r="H362" s="311"/>
      <c r="I362" s="295"/>
      <c r="J362" s="296" t="s">
        <v>168</v>
      </c>
      <c r="K362" s="292"/>
      <c r="L362" s="292"/>
      <c r="M362" s="292">
        <v>4502</v>
      </c>
      <c r="N362" s="292" t="s">
        <v>35</v>
      </c>
      <c r="O362" s="292"/>
      <c r="P362" s="292"/>
      <c r="Q362" s="292" t="s">
        <v>83</v>
      </c>
      <c r="R362" s="292" t="s">
        <v>32</v>
      </c>
      <c r="S362" s="297" t="s">
        <v>32</v>
      </c>
      <c r="T362" s="298"/>
      <c r="U362" s="299"/>
      <c r="V362" s="299">
        <v>275454546</v>
      </c>
      <c r="W362" s="300">
        <v>275800000</v>
      </c>
      <c r="X362" s="301"/>
      <c r="Y362" s="292" t="s">
        <v>31</v>
      </c>
      <c r="Z362" s="302" t="s">
        <v>31</v>
      </c>
      <c r="AA362" s="317"/>
      <c r="AB362" s="317"/>
      <c r="AC362" s="303">
        <f t="shared" si="11"/>
        <v>250000000</v>
      </c>
      <c r="AD362" s="303">
        <v>250000000</v>
      </c>
      <c r="AE362" s="303">
        <f t="shared" si="12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/>
      <c r="BB362" s="306"/>
      <c r="BC362" s="306"/>
      <c r="BD362" s="306"/>
      <c r="BE362" s="306">
        <v>250000000</v>
      </c>
      <c r="BF362" s="306"/>
      <c r="BG362" s="308"/>
      <c r="BH362" s="309"/>
    </row>
    <row r="363" spans="1:60" s="310" customFormat="1" ht="16.5" customHeight="1">
      <c r="A363" s="290">
        <v>343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30</v>
      </c>
      <c r="R363" s="292" t="s">
        <v>353</v>
      </c>
      <c r="S363" s="297" t="s">
        <v>353</v>
      </c>
      <c r="T363" s="298"/>
      <c r="U363" s="299"/>
      <c r="V363" s="299">
        <v>532367376</v>
      </c>
      <c r="W363" s="300">
        <v>112991715</v>
      </c>
      <c r="X363" s="301"/>
      <c r="Y363" s="292" t="s">
        <v>31</v>
      </c>
      <c r="Z363" s="302" t="s">
        <v>107</v>
      </c>
      <c r="AA363" s="317"/>
      <c r="AB363" s="317"/>
      <c r="AC363" s="303">
        <f t="shared" si="11"/>
        <v>0</v>
      </c>
      <c r="AD363" s="303">
        <v>700000000</v>
      </c>
      <c r="AE363" s="303">
        <f t="shared" si="12"/>
        <v>-700000000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/>
      <c r="BF363" s="306"/>
      <c r="BG363" s="308"/>
      <c r="BH363" s="309"/>
    </row>
    <row r="364" spans="1:60" s="310" customFormat="1" ht="16.5" customHeight="1">
      <c r="A364" s="290">
        <v>344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/>
      <c r="R364" s="292" t="s">
        <v>353</v>
      </c>
      <c r="S364" s="297" t="s">
        <v>353</v>
      </c>
      <c r="T364" s="298"/>
      <c r="U364" s="299"/>
      <c r="V364" s="299"/>
      <c r="W364" s="300">
        <v>0</v>
      </c>
      <c r="X364" s="301"/>
      <c r="Y364" s="292" t="s">
        <v>29</v>
      </c>
      <c r="Z364" s="302" t="s">
        <v>441</v>
      </c>
      <c r="AA364" s="317"/>
      <c r="AB364" s="317"/>
      <c r="AC364" s="303">
        <f t="shared" si="11"/>
        <v>0</v>
      </c>
      <c r="AD364" s="303">
        <v>0</v>
      </c>
      <c r="AE364" s="303">
        <f t="shared" si="12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/>
      <c r="BF364" s="306"/>
      <c r="BG364" s="308"/>
      <c r="BH364" s="309"/>
    </row>
    <row r="365" spans="1:60" s="310" customFormat="1" ht="16.5" customHeight="1">
      <c r="A365" s="290">
        <v>345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 t="s">
        <v>30</v>
      </c>
      <c r="R365" s="292" t="s">
        <v>353</v>
      </c>
      <c r="S365" s="297" t="s">
        <v>353</v>
      </c>
      <c r="T365" s="298"/>
      <c r="U365" s="299"/>
      <c r="V365" s="299">
        <v>0</v>
      </c>
      <c r="W365" s="300">
        <v>0</v>
      </c>
      <c r="X365" s="301"/>
      <c r="Y365" s="292" t="s">
        <v>107</v>
      </c>
      <c r="Z365" s="302" t="s">
        <v>441</v>
      </c>
      <c r="AA365" s="317"/>
      <c r="AB365" s="317"/>
      <c r="AC365" s="303">
        <f t="shared" si="11"/>
        <v>0</v>
      </c>
      <c r="AD365" s="303">
        <v>0</v>
      </c>
      <c r="AE365" s="303">
        <f t="shared" si="12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customHeight="1">
      <c r="A366" s="290">
        <v>346</v>
      </c>
      <c r="B366" s="291"/>
      <c r="C366" s="291"/>
      <c r="D366" s="292" t="s">
        <v>208</v>
      </c>
      <c r="E366" s="292" t="s">
        <v>4</v>
      </c>
      <c r="F366" s="293" t="s">
        <v>208</v>
      </c>
      <c r="G366" s="294" t="s">
        <v>4</v>
      </c>
      <c r="H366" s="311"/>
      <c r="I366" s="295"/>
      <c r="J366" s="296" t="s">
        <v>474</v>
      </c>
      <c r="K366" s="292"/>
      <c r="L366" s="292"/>
      <c r="M366" s="292">
        <v>76</v>
      </c>
      <c r="N366" s="292" t="s">
        <v>26</v>
      </c>
      <c r="O366" s="292"/>
      <c r="P366" s="292"/>
      <c r="Q366" s="292" t="s">
        <v>83</v>
      </c>
      <c r="R366" s="292" t="s">
        <v>32</v>
      </c>
      <c r="S366" s="297" t="s">
        <v>32</v>
      </c>
      <c r="T366" s="298"/>
      <c r="U366" s="299">
        <v>116670720</v>
      </c>
      <c r="V366" s="299">
        <v>113346260</v>
      </c>
      <c r="W366" s="300">
        <v>97526700</v>
      </c>
      <c r="X366" s="301"/>
      <c r="Y366" s="292" t="s">
        <v>31</v>
      </c>
      <c r="Z366" s="302" t="s">
        <v>31</v>
      </c>
      <c r="AA366" s="317"/>
      <c r="AB366" s="317"/>
      <c r="AC366" s="303">
        <f t="shared" si="11"/>
        <v>117528200</v>
      </c>
      <c r="AD366" s="303">
        <v>117528200</v>
      </c>
      <c r="AE366" s="303">
        <f t="shared" si="12"/>
        <v>0</v>
      </c>
      <c r="AF366" s="304">
        <v>8439000</v>
      </c>
      <c r="AG366" s="305">
        <v>8439000</v>
      </c>
      <c r="AH366" s="304"/>
      <c r="AI366" s="304">
        <v>8000000</v>
      </c>
      <c r="AJ366" s="305">
        <v>5780900</v>
      </c>
      <c r="AK366" s="304"/>
      <c r="AL366" s="306">
        <v>5457300</v>
      </c>
      <c r="AM366" s="318">
        <v>5457300</v>
      </c>
      <c r="AN366" s="306"/>
      <c r="AO366" s="307">
        <v>10000000</v>
      </c>
      <c r="AP366" s="306"/>
      <c r="AQ366" s="306">
        <v>10561000</v>
      </c>
      <c r="AR366" s="306"/>
      <c r="AS366" s="306">
        <v>12000000</v>
      </c>
      <c r="AT366" s="306"/>
      <c r="AU366" s="306">
        <v>12000000</v>
      </c>
      <c r="AV366" s="306"/>
      <c r="AW366" s="306">
        <v>12000000</v>
      </c>
      <c r="AX366" s="306"/>
      <c r="AY366" s="306">
        <v>11290000</v>
      </c>
      <c r="AZ366" s="306"/>
      <c r="BA366" s="306">
        <v>10000000</v>
      </c>
      <c r="BB366" s="306"/>
      <c r="BC366" s="306">
        <v>10000000</v>
      </c>
      <c r="BD366" s="306"/>
      <c r="BE366" s="306">
        <v>10000000</v>
      </c>
      <c r="BF366" s="306"/>
      <c r="BG366" s="308"/>
      <c r="BH366" s="309"/>
    </row>
    <row r="367" spans="1:60" s="310" customFormat="1" ht="16.5" customHeight="1">
      <c r="A367" s="290">
        <v>347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/>
      <c r="V367" s="299">
        <v>0</v>
      </c>
      <c r="W367" s="300">
        <v>0</v>
      </c>
      <c r="X367" s="301"/>
      <c r="Y367" s="292" t="s">
        <v>28</v>
      </c>
      <c r="Z367" s="302" t="s">
        <v>28</v>
      </c>
      <c r="AA367" s="317"/>
      <c r="AB367" s="317"/>
      <c r="AC367" s="303">
        <f t="shared" si="11"/>
        <v>17000000</v>
      </c>
      <c r="AD367" s="303">
        <v>17000000</v>
      </c>
      <c r="AE367" s="303">
        <f t="shared" si="12"/>
        <v>0</v>
      </c>
      <c r="AF367" s="304"/>
      <c r="AG367" s="305"/>
      <c r="AH367" s="304"/>
      <c r="AI367" s="304"/>
      <c r="AJ367" s="305"/>
      <c r="AK367" s="304"/>
      <c r="AL367" s="306"/>
      <c r="AM367" s="318"/>
      <c r="AN367" s="306"/>
      <c r="AO367" s="307"/>
      <c r="AP367" s="306"/>
      <c r="AQ367" s="306">
        <v>3000000</v>
      </c>
      <c r="AR367" s="306"/>
      <c r="AS367" s="306">
        <v>3000000</v>
      </c>
      <c r="AT367" s="306"/>
      <c r="AU367" s="306">
        <v>3000000</v>
      </c>
      <c r="AV367" s="306"/>
      <c r="AW367" s="306">
        <v>3000000</v>
      </c>
      <c r="AX367" s="306"/>
      <c r="AY367" s="306">
        <v>3000000</v>
      </c>
      <c r="AZ367" s="306"/>
      <c r="BA367" s="306">
        <v>2000000</v>
      </c>
      <c r="BB367" s="306"/>
      <c r="BC367" s="306"/>
      <c r="BD367" s="306"/>
      <c r="BE367" s="306"/>
      <c r="BF367" s="306"/>
      <c r="BG367" s="308"/>
      <c r="BH367" s="309"/>
    </row>
    <row r="368" spans="1:60" s="310" customFormat="1" ht="16.5" customHeight="1">
      <c r="A368" s="290">
        <v>348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475</v>
      </c>
      <c r="K368" s="292"/>
      <c r="L368" s="292"/>
      <c r="M368" s="292">
        <v>5955</v>
      </c>
      <c r="N368" s="292" t="s">
        <v>26</v>
      </c>
      <c r="O368" s="292"/>
      <c r="P368" s="292"/>
      <c r="Q368" s="292" t="s">
        <v>22</v>
      </c>
      <c r="R368" s="292" t="s">
        <v>23</v>
      </c>
      <c r="S368" s="297" t="s">
        <v>32</v>
      </c>
      <c r="T368" s="298"/>
      <c r="U368" s="299">
        <v>13359600</v>
      </c>
      <c r="V368" s="299">
        <v>15440260</v>
      </c>
      <c r="W368" s="300">
        <v>0</v>
      </c>
      <c r="X368" s="301"/>
      <c r="Y368" s="292" t="s">
        <v>31</v>
      </c>
      <c r="Z368" s="302" t="s">
        <v>31</v>
      </c>
      <c r="AA368" s="317"/>
      <c r="AB368" s="317"/>
      <c r="AC368" s="303">
        <f t="shared" si="11"/>
        <v>17615300</v>
      </c>
      <c r="AD368" s="303">
        <v>17615300</v>
      </c>
      <c r="AE368" s="303">
        <f t="shared" si="12"/>
        <v>0</v>
      </c>
      <c r="AF368" s="304">
        <v>536000</v>
      </c>
      <c r="AG368" s="305">
        <v>536000</v>
      </c>
      <c r="AH368" s="304"/>
      <c r="AI368" s="304"/>
      <c r="AJ368" s="305">
        <v>1290000</v>
      </c>
      <c r="AK368" s="304"/>
      <c r="AL368" s="306">
        <v>1756000</v>
      </c>
      <c r="AM368" s="318">
        <v>1756000</v>
      </c>
      <c r="AN368" s="306"/>
      <c r="AO368" s="307">
        <v>2000000</v>
      </c>
      <c r="AP368" s="306"/>
      <c r="AQ368" s="306">
        <v>2000000</v>
      </c>
      <c r="AR368" s="306"/>
      <c r="AS368" s="306">
        <v>2000000</v>
      </c>
      <c r="AT368" s="306"/>
      <c r="AU368" s="306">
        <v>1000000</v>
      </c>
      <c r="AV368" s="306"/>
      <c r="AW368" s="306">
        <v>1000000</v>
      </c>
      <c r="AX368" s="306"/>
      <c r="AY368" s="306">
        <v>1000000</v>
      </c>
      <c r="AZ368" s="306"/>
      <c r="BA368" s="306">
        <v>1000000</v>
      </c>
      <c r="BB368" s="306"/>
      <c r="BC368" s="306">
        <v>1000000</v>
      </c>
      <c r="BD368" s="306"/>
      <c r="BE368" s="306">
        <v>3033300</v>
      </c>
      <c r="BF368" s="306"/>
      <c r="BG368" s="308"/>
      <c r="BH368" s="309"/>
    </row>
    <row r="369" spans="1:60" s="310" customFormat="1" ht="16.5" customHeight="1">
      <c r="A369" s="290">
        <v>349</v>
      </c>
      <c r="B369" s="291"/>
      <c r="C369" s="291"/>
      <c r="D369" s="292"/>
      <c r="E369" s="292"/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/>
      <c r="O369" s="292"/>
      <c r="P369" s="292"/>
      <c r="Q369" s="292"/>
      <c r="R369" s="292"/>
      <c r="S369" s="297" t="s">
        <v>23</v>
      </c>
      <c r="T369" s="298"/>
      <c r="U369" s="299"/>
      <c r="V369" s="299"/>
      <c r="W369" s="300">
        <v>22509100</v>
      </c>
      <c r="X369" s="301"/>
      <c r="Y369" s="292"/>
      <c r="Z369" s="302" t="s">
        <v>578</v>
      </c>
      <c r="AA369" s="317"/>
      <c r="AB369" s="317"/>
      <c r="AC369" s="303">
        <f t="shared" si="11"/>
        <v>0</v>
      </c>
      <c r="AD369" s="303">
        <v>0</v>
      </c>
      <c r="AE369" s="303">
        <f t="shared" si="12"/>
        <v>0</v>
      </c>
      <c r="AF369" s="304"/>
      <c r="AG369" s="305"/>
      <c r="AH369" s="304"/>
      <c r="AI369" s="304"/>
      <c r="AJ369" s="305"/>
      <c r="AK369" s="304"/>
      <c r="AL369" s="306"/>
      <c r="AM369" s="318"/>
      <c r="AN369" s="306"/>
      <c r="AO369" s="307"/>
      <c r="AP369" s="306"/>
      <c r="AQ369" s="306"/>
      <c r="AR369" s="306"/>
      <c r="AS369" s="306"/>
      <c r="AT369" s="306"/>
      <c r="AU369" s="306"/>
      <c r="AV369" s="306"/>
      <c r="AW369" s="306"/>
      <c r="AX369" s="306"/>
      <c r="AY369" s="306"/>
      <c r="AZ369" s="306"/>
      <c r="BA369" s="306"/>
      <c r="BB369" s="306"/>
      <c r="BC369" s="306"/>
      <c r="BD369" s="306"/>
      <c r="BE369" s="306"/>
      <c r="BF369" s="306"/>
      <c r="BG369" s="308"/>
      <c r="BH369" s="309"/>
    </row>
    <row r="370" spans="1:60" s="310" customFormat="1" ht="16.5" customHeight="1">
      <c r="A370" s="290">
        <v>350</v>
      </c>
      <c r="B370" s="291"/>
      <c r="C370" s="291"/>
      <c r="D370" s="292" t="s">
        <v>208</v>
      </c>
      <c r="E370" s="292" t="s">
        <v>4</v>
      </c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 t="s">
        <v>26</v>
      </c>
      <c r="O370" s="292"/>
      <c r="P370" s="292"/>
      <c r="Q370" s="292" t="s">
        <v>30</v>
      </c>
      <c r="R370" s="292" t="s">
        <v>353</v>
      </c>
      <c r="S370" s="297" t="s">
        <v>353</v>
      </c>
      <c r="T370" s="298"/>
      <c r="U370" s="299">
        <v>1000000</v>
      </c>
      <c r="V370" s="299">
        <v>0</v>
      </c>
      <c r="W370" s="300">
        <v>0</v>
      </c>
      <c r="X370" s="301"/>
      <c r="Y370" s="292" t="s">
        <v>25</v>
      </c>
      <c r="Z370" s="302" t="s">
        <v>25</v>
      </c>
      <c r="AA370" s="317"/>
      <c r="AB370" s="317"/>
      <c r="AC370" s="303">
        <f t="shared" si="11"/>
        <v>0</v>
      </c>
      <c r="AD370" s="303">
        <v>0</v>
      </c>
      <c r="AE370" s="303">
        <f t="shared" si="12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customHeight="1">
      <c r="A371" s="290">
        <v>351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770</v>
      </c>
      <c r="K371" s="292"/>
      <c r="L371" s="292"/>
      <c r="M371" s="292">
        <v>61234</v>
      </c>
      <c r="N371" s="292" t="s">
        <v>26</v>
      </c>
      <c r="O371" s="292"/>
      <c r="P371" s="292"/>
      <c r="Q371" s="292" t="s">
        <v>22</v>
      </c>
      <c r="R371" s="292" t="s">
        <v>32</v>
      </c>
      <c r="S371" s="297" t="s">
        <v>32</v>
      </c>
      <c r="T371" s="298" t="s">
        <v>747</v>
      </c>
      <c r="U371" s="299"/>
      <c r="V371" s="299">
        <v>72962532</v>
      </c>
      <c r="W371" s="300">
        <v>316862520</v>
      </c>
      <c r="X371" s="301"/>
      <c r="Y371" s="292" t="s">
        <v>31</v>
      </c>
      <c r="Z371" s="302" t="s">
        <v>31</v>
      </c>
      <c r="AA371" s="317"/>
      <c r="AB371" s="317"/>
      <c r="AC371" s="303">
        <f t="shared" si="11"/>
        <v>299239016</v>
      </c>
      <c r="AD371" s="303">
        <v>299239016</v>
      </c>
      <c r="AE371" s="303">
        <f t="shared" si="12"/>
        <v>0</v>
      </c>
      <c r="AF371" s="304">
        <v>32190200</v>
      </c>
      <c r="AG371" s="305">
        <v>32190200</v>
      </c>
      <c r="AH371" s="304" t="s">
        <v>697</v>
      </c>
      <c r="AI371" s="304">
        <v>20000000</v>
      </c>
      <c r="AJ371" s="305">
        <v>34248130</v>
      </c>
      <c r="AK371" s="304"/>
      <c r="AL371" s="306">
        <v>25938166</v>
      </c>
      <c r="AM371" s="318">
        <v>25938166</v>
      </c>
      <c r="AN371" s="306"/>
      <c r="AO371" s="307">
        <v>20000000</v>
      </c>
      <c r="AP371" s="306"/>
      <c r="AQ371" s="306">
        <v>20000000</v>
      </c>
      <c r="AR371" s="306"/>
      <c r="AS371" s="306">
        <v>20000000</v>
      </c>
      <c r="AT371" s="306"/>
      <c r="AU371" s="306">
        <v>20000000</v>
      </c>
      <c r="AV371" s="306"/>
      <c r="AW371" s="306">
        <v>20000000</v>
      </c>
      <c r="AX371" s="306"/>
      <c r="AY371" s="306">
        <v>20000000</v>
      </c>
      <c r="AZ371" s="306"/>
      <c r="BA371" s="306">
        <v>20000000</v>
      </c>
      <c r="BB371" s="306"/>
      <c r="BC371" s="306">
        <v>20000000</v>
      </c>
      <c r="BD371" s="306"/>
      <c r="BE371" s="306">
        <v>46862520</v>
      </c>
      <c r="BF371" s="306"/>
      <c r="BG371" s="308"/>
      <c r="BH371" s="309"/>
    </row>
    <row r="372" spans="1:60" s="310" customFormat="1" ht="16.5" customHeight="1">
      <c r="A372" s="290">
        <v>352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138</v>
      </c>
      <c r="K372" s="292"/>
      <c r="L372" s="292"/>
      <c r="M372" s="292">
        <v>61234</v>
      </c>
      <c r="N372" s="292" t="s">
        <v>26</v>
      </c>
      <c r="O372" s="292"/>
      <c r="P372" s="292"/>
      <c r="Q372" s="292"/>
      <c r="R372" s="292" t="s">
        <v>23</v>
      </c>
      <c r="S372" s="297" t="s">
        <v>32</v>
      </c>
      <c r="T372" s="298"/>
      <c r="U372" s="299"/>
      <c r="V372" s="299">
        <v>0</v>
      </c>
      <c r="W372" s="300">
        <v>0</v>
      </c>
      <c r="X372" s="301"/>
      <c r="Y372" s="292" t="s">
        <v>31</v>
      </c>
      <c r="Z372" s="302" t="s">
        <v>28</v>
      </c>
      <c r="AA372" s="317"/>
      <c r="AB372" s="317"/>
      <c r="AC372" s="303">
        <f t="shared" si="11"/>
        <v>50000000</v>
      </c>
      <c r="AD372" s="303">
        <v>50000000</v>
      </c>
      <c r="AE372" s="303">
        <f t="shared" si="12"/>
        <v>0</v>
      </c>
      <c r="AF372" s="304"/>
      <c r="AG372" s="305"/>
      <c r="AH372" s="304"/>
      <c r="AI372" s="304"/>
      <c r="AJ372" s="305"/>
      <c r="AK372" s="304"/>
      <c r="AL372" s="306"/>
      <c r="AM372" s="318"/>
      <c r="AN372" s="306"/>
      <c r="AO372" s="307"/>
      <c r="AP372" s="306"/>
      <c r="AQ372" s="306"/>
      <c r="AR372" s="306"/>
      <c r="AS372" s="306"/>
      <c r="AT372" s="306"/>
      <c r="AU372" s="306">
        <v>10000000</v>
      </c>
      <c r="AV372" s="306"/>
      <c r="AW372" s="306">
        <v>10000000</v>
      </c>
      <c r="AX372" s="306"/>
      <c r="AY372" s="306">
        <v>10000000</v>
      </c>
      <c r="AZ372" s="306"/>
      <c r="BA372" s="306">
        <v>10000000</v>
      </c>
      <c r="BB372" s="306"/>
      <c r="BC372" s="306">
        <v>10000000</v>
      </c>
      <c r="BD372" s="306"/>
      <c r="BE372" s="306"/>
      <c r="BF372" s="306"/>
      <c r="BG372" s="308"/>
      <c r="BH372" s="309"/>
    </row>
    <row r="373" spans="1:60" s="310" customFormat="1" ht="16.5" customHeight="1">
      <c r="A373" s="290">
        <v>353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3413</v>
      </c>
      <c r="N373" s="292" t="s">
        <v>26</v>
      </c>
      <c r="O373" s="292"/>
      <c r="P373" s="292"/>
      <c r="Q373" s="292" t="s">
        <v>30</v>
      </c>
      <c r="R373" s="292" t="s">
        <v>353</v>
      </c>
      <c r="S373" s="297" t="s">
        <v>353</v>
      </c>
      <c r="T373" s="298"/>
      <c r="U373" s="299"/>
      <c r="V373" s="299">
        <v>0</v>
      </c>
      <c r="W373" s="300">
        <v>0</v>
      </c>
      <c r="X373" s="301"/>
      <c r="Y373" s="292" t="s">
        <v>28</v>
      </c>
      <c r="Z373" s="302" t="s">
        <v>28</v>
      </c>
      <c r="AA373" s="317"/>
      <c r="AB373" s="317"/>
      <c r="AC373" s="303">
        <f t="shared" si="11"/>
        <v>40000000</v>
      </c>
      <c r="AD373" s="303">
        <v>40000000</v>
      </c>
      <c r="AE373" s="303">
        <f t="shared" si="12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/>
      <c r="AV373" s="306"/>
      <c r="AW373" s="306"/>
      <c r="AX373" s="306"/>
      <c r="AY373" s="306">
        <v>20000000</v>
      </c>
      <c r="AZ373" s="306"/>
      <c r="BA373" s="306"/>
      <c r="BB373" s="306"/>
      <c r="BC373" s="306">
        <v>20000000</v>
      </c>
      <c r="BD373" s="306"/>
      <c r="BE373" s="306"/>
      <c r="BF373" s="306"/>
      <c r="BG373" s="308"/>
      <c r="BH373" s="309"/>
    </row>
    <row r="374" spans="1:60" s="310" customFormat="1" ht="16.5" customHeight="1">
      <c r="A374" s="290">
        <v>354</v>
      </c>
      <c r="B374" s="291"/>
      <c r="C374" s="291"/>
      <c r="D374" s="292" t="s">
        <v>208</v>
      </c>
      <c r="E374" s="292" t="s">
        <v>5</v>
      </c>
      <c r="F374" s="293" t="s">
        <v>208</v>
      </c>
      <c r="G374" s="294" t="s">
        <v>4</v>
      </c>
      <c r="H374" s="311"/>
      <c r="I374" s="295"/>
      <c r="J374" s="296" t="s">
        <v>169</v>
      </c>
      <c r="K374" s="292"/>
      <c r="L374" s="292"/>
      <c r="M374" s="292">
        <v>16168</v>
      </c>
      <c r="N374" s="292" t="s">
        <v>26</v>
      </c>
      <c r="O374" s="292"/>
      <c r="P374" s="292"/>
      <c r="Q374" s="292" t="s">
        <v>83</v>
      </c>
      <c r="R374" s="292" t="s">
        <v>32</v>
      </c>
      <c r="S374" s="297" t="s">
        <v>32</v>
      </c>
      <c r="T374" s="298"/>
      <c r="U374" s="299">
        <v>646916680</v>
      </c>
      <c r="V374" s="299">
        <v>371145000</v>
      </c>
      <c r="W374" s="300">
        <v>404115200</v>
      </c>
      <c r="X374" s="301"/>
      <c r="Y374" s="292" t="s">
        <v>31</v>
      </c>
      <c r="Z374" s="302" t="s">
        <v>441</v>
      </c>
      <c r="AA374" s="317"/>
      <c r="AB374" s="317"/>
      <c r="AC374" s="303">
        <f t="shared" si="11"/>
        <v>0</v>
      </c>
      <c r="AD374" s="303">
        <v>150000000</v>
      </c>
      <c r="AE374" s="303">
        <f t="shared" si="12"/>
        <v>-150000000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/>
      <c r="AZ374" s="306"/>
      <c r="BA374" s="306"/>
      <c r="BB374" s="306"/>
      <c r="BC374" s="306"/>
      <c r="BD374" s="306"/>
      <c r="BE374" s="306"/>
      <c r="BF374" s="306"/>
      <c r="BG374" s="308"/>
      <c r="BH374" s="309"/>
    </row>
    <row r="375" spans="1:60" s="310" customFormat="1" ht="16.5" customHeight="1">
      <c r="A375" s="290">
        <v>355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/>
      <c r="V375" s="299">
        <v>0</v>
      </c>
      <c r="W375" s="300">
        <v>0</v>
      </c>
      <c r="X375" s="301"/>
      <c r="Y375" s="292" t="s">
        <v>28</v>
      </c>
      <c r="Z375" s="302" t="s">
        <v>441</v>
      </c>
      <c r="AA375" s="317"/>
      <c r="AB375" s="317"/>
      <c r="AC375" s="303">
        <f t="shared" si="11"/>
        <v>0</v>
      </c>
      <c r="AD375" s="303">
        <v>0</v>
      </c>
      <c r="AE375" s="303">
        <f t="shared" si="12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/>
      <c r="BF375" s="306"/>
      <c r="BG375" s="308"/>
      <c r="BH375" s="309"/>
    </row>
    <row r="376" spans="1:60" s="310" customFormat="1" ht="16.5" customHeight="1">
      <c r="A376" s="290">
        <v>356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33</v>
      </c>
      <c r="R376" s="292" t="s">
        <v>34</v>
      </c>
      <c r="S376" s="297" t="s">
        <v>34</v>
      </c>
      <c r="T376" s="298"/>
      <c r="U376" s="299">
        <v>11420000</v>
      </c>
      <c r="V376" s="299">
        <v>25745455</v>
      </c>
      <c r="W376" s="300">
        <v>0</v>
      </c>
      <c r="X376" s="301"/>
      <c r="Y376" s="292" t="s">
        <v>31</v>
      </c>
      <c r="Z376" s="302" t="s">
        <v>441</v>
      </c>
      <c r="AA376" s="317"/>
      <c r="AB376" s="317"/>
      <c r="AC376" s="303">
        <f t="shared" si="11"/>
        <v>0</v>
      </c>
      <c r="AD376" s="303">
        <v>20000000</v>
      </c>
      <c r="AE376" s="303">
        <f t="shared" si="12"/>
        <v>-20000000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customHeight="1">
      <c r="A377" s="290">
        <v>357</v>
      </c>
      <c r="B377" s="291"/>
      <c r="C377" s="291"/>
      <c r="D377" s="292" t="s">
        <v>208</v>
      </c>
      <c r="E377" s="292" t="s">
        <v>106</v>
      </c>
      <c r="F377" s="293" t="s">
        <v>208</v>
      </c>
      <c r="G377" s="294" t="s">
        <v>4</v>
      </c>
      <c r="H377" s="311"/>
      <c r="I377" s="295"/>
      <c r="J377" s="296" t="s">
        <v>115</v>
      </c>
      <c r="K377" s="292"/>
      <c r="L377" s="292"/>
      <c r="M377" s="292">
        <v>49932</v>
      </c>
      <c r="N377" s="292" t="s">
        <v>38</v>
      </c>
      <c r="O377" s="292"/>
      <c r="P377" s="292"/>
      <c r="Q377" s="292" t="s">
        <v>30</v>
      </c>
      <c r="R377" s="292" t="s">
        <v>353</v>
      </c>
      <c r="S377" s="297" t="s">
        <v>353</v>
      </c>
      <c r="T377" s="298"/>
      <c r="U377" s="299">
        <v>1850000</v>
      </c>
      <c r="V377" s="299">
        <v>11600000</v>
      </c>
      <c r="W377" s="300">
        <v>0</v>
      </c>
      <c r="X377" s="301"/>
      <c r="Y377" s="292" t="s">
        <v>28</v>
      </c>
      <c r="Z377" s="302" t="s">
        <v>24</v>
      </c>
      <c r="AA377" s="317"/>
      <c r="AB377" s="317"/>
      <c r="AC377" s="303">
        <f t="shared" si="11"/>
        <v>0</v>
      </c>
      <c r="AD377" s="303">
        <v>0</v>
      </c>
      <c r="AE377" s="303">
        <f t="shared" si="12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/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customHeight="1">
      <c r="A378" s="290">
        <v>358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116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73</v>
      </c>
      <c r="R378" s="292" t="s">
        <v>538</v>
      </c>
      <c r="S378" s="297" t="s">
        <v>681</v>
      </c>
      <c r="T378" s="298"/>
      <c r="U378" s="299">
        <v>11200000</v>
      </c>
      <c r="V378" s="299">
        <v>0</v>
      </c>
      <c r="W378" s="300">
        <v>0</v>
      </c>
      <c r="X378" s="301"/>
      <c r="Y378" s="292" t="s">
        <v>25</v>
      </c>
      <c r="Z378" s="302" t="s">
        <v>25</v>
      </c>
      <c r="AA378" s="317"/>
      <c r="AB378" s="317"/>
      <c r="AC378" s="303">
        <f t="shared" si="11"/>
        <v>0</v>
      </c>
      <c r="AD378" s="303">
        <v>0</v>
      </c>
      <c r="AE378" s="303">
        <f t="shared" si="12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customHeight="1">
      <c r="A379" s="290">
        <v>359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117</v>
      </c>
      <c r="K379" s="292"/>
      <c r="L379" s="292"/>
      <c r="M379" s="292">
        <v>3552</v>
      </c>
      <c r="N379" s="292" t="s">
        <v>26</v>
      </c>
      <c r="O379" s="292"/>
      <c r="P379" s="292"/>
      <c r="Q379" s="292" t="s">
        <v>83</v>
      </c>
      <c r="R379" s="292" t="s">
        <v>32</v>
      </c>
      <c r="S379" s="297" t="s">
        <v>32</v>
      </c>
      <c r="T379" s="298" t="s">
        <v>747</v>
      </c>
      <c r="U379" s="299">
        <v>189302338</v>
      </c>
      <c r="V379" s="299">
        <v>192608480</v>
      </c>
      <c r="W379" s="300">
        <v>225812650</v>
      </c>
      <c r="X379" s="301"/>
      <c r="Y379" s="292" t="s">
        <v>31</v>
      </c>
      <c r="Z379" s="302" t="s">
        <v>31</v>
      </c>
      <c r="AA379" s="317"/>
      <c r="AB379" s="317"/>
      <c r="AC379" s="303">
        <f t="shared" si="11"/>
        <v>197118390</v>
      </c>
      <c r="AD379" s="303">
        <v>197118390</v>
      </c>
      <c r="AE379" s="303">
        <f t="shared" si="12"/>
        <v>0</v>
      </c>
      <c r="AF379" s="304">
        <v>15703630</v>
      </c>
      <c r="AG379" s="305">
        <v>15703630</v>
      </c>
      <c r="AH379" s="304"/>
      <c r="AI379" s="304">
        <v>15000000</v>
      </c>
      <c r="AJ379" s="305">
        <v>16302880</v>
      </c>
      <c r="AK379" s="304"/>
      <c r="AL379" s="306">
        <v>15815510</v>
      </c>
      <c r="AM379" s="318">
        <v>15815510</v>
      </c>
      <c r="AN379" s="306"/>
      <c r="AO379" s="307">
        <v>15000000</v>
      </c>
      <c r="AP379" s="306"/>
      <c r="AQ379" s="306">
        <v>15000000</v>
      </c>
      <c r="AR379" s="306"/>
      <c r="AS379" s="306">
        <v>19296370</v>
      </c>
      <c r="AT379" s="306"/>
      <c r="AU379" s="306">
        <v>20000000</v>
      </c>
      <c r="AV379" s="306"/>
      <c r="AW379" s="306">
        <v>20000000</v>
      </c>
      <c r="AX379" s="306"/>
      <c r="AY379" s="306">
        <v>20000000</v>
      </c>
      <c r="AZ379" s="306"/>
      <c r="BA379" s="306">
        <v>20000000</v>
      </c>
      <c r="BB379" s="306"/>
      <c r="BC379" s="306">
        <v>20000000</v>
      </c>
      <c r="BD379" s="306"/>
      <c r="BE379" s="306"/>
      <c r="BF379" s="306"/>
      <c r="BG379" s="308"/>
      <c r="BH379" s="309"/>
    </row>
    <row r="380" spans="1:60" s="310" customFormat="1" ht="16.5" customHeight="1">
      <c r="A380" s="290">
        <v>360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/>
      <c r="U380" s="299"/>
      <c r="V380" s="299">
        <v>0</v>
      </c>
      <c r="W380" s="300">
        <v>0</v>
      </c>
      <c r="X380" s="301"/>
      <c r="Y380" s="292" t="s">
        <v>29</v>
      </c>
      <c r="Z380" s="302" t="s">
        <v>29</v>
      </c>
      <c r="AA380" s="317"/>
      <c r="AB380" s="317"/>
      <c r="AC380" s="303">
        <f t="shared" si="11"/>
        <v>0</v>
      </c>
      <c r="AD380" s="303">
        <v>0</v>
      </c>
      <c r="AE380" s="303">
        <f t="shared" si="12"/>
        <v>0</v>
      </c>
      <c r="AF380" s="304"/>
      <c r="AG380" s="305"/>
      <c r="AH380" s="304"/>
      <c r="AI380" s="304"/>
      <c r="AJ380" s="305"/>
      <c r="AK380" s="304"/>
      <c r="AL380" s="306"/>
      <c r="AM380" s="318"/>
      <c r="AN380" s="306"/>
      <c r="AO380" s="307"/>
      <c r="AP380" s="306"/>
      <c r="AQ380" s="306"/>
      <c r="AR380" s="306"/>
      <c r="AS380" s="306"/>
      <c r="AT380" s="306"/>
      <c r="AU380" s="306"/>
      <c r="AV380" s="306"/>
      <c r="AW380" s="306"/>
      <c r="AX380" s="306"/>
      <c r="AY380" s="306"/>
      <c r="AZ380" s="306"/>
      <c r="BA380" s="306"/>
      <c r="BB380" s="306"/>
      <c r="BC380" s="306"/>
      <c r="BD380" s="306"/>
      <c r="BE380" s="306"/>
      <c r="BF380" s="306"/>
      <c r="BG380" s="308"/>
      <c r="BH380" s="309"/>
    </row>
    <row r="381" spans="1:60" s="310" customFormat="1" ht="16.5" customHeight="1">
      <c r="A381" s="290">
        <v>361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68</v>
      </c>
      <c r="R381" s="292" t="s">
        <v>353</v>
      </c>
      <c r="S381" s="297" t="s">
        <v>353</v>
      </c>
      <c r="T381" s="298"/>
      <c r="U381" s="299">
        <v>5500000</v>
      </c>
      <c r="V381" s="299">
        <v>0</v>
      </c>
      <c r="W381" s="300">
        <v>0</v>
      </c>
      <c r="X381" s="301"/>
      <c r="Y381" s="292" t="s">
        <v>28</v>
      </c>
      <c r="Z381" s="302" t="s">
        <v>29</v>
      </c>
      <c r="AA381" s="317"/>
      <c r="AB381" s="317"/>
      <c r="AC381" s="303">
        <f t="shared" si="11"/>
        <v>30000000</v>
      </c>
      <c r="AD381" s="303">
        <v>30000000</v>
      </c>
      <c r="AE381" s="303">
        <f t="shared" si="12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>
        <v>30000000</v>
      </c>
      <c r="BD381" s="306"/>
      <c r="BE381" s="306"/>
      <c r="BF381" s="306"/>
      <c r="BG381" s="308"/>
      <c r="BH381" s="309"/>
    </row>
    <row r="382" spans="1:60" s="310" customFormat="1" ht="16.5" customHeight="1">
      <c r="A382" s="290">
        <v>362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30</v>
      </c>
      <c r="R382" s="292" t="s">
        <v>361</v>
      </c>
      <c r="S382" s="297" t="s">
        <v>361</v>
      </c>
      <c r="T382" s="298"/>
      <c r="U382" s="299">
        <v>13000000</v>
      </c>
      <c r="V382" s="299">
        <v>26620000</v>
      </c>
      <c r="W382" s="300">
        <v>50410000</v>
      </c>
      <c r="X382" s="301"/>
      <c r="Y382" s="292" t="s">
        <v>31</v>
      </c>
      <c r="Z382" s="302" t="s">
        <v>28</v>
      </c>
      <c r="AA382" s="317"/>
      <c r="AB382" s="317"/>
      <c r="AC382" s="303">
        <f t="shared" si="11"/>
        <v>20000000</v>
      </c>
      <c r="AD382" s="303">
        <v>20000000</v>
      </c>
      <c r="AE382" s="303">
        <f t="shared" si="12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>
        <v>20000000</v>
      </c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/>
      <c r="BD382" s="306"/>
      <c r="BE382" s="306"/>
      <c r="BF382" s="306"/>
      <c r="BG382" s="308"/>
      <c r="BH382" s="309"/>
    </row>
    <row r="383" spans="1:60" s="310" customFormat="1" ht="16.5" customHeight="1">
      <c r="A383" s="290">
        <v>363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68</v>
      </c>
      <c r="R383" s="292" t="s">
        <v>356</v>
      </c>
      <c r="S383" s="297" t="s">
        <v>686</v>
      </c>
      <c r="T383" s="298"/>
      <c r="U383" s="299"/>
      <c r="V383" s="299">
        <v>0</v>
      </c>
      <c r="W383" s="300">
        <v>0</v>
      </c>
      <c r="X383" s="301"/>
      <c r="Y383" s="292" t="s">
        <v>29</v>
      </c>
      <c r="Z383" s="302" t="s">
        <v>29</v>
      </c>
      <c r="AA383" s="317"/>
      <c r="AB383" s="317"/>
      <c r="AC383" s="303">
        <f t="shared" si="11"/>
        <v>0</v>
      </c>
      <c r="AD383" s="303">
        <v>0</v>
      </c>
      <c r="AE383" s="303">
        <f t="shared" si="12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/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customHeight="1">
      <c r="A384" s="290">
        <v>364</v>
      </c>
      <c r="B384" s="291"/>
      <c r="C384" s="291"/>
      <c r="D384" s="292" t="s">
        <v>184</v>
      </c>
      <c r="E384" s="292" t="s">
        <v>555</v>
      </c>
      <c r="F384" s="293" t="s">
        <v>208</v>
      </c>
      <c r="G384" s="294" t="s">
        <v>822</v>
      </c>
      <c r="H384" s="311" t="s">
        <v>808</v>
      </c>
      <c r="I384" s="295"/>
      <c r="J384" s="296" t="s">
        <v>620</v>
      </c>
      <c r="K384" s="292"/>
      <c r="L384" s="292"/>
      <c r="M384" s="292">
        <v>7823</v>
      </c>
      <c r="N384" s="292" t="s">
        <v>26</v>
      </c>
      <c r="O384" s="292" t="s">
        <v>47</v>
      </c>
      <c r="P384" s="292" t="s">
        <v>48</v>
      </c>
      <c r="Q384" s="292" t="s">
        <v>83</v>
      </c>
      <c r="R384" s="292" t="s">
        <v>32</v>
      </c>
      <c r="S384" s="297" t="s">
        <v>32</v>
      </c>
      <c r="T384" s="298"/>
      <c r="U384" s="299">
        <v>1420287005</v>
      </c>
      <c r="V384" s="299">
        <v>1520089260</v>
      </c>
      <c r="W384" s="300">
        <v>1638411330</v>
      </c>
      <c r="X384" s="301"/>
      <c r="Y384" s="292" t="s">
        <v>31</v>
      </c>
      <c r="Z384" s="302" t="s">
        <v>31</v>
      </c>
      <c r="AA384" s="317"/>
      <c r="AB384" s="317"/>
      <c r="AC384" s="303">
        <f t="shared" si="11"/>
        <v>1581469265</v>
      </c>
      <c r="AD384" s="303">
        <v>1581469265</v>
      </c>
      <c r="AE384" s="303">
        <f t="shared" si="12"/>
        <v>0</v>
      </c>
      <c r="AF384" s="304">
        <v>120000000</v>
      </c>
      <c r="AG384" s="305">
        <v>133913155</v>
      </c>
      <c r="AH384" s="304"/>
      <c r="AI384" s="304">
        <v>140000000</v>
      </c>
      <c r="AJ384" s="305">
        <v>101238020</v>
      </c>
      <c r="AK384" s="304"/>
      <c r="AL384" s="306">
        <v>140000000</v>
      </c>
      <c r="AM384" s="318">
        <v>146318090</v>
      </c>
      <c r="AN384" s="306"/>
      <c r="AO384" s="307">
        <v>110000000</v>
      </c>
      <c r="AP384" s="306"/>
      <c r="AQ384" s="306">
        <v>140000000</v>
      </c>
      <c r="AR384" s="306"/>
      <c r="AS384" s="306">
        <v>140000000</v>
      </c>
      <c r="AT384" s="306"/>
      <c r="AU384" s="306">
        <v>130000000</v>
      </c>
      <c r="AV384" s="306"/>
      <c r="AW384" s="306">
        <v>140000000</v>
      </c>
      <c r="AX384" s="306"/>
      <c r="AY384" s="306">
        <v>140000000</v>
      </c>
      <c r="AZ384" s="306"/>
      <c r="BA384" s="306">
        <v>140000000</v>
      </c>
      <c r="BB384" s="306"/>
      <c r="BC384" s="306">
        <v>140000000</v>
      </c>
      <c r="BD384" s="306"/>
      <c r="BE384" s="306">
        <v>120000000</v>
      </c>
      <c r="BF384" s="306"/>
      <c r="BG384" s="308"/>
      <c r="BH384" s="309"/>
    </row>
    <row r="385" spans="1:60" s="310" customFormat="1" ht="16.5" customHeight="1">
      <c r="A385" s="290">
        <v>365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822</v>
      </c>
      <c r="H385" s="311" t="s">
        <v>808</v>
      </c>
      <c r="I385" s="295"/>
      <c r="J385" s="296" t="s">
        <v>620</v>
      </c>
      <c r="K385" s="292"/>
      <c r="L385" s="292"/>
      <c r="M385" s="292">
        <v>7823</v>
      </c>
      <c r="N385" s="292" t="s">
        <v>26</v>
      </c>
      <c r="O385" s="292"/>
      <c r="P385" s="292"/>
      <c r="Q385" s="292"/>
      <c r="R385" s="292" t="s">
        <v>353</v>
      </c>
      <c r="S385" s="297" t="s">
        <v>353</v>
      </c>
      <c r="T385" s="298"/>
      <c r="U385" s="299"/>
      <c r="V385" s="299">
        <v>0</v>
      </c>
      <c r="W385" s="300">
        <v>0</v>
      </c>
      <c r="X385" s="301"/>
      <c r="Y385" s="292" t="s">
        <v>29</v>
      </c>
      <c r="Z385" s="302" t="s">
        <v>29</v>
      </c>
      <c r="AA385" s="317"/>
      <c r="AB385" s="317"/>
      <c r="AC385" s="303">
        <f t="shared" si="11"/>
        <v>30000000</v>
      </c>
      <c r="AD385" s="303">
        <v>30000000</v>
      </c>
      <c r="AE385" s="303">
        <f t="shared" si="12"/>
        <v>0</v>
      </c>
      <c r="AF385" s="304"/>
      <c r="AG385" s="305"/>
      <c r="AH385" s="304"/>
      <c r="AI385" s="304"/>
      <c r="AJ385" s="305"/>
      <c r="AK385" s="304"/>
      <c r="AL385" s="306"/>
      <c r="AM385" s="318"/>
      <c r="AN385" s="306"/>
      <c r="AO385" s="307"/>
      <c r="AP385" s="306"/>
      <c r="AQ385" s="306"/>
      <c r="AR385" s="306"/>
      <c r="AS385" s="306"/>
      <c r="AT385" s="306"/>
      <c r="AU385" s="306"/>
      <c r="AV385" s="306"/>
      <c r="AW385" s="306"/>
      <c r="AX385" s="306"/>
      <c r="AY385" s="306"/>
      <c r="AZ385" s="306"/>
      <c r="BA385" s="306">
        <v>30000000</v>
      </c>
      <c r="BB385" s="306"/>
      <c r="BC385" s="306"/>
      <c r="BD385" s="306"/>
      <c r="BE385" s="306"/>
      <c r="BF385" s="306"/>
      <c r="BG385" s="308"/>
      <c r="BH385" s="309"/>
    </row>
    <row r="386" spans="1:60" s="310" customFormat="1" ht="16.5" customHeight="1">
      <c r="A386" s="290">
        <v>366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823</v>
      </c>
      <c r="H386" s="311" t="s">
        <v>808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 t="s">
        <v>47</v>
      </c>
      <c r="P386" s="292" t="s">
        <v>48</v>
      </c>
      <c r="Q386" s="292" t="s">
        <v>30</v>
      </c>
      <c r="R386" s="292" t="s">
        <v>361</v>
      </c>
      <c r="S386" s="297" t="s">
        <v>361</v>
      </c>
      <c r="T386" s="298"/>
      <c r="U386" s="299">
        <v>17900000</v>
      </c>
      <c r="V386" s="299">
        <v>36790000</v>
      </c>
      <c r="W386" s="300">
        <v>13900000</v>
      </c>
      <c r="X386" s="301"/>
      <c r="Y386" s="292" t="s">
        <v>31</v>
      </c>
      <c r="Z386" s="302" t="s">
        <v>28</v>
      </c>
      <c r="AA386" s="317"/>
      <c r="AB386" s="317"/>
      <c r="AC386" s="303">
        <f t="shared" si="11"/>
        <v>26000000</v>
      </c>
      <c r="AD386" s="303">
        <v>26000000</v>
      </c>
      <c r="AE386" s="303">
        <f t="shared" si="12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/>
      <c r="BB386" s="306"/>
      <c r="BC386" s="306">
        <v>26000000</v>
      </c>
      <c r="BD386" s="306"/>
      <c r="BE386" s="306"/>
      <c r="BF386" s="306"/>
      <c r="BG386" s="308"/>
      <c r="BH386" s="309"/>
    </row>
    <row r="387" spans="1:60" s="310" customFormat="1" ht="16.5" customHeight="1">
      <c r="A387" s="290">
        <v>367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822</v>
      </c>
      <c r="H387" s="311" t="s">
        <v>808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/>
      <c r="P387" s="292"/>
      <c r="Q387" s="292"/>
      <c r="R387" s="292" t="s">
        <v>621</v>
      </c>
      <c r="S387" s="297" t="s">
        <v>691</v>
      </c>
      <c r="T387" s="298"/>
      <c r="U387" s="299"/>
      <c r="V387" s="299">
        <v>0</v>
      </c>
      <c r="W387" s="300">
        <v>0</v>
      </c>
      <c r="X387" s="301"/>
      <c r="Y387" s="292" t="s">
        <v>29</v>
      </c>
      <c r="Z387" s="302" t="s">
        <v>484</v>
      </c>
      <c r="AA387" s="317"/>
      <c r="AB387" s="317"/>
      <c r="AC387" s="303">
        <f t="shared" si="11"/>
        <v>0</v>
      </c>
      <c r="AD387" s="303">
        <v>0</v>
      </c>
      <c r="AE387" s="303">
        <f t="shared" si="12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/>
      <c r="BD387" s="306"/>
      <c r="BE387" s="306"/>
      <c r="BF387" s="306"/>
      <c r="BG387" s="308"/>
      <c r="BH387" s="309"/>
    </row>
    <row r="388" spans="1:60" s="310" customFormat="1" ht="16.5" customHeight="1">
      <c r="A388" s="290">
        <v>368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822</v>
      </c>
      <c r="H388" s="311" t="s">
        <v>808</v>
      </c>
      <c r="I388" s="295"/>
      <c r="J388" s="296" t="s">
        <v>622</v>
      </c>
      <c r="K388" s="292"/>
      <c r="L388" s="292"/>
      <c r="M388" s="292">
        <v>55188</v>
      </c>
      <c r="N388" s="292" t="s">
        <v>26</v>
      </c>
      <c r="O388" s="292" t="s">
        <v>47</v>
      </c>
      <c r="P388" s="292" t="s">
        <v>48</v>
      </c>
      <c r="Q388" s="292" t="s">
        <v>33</v>
      </c>
      <c r="R388" s="292" t="s">
        <v>34</v>
      </c>
      <c r="S388" s="297" t="s">
        <v>34</v>
      </c>
      <c r="T388" s="298"/>
      <c r="U388" s="299">
        <v>12972000</v>
      </c>
      <c r="V388" s="299">
        <v>24248000</v>
      </c>
      <c r="W388" s="300">
        <v>0</v>
      </c>
      <c r="X388" s="301"/>
      <c r="Y388" s="292" t="s">
        <v>28</v>
      </c>
      <c r="Z388" s="302" t="s">
        <v>28</v>
      </c>
      <c r="AA388" s="317"/>
      <c r="AB388" s="317"/>
      <c r="AC388" s="303">
        <f t="shared" si="11"/>
        <v>2000000</v>
      </c>
      <c r="AD388" s="303">
        <v>2000000</v>
      </c>
      <c r="AE388" s="303">
        <f t="shared" si="12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>
        <v>2000000</v>
      </c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customHeight="1">
      <c r="A389" s="290">
        <v>369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823</v>
      </c>
      <c r="H389" s="311" t="s">
        <v>808</v>
      </c>
      <c r="I389" s="295"/>
      <c r="J389" s="296" t="s">
        <v>623</v>
      </c>
      <c r="K389" s="292"/>
      <c r="L389" s="292"/>
      <c r="M389" s="292">
        <v>3972</v>
      </c>
      <c r="N389" s="292" t="s">
        <v>26</v>
      </c>
      <c r="O389" s="292" t="s">
        <v>47</v>
      </c>
      <c r="P389" s="292" t="s">
        <v>48</v>
      </c>
      <c r="Q389" s="292" t="s">
        <v>30</v>
      </c>
      <c r="R389" s="292" t="s">
        <v>361</v>
      </c>
      <c r="S389" s="297" t="s">
        <v>361</v>
      </c>
      <c r="T389" s="298"/>
      <c r="U389" s="299">
        <v>4900000</v>
      </c>
      <c r="V389" s="299">
        <v>0</v>
      </c>
      <c r="W389" s="300">
        <v>10291900</v>
      </c>
      <c r="X389" s="301"/>
      <c r="Y389" s="292" t="s">
        <v>31</v>
      </c>
      <c r="Z389" s="302" t="s">
        <v>28</v>
      </c>
      <c r="AA389" s="317"/>
      <c r="AB389" s="317"/>
      <c r="AC389" s="303">
        <f t="shared" si="11"/>
        <v>10000000</v>
      </c>
      <c r="AD389" s="303">
        <v>10000000</v>
      </c>
      <c r="AE389" s="303">
        <f t="shared" si="12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10000000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customHeight="1">
      <c r="A390" s="290">
        <v>370</v>
      </c>
      <c r="B390" s="291"/>
      <c r="C390" s="291"/>
      <c r="D390" s="292" t="s">
        <v>208</v>
      </c>
      <c r="E390" s="292" t="s">
        <v>4</v>
      </c>
      <c r="F390" s="293" t="s">
        <v>208</v>
      </c>
      <c r="G390" s="294" t="s">
        <v>4</v>
      </c>
      <c r="H390" s="311"/>
      <c r="I390" s="295"/>
      <c r="J390" s="296" t="s">
        <v>59</v>
      </c>
      <c r="K390" s="292"/>
      <c r="L390" s="292"/>
      <c r="M390" s="292">
        <v>55182</v>
      </c>
      <c r="N390" s="292" t="s">
        <v>26</v>
      </c>
      <c r="O390" s="292"/>
      <c r="P390" s="292"/>
      <c r="Q390" s="292" t="s">
        <v>33</v>
      </c>
      <c r="R390" s="292" t="s">
        <v>34</v>
      </c>
      <c r="S390" s="297" t="s">
        <v>34</v>
      </c>
      <c r="T390" s="298"/>
      <c r="U390" s="299"/>
      <c r="V390" s="299">
        <v>0</v>
      </c>
      <c r="W390" s="300">
        <v>0</v>
      </c>
      <c r="X390" s="301"/>
      <c r="Y390" s="292" t="s">
        <v>29</v>
      </c>
      <c r="Z390" s="302" t="s">
        <v>29</v>
      </c>
      <c r="AA390" s="317"/>
      <c r="AB390" s="317"/>
      <c r="AC390" s="303">
        <f t="shared" si="11"/>
        <v>10000000</v>
      </c>
      <c r="AD390" s="303">
        <v>10000000</v>
      </c>
      <c r="AE390" s="303">
        <f t="shared" si="12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/>
      <c r="BB390" s="306"/>
      <c r="BC390" s="306"/>
      <c r="BD390" s="306"/>
      <c r="BE390" s="306">
        <v>10000000</v>
      </c>
      <c r="BF390" s="306"/>
      <c r="BG390" s="308"/>
      <c r="BH390" s="309"/>
    </row>
    <row r="391" spans="1:60" s="310" customFormat="1" ht="16.5" customHeight="1">
      <c r="A391" s="290">
        <v>371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41</v>
      </c>
      <c r="R391" s="292" t="s">
        <v>42</v>
      </c>
      <c r="S391" s="297" t="s">
        <v>42</v>
      </c>
      <c r="T391" s="298"/>
      <c r="U391" s="299">
        <v>3272727.2727272725</v>
      </c>
      <c r="V391" s="299">
        <v>0</v>
      </c>
      <c r="W391" s="300">
        <v>0</v>
      </c>
      <c r="X391" s="301"/>
      <c r="Y391" s="292" t="s">
        <v>28</v>
      </c>
      <c r="Z391" s="302" t="s">
        <v>29</v>
      </c>
      <c r="AA391" s="317"/>
      <c r="AB391" s="317"/>
      <c r="AC391" s="303">
        <f t="shared" si="11"/>
        <v>0</v>
      </c>
      <c r="AD391" s="303">
        <v>0</v>
      </c>
      <c r="AE391" s="303">
        <f t="shared" si="12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/>
      <c r="BF391" s="306"/>
      <c r="BG391" s="308"/>
      <c r="BH391" s="309"/>
    </row>
    <row r="392" spans="1:60" s="310" customFormat="1" ht="16.5" customHeight="1">
      <c r="A392" s="290">
        <v>372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40</v>
      </c>
      <c r="R392" s="292" t="s">
        <v>357</v>
      </c>
      <c r="S392" s="297" t="s">
        <v>680</v>
      </c>
      <c r="T392" s="298"/>
      <c r="U392" s="299"/>
      <c r="V392" s="299">
        <v>0</v>
      </c>
      <c r="W392" s="300">
        <v>0</v>
      </c>
      <c r="X392" s="301"/>
      <c r="Y392" s="292" t="s">
        <v>29</v>
      </c>
      <c r="Z392" s="302" t="s">
        <v>29</v>
      </c>
      <c r="AA392" s="317"/>
      <c r="AB392" s="317"/>
      <c r="AC392" s="303">
        <f t="shared" si="11"/>
        <v>20000000</v>
      </c>
      <c r="AD392" s="303">
        <v>20000000</v>
      </c>
      <c r="AE392" s="303">
        <f t="shared" si="12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>
        <v>20000000</v>
      </c>
      <c r="BF392" s="306"/>
      <c r="BG392" s="308"/>
      <c r="BH392" s="309"/>
    </row>
    <row r="393" spans="1:60" s="310" customFormat="1" ht="16.5" customHeight="1">
      <c r="A393" s="290">
        <v>373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537</v>
      </c>
      <c r="K393" s="292"/>
      <c r="L393" s="292"/>
      <c r="M393" s="292">
        <v>63286</v>
      </c>
      <c r="N393" s="292" t="s">
        <v>26</v>
      </c>
      <c r="O393" s="292"/>
      <c r="P393" s="292"/>
      <c r="Q393" s="292" t="s">
        <v>98</v>
      </c>
      <c r="R393" s="292" t="s">
        <v>353</v>
      </c>
      <c r="S393" s="297" t="s">
        <v>353</v>
      </c>
      <c r="T393" s="298"/>
      <c r="U393" s="299"/>
      <c r="V393" s="299">
        <v>0</v>
      </c>
      <c r="W393" s="300">
        <v>87950000</v>
      </c>
      <c r="X393" s="301"/>
      <c r="Y393" s="292" t="s">
        <v>31</v>
      </c>
      <c r="Z393" s="302" t="s">
        <v>31</v>
      </c>
      <c r="AA393" s="317"/>
      <c r="AB393" s="317"/>
      <c r="AC393" s="303">
        <f t="shared" si="11"/>
        <v>6000000</v>
      </c>
      <c r="AD393" s="303">
        <v>6000000</v>
      </c>
      <c r="AE393" s="303">
        <f t="shared" si="12"/>
        <v>0</v>
      </c>
      <c r="AF393" s="304">
        <v>6000000</v>
      </c>
      <c r="AG393" s="305">
        <v>6000000</v>
      </c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/>
      <c r="BF393" s="306"/>
      <c r="BG393" s="308"/>
      <c r="BH393" s="309"/>
    </row>
    <row r="394" spans="1:60" s="310" customFormat="1" ht="16.5" customHeight="1">
      <c r="A394" s="290">
        <v>374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0</v>
      </c>
      <c r="X394" s="301"/>
      <c r="Y394" s="292" t="s">
        <v>31</v>
      </c>
      <c r="Z394" s="302" t="s">
        <v>28</v>
      </c>
      <c r="AA394" s="317"/>
      <c r="AB394" s="317"/>
      <c r="AC394" s="303">
        <f t="shared" si="11"/>
        <v>75000000</v>
      </c>
      <c r="AD394" s="303">
        <v>75000000</v>
      </c>
      <c r="AE394" s="303">
        <f t="shared" si="12"/>
        <v>0</v>
      </c>
      <c r="AF394" s="304"/>
      <c r="AG394" s="305"/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>
        <v>60000000</v>
      </c>
      <c r="AT394" s="306"/>
      <c r="AU394" s="306"/>
      <c r="AV394" s="306"/>
      <c r="AW394" s="306"/>
      <c r="AX394" s="306"/>
      <c r="AY394" s="306">
        <v>10000000</v>
      </c>
      <c r="AZ394" s="306"/>
      <c r="BA394" s="306">
        <v>5000000</v>
      </c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customHeight="1">
      <c r="A395" s="290">
        <v>375</v>
      </c>
      <c r="B395" s="291"/>
      <c r="C395" s="291"/>
      <c r="D395" s="292" t="s">
        <v>208</v>
      </c>
      <c r="E395" s="292" t="s">
        <v>5</v>
      </c>
      <c r="F395" s="293" t="s">
        <v>208</v>
      </c>
      <c r="G395" s="294" t="s">
        <v>4</v>
      </c>
      <c r="H395" s="311"/>
      <c r="I395" s="295"/>
      <c r="J395" s="296" t="s">
        <v>172</v>
      </c>
      <c r="K395" s="292"/>
      <c r="L395" s="292"/>
      <c r="M395" s="292">
        <v>7185</v>
      </c>
      <c r="N395" s="292" t="s">
        <v>44</v>
      </c>
      <c r="O395" s="292"/>
      <c r="P395" s="292"/>
      <c r="Q395" s="292" t="s">
        <v>41</v>
      </c>
      <c r="R395" s="292" t="s">
        <v>42</v>
      </c>
      <c r="S395" s="297" t="s">
        <v>42</v>
      </c>
      <c r="T395" s="298"/>
      <c r="U395" s="299"/>
      <c r="V395" s="299">
        <v>0</v>
      </c>
      <c r="W395" s="300">
        <v>0</v>
      </c>
      <c r="X395" s="301"/>
      <c r="Y395" s="292" t="s">
        <v>28</v>
      </c>
      <c r="Z395" s="302" t="s">
        <v>28</v>
      </c>
      <c r="AA395" s="317"/>
      <c r="AB395" s="317"/>
      <c r="AC395" s="303">
        <f t="shared" si="11"/>
        <v>20000000</v>
      </c>
      <c r="AD395" s="303">
        <v>20000000</v>
      </c>
      <c r="AE395" s="303">
        <f t="shared" si="12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/>
      <c r="AT395" s="306"/>
      <c r="AU395" s="306"/>
      <c r="AV395" s="306"/>
      <c r="AW395" s="306"/>
      <c r="AX395" s="306"/>
      <c r="AY395" s="306"/>
      <c r="AZ395" s="306"/>
      <c r="BA395" s="306"/>
      <c r="BB395" s="306"/>
      <c r="BC395" s="306"/>
      <c r="BD395" s="306"/>
      <c r="BE395" s="306">
        <v>20000000</v>
      </c>
      <c r="BF395" s="306"/>
      <c r="BG395" s="308"/>
      <c r="BH395" s="309"/>
    </row>
    <row r="396" spans="1:60" s="310" customFormat="1" ht="16.5" customHeight="1">
      <c r="A396" s="290">
        <v>376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768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40</v>
      </c>
      <c r="R396" s="292" t="s">
        <v>354</v>
      </c>
      <c r="S396" s="297" t="s">
        <v>354</v>
      </c>
      <c r="T396" s="298"/>
      <c r="U396" s="299">
        <v>97561734.63636364</v>
      </c>
      <c r="V396" s="299">
        <v>111663271</v>
      </c>
      <c r="W396" s="300">
        <v>66902364</v>
      </c>
      <c r="X396" s="301"/>
      <c r="Y396" s="292" t="s">
        <v>31</v>
      </c>
      <c r="Z396" s="302" t="s">
        <v>31</v>
      </c>
      <c r="AA396" s="317"/>
      <c r="AB396" s="317"/>
      <c r="AC396" s="303">
        <f t="shared" si="11"/>
        <v>13186727</v>
      </c>
      <c r="AD396" s="303">
        <v>13186727</v>
      </c>
      <c r="AE396" s="303">
        <f t="shared" si="12"/>
        <v>0</v>
      </c>
      <c r="AF396" s="304">
        <v>856364</v>
      </c>
      <c r="AG396" s="305">
        <v>856364</v>
      </c>
      <c r="AH396" s="304"/>
      <c r="AI396" s="304"/>
      <c r="AJ396" s="305">
        <v>11281636</v>
      </c>
      <c r="AK396" s="304"/>
      <c r="AL396" s="306">
        <v>1048727</v>
      </c>
      <c r="AM396" s="318">
        <v>1048727</v>
      </c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/>
      <c r="BF396" s="306"/>
      <c r="BG396" s="308"/>
      <c r="BH396" s="309"/>
    </row>
    <row r="397" spans="1:60" s="310" customFormat="1" ht="16.5" customHeight="1">
      <c r="A397" s="290">
        <v>377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172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/>
      <c r="V397" s="299">
        <v>0</v>
      </c>
      <c r="W397" s="300">
        <v>0</v>
      </c>
      <c r="X397" s="301"/>
      <c r="Y397" s="292" t="s">
        <v>28</v>
      </c>
      <c r="Z397" s="302" t="s">
        <v>28</v>
      </c>
      <c r="AA397" s="317"/>
      <c r="AB397" s="317"/>
      <c r="AC397" s="303">
        <f t="shared" si="11"/>
        <v>36000000</v>
      </c>
      <c r="AD397" s="303">
        <v>36000000</v>
      </c>
      <c r="AE397" s="303">
        <f t="shared" si="12"/>
        <v>0</v>
      </c>
      <c r="AF397" s="304"/>
      <c r="AG397" s="305"/>
      <c r="AH397" s="304"/>
      <c r="AI397" s="304"/>
      <c r="AJ397" s="305"/>
      <c r="AK397" s="304"/>
      <c r="AL397" s="306"/>
      <c r="AM397" s="318"/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>
        <v>12000000</v>
      </c>
      <c r="AX397" s="306"/>
      <c r="AY397" s="306"/>
      <c r="AZ397" s="306"/>
      <c r="BA397" s="306"/>
      <c r="BB397" s="306"/>
      <c r="BC397" s="306">
        <v>12000000</v>
      </c>
      <c r="BD397" s="306"/>
      <c r="BE397" s="306">
        <v>12000000</v>
      </c>
      <c r="BF397" s="306"/>
      <c r="BG397" s="308"/>
      <c r="BH397" s="309"/>
    </row>
    <row r="398" spans="1:60" s="310" customFormat="1" ht="16.5" customHeight="1">
      <c r="A398" s="290">
        <v>378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/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29</v>
      </c>
      <c r="Z398" s="302" t="s">
        <v>29</v>
      </c>
      <c r="AA398" s="317"/>
      <c r="AB398" s="317"/>
      <c r="AC398" s="303">
        <f t="shared" si="11"/>
        <v>0</v>
      </c>
      <c r="AD398" s="303">
        <v>0</v>
      </c>
      <c r="AE398" s="303">
        <f t="shared" si="12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/>
      <c r="AX398" s="306"/>
      <c r="AY398" s="306"/>
      <c r="AZ398" s="306"/>
      <c r="BA398" s="306"/>
      <c r="BB398" s="306"/>
      <c r="BC398" s="306"/>
      <c r="BD398" s="306"/>
      <c r="BE398" s="306"/>
      <c r="BF398" s="306"/>
      <c r="BG398" s="308"/>
      <c r="BH398" s="309"/>
    </row>
    <row r="399" spans="1:60" s="310" customFormat="1" ht="16.5" customHeight="1">
      <c r="A399" s="290">
        <v>379</v>
      </c>
      <c r="B399" s="291"/>
      <c r="C399" s="291"/>
      <c r="D399" s="292" t="s">
        <v>208</v>
      </c>
      <c r="E399" s="292" t="s">
        <v>4</v>
      </c>
      <c r="F399" s="293" t="s">
        <v>208</v>
      </c>
      <c r="G399" s="294" t="s">
        <v>4</v>
      </c>
      <c r="H399" s="311"/>
      <c r="I399" s="295"/>
      <c r="J399" s="296" t="s">
        <v>145</v>
      </c>
      <c r="K399" s="292"/>
      <c r="L399" s="292"/>
      <c r="M399" s="292">
        <v>4736</v>
      </c>
      <c r="N399" s="292"/>
      <c r="O399" s="292"/>
      <c r="P399" s="292"/>
      <c r="Q399" s="292" t="s">
        <v>30</v>
      </c>
      <c r="R399" s="292" t="s">
        <v>353</v>
      </c>
      <c r="S399" s="297" t="s">
        <v>23</v>
      </c>
      <c r="T399" s="298"/>
      <c r="U399" s="299"/>
      <c r="V399" s="299">
        <v>5470000</v>
      </c>
      <c r="W399" s="300">
        <v>16362700</v>
      </c>
      <c r="X399" s="301"/>
      <c r="Y399" s="292" t="s">
        <v>28</v>
      </c>
      <c r="Z399" s="302" t="s">
        <v>28</v>
      </c>
      <c r="AA399" s="317"/>
      <c r="AB399" s="317"/>
      <c r="AC399" s="303">
        <f t="shared" si="11"/>
        <v>30000000</v>
      </c>
      <c r="AD399" s="303">
        <v>30000000</v>
      </c>
      <c r="AE399" s="303">
        <f t="shared" si="12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>
        <v>30000000</v>
      </c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customHeight="1">
      <c r="A400" s="290">
        <v>380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146</v>
      </c>
      <c r="K400" s="292"/>
      <c r="L400" s="292"/>
      <c r="M400" s="292">
        <v>753</v>
      </c>
      <c r="N400" s="292" t="s">
        <v>26</v>
      </c>
      <c r="O400" s="292"/>
      <c r="P400" s="292"/>
      <c r="Q400" s="292" t="s">
        <v>83</v>
      </c>
      <c r="R400" s="292" t="s">
        <v>32</v>
      </c>
      <c r="S400" s="297" t="s">
        <v>32</v>
      </c>
      <c r="T400" s="298"/>
      <c r="U400" s="299">
        <v>34562020</v>
      </c>
      <c r="V400" s="299">
        <v>58939800</v>
      </c>
      <c r="W400" s="300">
        <v>50493300</v>
      </c>
      <c r="X400" s="301"/>
      <c r="Y400" s="292" t="s">
        <v>31</v>
      </c>
      <c r="Z400" s="302" t="s">
        <v>31</v>
      </c>
      <c r="AA400" s="317"/>
      <c r="AB400" s="317"/>
      <c r="AC400" s="303">
        <f t="shared" si="11"/>
        <v>46320800</v>
      </c>
      <c r="AD400" s="303">
        <v>46320800</v>
      </c>
      <c r="AE400" s="303">
        <f t="shared" si="12"/>
        <v>0</v>
      </c>
      <c r="AF400" s="304">
        <v>6340000</v>
      </c>
      <c r="AG400" s="305">
        <v>6340000</v>
      </c>
      <c r="AH400" s="304"/>
      <c r="AI400" s="304"/>
      <c r="AJ400" s="305"/>
      <c r="AK400" s="304"/>
      <c r="AL400" s="306">
        <v>1820800</v>
      </c>
      <c r="AM400" s="318">
        <v>1820800</v>
      </c>
      <c r="AN400" s="306"/>
      <c r="AO400" s="307">
        <v>5000000</v>
      </c>
      <c r="AP400" s="306"/>
      <c r="AQ400" s="306">
        <v>4660000</v>
      </c>
      <c r="AR400" s="306"/>
      <c r="AS400" s="306">
        <v>4500000</v>
      </c>
      <c r="AT400" s="306"/>
      <c r="AU400" s="306">
        <v>4000000</v>
      </c>
      <c r="AV400" s="306"/>
      <c r="AW400" s="306">
        <v>4000000</v>
      </c>
      <c r="AX400" s="306"/>
      <c r="AY400" s="306">
        <v>4000000</v>
      </c>
      <c r="AZ400" s="306"/>
      <c r="BA400" s="306">
        <v>4000000</v>
      </c>
      <c r="BB400" s="306"/>
      <c r="BC400" s="306">
        <v>4000000</v>
      </c>
      <c r="BD400" s="306"/>
      <c r="BE400" s="306">
        <v>4000000</v>
      </c>
      <c r="BF400" s="306"/>
      <c r="BG400" s="308"/>
      <c r="BH400" s="309"/>
    </row>
    <row r="401" spans="1:60" s="310" customFormat="1" ht="16.5" customHeight="1">
      <c r="A401" s="290">
        <v>381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30</v>
      </c>
      <c r="R401" s="292" t="s">
        <v>353</v>
      </c>
      <c r="S401" s="297" t="s">
        <v>353</v>
      </c>
      <c r="T401" s="298"/>
      <c r="U401" s="299"/>
      <c r="V401" s="299"/>
      <c r="W401" s="300">
        <v>0</v>
      </c>
      <c r="X401" s="301"/>
      <c r="Y401" s="292" t="s">
        <v>29</v>
      </c>
      <c r="Z401" s="302" t="s">
        <v>29</v>
      </c>
      <c r="AA401" s="317"/>
      <c r="AB401" s="317"/>
      <c r="AC401" s="303">
        <f t="shared" si="11"/>
        <v>30000000</v>
      </c>
      <c r="AD401" s="303">
        <v>30000000</v>
      </c>
      <c r="AE401" s="303">
        <f t="shared" si="12"/>
        <v>0</v>
      </c>
      <c r="AF401" s="304"/>
      <c r="AG401" s="305"/>
      <c r="AH401" s="304"/>
      <c r="AI401" s="304"/>
      <c r="AJ401" s="305"/>
      <c r="AK401" s="304"/>
      <c r="AL401" s="306"/>
      <c r="AM401" s="318"/>
      <c r="AN401" s="306"/>
      <c r="AO401" s="307"/>
      <c r="AP401" s="306"/>
      <c r="AQ401" s="306"/>
      <c r="AR401" s="306"/>
      <c r="AS401" s="306"/>
      <c r="AT401" s="306"/>
      <c r="AU401" s="306"/>
      <c r="AV401" s="306"/>
      <c r="AW401" s="306"/>
      <c r="AX401" s="306"/>
      <c r="AY401" s="306"/>
      <c r="AZ401" s="306"/>
      <c r="BA401" s="306"/>
      <c r="BB401" s="306"/>
      <c r="BC401" s="306">
        <v>30000000</v>
      </c>
      <c r="BD401" s="306"/>
      <c r="BE401" s="306"/>
      <c r="BF401" s="306"/>
      <c r="BG401" s="308"/>
      <c r="BH401" s="309"/>
    </row>
    <row r="402" spans="1:60" s="310" customFormat="1" ht="16.5" customHeight="1">
      <c r="A402" s="290">
        <v>382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147</v>
      </c>
      <c r="K402" s="292"/>
      <c r="L402" s="292"/>
      <c r="M402" s="292">
        <v>56029</v>
      </c>
      <c r="N402" s="292" t="s">
        <v>26</v>
      </c>
      <c r="O402" s="292"/>
      <c r="P402" s="292"/>
      <c r="Q402" s="292" t="s">
        <v>33</v>
      </c>
      <c r="R402" s="292" t="s">
        <v>34</v>
      </c>
      <c r="S402" s="297" t="s">
        <v>34</v>
      </c>
      <c r="T402" s="298"/>
      <c r="U402" s="299">
        <v>13585000</v>
      </c>
      <c r="V402" s="299">
        <v>0</v>
      </c>
      <c r="W402" s="300">
        <v>0</v>
      </c>
      <c r="X402" s="301"/>
      <c r="Y402" s="292" t="s">
        <v>25</v>
      </c>
      <c r="Z402" s="302" t="s">
        <v>25</v>
      </c>
      <c r="AA402" s="317"/>
      <c r="AB402" s="317"/>
      <c r="AC402" s="303">
        <f t="shared" si="11"/>
        <v>0</v>
      </c>
      <c r="AD402" s="303">
        <v>0</v>
      </c>
      <c r="AE402" s="303">
        <f t="shared" si="12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/>
      <c r="BD402" s="306"/>
      <c r="BE402" s="306"/>
      <c r="BF402" s="306"/>
      <c r="BG402" s="308"/>
      <c r="BH402" s="309"/>
    </row>
    <row r="403" spans="1:60" s="310" customFormat="1" ht="16.5" customHeight="1">
      <c r="A403" s="290">
        <v>383</v>
      </c>
      <c r="B403" s="291"/>
      <c r="C403" s="291"/>
      <c r="D403" s="292"/>
      <c r="E403" s="292"/>
      <c r="F403" s="293" t="s">
        <v>208</v>
      </c>
      <c r="G403" s="294" t="s">
        <v>4</v>
      </c>
      <c r="H403" s="311"/>
      <c r="I403" s="295"/>
      <c r="J403" s="296" t="s">
        <v>708</v>
      </c>
      <c r="K403" s="292"/>
      <c r="L403" s="292"/>
      <c r="M403" s="292">
        <v>65648</v>
      </c>
      <c r="N403" s="292"/>
      <c r="O403" s="292"/>
      <c r="P403" s="292"/>
      <c r="Q403" s="292"/>
      <c r="R403" s="292"/>
      <c r="S403" s="297" t="s">
        <v>34</v>
      </c>
      <c r="T403" s="298"/>
      <c r="U403" s="299"/>
      <c r="V403" s="299"/>
      <c r="W403" s="300">
        <v>795000</v>
      </c>
      <c r="X403" s="301"/>
      <c r="Y403" s="292"/>
      <c r="Z403" s="302" t="s">
        <v>578</v>
      </c>
      <c r="AA403" s="317"/>
      <c r="AB403" s="317"/>
      <c r="AC403" s="303">
        <f t="shared" si="11"/>
        <v>0</v>
      </c>
      <c r="AD403" s="303">
        <v>0</v>
      </c>
      <c r="AE403" s="303">
        <f t="shared" si="12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customHeight="1">
      <c r="A404" s="290">
        <v>384</v>
      </c>
      <c r="B404" s="291"/>
      <c r="C404" s="291"/>
      <c r="D404" s="292" t="s">
        <v>208</v>
      </c>
      <c r="E404" s="292" t="s">
        <v>4</v>
      </c>
      <c r="F404" s="293" t="s">
        <v>208</v>
      </c>
      <c r="G404" s="294" t="s">
        <v>4</v>
      </c>
      <c r="H404" s="311"/>
      <c r="I404" s="295"/>
      <c r="J404" s="296" t="s">
        <v>148</v>
      </c>
      <c r="K404" s="292"/>
      <c r="L404" s="292"/>
      <c r="M404" s="292">
        <v>42550</v>
      </c>
      <c r="N404" s="292" t="s">
        <v>21</v>
      </c>
      <c r="O404" s="292"/>
      <c r="P404" s="292"/>
      <c r="Q404" s="292" t="s">
        <v>22</v>
      </c>
      <c r="R404" s="292" t="s">
        <v>23</v>
      </c>
      <c r="S404" s="297" t="s">
        <v>32</v>
      </c>
      <c r="T404" s="298"/>
      <c r="U404" s="299">
        <v>4710900</v>
      </c>
      <c r="V404" s="299">
        <v>5957320</v>
      </c>
      <c r="W404" s="300">
        <v>0</v>
      </c>
      <c r="X404" s="301"/>
      <c r="Y404" s="292" t="s">
        <v>31</v>
      </c>
      <c r="Z404" s="302" t="s">
        <v>31</v>
      </c>
      <c r="AA404" s="317"/>
      <c r="AB404" s="317"/>
      <c r="AC404" s="303">
        <f t="shared" si="11"/>
        <v>4559000</v>
      </c>
      <c r="AD404" s="303">
        <v>4559000</v>
      </c>
      <c r="AE404" s="303">
        <f t="shared" si="12"/>
        <v>0</v>
      </c>
      <c r="AF404" s="304">
        <v>80000</v>
      </c>
      <c r="AG404" s="305">
        <v>80000</v>
      </c>
      <c r="AH404" s="304"/>
      <c r="AI404" s="304">
        <v>200000</v>
      </c>
      <c r="AJ404" s="305">
        <v>324000</v>
      </c>
      <c r="AK404" s="304"/>
      <c r="AL404" s="306">
        <v>355000</v>
      </c>
      <c r="AM404" s="318">
        <v>355000</v>
      </c>
      <c r="AN404" s="306"/>
      <c r="AO404" s="307">
        <v>400000</v>
      </c>
      <c r="AP404" s="306"/>
      <c r="AQ404" s="306">
        <v>400000</v>
      </c>
      <c r="AR404" s="306"/>
      <c r="AS404" s="306">
        <v>500000</v>
      </c>
      <c r="AT404" s="306"/>
      <c r="AU404" s="306">
        <v>500000</v>
      </c>
      <c r="AV404" s="306"/>
      <c r="AW404" s="306">
        <v>400000</v>
      </c>
      <c r="AX404" s="306"/>
      <c r="AY404" s="306">
        <v>400000</v>
      </c>
      <c r="AZ404" s="306"/>
      <c r="BA404" s="306">
        <v>400000</v>
      </c>
      <c r="BB404" s="306"/>
      <c r="BC404" s="306">
        <v>400000</v>
      </c>
      <c r="BD404" s="306"/>
      <c r="BE404" s="306">
        <v>400000</v>
      </c>
      <c r="BF404" s="306"/>
      <c r="BG404" s="308"/>
      <c r="BH404" s="309"/>
    </row>
    <row r="405" spans="1:60" s="310" customFormat="1" ht="16.5" customHeight="1">
      <c r="A405" s="290">
        <v>385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23</v>
      </c>
      <c r="T405" s="298"/>
      <c r="U405" s="299">
        <v>442000</v>
      </c>
      <c r="V405" s="299">
        <v>0</v>
      </c>
      <c r="W405" s="300">
        <v>5742900</v>
      </c>
      <c r="X405" s="301"/>
      <c r="Y405" s="292" t="s">
        <v>25</v>
      </c>
      <c r="Z405" s="302" t="s">
        <v>25</v>
      </c>
      <c r="AA405" s="317"/>
      <c r="AB405" s="317"/>
      <c r="AC405" s="303">
        <f t="shared" ref="AC405:AC468" si="13">AG405+AJ405+AM405+AO405+AQ405+AS405+AU405+AW405+AY405+BA405+BC405+BE405</f>
        <v>0</v>
      </c>
      <c r="AD405" s="303">
        <v>0</v>
      </c>
      <c r="AE405" s="303">
        <f t="shared" ref="AE405:AE468" si="14">AC405-AD405</f>
        <v>0</v>
      </c>
      <c r="AF405" s="304"/>
      <c r="AG405" s="305"/>
      <c r="AH405" s="304"/>
      <c r="AI405" s="304"/>
      <c r="AJ405" s="305"/>
      <c r="AK405" s="304"/>
      <c r="AL405" s="306"/>
      <c r="AM405" s="318"/>
      <c r="AN405" s="306"/>
      <c r="AO405" s="307"/>
      <c r="AP405" s="306"/>
      <c r="AQ405" s="306"/>
      <c r="AR405" s="306"/>
      <c r="AS405" s="306"/>
      <c r="AT405" s="306"/>
      <c r="AU405" s="306"/>
      <c r="AV405" s="306"/>
      <c r="AW405" s="306"/>
      <c r="AX405" s="306"/>
      <c r="AY405" s="306"/>
      <c r="AZ405" s="306"/>
      <c r="BA405" s="306"/>
      <c r="BB405" s="306"/>
      <c r="BC405" s="306"/>
      <c r="BD405" s="306"/>
      <c r="BE405" s="306"/>
      <c r="BF405" s="306"/>
      <c r="BG405" s="308"/>
      <c r="BH405" s="309"/>
    </row>
    <row r="406" spans="1:60" s="310" customFormat="1" ht="16.5" customHeight="1">
      <c r="A406" s="290">
        <v>386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149</v>
      </c>
      <c r="K406" s="292"/>
      <c r="L406" s="292"/>
      <c r="M406" s="292">
        <v>16049</v>
      </c>
      <c r="N406" s="292" t="s">
        <v>35</v>
      </c>
      <c r="O406" s="292"/>
      <c r="P406" s="292"/>
      <c r="Q406" s="292" t="s">
        <v>30</v>
      </c>
      <c r="R406" s="292" t="s">
        <v>353</v>
      </c>
      <c r="S406" s="297" t="s">
        <v>353</v>
      </c>
      <c r="T406" s="298"/>
      <c r="U406" s="299">
        <v>47190909</v>
      </c>
      <c r="V406" s="299">
        <v>68590909</v>
      </c>
      <c r="W406" s="300">
        <v>34000000</v>
      </c>
      <c r="X406" s="301"/>
      <c r="Y406" s="292" t="s">
        <v>31</v>
      </c>
      <c r="Z406" s="302" t="s">
        <v>28</v>
      </c>
      <c r="AA406" s="317"/>
      <c r="AB406" s="317"/>
      <c r="AC406" s="303">
        <f t="shared" si="13"/>
        <v>40000000</v>
      </c>
      <c r="AD406" s="303">
        <v>40000000</v>
      </c>
      <c r="AE406" s="303">
        <f t="shared" si="14"/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>
        <v>20000000</v>
      </c>
      <c r="AZ406" s="306"/>
      <c r="BA406" s="306"/>
      <c r="BB406" s="306"/>
      <c r="BC406" s="306">
        <v>20000000</v>
      </c>
      <c r="BD406" s="306"/>
      <c r="BE406" s="306"/>
      <c r="BF406" s="306"/>
      <c r="BG406" s="308"/>
      <c r="BH406" s="309"/>
    </row>
    <row r="407" spans="1:60" s="310" customFormat="1" ht="16.5" customHeight="1">
      <c r="A407" s="290">
        <v>387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162</v>
      </c>
      <c r="K407" s="292"/>
      <c r="L407" s="292"/>
      <c r="M407" s="292">
        <v>48737</v>
      </c>
      <c r="N407" s="292" t="s">
        <v>35</v>
      </c>
      <c r="O407" s="292"/>
      <c r="P407" s="292"/>
      <c r="Q407" s="292" t="s">
        <v>22</v>
      </c>
      <c r="R407" s="292" t="s">
        <v>23</v>
      </c>
      <c r="S407" s="297" t="s">
        <v>23</v>
      </c>
      <c r="T407" s="298"/>
      <c r="U407" s="299">
        <v>20510527</v>
      </c>
      <c r="V407" s="299">
        <v>18761445</v>
      </c>
      <c r="W407" s="300">
        <v>19058425</v>
      </c>
      <c r="X407" s="301"/>
      <c r="Y407" s="292" t="s">
        <v>31</v>
      </c>
      <c r="Z407" s="302" t="s">
        <v>31</v>
      </c>
      <c r="AA407" s="317"/>
      <c r="AB407" s="317"/>
      <c r="AC407" s="303">
        <f t="shared" si="13"/>
        <v>658550</v>
      </c>
      <c r="AD407" s="303">
        <v>658550</v>
      </c>
      <c r="AE407" s="303">
        <f t="shared" si="14"/>
        <v>0</v>
      </c>
      <c r="AF407" s="304"/>
      <c r="AG407" s="305">
        <v>93250</v>
      </c>
      <c r="AH407" s="304"/>
      <c r="AI407" s="304"/>
      <c r="AJ407" s="305">
        <v>51000</v>
      </c>
      <c r="AK407" s="304"/>
      <c r="AL407" s="306">
        <v>514300</v>
      </c>
      <c r="AM407" s="318">
        <v>514300</v>
      </c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/>
      <c r="AZ407" s="306"/>
      <c r="BA407" s="306"/>
      <c r="BB407" s="306"/>
      <c r="BC407" s="306"/>
      <c r="BD407" s="306"/>
      <c r="BE407" s="306"/>
      <c r="BF407" s="306"/>
      <c r="BG407" s="308"/>
      <c r="BH407" s="309"/>
    </row>
    <row r="408" spans="1:60" s="310" customFormat="1" ht="16.5" customHeight="1">
      <c r="A408" s="290">
        <v>388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102</v>
      </c>
      <c r="K408" s="292"/>
      <c r="L408" s="292"/>
      <c r="M408" s="292">
        <v>50527</v>
      </c>
      <c r="N408" s="292" t="s">
        <v>35</v>
      </c>
      <c r="O408" s="292"/>
      <c r="P408" s="292"/>
      <c r="Q408" s="292" t="s">
        <v>83</v>
      </c>
      <c r="R408" s="292" t="s">
        <v>32</v>
      </c>
      <c r="S408" s="297" t="s">
        <v>32</v>
      </c>
      <c r="T408" s="298"/>
      <c r="U408" s="299">
        <v>448067211</v>
      </c>
      <c r="V408" s="299">
        <v>468797780</v>
      </c>
      <c r="W408" s="300">
        <v>0</v>
      </c>
      <c r="X408" s="301"/>
      <c r="Y408" s="292" t="s">
        <v>107</v>
      </c>
      <c r="Z408" s="302" t="s">
        <v>107</v>
      </c>
      <c r="AA408" s="317"/>
      <c r="AB408" s="317"/>
      <c r="AC408" s="303">
        <f t="shared" si="13"/>
        <v>0</v>
      </c>
      <c r="AD408" s="303">
        <v>0</v>
      </c>
      <c r="AE408" s="303">
        <f t="shared" si="14"/>
        <v>0</v>
      </c>
      <c r="AF408" s="304"/>
      <c r="AG408" s="305"/>
      <c r="AH408" s="304"/>
      <c r="AI408" s="304"/>
      <c r="AJ408" s="305"/>
      <c r="AK408" s="304"/>
      <c r="AL408" s="306"/>
      <c r="AM408" s="318"/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customHeight="1">
      <c r="A409" s="290">
        <v>389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/>
      <c r="R409" s="292" t="s">
        <v>353</v>
      </c>
      <c r="S409" s="297" t="s">
        <v>353</v>
      </c>
      <c r="T409" s="298"/>
      <c r="U409" s="299"/>
      <c r="V409" s="299">
        <v>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3"/>
        <v>0</v>
      </c>
      <c r="AD409" s="303">
        <v>0</v>
      </c>
      <c r="AE409" s="303">
        <f t="shared" si="14"/>
        <v>0</v>
      </c>
      <c r="AF409" s="304"/>
      <c r="AG409" s="305"/>
      <c r="AH409" s="304"/>
      <c r="AI409" s="304"/>
      <c r="AJ409" s="305"/>
      <c r="AK409" s="304" t="s">
        <v>758</v>
      </c>
      <c r="AL409" s="306">
        <v>180000000</v>
      </c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customHeight="1">
      <c r="A410" s="290">
        <v>390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541</v>
      </c>
      <c r="K410" s="292"/>
      <c r="L410" s="292"/>
      <c r="M410" s="292">
        <v>61607</v>
      </c>
      <c r="N410" s="292" t="s">
        <v>35</v>
      </c>
      <c r="O410" s="292"/>
      <c r="P410" s="292"/>
      <c r="Q410" s="292" t="s">
        <v>30</v>
      </c>
      <c r="R410" s="292" t="s">
        <v>353</v>
      </c>
      <c r="S410" s="297" t="s">
        <v>353</v>
      </c>
      <c r="T410" s="298"/>
      <c r="U410" s="299"/>
      <c r="V410" s="299"/>
      <c r="W410" s="300">
        <v>0</v>
      </c>
      <c r="X410" s="301"/>
      <c r="Y410" s="292" t="s">
        <v>28</v>
      </c>
      <c r="Z410" s="302" t="s">
        <v>29</v>
      </c>
      <c r="AA410" s="317"/>
      <c r="AB410" s="317"/>
      <c r="AC410" s="303">
        <f t="shared" si="13"/>
        <v>0</v>
      </c>
      <c r="AD410" s="303">
        <v>0</v>
      </c>
      <c r="AE410" s="303">
        <f t="shared" si="14"/>
        <v>0</v>
      </c>
      <c r="AF410" s="304"/>
      <c r="AG410" s="305"/>
      <c r="AH410" s="304"/>
      <c r="AI410" s="304"/>
      <c r="AJ410" s="305"/>
      <c r="AK410" s="304"/>
      <c r="AL410" s="306"/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customHeight="1">
      <c r="A411" s="290">
        <v>391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238</v>
      </c>
      <c r="K411" s="292"/>
      <c r="L411" s="292"/>
      <c r="M411" s="292">
        <v>8069</v>
      </c>
      <c r="N411" s="292" t="s">
        <v>35</v>
      </c>
      <c r="O411" s="292" t="s">
        <v>47</v>
      </c>
      <c r="P411" s="292" t="s">
        <v>48</v>
      </c>
      <c r="Q411" s="292" t="s">
        <v>22</v>
      </c>
      <c r="R411" s="292" t="s">
        <v>23</v>
      </c>
      <c r="S411" s="297" t="s">
        <v>32</v>
      </c>
      <c r="T411" s="298"/>
      <c r="U411" s="299">
        <v>129731900</v>
      </c>
      <c r="V411" s="299">
        <v>138915920</v>
      </c>
      <c r="W411" s="300">
        <v>0</v>
      </c>
      <c r="X411" s="301"/>
      <c r="Y411" s="292" t="s">
        <v>31</v>
      </c>
      <c r="Z411" s="302" t="s">
        <v>31</v>
      </c>
      <c r="AA411" s="317"/>
      <c r="AB411" s="317"/>
      <c r="AC411" s="303">
        <f t="shared" si="13"/>
        <v>120000000</v>
      </c>
      <c r="AD411" s="303">
        <v>120000000</v>
      </c>
      <c r="AE411" s="303">
        <f t="shared" si="14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 t="s">
        <v>861</v>
      </c>
      <c r="AQ411" s="306">
        <v>60000000</v>
      </c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>
        <v>60000000</v>
      </c>
      <c r="BD411" s="306"/>
      <c r="BE411" s="306"/>
      <c r="BF411" s="306"/>
      <c r="BG411" s="308"/>
      <c r="BH411" s="309"/>
    </row>
    <row r="412" spans="1:60" s="310" customFormat="1" ht="16.5" customHeight="1">
      <c r="A412" s="290">
        <v>392</v>
      </c>
      <c r="B412" s="291"/>
      <c r="C412" s="291"/>
      <c r="D412" s="292"/>
      <c r="E412" s="292"/>
      <c r="F412" s="293" t="s">
        <v>208</v>
      </c>
      <c r="G412" s="294" t="s">
        <v>4</v>
      </c>
      <c r="H412" s="311"/>
      <c r="I412" s="295"/>
      <c r="J412" s="296" t="s">
        <v>238</v>
      </c>
      <c r="K412" s="292"/>
      <c r="L412" s="292"/>
      <c r="M412" s="292">
        <v>8069</v>
      </c>
      <c r="N412" s="292"/>
      <c r="O412" s="292"/>
      <c r="P412" s="292"/>
      <c r="Q412" s="292"/>
      <c r="R412" s="292"/>
      <c r="S412" s="297" t="s">
        <v>23</v>
      </c>
      <c r="T412" s="298"/>
      <c r="U412" s="299"/>
      <c r="V412" s="299"/>
      <c r="W412" s="300">
        <v>151605300</v>
      </c>
      <c r="X412" s="301"/>
      <c r="Y412" s="292"/>
      <c r="Z412" s="302" t="s">
        <v>578</v>
      </c>
      <c r="AA412" s="317"/>
      <c r="AB412" s="317"/>
      <c r="AC412" s="303">
        <f t="shared" si="13"/>
        <v>0</v>
      </c>
      <c r="AD412" s="303">
        <v>0</v>
      </c>
      <c r="AE412" s="303">
        <f t="shared" si="14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/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/>
      <c r="BD412" s="306"/>
      <c r="BE412" s="306"/>
      <c r="BF412" s="306"/>
      <c r="BG412" s="308"/>
      <c r="BH412" s="309"/>
    </row>
    <row r="413" spans="1:60" s="310" customFormat="1" ht="16.5" customHeight="1">
      <c r="A413" s="290">
        <v>393</v>
      </c>
      <c r="B413" s="291"/>
      <c r="C413" s="291"/>
      <c r="D413" s="292" t="s">
        <v>208</v>
      </c>
      <c r="E413" s="292" t="s">
        <v>4</v>
      </c>
      <c r="F413" s="293" t="s">
        <v>208</v>
      </c>
      <c r="G413" s="294" t="s">
        <v>4</v>
      </c>
      <c r="H413" s="311"/>
      <c r="I413" s="295"/>
      <c r="J413" s="296" t="s">
        <v>150</v>
      </c>
      <c r="K413" s="292"/>
      <c r="L413" s="292"/>
      <c r="M413" s="292">
        <v>8187</v>
      </c>
      <c r="N413" s="292" t="s">
        <v>38</v>
      </c>
      <c r="O413" s="292"/>
      <c r="P413" s="292"/>
      <c r="Q413" s="292" t="s">
        <v>33</v>
      </c>
      <c r="R413" s="292" t="s">
        <v>34</v>
      </c>
      <c r="S413" s="297" t="s">
        <v>34</v>
      </c>
      <c r="T413" s="298"/>
      <c r="U413" s="299">
        <v>21000000</v>
      </c>
      <c r="V413" s="299" t="s">
        <v>188</v>
      </c>
      <c r="W413" s="300">
        <v>5289000</v>
      </c>
      <c r="X413" s="301"/>
      <c r="Y413" s="292" t="s">
        <v>31</v>
      </c>
      <c r="Z413" s="302" t="s">
        <v>31</v>
      </c>
      <c r="AA413" s="317"/>
      <c r="AB413" s="317"/>
      <c r="AC413" s="303">
        <f t="shared" si="13"/>
        <v>59000000</v>
      </c>
      <c r="AD413" s="303">
        <v>59000000</v>
      </c>
      <c r="AE413" s="303">
        <f t="shared" si="14"/>
        <v>0</v>
      </c>
      <c r="AF413" s="304"/>
      <c r="AG413" s="305"/>
      <c r="AH413" s="304"/>
      <c r="AI413" s="304">
        <v>50000000</v>
      </c>
      <c r="AJ413" s="305">
        <v>59000000</v>
      </c>
      <c r="AK413" s="304" t="s">
        <v>762</v>
      </c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customHeight="1">
      <c r="A414" s="290">
        <v>394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/>
      <c r="V414" s="299">
        <v>21000000</v>
      </c>
      <c r="W414" s="300">
        <v>0</v>
      </c>
      <c r="X414" s="301"/>
      <c r="Y414" s="292" t="s">
        <v>28</v>
      </c>
      <c r="Z414" s="302" t="s">
        <v>28</v>
      </c>
      <c r="AA414" s="317"/>
      <c r="AB414" s="317"/>
      <c r="AC414" s="303">
        <f t="shared" si="13"/>
        <v>21000000</v>
      </c>
      <c r="AD414" s="303">
        <v>21000000</v>
      </c>
      <c r="AE414" s="303">
        <f t="shared" si="14"/>
        <v>0</v>
      </c>
      <c r="AF414" s="304"/>
      <c r="AG414" s="305"/>
      <c r="AH414" s="304"/>
      <c r="AI414" s="304"/>
      <c r="AJ414" s="305"/>
      <c r="AK414" s="304"/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>
        <v>21000000</v>
      </c>
      <c r="BD414" s="306"/>
      <c r="BE414" s="306"/>
      <c r="BF414" s="306"/>
      <c r="BG414" s="308"/>
      <c r="BH414" s="309"/>
    </row>
    <row r="415" spans="1:60" s="310" customFormat="1" ht="16.5" customHeight="1">
      <c r="A415" s="290">
        <v>395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35</v>
      </c>
      <c r="O415" s="292"/>
      <c r="P415" s="292"/>
      <c r="Q415" s="292" t="s">
        <v>40</v>
      </c>
      <c r="R415" s="292" t="s">
        <v>354</v>
      </c>
      <c r="S415" s="297" t="s">
        <v>354</v>
      </c>
      <c r="T415" s="298"/>
      <c r="U415" s="299"/>
      <c r="V415" s="299">
        <v>10000000</v>
      </c>
      <c r="W415" s="300">
        <v>0</v>
      </c>
      <c r="X415" s="301"/>
      <c r="Y415" s="292" t="s">
        <v>24</v>
      </c>
      <c r="Z415" s="302" t="s">
        <v>24</v>
      </c>
      <c r="AA415" s="317"/>
      <c r="AB415" s="317"/>
      <c r="AC415" s="303">
        <f t="shared" si="13"/>
        <v>0</v>
      </c>
      <c r="AD415" s="303">
        <v>0</v>
      </c>
      <c r="AE415" s="303">
        <f t="shared" si="14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/>
      <c r="BD415" s="306"/>
      <c r="BE415" s="306"/>
      <c r="BF415" s="306"/>
      <c r="BG415" s="308"/>
      <c r="BH415" s="309"/>
    </row>
    <row r="416" spans="1:60" s="310" customFormat="1" ht="16.5" customHeight="1">
      <c r="A416" s="290">
        <v>396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151</v>
      </c>
      <c r="K416" s="292"/>
      <c r="L416" s="292"/>
      <c r="M416" s="292">
        <v>7570</v>
      </c>
      <c r="N416" s="292" t="s">
        <v>35</v>
      </c>
      <c r="O416" s="292"/>
      <c r="P416" s="292"/>
      <c r="Q416" s="292" t="s">
        <v>33</v>
      </c>
      <c r="R416" s="292" t="s">
        <v>34</v>
      </c>
      <c r="S416" s="297" t="s">
        <v>34</v>
      </c>
      <c r="T416" s="298"/>
      <c r="U416" s="299">
        <v>10196000</v>
      </c>
      <c r="V416" s="299">
        <v>8693000</v>
      </c>
      <c r="W416" s="300">
        <v>0</v>
      </c>
      <c r="X416" s="301"/>
      <c r="Y416" s="292" t="s">
        <v>28</v>
      </c>
      <c r="Z416" s="302" t="s">
        <v>31</v>
      </c>
      <c r="AA416" s="317"/>
      <c r="AB416" s="317"/>
      <c r="AC416" s="303">
        <f t="shared" si="13"/>
        <v>16329000</v>
      </c>
      <c r="AD416" s="303">
        <v>16329000</v>
      </c>
      <c r="AE416" s="303">
        <f t="shared" si="14"/>
        <v>0</v>
      </c>
      <c r="AF416" s="304">
        <v>10329000</v>
      </c>
      <c r="AG416" s="305">
        <v>10329000</v>
      </c>
      <c r="AH416" s="304" t="s">
        <v>698</v>
      </c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>
        <v>6000000</v>
      </c>
      <c r="BF416" s="306"/>
      <c r="BG416" s="308"/>
      <c r="BH416" s="309"/>
    </row>
    <row r="417" spans="1:60" s="310" customFormat="1" ht="16.5" customHeight="1">
      <c r="A417" s="290">
        <v>397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240</v>
      </c>
      <c r="K417" s="292"/>
      <c r="L417" s="292"/>
      <c r="M417" s="292">
        <v>11457</v>
      </c>
      <c r="N417" s="292" t="s">
        <v>35</v>
      </c>
      <c r="O417" s="292" t="s">
        <v>47</v>
      </c>
      <c r="P417" s="292" t="s">
        <v>48</v>
      </c>
      <c r="Q417" s="292" t="s">
        <v>83</v>
      </c>
      <c r="R417" s="292" t="s">
        <v>32</v>
      </c>
      <c r="S417" s="297" t="s">
        <v>32</v>
      </c>
      <c r="T417" s="298"/>
      <c r="U417" s="299">
        <v>143135330</v>
      </c>
      <c r="V417" s="299">
        <v>109307420</v>
      </c>
      <c r="W417" s="300">
        <v>124079090</v>
      </c>
      <c r="X417" s="301"/>
      <c r="Y417" s="292" t="s">
        <v>31</v>
      </c>
      <c r="Z417" s="302" t="s">
        <v>31</v>
      </c>
      <c r="AA417" s="317"/>
      <c r="AB417" s="317"/>
      <c r="AC417" s="303">
        <f t="shared" si="13"/>
        <v>93500000</v>
      </c>
      <c r="AD417" s="303">
        <v>93500000</v>
      </c>
      <c r="AE417" s="303">
        <f t="shared" si="14"/>
        <v>0</v>
      </c>
      <c r="AF417" s="304"/>
      <c r="AG417" s="305"/>
      <c r="AH417" s="304"/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>
        <v>40000000</v>
      </c>
      <c r="AV417" s="306"/>
      <c r="AW417" s="306">
        <v>20000000</v>
      </c>
      <c r="AX417" s="306"/>
      <c r="AY417" s="306">
        <v>11500000</v>
      </c>
      <c r="AZ417" s="306"/>
      <c r="BA417" s="306">
        <v>11000000</v>
      </c>
      <c r="BB417" s="306"/>
      <c r="BC417" s="306">
        <v>11000000</v>
      </c>
      <c r="BD417" s="306"/>
      <c r="BE417" s="306"/>
      <c r="BF417" s="306"/>
      <c r="BG417" s="308"/>
      <c r="BH417" s="309"/>
    </row>
    <row r="418" spans="1:60" s="310" customFormat="1" ht="16.5" customHeight="1">
      <c r="A418" s="290">
        <v>398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30</v>
      </c>
      <c r="R418" s="292" t="s">
        <v>353</v>
      </c>
      <c r="S418" s="297" t="s">
        <v>353</v>
      </c>
      <c r="T418" s="298"/>
      <c r="U418" s="299">
        <v>5000000</v>
      </c>
      <c r="V418" s="299">
        <v>3575000</v>
      </c>
      <c r="W418" s="300">
        <v>6950000</v>
      </c>
      <c r="X418" s="301"/>
      <c r="Y418" s="292" t="s">
        <v>31</v>
      </c>
      <c r="Z418" s="302" t="s">
        <v>29</v>
      </c>
      <c r="AA418" s="317"/>
      <c r="AB418" s="317"/>
      <c r="AC418" s="303">
        <f t="shared" si="13"/>
        <v>4000000</v>
      </c>
      <c r="AD418" s="303">
        <v>4000000</v>
      </c>
      <c r="AE418" s="303">
        <f t="shared" si="14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>
        <v>4000000</v>
      </c>
      <c r="AR418" s="306"/>
      <c r="AS418" s="306"/>
      <c r="AT418" s="306"/>
      <c r="AU418" s="306"/>
      <c r="AV418" s="306"/>
      <c r="AW418" s="306"/>
      <c r="AX418" s="306"/>
      <c r="AY418" s="306"/>
      <c r="AZ418" s="306"/>
      <c r="BA418" s="306"/>
      <c r="BB418" s="306"/>
      <c r="BC418" s="306"/>
      <c r="BD418" s="306"/>
      <c r="BE418" s="306"/>
      <c r="BF418" s="306"/>
      <c r="BG418" s="308"/>
      <c r="BH418" s="309"/>
    </row>
    <row r="419" spans="1:60" s="310" customFormat="1" ht="16.5" customHeight="1">
      <c r="A419" s="290">
        <v>399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/>
      <c r="V419" s="299"/>
      <c r="W419" s="300">
        <v>0</v>
      </c>
      <c r="X419" s="301"/>
      <c r="Y419" s="292" t="s">
        <v>29</v>
      </c>
      <c r="Z419" s="302" t="s">
        <v>29</v>
      </c>
      <c r="AA419" s="317"/>
      <c r="AB419" s="317"/>
      <c r="AC419" s="303">
        <f t="shared" si="13"/>
        <v>100000000</v>
      </c>
      <c r="AD419" s="303">
        <v>100000000</v>
      </c>
      <c r="AE419" s="303">
        <f t="shared" si="14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100000000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customHeight="1">
      <c r="A420" s="290">
        <v>400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179</v>
      </c>
      <c r="K420" s="292"/>
      <c r="L420" s="292"/>
      <c r="M420" s="292">
        <v>1819</v>
      </c>
      <c r="N420" s="292" t="s">
        <v>35</v>
      </c>
      <c r="O420" s="292"/>
      <c r="P420" s="292"/>
      <c r="Q420" s="292" t="s">
        <v>83</v>
      </c>
      <c r="R420" s="292" t="s">
        <v>32</v>
      </c>
      <c r="S420" s="297" t="s">
        <v>32</v>
      </c>
      <c r="T420" s="298"/>
      <c r="U420" s="299"/>
      <c r="V420" s="299">
        <v>0</v>
      </c>
      <c r="W420" s="300">
        <v>160249059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3"/>
        <v>20000000</v>
      </c>
      <c r="AD420" s="303">
        <v>20000000</v>
      </c>
      <c r="AE420" s="303">
        <f t="shared" si="14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/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>
        <v>20000000</v>
      </c>
      <c r="BF420" s="306"/>
      <c r="BG420" s="308"/>
      <c r="BH420" s="309"/>
    </row>
    <row r="421" spans="1:60" s="310" customFormat="1" ht="16.5" customHeight="1">
      <c r="A421" s="290">
        <v>401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>
        <v>112697736</v>
      </c>
      <c r="V421" s="299">
        <v>113758290</v>
      </c>
      <c r="W421" s="300">
        <v>0</v>
      </c>
      <c r="X421" s="301"/>
      <c r="Y421" s="292" t="s">
        <v>31</v>
      </c>
      <c r="Z421" s="302" t="s">
        <v>107</v>
      </c>
      <c r="AA421" s="317"/>
      <c r="AB421" s="317"/>
      <c r="AC421" s="303">
        <f t="shared" si="13"/>
        <v>0</v>
      </c>
      <c r="AD421" s="303">
        <v>84000000</v>
      </c>
      <c r="AE421" s="303">
        <f t="shared" si="14"/>
        <v>-84000000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/>
      <c r="BF421" s="306"/>
      <c r="BG421" s="308"/>
      <c r="BH421" s="309"/>
    </row>
    <row r="422" spans="1:60" s="310" customFormat="1" ht="16.5" customHeight="1">
      <c r="A422" s="290">
        <v>402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180</v>
      </c>
      <c r="K422" s="292"/>
      <c r="L422" s="292"/>
      <c r="M422" s="292">
        <v>4555</v>
      </c>
      <c r="N422" s="292" t="s">
        <v>35</v>
      </c>
      <c r="O422" s="292"/>
      <c r="P422" s="292"/>
      <c r="Q422" s="292" t="s">
        <v>40</v>
      </c>
      <c r="R422" s="292" t="s">
        <v>354</v>
      </c>
      <c r="S422" s="297" t="s">
        <v>354</v>
      </c>
      <c r="T422" s="298"/>
      <c r="U422" s="299">
        <v>526332273</v>
      </c>
      <c r="V422" s="299">
        <v>288884000</v>
      </c>
      <c r="W422" s="300">
        <v>284760000</v>
      </c>
      <c r="X422" s="301"/>
      <c r="Y422" s="292" t="s">
        <v>31</v>
      </c>
      <c r="Z422" s="302" t="s">
        <v>28</v>
      </c>
      <c r="AA422" s="317"/>
      <c r="AB422" s="317"/>
      <c r="AC422" s="303">
        <f t="shared" si="13"/>
        <v>284700000</v>
      </c>
      <c r="AD422" s="303">
        <v>284700000</v>
      </c>
      <c r="AE422" s="303">
        <f t="shared" si="14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/>
      <c r="AR422" s="306"/>
      <c r="AS422" s="306"/>
      <c r="AT422" s="306"/>
      <c r="AU422" s="306"/>
      <c r="AV422" s="306"/>
      <c r="AW422" s="306"/>
      <c r="AX422" s="306"/>
      <c r="AY422" s="306"/>
      <c r="AZ422" s="306"/>
      <c r="BA422" s="306"/>
      <c r="BB422" s="306"/>
      <c r="BC422" s="306"/>
      <c r="BD422" s="306"/>
      <c r="BE422" s="306">
        <v>284700000</v>
      </c>
      <c r="BF422" s="306"/>
      <c r="BG422" s="308"/>
      <c r="BH422" s="309"/>
    </row>
    <row r="423" spans="1:60" s="310" customFormat="1" ht="16.5" customHeight="1">
      <c r="A423" s="290">
        <v>403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153</v>
      </c>
      <c r="K423" s="292"/>
      <c r="L423" s="292"/>
      <c r="M423" s="292">
        <v>25048</v>
      </c>
      <c r="N423" s="292" t="s">
        <v>35</v>
      </c>
      <c r="O423" s="292"/>
      <c r="P423" s="292"/>
      <c r="Q423" s="292" t="s">
        <v>30</v>
      </c>
      <c r="R423" s="292" t="s">
        <v>353</v>
      </c>
      <c r="S423" s="297" t="s">
        <v>353</v>
      </c>
      <c r="T423" s="298"/>
      <c r="U423" s="299"/>
      <c r="V423" s="299">
        <v>33175000</v>
      </c>
      <c r="W423" s="300">
        <v>43351000</v>
      </c>
      <c r="X423" s="301"/>
      <c r="Y423" s="292" t="s">
        <v>28</v>
      </c>
      <c r="Z423" s="302" t="s">
        <v>28</v>
      </c>
      <c r="AA423" s="317"/>
      <c r="AB423" s="317"/>
      <c r="AC423" s="303">
        <f t="shared" si="13"/>
        <v>100000000</v>
      </c>
      <c r="AD423" s="303">
        <v>100000000</v>
      </c>
      <c r="AE423" s="303">
        <f t="shared" si="14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>
        <v>50000000</v>
      </c>
      <c r="AX423" s="306"/>
      <c r="AY423" s="306"/>
      <c r="AZ423" s="306"/>
      <c r="BA423" s="306">
        <v>50000000</v>
      </c>
      <c r="BB423" s="306"/>
      <c r="BC423" s="306"/>
      <c r="BD423" s="306"/>
      <c r="BE423" s="306"/>
      <c r="BF423" s="306"/>
      <c r="BG423" s="308"/>
      <c r="BH423" s="309"/>
    </row>
    <row r="424" spans="1:60" s="310" customFormat="1" ht="16.5" customHeight="1">
      <c r="A424" s="290">
        <v>404</v>
      </c>
      <c r="B424" s="291"/>
      <c r="C424" s="291"/>
      <c r="D424" s="292"/>
      <c r="E424" s="292"/>
      <c r="F424" s="293" t="s">
        <v>208</v>
      </c>
      <c r="G424" s="294" t="s">
        <v>4</v>
      </c>
      <c r="H424" s="311"/>
      <c r="I424" s="295"/>
      <c r="J424" s="296" t="s">
        <v>709</v>
      </c>
      <c r="K424" s="292"/>
      <c r="L424" s="292"/>
      <c r="M424" s="292">
        <v>63567</v>
      </c>
      <c r="N424" s="292"/>
      <c r="O424" s="292"/>
      <c r="P424" s="292"/>
      <c r="Q424" s="292"/>
      <c r="R424" s="292"/>
      <c r="S424" s="297" t="s">
        <v>34</v>
      </c>
      <c r="T424" s="298"/>
      <c r="U424" s="299"/>
      <c r="V424" s="299"/>
      <c r="W424" s="300">
        <v>108000</v>
      </c>
      <c r="X424" s="301"/>
      <c r="Y424" s="292"/>
      <c r="Z424" s="302" t="s">
        <v>578</v>
      </c>
      <c r="AA424" s="317"/>
      <c r="AB424" s="317"/>
      <c r="AC424" s="303">
        <f t="shared" si="13"/>
        <v>0</v>
      </c>
      <c r="AD424" s="303">
        <v>0</v>
      </c>
      <c r="AE424" s="303">
        <f t="shared" si="14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/>
      <c r="AX424" s="306"/>
      <c r="AY424" s="306"/>
      <c r="AZ424" s="306"/>
      <c r="BA424" s="306"/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customHeight="1">
      <c r="A425" s="290">
        <v>405</v>
      </c>
      <c r="B425" s="291"/>
      <c r="C425" s="291"/>
      <c r="D425" s="292" t="s">
        <v>208</v>
      </c>
      <c r="E425" s="292" t="s">
        <v>1</v>
      </c>
      <c r="F425" s="293" t="s">
        <v>208</v>
      </c>
      <c r="G425" s="294" t="s">
        <v>285</v>
      </c>
      <c r="H425" s="311"/>
      <c r="I425" s="295"/>
      <c r="J425" s="296" t="s">
        <v>52</v>
      </c>
      <c r="K425" s="292"/>
      <c r="L425" s="292"/>
      <c r="M425" s="292">
        <v>18245</v>
      </c>
      <c r="N425" s="292" t="s">
        <v>35</v>
      </c>
      <c r="O425" s="292"/>
      <c r="P425" s="292"/>
      <c r="Q425" s="292" t="s">
        <v>83</v>
      </c>
      <c r="R425" s="292" t="s">
        <v>32</v>
      </c>
      <c r="S425" s="297" t="s">
        <v>32</v>
      </c>
      <c r="T425" s="298" t="s">
        <v>747</v>
      </c>
      <c r="U425" s="299">
        <v>199409850</v>
      </c>
      <c r="V425" s="299">
        <v>106127930</v>
      </c>
      <c r="W425" s="300">
        <v>112342220</v>
      </c>
      <c r="X425" s="301"/>
      <c r="Y425" s="292" t="s">
        <v>31</v>
      </c>
      <c r="Z425" s="302" t="s">
        <v>31</v>
      </c>
      <c r="AA425" s="317"/>
      <c r="AB425" s="317"/>
      <c r="AC425" s="303">
        <f t="shared" si="13"/>
        <v>101105240</v>
      </c>
      <c r="AD425" s="303">
        <v>101105240</v>
      </c>
      <c r="AE425" s="303">
        <f t="shared" si="14"/>
        <v>0</v>
      </c>
      <c r="AF425" s="304">
        <v>9744950</v>
      </c>
      <c r="AG425" s="305">
        <v>9744950</v>
      </c>
      <c r="AH425" s="304"/>
      <c r="AI425" s="304">
        <v>9798310</v>
      </c>
      <c r="AJ425" s="305">
        <v>9798310</v>
      </c>
      <c r="AK425" s="304"/>
      <c r="AL425" s="306">
        <v>8168060</v>
      </c>
      <c r="AM425" s="318">
        <v>8168060</v>
      </c>
      <c r="AN425" s="306"/>
      <c r="AO425" s="307">
        <v>11393920</v>
      </c>
      <c r="AP425" s="306"/>
      <c r="AQ425" s="306">
        <v>9000000</v>
      </c>
      <c r="AR425" s="306"/>
      <c r="AS425" s="306">
        <v>9000000</v>
      </c>
      <c r="AT425" s="306"/>
      <c r="AU425" s="306">
        <v>9000000</v>
      </c>
      <c r="AV425" s="306"/>
      <c r="AW425" s="306">
        <v>9000000</v>
      </c>
      <c r="AX425" s="306"/>
      <c r="AY425" s="306">
        <v>9000000</v>
      </c>
      <c r="AZ425" s="306"/>
      <c r="BA425" s="306">
        <v>9000000</v>
      </c>
      <c r="BB425" s="306"/>
      <c r="BC425" s="306">
        <v>8000000</v>
      </c>
      <c r="BD425" s="306"/>
      <c r="BE425" s="306"/>
      <c r="BF425" s="306"/>
      <c r="BG425" s="308"/>
      <c r="BH425" s="309"/>
    </row>
    <row r="426" spans="1:60" s="310" customFormat="1" ht="16.5" customHeight="1">
      <c r="A426" s="290">
        <v>406</v>
      </c>
      <c r="B426" s="291"/>
      <c r="C426" s="291"/>
      <c r="D426" s="292" t="s">
        <v>184</v>
      </c>
      <c r="E426" s="292" t="s">
        <v>555</v>
      </c>
      <c r="F426" s="293" t="s">
        <v>208</v>
      </c>
      <c r="G426" s="294" t="s">
        <v>285</v>
      </c>
      <c r="H426" s="311"/>
      <c r="I426" s="295"/>
      <c r="J426" s="296" t="s">
        <v>600</v>
      </c>
      <c r="K426" s="292"/>
      <c r="L426" s="292"/>
      <c r="M426" s="292">
        <v>61305</v>
      </c>
      <c r="N426" s="292"/>
      <c r="O426" s="292"/>
      <c r="P426" s="292"/>
      <c r="Q426" s="292"/>
      <c r="R426" s="292" t="s">
        <v>32</v>
      </c>
      <c r="S426" s="297" t="s">
        <v>32</v>
      </c>
      <c r="T426" s="298" t="s">
        <v>747</v>
      </c>
      <c r="U426" s="299">
        <v>0</v>
      </c>
      <c r="V426" s="299">
        <v>0</v>
      </c>
      <c r="W426" s="300">
        <v>141320220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3"/>
        <v>56134220</v>
      </c>
      <c r="AD426" s="303">
        <v>56134220</v>
      </c>
      <c r="AE426" s="303">
        <f t="shared" si="14"/>
        <v>0</v>
      </c>
      <c r="AF426" s="304"/>
      <c r="AG426" s="305"/>
      <c r="AH426" s="304"/>
      <c r="AI426" s="304">
        <v>6517720</v>
      </c>
      <c r="AJ426" s="305">
        <v>6517720</v>
      </c>
      <c r="AK426" s="304"/>
      <c r="AL426" s="306">
        <v>5000000</v>
      </c>
      <c r="AM426" s="318">
        <v>6768540</v>
      </c>
      <c r="AN426" s="306"/>
      <c r="AO426" s="307">
        <v>7847960</v>
      </c>
      <c r="AP426" s="306"/>
      <c r="AQ426" s="306">
        <v>5000000</v>
      </c>
      <c r="AR426" s="306"/>
      <c r="AS426" s="306">
        <v>5000000</v>
      </c>
      <c r="AT426" s="306"/>
      <c r="AU426" s="306">
        <v>5000000</v>
      </c>
      <c r="AV426" s="306"/>
      <c r="AW426" s="306">
        <v>5000000</v>
      </c>
      <c r="AX426" s="306"/>
      <c r="AY426" s="306">
        <v>5000000</v>
      </c>
      <c r="AZ426" s="306"/>
      <c r="BA426" s="306">
        <v>5000000</v>
      </c>
      <c r="BB426" s="306"/>
      <c r="BC426" s="306">
        <v>5000000</v>
      </c>
      <c r="BD426" s="306"/>
      <c r="BE426" s="306"/>
      <c r="BF426" s="306"/>
      <c r="BG426" s="308"/>
      <c r="BH426" s="309"/>
    </row>
    <row r="427" spans="1:60" s="310" customFormat="1" ht="16.5" customHeight="1">
      <c r="A427" s="290">
        <v>407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353</v>
      </c>
      <c r="S427" s="297" t="s">
        <v>353</v>
      </c>
      <c r="T427" s="298"/>
      <c r="U427" s="299">
        <v>38064927</v>
      </c>
      <c r="V427" s="299">
        <v>19100000</v>
      </c>
      <c r="W427" s="300">
        <v>91485000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3"/>
        <v>11215000</v>
      </c>
      <c r="AD427" s="303">
        <v>11215000</v>
      </c>
      <c r="AE427" s="303">
        <f t="shared" si="14"/>
        <v>0</v>
      </c>
      <c r="AF427" s="304">
        <v>2000000</v>
      </c>
      <c r="AG427" s="305">
        <v>2000000</v>
      </c>
      <c r="AH427" s="304"/>
      <c r="AI427" s="304"/>
      <c r="AJ427" s="305"/>
      <c r="AK427" s="304"/>
      <c r="AL427" s="306"/>
      <c r="AM427" s="318">
        <v>9215000</v>
      </c>
      <c r="AN427" s="306"/>
      <c r="AO427" s="307"/>
      <c r="AP427" s="306"/>
      <c r="AQ427" s="306"/>
      <c r="AR427" s="306"/>
      <c r="AS427" s="306"/>
      <c r="AT427" s="306"/>
      <c r="AU427" s="306"/>
      <c r="AV427" s="306"/>
      <c r="AW427" s="306"/>
      <c r="AX427" s="306"/>
      <c r="AY427" s="306"/>
      <c r="AZ427" s="306"/>
      <c r="BA427" s="306"/>
      <c r="BB427" s="306"/>
      <c r="BC427" s="306"/>
      <c r="BD427" s="306"/>
      <c r="BE427" s="306"/>
      <c r="BF427" s="306"/>
      <c r="BG427" s="308"/>
      <c r="BH427" s="309"/>
    </row>
    <row r="428" spans="1:60" s="310" customFormat="1" ht="16.5" customHeight="1">
      <c r="A428" s="290">
        <v>408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 t="s">
        <v>26</v>
      </c>
      <c r="O428" s="292" t="s">
        <v>47</v>
      </c>
      <c r="P428" s="292" t="s">
        <v>186</v>
      </c>
      <c r="Q428" s="292" t="s">
        <v>30</v>
      </c>
      <c r="R428" s="292" t="s">
        <v>353</v>
      </c>
      <c r="S428" s="297" t="s">
        <v>353</v>
      </c>
      <c r="T428" s="298"/>
      <c r="U428" s="299"/>
      <c r="V428" s="299"/>
      <c r="W428" s="300">
        <v>0</v>
      </c>
      <c r="X428" s="301"/>
      <c r="Y428" s="292" t="s">
        <v>31</v>
      </c>
      <c r="Z428" s="302" t="s">
        <v>29</v>
      </c>
      <c r="AA428" s="317"/>
      <c r="AB428" s="317"/>
      <c r="AC428" s="303">
        <f t="shared" si="13"/>
        <v>38000000</v>
      </c>
      <c r="AD428" s="303">
        <v>38000000</v>
      </c>
      <c r="AE428" s="303">
        <f t="shared" si="14"/>
        <v>0</v>
      </c>
      <c r="AF428" s="304"/>
      <c r="AG428" s="305"/>
      <c r="AH428" s="304"/>
      <c r="AI428" s="304"/>
      <c r="AJ428" s="305"/>
      <c r="AK428" s="304"/>
      <c r="AL428" s="306"/>
      <c r="AM428" s="318"/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>
        <v>38000000</v>
      </c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customHeight="1">
      <c r="A429" s="290">
        <v>409</v>
      </c>
      <c r="B429" s="291"/>
      <c r="C429" s="291"/>
      <c r="D429" s="292" t="s">
        <v>184</v>
      </c>
      <c r="E429" s="292" t="s">
        <v>562</v>
      </c>
      <c r="F429" s="293" t="s">
        <v>208</v>
      </c>
      <c r="G429" s="294" t="s">
        <v>285</v>
      </c>
      <c r="H429" s="311"/>
      <c r="I429" s="295"/>
      <c r="J429" s="296" t="s">
        <v>601</v>
      </c>
      <c r="K429" s="292"/>
      <c r="L429" s="292"/>
      <c r="M429" s="292">
        <v>61312</v>
      </c>
      <c r="N429" s="292"/>
      <c r="O429" s="292"/>
      <c r="P429" s="292"/>
      <c r="Q429" s="292"/>
      <c r="R429" s="292" t="s">
        <v>32</v>
      </c>
      <c r="S429" s="297" t="s">
        <v>32</v>
      </c>
      <c r="T429" s="298"/>
      <c r="U429" s="299"/>
      <c r="V429" s="299">
        <v>0</v>
      </c>
      <c r="W429" s="300">
        <v>31058420</v>
      </c>
      <c r="X429" s="301"/>
      <c r="Y429" s="292" t="s">
        <v>31</v>
      </c>
      <c r="Z429" s="302" t="s">
        <v>31</v>
      </c>
      <c r="AA429" s="317"/>
      <c r="AB429" s="317"/>
      <c r="AC429" s="303">
        <f t="shared" si="13"/>
        <v>28583290</v>
      </c>
      <c r="AD429" s="303">
        <v>28583290</v>
      </c>
      <c r="AE429" s="303">
        <f t="shared" si="14"/>
        <v>0</v>
      </c>
      <c r="AF429" s="304">
        <v>1033740</v>
      </c>
      <c r="AG429" s="305">
        <v>1033740</v>
      </c>
      <c r="AH429" s="304"/>
      <c r="AI429" s="304">
        <v>1049720</v>
      </c>
      <c r="AJ429" s="305">
        <v>1049720</v>
      </c>
      <c r="AK429" s="304"/>
      <c r="AL429" s="306">
        <v>2000000</v>
      </c>
      <c r="AM429" s="318">
        <v>578290</v>
      </c>
      <c r="AN429" s="306"/>
      <c r="AO429" s="307">
        <v>921540</v>
      </c>
      <c r="AP429" s="306"/>
      <c r="AQ429" s="306">
        <v>2000000</v>
      </c>
      <c r="AR429" s="306"/>
      <c r="AS429" s="306">
        <v>2000000</v>
      </c>
      <c r="AT429" s="306"/>
      <c r="AU429" s="306">
        <v>12000000</v>
      </c>
      <c r="AV429" s="306"/>
      <c r="AW429" s="306">
        <v>2000000</v>
      </c>
      <c r="AX429" s="306"/>
      <c r="AY429" s="306">
        <v>2000000</v>
      </c>
      <c r="AZ429" s="306"/>
      <c r="BA429" s="306">
        <v>2000000</v>
      </c>
      <c r="BB429" s="306"/>
      <c r="BC429" s="306">
        <v>2000000</v>
      </c>
      <c r="BD429" s="306"/>
      <c r="BE429" s="306">
        <v>1000000</v>
      </c>
      <c r="BF429" s="306"/>
      <c r="BG429" s="308"/>
      <c r="BH429" s="309"/>
    </row>
    <row r="430" spans="1:60" s="310" customFormat="1" ht="16.5" customHeight="1">
      <c r="A430" s="290">
        <v>410</v>
      </c>
      <c r="B430" s="291"/>
      <c r="C430" s="291"/>
      <c r="D430" s="292" t="s">
        <v>184</v>
      </c>
      <c r="E430" s="292" t="s">
        <v>555</v>
      </c>
      <c r="F430" s="293" t="s">
        <v>208</v>
      </c>
      <c r="G430" s="294" t="s">
        <v>285</v>
      </c>
      <c r="H430" s="311"/>
      <c r="I430" s="295"/>
      <c r="J430" s="296" t="s">
        <v>602</v>
      </c>
      <c r="K430" s="292"/>
      <c r="L430" s="292"/>
      <c r="M430" s="292">
        <v>61304</v>
      </c>
      <c r="N430" s="292"/>
      <c r="O430" s="292"/>
      <c r="P430" s="292"/>
      <c r="Q430" s="292"/>
      <c r="R430" s="292" t="s">
        <v>32</v>
      </c>
      <c r="S430" s="297" t="s">
        <v>32</v>
      </c>
      <c r="T430" s="298" t="s">
        <v>747</v>
      </c>
      <c r="U430" s="299"/>
      <c r="V430" s="299">
        <v>0</v>
      </c>
      <c r="W430" s="300">
        <v>176881730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3"/>
        <v>157407810</v>
      </c>
      <c r="AD430" s="303">
        <v>157407810</v>
      </c>
      <c r="AE430" s="303">
        <f t="shared" si="14"/>
        <v>0</v>
      </c>
      <c r="AF430" s="304">
        <v>14428420</v>
      </c>
      <c r="AG430" s="305">
        <v>14428420</v>
      </c>
      <c r="AH430" s="304"/>
      <c r="AI430" s="304">
        <v>13646310</v>
      </c>
      <c r="AJ430" s="305">
        <v>13646310</v>
      </c>
      <c r="AK430" s="304"/>
      <c r="AL430" s="306">
        <v>14000000</v>
      </c>
      <c r="AM430" s="318">
        <v>11333080</v>
      </c>
      <c r="AN430" s="306"/>
      <c r="AO430" s="307">
        <v>14000000</v>
      </c>
      <c r="AP430" s="306"/>
      <c r="AQ430" s="306">
        <v>14000000</v>
      </c>
      <c r="AR430" s="306"/>
      <c r="AS430" s="306">
        <v>14000000</v>
      </c>
      <c r="AT430" s="306"/>
      <c r="AU430" s="306">
        <v>10000000</v>
      </c>
      <c r="AV430" s="306"/>
      <c r="AW430" s="306">
        <v>10000000</v>
      </c>
      <c r="AX430" s="306"/>
      <c r="AY430" s="306">
        <v>14000000</v>
      </c>
      <c r="AZ430" s="306"/>
      <c r="BA430" s="306">
        <v>14000000</v>
      </c>
      <c r="BB430" s="306"/>
      <c r="BC430" s="306">
        <v>14000000</v>
      </c>
      <c r="BD430" s="306"/>
      <c r="BE430" s="306">
        <v>14000000</v>
      </c>
      <c r="BF430" s="306"/>
      <c r="BG430" s="308"/>
      <c r="BH430" s="309"/>
    </row>
    <row r="431" spans="1:60" s="310" customFormat="1" ht="16.5" customHeight="1">
      <c r="A431" s="290">
        <v>411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353</v>
      </c>
      <c r="S431" s="297" t="s">
        <v>353</v>
      </c>
      <c r="T431" s="298"/>
      <c r="U431" s="299"/>
      <c r="V431" s="299"/>
      <c r="W431" s="300">
        <v>3305000</v>
      </c>
      <c r="X431" s="301"/>
      <c r="Y431" s="292" t="s">
        <v>31</v>
      </c>
      <c r="Z431" s="302" t="s">
        <v>28</v>
      </c>
      <c r="AA431" s="317"/>
      <c r="AB431" s="317"/>
      <c r="AC431" s="303">
        <f t="shared" si="13"/>
        <v>3000000</v>
      </c>
      <c r="AD431" s="303">
        <v>3000000</v>
      </c>
      <c r="AE431" s="303">
        <f t="shared" si="14"/>
        <v>0</v>
      </c>
      <c r="AF431" s="304"/>
      <c r="AG431" s="305"/>
      <c r="AH431" s="304"/>
      <c r="AI431" s="304"/>
      <c r="AJ431" s="305"/>
      <c r="AK431" s="304"/>
      <c r="AL431" s="306"/>
      <c r="AM431" s="318"/>
      <c r="AN431" s="306"/>
      <c r="AO431" s="307"/>
      <c r="AP431" s="306"/>
      <c r="AQ431" s="306">
        <v>3000000</v>
      </c>
      <c r="AR431" s="306"/>
      <c r="AS431" s="306"/>
      <c r="AT431" s="306"/>
      <c r="AU431" s="306"/>
      <c r="AV431" s="306"/>
      <c r="AW431" s="306"/>
      <c r="AX431" s="306"/>
      <c r="AY431" s="306"/>
      <c r="AZ431" s="306"/>
      <c r="BA431" s="306"/>
      <c r="BB431" s="306"/>
      <c r="BC431" s="306"/>
      <c r="BD431" s="306"/>
      <c r="BE431" s="306"/>
      <c r="BF431" s="306"/>
      <c r="BG431" s="308"/>
      <c r="BH431" s="309"/>
    </row>
    <row r="432" spans="1:60" s="310" customFormat="1" ht="16.5" customHeight="1">
      <c r="A432" s="290">
        <v>412</v>
      </c>
      <c r="B432" s="291"/>
      <c r="C432" s="291"/>
      <c r="D432" s="292"/>
      <c r="E432" s="292"/>
      <c r="F432" s="293" t="s">
        <v>208</v>
      </c>
      <c r="G432" s="294" t="s">
        <v>285</v>
      </c>
      <c r="H432" s="311"/>
      <c r="I432" s="295"/>
      <c r="J432" s="296" t="s">
        <v>606</v>
      </c>
      <c r="K432" s="292"/>
      <c r="L432" s="292"/>
      <c r="M432" s="292">
        <v>61310</v>
      </c>
      <c r="N432" s="292"/>
      <c r="O432" s="292"/>
      <c r="P432" s="292"/>
      <c r="Q432" s="292"/>
      <c r="R432" s="292"/>
      <c r="S432" s="297" t="s">
        <v>32</v>
      </c>
      <c r="T432" s="298"/>
      <c r="U432" s="299"/>
      <c r="V432" s="299"/>
      <c r="W432" s="300">
        <v>5956300</v>
      </c>
      <c r="X432" s="301"/>
      <c r="Y432" s="292"/>
      <c r="Z432" s="302" t="s">
        <v>578</v>
      </c>
      <c r="AA432" s="317"/>
      <c r="AB432" s="317"/>
      <c r="AC432" s="303">
        <f t="shared" si="13"/>
        <v>0</v>
      </c>
      <c r="AD432" s="303">
        <v>0</v>
      </c>
      <c r="AE432" s="303">
        <f t="shared" si="14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/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customHeight="1">
      <c r="A433" s="290">
        <v>413</v>
      </c>
      <c r="B433" s="291"/>
      <c r="C433" s="291"/>
      <c r="D433" s="292" t="s">
        <v>184</v>
      </c>
      <c r="E433" s="292" t="s">
        <v>555</v>
      </c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 t="s">
        <v>36</v>
      </c>
      <c r="P433" s="292" t="s">
        <v>48</v>
      </c>
      <c r="Q433" s="292"/>
      <c r="R433" s="292" t="s">
        <v>23</v>
      </c>
      <c r="S433" s="297" t="s">
        <v>23</v>
      </c>
      <c r="T433" s="298"/>
      <c r="U433" s="299"/>
      <c r="V433" s="299"/>
      <c r="W433" s="300">
        <v>0</v>
      </c>
      <c r="X433" s="301"/>
      <c r="Y433" s="292" t="s">
        <v>31</v>
      </c>
      <c r="Z433" s="302" t="s">
        <v>28</v>
      </c>
      <c r="AA433" s="317"/>
      <c r="AB433" s="317"/>
      <c r="AC433" s="303">
        <f t="shared" si="13"/>
        <v>10000000</v>
      </c>
      <c r="AD433" s="303">
        <v>10000000</v>
      </c>
      <c r="AE433" s="303">
        <f t="shared" si="14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>
        <v>10000000</v>
      </c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customHeight="1">
      <c r="A434" s="290">
        <v>414</v>
      </c>
      <c r="B434" s="291"/>
      <c r="C434" s="291"/>
      <c r="D434" s="292"/>
      <c r="E434" s="292"/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/>
      <c r="P434" s="292"/>
      <c r="Q434" s="292"/>
      <c r="R434" s="292"/>
      <c r="S434" s="297" t="s">
        <v>353</v>
      </c>
      <c r="T434" s="298"/>
      <c r="U434" s="299"/>
      <c r="V434" s="299"/>
      <c r="W434" s="300">
        <v>1500000</v>
      </c>
      <c r="X434" s="301"/>
      <c r="Y434" s="292"/>
      <c r="Z434" s="302" t="s">
        <v>578</v>
      </c>
      <c r="AA434" s="317"/>
      <c r="AB434" s="317"/>
      <c r="AC434" s="303">
        <f t="shared" si="13"/>
        <v>0</v>
      </c>
      <c r="AD434" s="303">
        <v>0</v>
      </c>
      <c r="AE434" s="303">
        <f t="shared" si="14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/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customHeight="1">
      <c r="A435" s="290">
        <v>415</v>
      </c>
      <c r="B435" s="291"/>
      <c r="C435" s="291"/>
      <c r="D435" s="292" t="s">
        <v>184</v>
      </c>
      <c r="E435" s="292" t="s">
        <v>562</v>
      </c>
      <c r="F435" s="293" t="s">
        <v>208</v>
      </c>
      <c r="G435" s="294" t="s">
        <v>285</v>
      </c>
      <c r="H435" s="311"/>
      <c r="I435" s="295"/>
      <c r="J435" s="296" t="s">
        <v>607</v>
      </c>
      <c r="K435" s="292"/>
      <c r="L435" s="292"/>
      <c r="M435" s="292">
        <v>61308</v>
      </c>
      <c r="N435" s="292" t="s">
        <v>26</v>
      </c>
      <c r="O435" s="292"/>
      <c r="P435" s="292"/>
      <c r="Q435" s="292"/>
      <c r="R435" s="292" t="s">
        <v>32</v>
      </c>
      <c r="S435" s="297" t="s">
        <v>32</v>
      </c>
      <c r="T435" s="298"/>
      <c r="U435" s="299"/>
      <c r="V435" s="299"/>
      <c r="W435" s="300">
        <v>44552990</v>
      </c>
      <c r="X435" s="301"/>
      <c r="Y435" s="292" t="s">
        <v>31</v>
      </c>
      <c r="Z435" s="302" t="s">
        <v>31</v>
      </c>
      <c r="AA435" s="317"/>
      <c r="AB435" s="317"/>
      <c r="AC435" s="303">
        <f t="shared" si="13"/>
        <v>26294780</v>
      </c>
      <c r="AD435" s="303">
        <v>26294780</v>
      </c>
      <c r="AE435" s="303">
        <f t="shared" si="14"/>
        <v>0</v>
      </c>
      <c r="AF435" s="304">
        <v>2500000</v>
      </c>
      <c r="AG435" s="305"/>
      <c r="AH435" s="304"/>
      <c r="AI435" s="304">
        <v>2500000</v>
      </c>
      <c r="AJ435" s="305"/>
      <c r="AK435" s="304"/>
      <c r="AL435" s="306">
        <v>2500000</v>
      </c>
      <c r="AM435" s="318"/>
      <c r="AN435" s="306"/>
      <c r="AO435" s="307">
        <v>6294780</v>
      </c>
      <c r="AP435" s="306"/>
      <c r="AQ435" s="306">
        <v>2500000</v>
      </c>
      <c r="AR435" s="306"/>
      <c r="AS435" s="306">
        <v>2500000</v>
      </c>
      <c r="AT435" s="306"/>
      <c r="AU435" s="306">
        <v>2500000</v>
      </c>
      <c r="AV435" s="306"/>
      <c r="AW435" s="306">
        <v>2500000</v>
      </c>
      <c r="AX435" s="306"/>
      <c r="AY435" s="306">
        <v>2500000</v>
      </c>
      <c r="AZ435" s="306"/>
      <c r="BA435" s="306">
        <v>2500000</v>
      </c>
      <c r="BB435" s="306"/>
      <c r="BC435" s="306">
        <v>2500000</v>
      </c>
      <c r="BD435" s="306"/>
      <c r="BE435" s="306">
        <v>2500000</v>
      </c>
      <c r="BF435" s="306"/>
      <c r="BG435" s="308"/>
      <c r="BH435" s="309"/>
    </row>
    <row r="436" spans="1:60" s="310" customFormat="1" ht="16.5" customHeight="1">
      <c r="A436" s="290">
        <v>416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353</v>
      </c>
      <c r="S436" s="297" t="s">
        <v>353</v>
      </c>
      <c r="T436" s="298"/>
      <c r="U436" s="299">
        <v>0</v>
      </c>
      <c r="V436" s="299">
        <v>0</v>
      </c>
      <c r="W436" s="300">
        <v>29768060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3"/>
        <v>10000000</v>
      </c>
      <c r="AD436" s="303">
        <v>10000000</v>
      </c>
      <c r="AE436" s="303">
        <f t="shared" si="14"/>
        <v>0</v>
      </c>
      <c r="AF436" s="304"/>
      <c r="AG436" s="305"/>
      <c r="AH436" s="304"/>
      <c r="AI436" s="304"/>
      <c r="AJ436" s="305"/>
      <c r="AK436" s="304"/>
      <c r="AL436" s="306"/>
      <c r="AM436" s="318"/>
      <c r="AN436" s="306"/>
      <c r="AO436" s="307">
        <v>10000000</v>
      </c>
      <c r="AP436" s="306"/>
      <c r="AQ436" s="306"/>
      <c r="AR436" s="306"/>
      <c r="AS436" s="306"/>
      <c r="AT436" s="306"/>
      <c r="AU436" s="306"/>
      <c r="AV436" s="306"/>
      <c r="AW436" s="306"/>
      <c r="AX436" s="306"/>
      <c r="AY436" s="306"/>
      <c r="AZ436" s="306"/>
      <c r="BA436" s="306"/>
      <c r="BB436" s="306"/>
      <c r="BC436" s="306"/>
      <c r="BD436" s="306"/>
      <c r="BE436" s="306"/>
      <c r="BF436" s="306"/>
      <c r="BG436" s="308"/>
      <c r="BH436" s="309"/>
    </row>
    <row r="437" spans="1:60" s="310" customFormat="1" ht="16.5" customHeight="1">
      <c r="A437" s="290">
        <v>417</v>
      </c>
      <c r="B437" s="291"/>
      <c r="C437" s="291"/>
      <c r="D437" s="292" t="s">
        <v>184</v>
      </c>
      <c r="E437" s="292" t="s">
        <v>555</v>
      </c>
      <c r="F437" s="293" t="s">
        <v>208</v>
      </c>
      <c r="G437" s="294" t="s">
        <v>285</v>
      </c>
      <c r="H437" s="311"/>
      <c r="I437" s="295"/>
      <c r="J437" s="296" t="s">
        <v>608</v>
      </c>
      <c r="K437" s="292"/>
      <c r="L437" s="292"/>
      <c r="M437" s="292">
        <v>1621</v>
      </c>
      <c r="N437" s="292" t="s">
        <v>26</v>
      </c>
      <c r="O437" s="292"/>
      <c r="P437" s="292"/>
      <c r="Q437" s="292" t="s">
        <v>83</v>
      </c>
      <c r="R437" s="292" t="s">
        <v>32</v>
      </c>
      <c r="S437" s="297" t="s">
        <v>32</v>
      </c>
      <c r="T437" s="298"/>
      <c r="U437" s="299">
        <v>84000000</v>
      </c>
      <c r="V437" s="299">
        <v>88700000</v>
      </c>
      <c r="W437" s="300">
        <v>0</v>
      </c>
      <c r="X437" s="301"/>
      <c r="Y437" s="292" t="s">
        <v>24</v>
      </c>
      <c r="Z437" s="302" t="s">
        <v>441</v>
      </c>
      <c r="AA437" s="317"/>
      <c r="AB437" s="317"/>
      <c r="AC437" s="303">
        <f t="shared" si="13"/>
        <v>0</v>
      </c>
      <c r="AD437" s="303">
        <v>0</v>
      </c>
      <c r="AE437" s="303">
        <f t="shared" si="14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/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customHeight="1">
      <c r="A438" s="290">
        <v>418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22</v>
      </c>
      <c r="R438" s="292" t="s">
        <v>23</v>
      </c>
      <c r="S438" s="297" t="s">
        <v>23</v>
      </c>
      <c r="T438" s="298"/>
      <c r="U438" s="299"/>
      <c r="V438" s="299">
        <v>77600000</v>
      </c>
      <c r="W438" s="300">
        <v>0</v>
      </c>
      <c r="X438" s="301"/>
      <c r="Y438" s="292" t="s">
        <v>28</v>
      </c>
      <c r="Z438" s="302" t="s">
        <v>28</v>
      </c>
      <c r="AA438" s="317"/>
      <c r="AB438" s="317"/>
      <c r="AC438" s="303">
        <f t="shared" si="13"/>
        <v>0</v>
      </c>
      <c r="AD438" s="303">
        <v>0</v>
      </c>
      <c r="AE438" s="303">
        <f t="shared" si="14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customHeight="1">
      <c r="A439" s="290">
        <v>419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40</v>
      </c>
      <c r="R439" s="292" t="s">
        <v>354</v>
      </c>
      <c r="S439" s="297" t="s">
        <v>354</v>
      </c>
      <c r="T439" s="298"/>
      <c r="U439" s="299">
        <v>88065000</v>
      </c>
      <c r="V439" s="299">
        <v>400948980</v>
      </c>
      <c r="W439" s="300">
        <v>95000000</v>
      </c>
      <c r="X439" s="301"/>
      <c r="Y439" s="292" t="s">
        <v>31</v>
      </c>
      <c r="Z439" s="302" t="s">
        <v>31</v>
      </c>
      <c r="AA439" s="317"/>
      <c r="AB439" s="317"/>
      <c r="AC439" s="303">
        <f t="shared" si="13"/>
        <v>202682500</v>
      </c>
      <c r="AD439" s="303">
        <v>202682500</v>
      </c>
      <c r="AE439" s="303">
        <f t="shared" si="14"/>
        <v>0</v>
      </c>
      <c r="AF439" s="304">
        <v>202682500</v>
      </c>
      <c r="AG439" s="305">
        <v>202682500</v>
      </c>
      <c r="AH439" s="304" t="s">
        <v>749</v>
      </c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customHeight="1">
      <c r="A440" s="290">
        <v>420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30</v>
      </c>
      <c r="R440" s="292" t="s">
        <v>353</v>
      </c>
      <c r="S440" s="297" t="s">
        <v>353</v>
      </c>
      <c r="T440" s="298"/>
      <c r="U440" s="299">
        <v>10100000</v>
      </c>
      <c r="V440" s="299">
        <v>72060000</v>
      </c>
      <c r="W440" s="300">
        <v>9550000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3"/>
        <v>200000000</v>
      </c>
      <c r="AD440" s="303">
        <v>200000000</v>
      </c>
      <c r="AE440" s="303">
        <f t="shared" si="14"/>
        <v>0</v>
      </c>
      <c r="AF440" s="304"/>
      <c r="AG440" s="305"/>
      <c r="AH440" s="304"/>
      <c r="AI440" s="304"/>
      <c r="AJ440" s="305"/>
      <c r="AK440" s="304"/>
      <c r="AL440" s="306"/>
      <c r="AM440" s="318">
        <v>29950000</v>
      </c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>
        <v>76000000</v>
      </c>
      <c r="AZ440" s="306"/>
      <c r="BA440" s="306"/>
      <c r="BB440" s="306"/>
      <c r="BC440" s="306"/>
      <c r="BD440" s="306"/>
      <c r="BE440" s="306">
        <v>94050000</v>
      </c>
      <c r="BF440" s="306"/>
      <c r="BG440" s="308"/>
      <c r="BH440" s="309"/>
    </row>
    <row r="441" spans="1:60" s="310" customFormat="1" ht="16.5" customHeight="1">
      <c r="A441" s="290">
        <v>421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610</v>
      </c>
      <c r="K441" s="292"/>
      <c r="L441" s="292"/>
      <c r="M441" s="292">
        <v>41115</v>
      </c>
      <c r="N441" s="292" t="s">
        <v>44</v>
      </c>
      <c r="O441" s="292" t="s">
        <v>47</v>
      </c>
      <c r="P441" s="292"/>
      <c r="Q441" s="292" t="s">
        <v>22</v>
      </c>
      <c r="R441" s="292" t="s">
        <v>23</v>
      </c>
      <c r="S441" s="297" t="s">
        <v>23</v>
      </c>
      <c r="T441" s="298"/>
      <c r="U441" s="299">
        <v>4420000</v>
      </c>
      <c r="V441" s="299">
        <v>4959000</v>
      </c>
      <c r="W441" s="300">
        <v>3798000</v>
      </c>
      <c r="X441" s="301"/>
      <c r="Y441" s="292" t="s">
        <v>31</v>
      </c>
      <c r="Z441" s="302" t="s">
        <v>484</v>
      </c>
      <c r="AA441" s="317"/>
      <c r="AB441" s="317"/>
      <c r="AC441" s="303">
        <f t="shared" si="13"/>
        <v>0</v>
      </c>
      <c r="AD441" s="303">
        <v>0</v>
      </c>
      <c r="AE441" s="303">
        <f t="shared" si="14"/>
        <v>0</v>
      </c>
      <c r="AF441" s="304"/>
      <c r="AG441" s="305"/>
      <c r="AH441" s="304"/>
      <c r="AI441" s="304"/>
      <c r="AJ441" s="305"/>
      <c r="AK441" s="304"/>
      <c r="AL441" s="306"/>
      <c r="AM441" s="318"/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/>
      <c r="AZ441" s="306"/>
      <c r="BA441" s="306"/>
      <c r="BB441" s="306"/>
      <c r="BC441" s="306"/>
      <c r="BD441" s="306"/>
      <c r="BE441" s="306"/>
      <c r="BF441" s="306"/>
      <c r="BG441" s="308"/>
      <c r="BH441" s="309"/>
    </row>
    <row r="442" spans="1:60" s="310" customFormat="1" ht="16.5" customHeight="1">
      <c r="A442" s="290">
        <v>422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33</v>
      </c>
      <c r="R442" s="292" t="s">
        <v>34</v>
      </c>
      <c r="S442" s="297" t="s">
        <v>34</v>
      </c>
      <c r="T442" s="298"/>
      <c r="U442" s="299">
        <v>4577000</v>
      </c>
      <c r="V442" s="299">
        <v>3654000</v>
      </c>
      <c r="W442" s="300">
        <v>0</v>
      </c>
      <c r="X442" s="301"/>
      <c r="Y442" s="292" t="s">
        <v>31</v>
      </c>
      <c r="Z442" s="302" t="s">
        <v>28</v>
      </c>
      <c r="AA442" s="317"/>
      <c r="AB442" s="317"/>
      <c r="AC442" s="303">
        <f t="shared" si="13"/>
        <v>5000000</v>
      </c>
      <c r="AD442" s="303">
        <v>5000000</v>
      </c>
      <c r="AE442" s="303">
        <f t="shared" si="14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>
        <v>5000000</v>
      </c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customHeight="1">
      <c r="A443" s="290">
        <v>423</v>
      </c>
      <c r="B443" s="291"/>
      <c r="C443" s="291"/>
      <c r="D443" s="292" t="s">
        <v>208</v>
      </c>
      <c r="E443" s="292" t="s">
        <v>1</v>
      </c>
      <c r="F443" s="293" t="s">
        <v>208</v>
      </c>
      <c r="G443" s="294" t="s">
        <v>285</v>
      </c>
      <c r="H443" s="311"/>
      <c r="I443" s="295"/>
      <c r="J443" s="296" t="s">
        <v>498</v>
      </c>
      <c r="K443" s="292"/>
      <c r="L443" s="292"/>
      <c r="M443" s="292">
        <v>45930</v>
      </c>
      <c r="N443" s="292" t="s">
        <v>35</v>
      </c>
      <c r="O443" s="292"/>
      <c r="P443" s="292"/>
      <c r="Q443" s="292"/>
      <c r="R443" s="292" t="s">
        <v>354</v>
      </c>
      <c r="S443" s="297" t="s">
        <v>354</v>
      </c>
      <c r="T443" s="298"/>
      <c r="U443" s="299"/>
      <c r="V443" s="299">
        <v>0</v>
      </c>
      <c r="W443" s="300">
        <v>62272727</v>
      </c>
      <c r="X443" s="301"/>
      <c r="Y443" s="292" t="s">
        <v>31</v>
      </c>
      <c r="Z443" s="302" t="s">
        <v>31</v>
      </c>
      <c r="AA443" s="317"/>
      <c r="AB443" s="317"/>
      <c r="AC443" s="303">
        <f t="shared" si="13"/>
        <v>108181818</v>
      </c>
      <c r="AD443" s="303">
        <v>108181818</v>
      </c>
      <c r="AE443" s="303">
        <f t="shared" si="14"/>
        <v>0</v>
      </c>
      <c r="AF443" s="304"/>
      <c r="AG443" s="305"/>
      <c r="AH443" s="304"/>
      <c r="AI443" s="304"/>
      <c r="AJ443" s="305"/>
      <c r="AK443" s="304"/>
      <c r="AL443" s="306"/>
      <c r="AM443" s="318">
        <v>54090909</v>
      </c>
      <c r="AN443" s="306"/>
      <c r="AO443" s="307">
        <v>54090909</v>
      </c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/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customHeight="1">
      <c r="A444" s="290">
        <v>424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353</v>
      </c>
      <c r="S444" s="297" t="s">
        <v>353</v>
      </c>
      <c r="T444" s="298"/>
      <c r="U444" s="299"/>
      <c r="V444" s="299"/>
      <c r="W444" s="300">
        <v>0</v>
      </c>
      <c r="X444" s="301"/>
      <c r="Y444" s="292" t="s">
        <v>28</v>
      </c>
      <c r="Z444" s="302" t="s">
        <v>28</v>
      </c>
      <c r="AA444" s="317"/>
      <c r="AB444" s="317"/>
      <c r="AC444" s="303">
        <f t="shared" si="13"/>
        <v>0</v>
      </c>
      <c r="AD444" s="303">
        <v>0</v>
      </c>
      <c r="AE444" s="303">
        <f t="shared" si="14"/>
        <v>0</v>
      </c>
      <c r="AF444" s="304"/>
      <c r="AG444" s="305"/>
      <c r="AH444" s="304"/>
      <c r="AI444" s="304"/>
      <c r="AJ444" s="305"/>
      <c r="AK444" s="304"/>
      <c r="AL444" s="306"/>
      <c r="AM444" s="318"/>
      <c r="AN444" s="306"/>
      <c r="AO444" s="307"/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>
        <v>0</v>
      </c>
      <c r="BF444" s="306"/>
      <c r="BG444" s="308"/>
      <c r="BH444" s="309"/>
    </row>
    <row r="445" spans="1:60" s="310" customFormat="1" ht="16.5" customHeight="1">
      <c r="A445" s="290">
        <v>425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273</v>
      </c>
      <c r="S445" s="297" t="s">
        <v>683</v>
      </c>
      <c r="T445" s="298"/>
      <c r="U445" s="299"/>
      <c r="V445" s="299"/>
      <c r="W445" s="300">
        <v>0</v>
      </c>
      <c r="X445" s="301"/>
      <c r="Y445" s="292" t="s">
        <v>29</v>
      </c>
      <c r="Z445" s="302" t="s">
        <v>441</v>
      </c>
      <c r="AA445" s="317"/>
      <c r="AB445" s="317"/>
      <c r="AC445" s="303">
        <f t="shared" si="13"/>
        <v>0</v>
      </c>
      <c r="AD445" s="303">
        <v>100000000</v>
      </c>
      <c r="AE445" s="303">
        <f t="shared" si="14"/>
        <v>-100000000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/>
      <c r="BF445" s="306"/>
      <c r="BG445" s="308"/>
      <c r="BH445" s="309"/>
    </row>
    <row r="446" spans="1:60" s="310" customFormat="1" ht="16.5" customHeight="1">
      <c r="A446" s="290">
        <v>426</v>
      </c>
      <c r="B446" s="291"/>
      <c r="C446" s="291"/>
      <c r="D446" s="292" t="s">
        <v>208</v>
      </c>
      <c r="E446" s="292" t="s">
        <v>106</v>
      </c>
      <c r="F446" s="293" t="s">
        <v>208</v>
      </c>
      <c r="G446" s="294" t="s">
        <v>285</v>
      </c>
      <c r="H446" s="311"/>
      <c r="I446" s="295"/>
      <c r="J446" s="296" t="s">
        <v>463</v>
      </c>
      <c r="K446" s="292"/>
      <c r="L446" s="292"/>
      <c r="M446" s="292">
        <v>1892</v>
      </c>
      <c r="N446" s="292" t="s">
        <v>26</v>
      </c>
      <c r="O446" s="292"/>
      <c r="P446" s="292"/>
      <c r="Q446" s="292" t="s">
        <v>40</v>
      </c>
      <c r="R446" s="292" t="s">
        <v>354</v>
      </c>
      <c r="S446" s="297" t="s">
        <v>354</v>
      </c>
      <c r="T446" s="298"/>
      <c r="U446" s="299">
        <v>63175950</v>
      </c>
      <c r="V446" s="299">
        <v>92760580</v>
      </c>
      <c r="W446" s="300">
        <v>109926000</v>
      </c>
      <c r="X446" s="301"/>
      <c r="Y446" s="292" t="s">
        <v>31</v>
      </c>
      <c r="Z446" s="302" t="s">
        <v>31</v>
      </c>
      <c r="AA446" s="317"/>
      <c r="AB446" s="317"/>
      <c r="AC446" s="303">
        <f t="shared" si="13"/>
        <v>77068200</v>
      </c>
      <c r="AD446" s="303">
        <v>77068200</v>
      </c>
      <c r="AE446" s="303">
        <f t="shared" si="14"/>
        <v>0</v>
      </c>
      <c r="AF446" s="304">
        <v>7082400</v>
      </c>
      <c r="AG446" s="305">
        <v>7082400</v>
      </c>
      <c r="AH446" s="304"/>
      <c r="AI446" s="304">
        <v>8350100</v>
      </c>
      <c r="AJ446" s="305">
        <v>8350100</v>
      </c>
      <c r="AK446" s="304"/>
      <c r="AL446" s="306">
        <v>5635700</v>
      </c>
      <c r="AM446" s="318">
        <v>5635700</v>
      </c>
      <c r="AN446" s="306"/>
      <c r="AO446" s="307">
        <v>6000000</v>
      </c>
      <c r="AP446" s="306"/>
      <c r="AQ446" s="306">
        <v>8000000</v>
      </c>
      <c r="AR446" s="306"/>
      <c r="AS446" s="306">
        <v>8000000</v>
      </c>
      <c r="AT446" s="306"/>
      <c r="AU446" s="306">
        <v>7000000</v>
      </c>
      <c r="AV446" s="306"/>
      <c r="AW446" s="306">
        <v>6000000</v>
      </c>
      <c r="AX446" s="306"/>
      <c r="AY446" s="306">
        <v>6000000</v>
      </c>
      <c r="AZ446" s="306"/>
      <c r="BA446" s="306">
        <v>7000000</v>
      </c>
      <c r="BB446" s="306"/>
      <c r="BC446" s="306">
        <v>8000000</v>
      </c>
      <c r="BD446" s="306"/>
      <c r="BE446" s="306"/>
      <c r="BF446" s="306"/>
      <c r="BG446" s="308"/>
      <c r="BH446" s="309"/>
    </row>
    <row r="447" spans="1:60" s="310" customFormat="1" ht="16.5" customHeight="1">
      <c r="A447" s="290">
        <v>427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/>
      <c r="R447" s="292" t="s">
        <v>353</v>
      </c>
      <c r="S447" s="297" t="s">
        <v>353</v>
      </c>
      <c r="T447" s="298"/>
      <c r="U447" s="299"/>
      <c r="V447" s="299">
        <v>0</v>
      </c>
      <c r="W447" s="300">
        <v>0</v>
      </c>
      <c r="X447" s="301"/>
      <c r="Y447" s="292" t="s">
        <v>29</v>
      </c>
      <c r="Z447" s="302" t="s">
        <v>28</v>
      </c>
      <c r="AA447" s="317"/>
      <c r="AB447" s="317"/>
      <c r="AC447" s="303">
        <f t="shared" si="13"/>
        <v>0</v>
      </c>
      <c r="AD447" s="303">
        <v>0</v>
      </c>
      <c r="AE447" s="303">
        <f t="shared" si="14"/>
        <v>0</v>
      </c>
      <c r="AF447" s="304"/>
      <c r="AG447" s="305"/>
      <c r="AH447" s="304"/>
      <c r="AI447" s="304"/>
      <c r="AJ447" s="305"/>
      <c r="AK447" s="304"/>
      <c r="AL447" s="306"/>
      <c r="AM447" s="318"/>
      <c r="AN447" s="306"/>
      <c r="AO447" s="307"/>
      <c r="AP447" s="306"/>
      <c r="AQ447" s="306"/>
      <c r="AR447" s="306"/>
      <c r="AS447" s="306"/>
      <c r="AT447" s="306"/>
      <c r="AU447" s="306"/>
      <c r="AV447" s="306"/>
      <c r="AW447" s="306"/>
      <c r="AX447" s="306"/>
      <c r="AY447" s="306"/>
      <c r="AZ447" s="306"/>
      <c r="BA447" s="306"/>
      <c r="BB447" s="306"/>
      <c r="BC447" s="306"/>
      <c r="BD447" s="306"/>
      <c r="BE447" s="306"/>
      <c r="BF447" s="306"/>
      <c r="BG447" s="308"/>
      <c r="BH447" s="309"/>
    </row>
    <row r="448" spans="1:60" s="310" customFormat="1" ht="16.5" customHeight="1">
      <c r="A448" s="290">
        <v>428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 t="s">
        <v>30</v>
      </c>
      <c r="R448" s="292" t="s">
        <v>361</v>
      </c>
      <c r="S448" s="297" t="s">
        <v>361</v>
      </c>
      <c r="T448" s="298"/>
      <c r="U448" s="299">
        <v>6000000</v>
      </c>
      <c r="V448" s="299">
        <v>41804000</v>
      </c>
      <c r="W448" s="300">
        <v>58853000</v>
      </c>
      <c r="X448" s="301"/>
      <c r="Y448" s="292" t="s">
        <v>31</v>
      </c>
      <c r="Z448" s="302" t="s">
        <v>31</v>
      </c>
      <c r="AA448" s="317"/>
      <c r="AB448" s="317"/>
      <c r="AC448" s="303">
        <f t="shared" si="13"/>
        <v>24800000</v>
      </c>
      <c r="AD448" s="303">
        <v>24800000</v>
      </c>
      <c r="AE448" s="303">
        <f t="shared" si="14"/>
        <v>0</v>
      </c>
      <c r="AF448" s="304">
        <v>2000000</v>
      </c>
      <c r="AG448" s="305">
        <v>2000000</v>
      </c>
      <c r="AH448" s="304"/>
      <c r="AI448" s="304">
        <v>2800000</v>
      </c>
      <c r="AJ448" s="305">
        <v>2800000</v>
      </c>
      <c r="AK448" s="304"/>
      <c r="AL448" s="306">
        <v>3200000</v>
      </c>
      <c r="AM448" s="318">
        <v>3200000</v>
      </c>
      <c r="AN448" s="306"/>
      <c r="AO448" s="307"/>
      <c r="AP448" s="306"/>
      <c r="AQ448" s="306"/>
      <c r="AR448" s="306"/>
      <c r="AS448" s="306"/>
      <c r="AT448" s="306"/>
      <c r="AU448" s="306">
        <v>16800000</v>
      </c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customHeight="1">
      <c r="A449" s="290">
        <v>429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40</v>
      </c>
      <c r="R449" s="292" t="s">
        <v>273</v>
      </c>
      <c r="S449" s="297" t="s">
        <v>683</v>
      </c>
      <c r="T449" s="298"/>
      <c r="U449" s="299"/>
      <c r="V449" s="299"/>
      <c r="W449" s="300">
        <v>0</v>
      </c>
      <c r="X449" s="301"/>
      <c r="Y449" s="292" t="s">
        <v>29</v>
      </c>
      <c r="Z449" s="302" t="s">
        <v>441</v>
      </c>
      <c r="AA449" s="317"/>
      <c r="AB449" s="317"/>
      <c r="AC449" s="303">
        <f t="shared" si="13"/>
        <v>0</v>
      </c>
      <c r="AD449" s="303">
        <v>0</v>
      </c>
      <c r="AE449" s="303">
        <f t="shared" si="14"/>
        <v>0</v>
      </c>
      <c r="AF449" s="304"/>
      <c r="AG449" s="305"/>
      <c r="AH449" s="304"/>
      <c r="AI449" s="304"/>
      <c r="AJ449" s="305"/>
      <c r="AK449" s="304"/>
      <c r="AL449" s="306"/>
      <c r="AM449" s="318"/>
      <c r="AN449" s="306"/>
      <c r="AO449" s="307"/>
      <c r="AP449" s="306"/>
      <c r="AQ449" s="306"/>
      <c r="AR449" s="306"/>
      <c r="AS449" s="306"/>
      <c r="AT449" s="306"/>
      <c r="AU449" s="306"/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customHeight="1">
      <c r="A450" s="290">
        <v>430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356</v>
      </c>
      <c r="S450" s="297" t="s">
        <v>686</v>
      </c>
      <c r="T450" s="298"/>
      <c r="U450" s="299"/>
      <c r="V450" s="299"/>
      <c r="W450" s="300">
        <v>6000000</v>
      </c>
      <c r="X450" s="301"/>
      <c r="Y450" s="292" t="s">
        <v>29</v>
      </c>
      <c r="Z450" s="302" t="s">
        <v>28</v>
      </c>
      <c r="AA450" s="317"/>
      <c r="AB450" s="317"/>
      <c r="AC450" s="303">
        <f t="shared" si="13"/>
        <v>0</v>
      </c>
      <c r="AD450" s="303">
        <v>0</v>
      </c>
      <c r="AE450" s="303">
        <f t="shared" si="14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customHeight="1">
      <c r="A451" s="290">
        <v>431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686</v>
      </c>
      <c r="T451" s="298"/>
      <c r="U451" s="299"/>
      <c r="V451" s="299"/>
      <c r="W451" s="300">
        <v>0</v>
      </c>
      <c r="X451" s="301"/>
      <c r="Y451" s="292" t="s">
        <v>31</v>
      </c>
      <c r="Z451" s="302" t="s">
        <v>578</v>
      </c>
      <c r="AA451" s="317"/>
      <c r="AB451" s="317"/>
      <c r="AC451" s="303">
        <f t="shared" si="13"/>
        <v>0</v>
      </c>
      <c r="AD451" s="303">
        <v>0</v>
      </c>
      <c r="AE451" s="303">
        <f t="shared" si="14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customHeight="1">
      <c r="A452" s="290">
        <v>432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110</v>
      </c>
      <c r="K452" s="292"/>
      <c r="L452" s="292"/>
      <c r="M452" s="292">
        <v>59848</v>
      </c>
      <c r="N452" s="292"/>
      <c r="O452" s="292"/>
      <c r="P452" s="292"/>
      <c r="Q452" s="292" t="s">
        <v>22</v>
      </c>
      <c r="R452" s="292" t="s">
        <v>23</v>
      </c>
      <c r="S452" s="297" t="s">
        <v>23</v>
      </c>
      <c r="T452" s="298"/>
      <c r="U452" s="299"/>
      <c r="V452" s="299">
        <v>0</v>
      </c>
      <c r="W452" s="300">
        <v>6000000</v>
      </c>
      <c r="X452" s="301"/>
      <c r="Y452" s="292" t="s">
        <v>28</v>
      </c>
      <c r="Z452" s="302" t="s">
        <v>441</v>
      </c>
      <c r="AA452" s="317"/>
      <c r="AB452" s="317"/>
      <c r="AC452" s="303">
        <f t="shared" si="13"/>
        <v>0</v>
      </c>
      <c r="AD452" s="303">
        <v>0</v>
      </c>
      <c r="AE452" s="303">
        <f t="shared" si="14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customHeight="1">
      <c r="A453" s="290">
        <v>433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14000000</v>
      </c>
      <c r="W453" s="300">
        <v>0</v>
      </c>
      <c r="X453" s="301"/>
      <c r="Y453" s="292" t="s">
        <v>31</v>
      </c>
      <c r="Z453" s="302" t="s">
        <v>578</v>
      </c>
      <c r="AA453" s="317"/>
      <c r="AB453" s="317"/>
      <c r="AC453" s="303">
        <f t="shared" si="13"/>
        <v>0</v>
      </c>
      <c r="AD453" s="303">
        <v>0</v>
      </c>
      <c r="AE453" s="303">
        <f t="shared" si="14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customHeight="1">
      <c r="A454" s="290">
        <v>434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111</v>
      </c>
      <c r="K454" s="292"/>
      <c r="L454" s="292"/>
      <c r="M454" s="292">
        <v>29127</v>
      </c>
      <c r="N454" s="292" t="s">
        <v>38</v>
      </c>
      <c r="O454" s="292"/>
      <c r="P454" s="292"/>
      <c r="Q454" s="292" t="s">
        <v>33</v>
      </c>
      <c r="R454" s="292" t="s">
        <v>34</v>
      </c>
      <c r="S454" s="297" t="s">
        <v>34</v>
      </c>
      <c r="T454" s="298"/>
      <c r="U454" s="299">
        <v>870000</v>
      </c>
      <c r="V454" s="299">
        <v>350000</v>
      </c>
      <c r="W454" s="300">
        <v>390000</v>
      </c>
      <c r="X454" s="301"/>
      <c r="Y454" s="292" t="s">
        <v>31</v>
      </c>
      <c r="Z454" s="302" t="s">
        <v>31</v>
      </c>
      <c r="AA454" s="317"/>
      <c r="AB454" s="317"/>
      <c r="AC454" s="303">
        <f t="shared" si="13"/>
        <v>300000</v>
      </c>
      <c r="AD454" s="303">
        <v>300000</v>
      </c>
      <c r="AE454" s="303">
        <f t="shared" si="14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>
        <v>300000</v>
      </c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customHeight="1">
      <c r="A455" s="290">
        <v>435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112</v>
      </c>
      <c r="K455" s="292"/>
      <c r="L455" s="292"/>
      <c r="M455" s="292">
        <v>13069</v>
      </c>
      <c r="N455" s="292" t="s">
        <v>21</v>
      </c>
      <c r="O455" s="292"/>
      <c r="P455" s="292"/>
      <c r="Q455" s="292" t="s">
        <v>22</v>
      </c>
      <c r="R455" s="292" t="s">
        <v>23</v>
      </c>
      <c r="S455" s="297" t="s">
        <v>23</v>
      </c>
      <c r="T455" s="298"/>
      <c r="U455" s="299">
        <v>22765240</v>
      </c>
      <c r="V455" s="299">
        <v>12072200</v>
      </c>
      <c r="W455" s="300">
        <v>0</v>
      </c>
      <c r="X455" s="301"/>
      <c r="Y455" s="292" t="s">
        <v>29</v>
      </c>
      <c r="Z455" s="302" t="s">
        <v>441</v>
      </c>
      <c r="AA455" s="317"/>
      <c r="AB455" s="317"/>
      <c r="AC455" s="303">
        <f t="shared" si="13"/>
        <v>0</v>
      </c>
      <c r="AD455" s="303">
        <v>0</v>
      </c>
      <c r="AE455" s="303">
        <f t="shared" si="14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/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customHeight="1">
      <c r="A456" s="290">
        <v>436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30</v>
      </c>
      <c r="R456" s="292" t="s">
        <v>353</v>
      </c>
      <c r="S456" s="297" t="s">
        <v>353</v>
      </c>
      <c r="T456" s="298"/>
      <c r="U456" s="299"/>
      <c r="V456" s="299">
        <v>16151000</v>
      </c>
      <c r="W456" s="300">
        <v>0</v>
      </c>
      <c r="X456" s="301"/>
      <c r="Y456" s="292" t="s">
        <v>28</v>
      </c>
      <c r="Z456" s="302" t="s">
        <v>28</v>
      </c>
      <c r="AA456" s="317"/>
      <c r="AB456" s="317"/>
      <c r="AC456" s="303">
        <f t="shared" si="13"/>
        <v>10000000</v>
      </c>
      <c r="AD456" s="303">
        <v>10000000</v>
      </c>
      <c r="AE456" s="303">
        <f t="shared" si="14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>
        <v>10000000</v>
      </c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customHeight="1">
      <c r="A457" s="290">
        <v>437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361</v>
      </c>
      <c r="S457" s="297" t="s">
        <v>361</v>
      </c>
      <c r="T457" s="298"/>
      <c r="U457" s="299"/>
      <c r="V457" s="299">
        <v>0</v>
      </c>
      <c r="W457" s="300">
        <v>11790000</v>
      </c>
      <c r="X457" s="301"/>
      <c r="Y457" s="292" t="s">
        <v>31</v>
      </c>
      <c r="Z457" s="302" t="s">
        <v>28</v>
      </c>
      <c r="AA457" s="317"/>
      <c r="AB457" s="317"/>
      <c r="AC457" s="303">
        <f t="shared" si="13"/>
        <v>3000000</v>
      </c>
      <c r="AD457" s="303">
        <v>3000000</v>
      </c>
      <c r="AE457" s="303">
        <f t="shared" si="14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3000000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customHeight="1">
      <c r="A458" s="290">
        <v>438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22</v>
      </c>
      <c r="R458" s="292" t="s">
        <v>351</v>
      </c>
      <c r="S458" s="297" t="s">
        <v>691</v>
      </c>
      <c r="T458" s="298"/>
      <c r="U458" s="299"/>
      <c r="V458" s="299"/>
      <c r="W458" s="300">
        <v>400000</v>
      </c>
      <c r="X458" s="301"/>
      <c r="Y458" s="292" t="s">
        <v>31</v>
      </c>
      <c r="Z458" s="302" t="s">
        <v>578</v>
      </c>
      <c r="AA458" s="317"/>
      <c r="AB458" s="317"/>
      <c r="AC458" s="303">
        <f t="shared" si="13"/>
        <v>0</v>
      </c>
      <c r="AD458" s="303">
        <v>0</v>
      </c>
      <c r="AE458" s="303">
        <f t="shared" si="14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/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customHeight="1">
      <c r="A459" s="290">
        <v>439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113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46</v>
      </c>
      <c r="R459" s="292" t="s">
        <v>359</v>
      </c>
      <c r="S459" s="297" t="s">
        <v>690</v>
      </c>
      <c r="T459" s="298"/>
      <c r="U459" s="299"/>
      <c r="V459" s="299">
        <v>450000</v>
      </c>
      <c r="W459" s="300">
        <v>0</v>
      </c>
      <c r="X459" s="301"/>
      <c r="Y459" s="292" t="s">
        <v>29</v>
      </c>
      <c r="Z459" s="302" t="s">
        <v>24</v>
      </c>
      <c r="AA459" s="317"/>
      <c r="AB459" s="317"/>
      <c r="AC459" s="303">
        <f t="shared" si="13"/>
        <v>0</v>
      </c>
      <c r="AD459" s="303">
        <v>0</v>
      </c>
      <c r="AE459" s="303">
        <f t="shared" si="14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customHeight="1">
      <c r="A460" s="290">
        <v>440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114</v>
      </c>
      <c r="K460" s="292"/>
      <c r="L460" s="292"/>
      <c r="M460" s="292">
        <v>5088</v>
      </c>
      <c r="N460" s="292" t="s">
        <v>44</v>
      </c>
      <c r="O460" s="292"/>
      <c r="P460" s="292"/>
      <c r="Q460" s="292" t="s">
        <v>83</v>
      </c>
      <c r="R460" s="292" t="s">
        <v>32</v>
      </c>
      <c r="S460" s="297" t="s">
        <v>32</v>
      </c>
      <c r="T460" s="298" t="s">
        <v>747</v>
      </c>
      <c r="U460" s="299">
        <v>52480918</v>
      </c>
      <c r="V460" s="299">
        <v>59946150</v>
      </c>
      <c r="W460" s="300">
        <v>65666010</v>
      </c>
      <c r="X460" s="301"/>
      <c r="Y460" s="292" t="s">
        <v>31</v>
      </c>
      <c r="Z460" s="302" t="s">
        <v>31</v>
      </c>
      <c r="AA460" s="317"/>
      <c r="AB460" s="317"/>
      <c r="AC460" s="303">
        <f t="shared" si="13"/>
        <v>60410480</v>
      </c>
      <c r="AD460" s="303">
        <v>60410480</v>
      </c>
      <c r="AE460" s="303">
        <f t="shared" si="14"/>
        <v>0</v>
      </c>
      <c r="AF460" s="304">
        <v>3931540</v>
      </c>
      <c r="AG460" s="305">
        <v>3931540</v>
      </c>
      <c r="AH460" s="304"/>
      <c r="AI460" s="304">
        <v>3503580</v>
      </c>
      <c r="AJ460" s="305">
        <v>5715230</v>
      </c>
      <c r="AK460" s="304"/>
      <c r="AL460" s="306"/>
      <c r="AM460" s="318">
        <v>7258050</v>
      </c>
      <c r="AN460" s="306"/>
      <c r="AO460" s="307">
        <v>9505660</v>
      </c>
      <c r="AP460" s="306"/>
      <c r="AQ460" s="306">
        <v>5000000</v>
      </c>
      <c r="AR460" s="306"/>
      <c r="AS460" s="306">
        <v>5000000</v>
      </c>
      <c r="AT460" s="306"/>
      <c r="AU460" s="306">
        <v>5000000</v>
      </c>
      <c r="AV460" s="306"/>
      <c r="AW460" s="306">
        <v>5000000</v>
      </c>
      <c r="AX460" s="306"/>
      <c r="AY460" s="306">
        <v>5000000</v>
      </c>
      <c r="AZ460" s="306"/>
      <c r="BA460" s="306">
        <v>5000000</v>
      </c>
      <c r="BB460" s="306"/>
      <c r="BC460" s="306">
        <v>4000000</v>
      </c>
      <c r="BD460" s="306"/>
      <c r="BE460" s="306"/>
      <c r="BF460" s="306"/>
      <c r="BG460" s="308"/>
      <c r="BH460" s="309"/>
    </row>
    <row r="461" spans="1:60" s="310" customFormat="1" ht="16.5" customHeight="1">
      <c r="A461" s="290">
        <v>441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38</v>
      </c>
      <c r="O461" s="292"/>
      <c r="P461" s="292"/>
      <c r="Q461" s="292" t="s">
        <v>41</v>
      </c>
      <c r="R461" s="292" t="s">
        <v>42</v>
      </c>
      <c r="S461" s="297" t="s">
        <v>42</v>
      </c>
      <c r="T461" s="298"/>
      <c r="U461" s="299">
        <v>5250000</v>
      </c>
      <c r="V461" s="299">
        <v>5250000</v>
      </c>
      <c r="W461" s="300">
        <v>4800000</v>
      </c>
      <c r="X461" s="301"/>
      <c r="Y461" s="292" t="s">
        <v>31</v>
      </c>
      <c r="Z461" s="302" t="s">
        <v>441</v>
      </c>
      <c r="AA461" s="317"/>
      <c r="AB461" s="317"/>
      <c r="AC461" s="303">
        <f t="shared" si="13"/>
        <v>0</v>
      </c>
      <c r="AD461" s="303">
        <v>0</v>
      </c>
      <c r="AE461" s="303">
        <f t="shared" si="14"/>
        <v>0</v>
      </c>
      <c r="AF461" s="304"/>
      <c r="AG461" s="305"/>
      <c r="AH461" s="304"/>
      <c r="AI461" s="304"/>
      <c r="AJ461" s="305"/>
      <c r="AK461" s="304"/>
      <c r="AL461" s="306"/>
      <c r="AM461" s="318"/>
      <c r="AN461" s="306"/>
      <c r="AO461" s="307"/>
      <c r="AP461" s="306"/>
      <c r="AQ461" s="306"/>
      <c r="AR461" s="306"/>
      <c r="AS461" s="306"/>
      <c r="AT461" s="306"/>
      <c r="AU461" s="306"/>
      <c r="AV461" s="306"/>
      <c r="AW461" s="306"/>
      <c r="AX461" s="306"/>
      <c r="AY461" s="306"/>
      <c r="AZ461" s="306"/>
      <c r="BA461" s="306"/>
      <c r="BB461" s="306"/>
      <c r="BC461" s="306"/>
      <c r="BD461" s="306"/>
      <c r="BE461" s="306"/>
      <c r="BF461" s="306"/>
      <c r="BG461" s="308"/>
      <c r="BH461" s="309"/>
    </row>
    <row r="462" spans="1:60" s="310" customFormat="1" ht="16.5" customHeight="1">
      <c r="A462" s="290">
        <v>442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44</v>
      </c>
      <c r="O462" s="292"/>
      <c r="P462" s="292"/>
      <c r="Q462" s="292"/>
      <c r="R462" s="292" t="s">
        <v>356</v>
      </c>
      <c r="S462" s="297" t="s">
        <v>686</v>
      </c>
      <c r="T462" s="298"/>
      <c r="U462" s="299"/>
      <c r="V462" s="299">
        <v>0</v>
      </c>
      <c r="W462" s="300">
        <v>0</v>
      </c>
      <c r="X462" s="301"/>
      <c r="Y462" s="292" t="s">
        <v>29</v>
      </c>
      <c r="Z462" s="302" t="s">
        <v>441</v>
      </c>
      <c r="AA462" s="317"/>
      <c r="AB462" s="317"/>
      <c r="AC462" s="303">
        <f t="shared" si="13"/>
        <v>0</v>
      </c>
      <c r="AD462" s="303">
        <v>0</v>
      </c>
      <c r="AE462" s="303">
        <f t="shared" si="14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customHeight="1">
      <c r="A463" s="290">
        <v>443</v>
      </c>
      <c r="B463" s="291"/>
      <c r="C463" s="291"/>
      <c r="D463" s="292" t="s">
        <v>184</v>
      </c>
      <c r="E463" s="292" t="s">
        <v>555</v>
      </c>
      <c r="F463" s="293" t="s">
        <v>208</v>
      </c>
      <c r="G463" s="294" t="s">
        <v>285</v>
      </c>
      <c r="H463" s="311"/>
      <c r="I463" s="295"/>
      <c r="J463" s="296" t="s">
        <v>613</v>
      </c>
      <c r="K463" s="292"/>
      <c r="L463" s="292"/>
      <c r="M463" s="292">
        <v>17791</v>
      </c>
      <c r="N463" s="292" t="s">
        <v>26</v>
      </c>
      <c r="O463" s="292" t="s">
        <v>47</v>
      </c>
      <c r="P463" s="292" t="s">
        <v>189</v>
      </c>
      <c r="Q463" s="292" t="s">
        <v>33</v>
      </c>
      <c r="R463" s="292" t="s">
        <v>34</v>
      </c>
      <c r="S463" s="297" t="s">
        <v>34</v>
      </c>
      <c r="T463" s="298"/>
      <c r="U463" s="299">
        <v>21555000</v>
      </c>
      <c r="V463" s="299">
        <v>0</v>
      </c>
      <c r="W463" s="300">
        <v>2250000</v>
      </c>
      <c r="X463" s="301"/>
      <c r="Y463" s="292" t="s">
        <v>28</v>
      </c>
      <c r="Z463" s="302" t="s">
        <v>578</v>
      </c>
      <c r="AA463" s="317"/>
      <c r="AB463" s="317"/>
      <c r="AC463" s="303">
        <f t="shared" si="13"/>
        <v>0</v>
      </c>
      <c r="AD463" s="303">
        <v>0</v>
      </c>
      <c r="AE463" s="303">
        <f t="shared" si="14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customHeight="1">
      <c r="A464" s="290">
        <v>444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30</v>
      </c>
      <c r="R464" s="292" t="s">
        <v>353</v>
      </c>
      <c r="S464" s="297" t="s">
        <v>353</v>
      </c>
      <c r="T464" s="298"/>
      <c r="U464" s="299" t="s">
        <v>188</v>
      </c>
      <c r="V464" s="299">
        <v>2100000</v>
      </c>
      <c r="W464" s="300">
        <v>0</v>
      </c>
      <c r="X464" s="301"/>
      <c r="Y464" s="292" t="s">
        <v>28</v>
      </c>
      <c r="Z464" s="302"/>
      <c r="AA464" s="317"/>
      <c r="AB464" s="317"/>
      <c r="AC464" s="303">
        <f t="shared" si="13"/>
        <v>0</v>
      </c>
      <c r="AD464" s="303">
        <v>0</v>
      </c>
      <c r="AE464" s="303">
        <f t="shared" si="14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customHeight="1">
      <c r="A465" s="290">
        <v>445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614</v>
      </c>
      <c r="K465" s="292"/>
      <c r="L465" s="292"/>
      <c r="M465" s="292">
        <v>28561</v>
      </c>
      <c r="N465" s="292" t="s">
        <v>26</v>
      </c>
      <c r="O465" s="292" t="s">
        <v>47</v>
      </c>
      <c r="P465" s="292" t="s">
        <v>189</v>
      </c>
      <c r="Q465" s="292" t="s">
        <v>33</v>
      </c>
      <c r="R465" s="292" t="s">
        <v>34</v>
      </c>
      <c r="S465" s="297" t="s">
        <v>34</v>
      </c>
      <c r="T465" s="298"/>
      <c r="U465" s="299">
        <v>10836000</v>
      </c>
      <c r="V465" s="299">
        <v>6533000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3"/>
        <v>0</v>
      </c>
      <c r="AD465" s="303">
        <v>0</v>
      </c>
      <c r="AE465" s="303">
        <f t="shared" si="14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customHeight="1">
      <c r="A466" s="290">
        <v>446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616</v>
      </c>
      <c r="K466" s="292"/>
      <c r="L466" s="292"/>
      <c r="M466" s="292">
        <v>4970</v>
      </c>
      <c r="N466" s="292" t="s">
        <v>26</v>
      </c>
      <c r="O466" s="292"/>
      <c r="P466" s="292"/>
      <c r="Q466" s="292" t="s">
        <v>22</v>
      </c>
      <c r="R466" s="292" t="s">
        <v>23</v>
      </c>
      <c r="S466" s="297" t="s">
        <v>23</v>
      </c>
      <c r="T466" s="298"/>
      <c r="U466" s="299"/>
      <c r="V466" s="299">
        <v>0</v>
      </c>
      <c r="W466" s="300">
        <v>0</v>
      </c>
      <c r="X466" s="301"/>
      <c r="Y466" s="292" t="s">
        <v>29</v>
      </c>
      <c r="Z466" s="302" t="s">
        <v>29</v>
      </c>
      <c r="AA466" s="317"/>
      <c r="AB466" s="317"/>
      <c r="AC466" s="303">
        <f t="shared" si="13"/>
        <v>0</v>
      </c>
      <c r="AD466" s="303">
        <v>0</v>
      </c>
      <c r="AE466" s="303">
        <f t="shared" si="14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customHeight="1">
      <c r="A467" s="290">
        <v>447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617</v>
      </c>
      <c r="K467" s="292"/>
      <c r="L467" s="292"/>
      <c r="M467" s="292">
        <v>13928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3"/>
        <v>0</v>
      </c>
      <c r="AD467" s="303">
        <v>0</v>
      </c>
      <c r="AE467" s="303">
        <f t="shared" si="14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customHeight="1">
      <c r="A468" s="290">
        <v>448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618</v>
      </c>
      <c r="K468" s="292"/>
      <c r="L468" s="292"/>
      <c r="M468" s="292">
        <v>61739</v>
      </c>
      <c r="N468" s="292"/>
      <c r="O468" s="292"/>
      <c r="P468" s="292"/>
      <c r="Q468" s="292" t="s">
        <v>40</v>
      </c>
      <c r="R468" s="292" t="s">
        <v>354</v>
      </c>
      <c r="S468" s="297" t="s">
        <v>354</v>
      </c>
      <c r="T468" s="298"/>
      <c r="U468" s="299" t="s">
        <v>188</v>
      </c>
      <c r="V468" s="299">
        <v>18181818</v>
      </c>
      <c r="W468" s="300">
        <v>0</v>
      </c>
      <c r="X468" s="301"/>
      <c r="Y468" s="292" t="s">
        <v>24</v>
      </c>
      <c r="Z468" s="302" t="s">
        <v>29</v>
      </c>
      <c r="AA468" s="317"/>
      <c r="AB468" s="317"/>
      <c r="AC468" s="303">
        <f t="shared" si="13"/>
        <v>20000000</v>
      </c>
      <c r="AD468" s="303">
        <v>20000000</v>
      </c>
      <c r="AE468" s="303">
        <f t="shared" si="14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>
        <v>20000000</v>
      </c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customHeight="1">
      <c r="A469" s="290">
        <v>449</v>
      </c>
      <c r="B469" s="291"/>
      <c r="C469" s="291"/>
      <c r="D469" s="292" t="s">
        <v>208</v>
      </c>
      <c r="E469" s="292" t="s">
        <v>1</v>
      </c>
      <c r="F469" s="293" t="s">
        <v>208</v>
      </c>
      <c r="G469" s="294" t="s">
        <v>285</v>
      </c>
      <c r="H469" s="311"/>
      <c r="I469" s="295"/>
      <c r="J469" s="296" t="s">
        <v>57</v>
      </c>
      <c r="K469" s="292"/>
      <c r="L469" s="292"/>
      <c r="M469" s="292">
        <v>3996</v>
      </c>
      <c r="N469" s="292" t="s">
        <v>38</v>
      </c>
      <c r="O469" s="292"/>
      <c r="P469" s="292"/>
      <c r="Q469" s="292" t="s">
        <v>30</v>
      </c>
      <c r="R469" s="292" t="s">
        <v>353</v>
      </c>
      <c r="S469" s="297" t="s">
        <v>353</v>
      </c>
      <c r="T469" s="298"/>
      <c r="U469" s="299">
        <v>2400000</v>
      </c>
      <c r="V469" s="299">
        <v>0</v>
      </c>
      <c r="W469" s="300">
        <v>0</v>
      </c>
      <c r="X469" s="301"/>
      <c r="Y469" s="292" t="s">
        <v>441</v>
      </c>
      <c r="Z469" s="302" t="s">
        <v>441</v>
      </c>
      <c r="AA469" s="317"/>
      <c r="AB469" s="317"/>
      <c r="AC469" s="303">
        <f t="shared" ref="AC469:AC532" si="15">AG469+AJ469+AM469+AO469+AQ469+AS469+AU469+AW469+AY469+BA469+BC469+BE469</f>
        <v>0</v>
      </c>
      <c r="AD469" s="303">
        <v>0</v>
      </c>
      <c r="AE469" s="303">
        <f t="shared" ref="AE469:AE532" si="16">AC469-AD469</f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/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customHeight="1">
      <c r="A470" s="290">
        <v>450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58</v>
      </c>
      <c r="K470" s="292"/>
      <c r="L470" s="292"/>
      <c r="M470" s="292">
        <v>18390</v>
      </c>
      <c r="N470" s="292" t="s">
        <v>21</v>
      </c>
      <c r="O470" s="292"/>
      <c r="P470" s="292"/>
      <c r="Q470" s="292"/>
      <c r="R470" s="292" t="s">
        <v>23</v>
      </c>
      <c r="S470" s="297" t="s">
        <v>23</v>
      </c>
      <c r="T470" s="298"/>
      <c r="U470" s="299"/>
      <c r="V470" s="299">
        <v>0</v>
      </c>
      <c r="W470" s="300">
        <v>0</v>
      </c>
      <c r="X470" s="301"/>
      <c r="Y470" s="292" t="s">
        <v>28</v>
      </c>
      <c r="Z470" s="302" t="s">
        <v>28</v>
      </c>
      <c r="AA470" s="317"/>
      <c r="AB470" s="317"/>
      <c r="AC470" s="303">
        <f t="shared" si="15"/>
        <v>0</v>
      </c>
      <c r="AD470" s="303">
        <v>0</v>
      </c>
      <c r="AE470" s="303">
        <f t="shared" si="16"/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customHeight="1">
      <c r="A471" s="290">
        <v>451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 t="s">
        <v>33</v>
      </c>
      <c r="R471" s="292" t="s">
        <v>34</v>
      </c>
      <c r="S471" s="297" t="s">
        <v>34</v>
      </c>
      <c r="T471" s="298"/>
      <c r="U471" s="299">
        <v>21354000</v>
      </c>
      <c r="V471" s="299">
        <v>20575500</v>
      </c>
      <c r="W471" s="300">
        <v>0</v>
      </c>
      <c r="X471" s="301"/>
      <c r="Y471" s="292" t="s">
        <v>484</v>
      </c>
      <c r="Z471" s="302" t="s">
        <v>29</v>
      </c>
      <c r="AA471" s="317"/>
      <c r="AB471" s="317"/>
      <c r="AC471" s="303">
        <f t="shared" si="15"/>
        <v>20000000</v>
      </c>
      <c r="AD471" s="303">
        <v>20000000</v>
      </c>
      <c r="AE471" s="303">
        <f t="shared" si="16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20000000</v>
      </c>
      <c r="BF471" s="306"/>
      <c r="BG471" s="308"/>
      <c r="BH471" s="309"/>
    </row>
    <row r="472" spans="1:60" s="310" customFormat="1" ht="16.5" customHeight="1">
      <c r="A472" s="290">
        <v>452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/>
      <c r="R472" s="292" t="s">
        <v>273</v>
      </c>
      <c r="S472" s="297" t="s">
        <v>683</v>
      </c>
      <c r="T472" s="298"/>
      <c r="U472" s="299"/>
      <c r="V472" s="299"/>
      <c r="W472" s="300">
        <v>0</v>
      </c>
      <c r="X472" s="301"/>
      <c r="Y472" s="292" t="s">
        <v>29</v>
      </c>
      <c r="Z472" s="302" t="s">
        <v>29</v>
      </c>
      <c r="AA472" s="317"/>
      <c r="AB472" s="317"/>
      <c r="AC472" s="303">
        <f t="shared" si="15"/>
        <v>0</v>
      </c>
      <c r="AD472" s="303">
        <v>0</v>
      </c>
      <c r="AE472" s="303">
        <f t="shared" si="16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0</v>
      </c>
      <c r="BF472" s="306"/>
      <c r="BG472" s="308"/>
      <c r="BH472" s="309"/>
    </row>
    <row r="473" spans="1:60" s="310" customFormat="1" ht="16.5" customHeight="1">
      <c r="A473" s="290">
        <v>453</v>
      </c>
      <c r="B473" s="291"/>
      <c r="C473" s="291"/>
      <c r="D473" s="292" t="s">
        <v>208</v>
      </c>
      <c r="E473" s="292" t="s">
        <v>4</v>
      </c>
      <c r="F473" s="293" t="s">
        <v>208</v>
      </c>
      <c r="G473" s="294" t="s">
        <v>285</v>
      </c>
      <c r="H473" s="311"/>
      <c r="I473" s="295"/>
      <c r="J473" s="296" t="s">
        <v>140</v>
      </c>
      <c r="K473" s="292"/>
      <c r="L473" s="292"/>
      <c r="M473" s="292">
        <v>7233</v>
      </c>
      <c r="N473" s="292"/>
      <c r="O473" s="292"/>
      <c r="P473" s="292"/>
      <c r="Q473" s="292" t="s">
        <v>46</v>
      </c>
      <c r="R473" s="292" t="s">
        <v>351</v>
      </c>
      <c r="S473" s="297" t="s">
        <v>691</v>
      </c>
      <c r="T473" s="298"/>
      <c r="U473" s="299"/>
      <c r="V473" s="299">
        <v>600000</v>
      </c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5"/>
        <v>0</v>
      </c>
      <c r="AD473" s="303">
        <v>0</v>
      </c>
      <c r="AE473" s="303">
        <f t="shared" si="16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/>
      <c r="BF473" s="306"/>
      <c r="BG473" s="308"/>
      <c r="BH473" s="309"/>
    </row>
    <row r="474" spans="1:60" s="310" customFormat="1" ht="16.5" customHeight="1">
      <c r="A474" s="290">
        <v>454</v>
      </c>
      <c r="B474" s="291"/>
      <c r="C474" s="291"/>
      <c r="D474" s="292" t="s">
        <v>208</v>
      </c>
      <c r="E474" s="292" t="s">
        <v>1</v>
      </c>
      <c r="F474" s="293" t="s">
        <v>208</v>
      </c>
      <c r="G474" s="294" t="s">
        <v>285</v>
      </c>
      <c r="H474" s="311"/>
      <c r="I474" s="295"/>
      <c r="J474" s="296" t="s">
        <v>649</v>
      </c>
      <c r="K474" s="292"/>
      <c r="L474" s="292"/>
      <c r="M474" s="292">
        <v>12311</v>
      </c>
      <c r="N474" s="292"/>
      <c r="O474" s="292"/>
      <c r="P474" s="292"/>
      <c r="Q474" s="292"/>
      <c r="R474" s="292" t="s">
        <v>353</v>
      </c>
      <c r="S474" s="297" t="s">
        <v>353</v>
      </c>
      <c r="T474" s="298"/>
      <c r="U474" s="299"/>
      <c r="V474" s="299"/>
      <c r="W474" s="300">
        <v>8100000</v>
      </c>
      <c r="X474" s="301"/>
      <c r="Y474" s="292" t="s">
        <v>31</v>
      </c>
      <c r="Z474" s="302" t="s">
        <v>28</v>
      </c>
      <c r="AA474" s="317"/>
      <c r="AB474" s="317"/>
      <c r="AC474" s="303">
        <f t="shared" si="15"/>
        <v>0</v>
      </c>
      <c r="AD474" s="303">
        <v>0</v>
      </c>
      <c r="AE474" s="303">
        <f t="shared" si="16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customHeight="1">
      <c r="A475" s="290">
        <v>455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60</v>
      </c>
      <c r="K475" s="292"/>
      <c r="L475" s="292"/>
      <c r="M475" s="292">
        <v>7359</v>
      </c>
      <c r="N475" s="292" t="s">
        <v>26</v>
      </c>
      <c r="O475" s="292"/>
      <c r="P475" s="292"/>
      <c r="Q475" s="292" t="s">
        <v>33</v>
      </c>
      <c r="R475" s="292" t="s">
        <v>34</v>
      </c>
      <c r="S475" s="297" t="s">
        <v>34</v>
      </c>
      <c r="T475" s="298"/>
      <c r="U475" s="299">
        <v>1200000</v>
      </c>
      <c r="V475" s="299">
        <v>0</v>
      </c>
      <c r="W475" s="300">
        <v>0</v>
      </c>
      <c r="X475" s="301"/>
      <c r="Y475" s="292" t="s">
        <v>107</v>
      </c>
      <c r="Z475" s="302" t="s">
        <v>28</v>
      </c>
      <c r="AA475" s="317"/>
      <c r="AB475" s="317"/>
      <c r="AC475" s="303">
        <f t="shared" si="15"/>
        <v>40000000</v>
      </c>
      <c r="AD475" s="303">
        <v>40000000</v>
      </c>
      <c r="AE475" s="303">
        <f t="shared" si="16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>
        <v>40000000</v>
      </c>
      <c r="BF475" s="306"/>
      <c r="BG475" s="308"/>
      <c r="BH475" s="309"/>
    </row>
    <row r="476" spans="1:60" s="310" customFormat="1" ht="16.5" customHeight="1">
      <c r="A476" s="290">
        <v>456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27</v>
      </c>
      <c r="R476" s="292" t="s">
        <v>273</v>
      </c>
      <c r="S476" s="297" t="s">
        <v>683</v>
      </c>
      <c r="T476" s="298"/>
      <c r="U476" s="299"/>
      <c r="V476" s="299">
        <v>36774370</v>
      </c>
      <c r="W476" s="300">
        <v>0</v>
      </c>
      <c r="X476" s="301"/>
      <c r="Y476" s="292" t="s">
        <v>29</v>
      </c>
      <c r="Z476" s="302" t="s">
        <v>107</v>
      </c>
      <c r="AA476" s="317"/>
      <c r="AB476" s="317"/>
      <c r="AC476" s="303">
        <f t="shared" si="15"/>
        <v>0</v>
      </c>
      <c r="AD476" s="303">
        <v>0</v>
      </c>
      <c r="AE476" s="303">
        <f t="shared" si="16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/>
      <c r="BF476" s="306"/>
      <c r="BG476" s="308"/>
      <c r="BH476" s="309"/>
    </row>
    <row r="477" spans="1:60" s="310" customFormat="1" ht="16.5" customHeight="1">
      <c r="A477" s="290">
        <v>457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61</v>
      </c>
      <c r="K477" s="292"/>
      <c r="L477" s="292"/>
      <c r="M477" s="292">
        <v>44056</v>
      </c>
      <c r="N477" s="292" t="s">
        <v>21</v>
      </c>
      <c r="O477" s="292"/>
      <c r="P477" s="292"/>
      <c r="Q477" s="292" t="s">
        <v>33</v>
      </c>
      <c r="R477" s="292" t="s">
        <v>34</v>
      </c>
      <c r="S477" s="297" t="s">
        <v>34</v>
      </c>
      <c r="T477" s="298"/>
      <c r="U477" s="299"/>
      <c r="V477" s="299">
        <v>1200000</v>
      </c>
      <c r="W477" s="300">
        <v>0</v>
      </c>
      <c r="X477" s="301"/>
      <c r="Y477" s="292" t="s">
        <v>484</v>
      </c>
      <c r="Z477" s="302" t="s">
        <v>29</v>
      </c>
      <c r="AA477" s="317"/>
      <c r="AB477" s="317"/>
      <c r="AC477" s="303">
        <f t="shared" si="15"/>
        <v>1000000</v>
      </c>
      <c r="AD477" s="303">
        <v>1000000</v>
      </c>
      <c r="AE477" s="303">
        <f t="shared" si="16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>
        <v>1000000</v>
      </c>
      <c r="BF477" s="306"/>
      <c r="BG477" s="308"/>
      <c r="BH477" s="309"/>
    </row>
    <row r="478" spans="1:60" s="310" customFormat="1" ht="16.5" customHeight="1">
      <c r="A478" s="290">
        <v>458</v>
      </c>
      <c r="B478" s="291"/>
      <c r="C478" s="291"/>
      <c r="D478" s="292" t="s">
        <v>208</v>
      </c>
      <c r="E478" s="292" t="s">
        <v>106</v>
      </c>
      <c r="F478" s="293" t="s">
        <v>208</v>
      </c>
      <c r="G478" s="294" t="s">
        <v>285</v>
      </c>
      <c r="H478" s="311"/>
      <c r="I478" s="295"/>
      <c r="J478" s="296" t="s">
        <v>118</v>
      </c>
      <c r="K478" s="292"/>
      <c r="L478" s="292"/>
      <c r="M478" s="292">
        <v>2800</v>
      </c>
      <c r="N478" s="292" t="s">
        <v>26</v>
      </c>
      <c r="O478" s="292"/>
      <c r="P478" s="292"/>
      <c r="Q478" s="292" t="s">
        <v>40</v>
      </c>
      <c r="R478" s="292" t="s">
        <v>354</v>
      </c>
      <c r="S478" s="297" t="s">
        <v>354</v>
      </c>
      <c r="T478" s="298"/>
      <c r="U478" s="299">
        <v>430238599</v>
      </c>
      <c r="V478" s="299">
        <v>246326606</v>
      </c>
      <c r="W478" s="300">
        <v>353984002</v>
      </c>
      <c r="X478" s="301"/>
      <c r="Y478" s="292" t="s">
        <v>31</v>
      </c>
      <c r="Z478" s="302" t="s">
        <v>31</v>
      </c>
      <c r="AA478" s="317"/>
      <c r="AB478" s="317"/>
      <c r="AC478" s="303">
        <f t="shared" si="15"/>
        <v>287410608</v>
      </c>
      <c r="AD478" s="303">
        <v>287410608</v>
      </c>
      <c r="AE478" s="303">
        <f t="shared" si="16"/>
        <v>0</v>
      </c>
      <c r="AF478" s="304">
        <v>19942316</v>
      </c>
      <c r="AG478" s="305">
        <v>19942316</v>
      </c>
      <c r="AH478" s="304"/>
      <c r="AI478" s="304">
        <v>41542030</v>
      </c>
      <c r="AJ478" s="305">
        <v>41542030</v>
      </c>
      <c r="AK478" s="304"/>
      <c r="AL478" s="306">
        <v>44513920</v>
      </c>
      <c r="AM478" s="318">
        <v>40467200</v>
      </c>
      <c r="AN478" s="306"/>
      <c r="AO478" s="307">
        <v>60459062</v>
      </c>
      <c r="AP478" s="306"/>
      <c r="AQ478" s="306">
        <v>30000000</v>
      </c>
      <c r="AR478" s="306"/>
      <c r="AS478" s="306">
        <v>20000000</v>
      </c>
      <c r="AT478" s="306"/>
      <c r="AU478" s="306">
        <v>20000000</v>
      </c>
      <c r="AV478" s="306"/>
      <c r="AW478" s="306">
        <v>15000000</v>
      </c>
      <c r="AX478" s="306"/>
      <c r="AY478" s="306">
        <v>15000000</v>
      </c>
      <c r="AZ478" s="306"/>
      <c r="BA478" s="306">
        <v>15000000</v>
      </c>
      <c r="BB478" s="306"/>
      <c r="BC478" s="306">
        <v>10000000</v>
      </c>
      <c r="BD478" s="306"/>
      <c r="BE478" s="306"/>
      <c r="BF478" s="306"/>
      <c r="BG478" s="308"/>
      <c r="BH478" s="309"/>
    </row>
    <row r="479" spans="1:60" s="310" customFormat="1" ht="16.5" customHeight="1">
      <c r="A479" s="290">
        <v>459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/>
      <c r="V479" s="299"/>
      <c r="W479" s="300">
        <v>0</v>
      </c>
      <c r="X479" s="301"/>
      <c r="Y479" s="292" t="s">
        <v>29</v>
      </c>
      <c r="Z479" s="302" t="s">
        <v>29</v>
      </c>
      <c r="AA479" s="317"/>
      <c r="AB479" s="317"/>
      <c r="AC479" s="303">
        <f t="shared" si="15"/>
        <v>80000000</v>
      </c>
      <c r="AD479" s="303">
        <v>80000000</v>
      </c>
      <c r="AE479" s="303">
        <f t="shared" si="16"/>
        <v>0</v>
      </c>
      <c r="AF479" s="304"/>
      <c r="AG479" s="305"/>
      <c r="AH479" s="304"/>
      <c r="AI479" s="304"/>
      <c r="AJ479" s="305"/>
      <c r="AK479" s="304"/>
      <c r="AL479" s="306"/>
      <c r="AM479" s="318"/>
      <c r="AN479" s="306"/>
      <c r="AO479" s="307"/>
      <c r="AP479" s="306"/>
      <c r="AQ479" s="306"/>
      <c r="AR479" s="306"/>
      <c r="AS479" s="306"/>
      <c r="AT479" s="306"/>
      <c r="AU479" s="306"/>
      <c r="AV479" s="306"/>
      <c r="AW479" s="306"/>
      <c r="AX479" s="306"/>
      <c r="AY479" s="306"/>
      <c r="AZ479" s="306"/>
      <c r="BA479" s="306"/>
      <c r="BB479" s="306"/>
      <c r="BC479" s="306">
        <v>80000000</v>
      </c>
      <c r="BD479" s="306"/>
      <c r="BE479" s="306"/>
      <c r="BF479" s="306"/>
      <c r="BG479" s="308"/>
      <c r="BH479" s="309"/>
    </row>
    <row r="480" spans="1:60" s="310" customFormat="1" ht="16.5" customHeight="1">
      <c r="A480" s="290">
        <v>460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/>
      <c r="R480" s="292" t="s">
        <v>273</v>
      </c>
      <c r="S480" s="297" t="s">
        <v>683</v>
      </c>
      <c r="T480" s="298"/>
      <c r="U480" s="299"/>
      <c r="V480" s="299" t="s">
        <v>188</v>
      </c>
      <c r="W480" s="300">
        <v>70000000</v>
      </c>
      <c r="X480" s="301"/>
      <c r="Y480" s="292" t="s">
        <v>31</v>
      </c>
      <c r="Z480" s="302" t="s">
        <v>29</v>
      </c>
      <c r="AA480" s="317"/>
      <c r="AB480" s="317"/>
      <c r="AC480" s="303">
        <f t="shared" si="15"/>
        <v>70000000</v>
      </c>
      <c r="AD480" s="303">
        <v>70000000</v>
      </c>
      <c r="AE480" s="303">
        <f t="shared" si="16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>
        <v>70000000</v>
      </c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/>
      <c r="BD480" s="306"/>
      <c r="BE480" s="306"/>
      <c r="BF480" s="306"/>
      <c r="BG480" s="308"/>
      <c r="BH480" s="309"/>
    </row>
    <row r="481" spans="1:60" s="310" customFormat="1" ht="16.5" customHeight="1">
      <c r="A481" s="290">
        <v>461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683</v>
      </c>
      <c r="T481" s="298"/>
      <c r="U481" s="299"/>
      <c r="V481" s="299" t="s">
        <v>188</v>
      </c>
      <c r="W481" s="300">
        <v>0</v>
      </c>
      <c r="X481" s="301"/>
      <c r="Y481" s="292" t="s">
        <v>29</v>
      </c>
      <c r="Z481" s="302" t="s">
        <v>29</v>
      </c>
      <c r="AA481" s="317"/>
      <c r="AB481" s="317"/>
      <c r="AC481" s="303">
        <f t="shared" si="15"/>
        <v>0</v>
      </c>
      <c r="AD481" s="303">
        <v>0</v>
      </c>
      <c r="AE481" s="303">
        <f t="shared" si="16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/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customHeight="1">
      <c r="A482" s="290">
        <v>462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119</v>
      </c>
      <c r="K482" s="292"/>
      <c r="L482" s="292"/>
      <c r="M482" s="292">
        <v>2800</v>
      </c>
      <c r="N482" s="292" t="s">
        <v>26</v>
      </c>
      <c r="O482" s="292"/>
      <c r="P482" s="292"/>
      <c r="Q482" s="292" t="s">
        <v>46</v>
      </c>
      <c r="R482" s="292" t="s">
        <v>359</v>
      </c>
      <c r="S482" s="297" t="s">
        <v>690</v>
      </c>
      <c r="T482" s="298"/>
      <c r="U482" s="299"/>
      <c r="V482" s="299">
        <v>700000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5"/>
        <v>0</v>
      </c>
      <c r="AD482" s="303">
        <v>0</v>
      </c>
      <c r="AE482" s="303">
        <f t="shared" si="16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customHeight="1">
      <c r="A483" s="290">
        <v>463</v>
      </c>
      <c r="B483" s="291"/>
      <c r="C483" s="291"/>
      <c r="D483" s="292" t="s">
        <v>184</v>
      </c>
      <c r="E483" s="292" t="s">
        <v>560</v>
      </c>
      <c r="F483" s="293" t="s">
        <v>208</v>
      </c>
      <c r="G483" s="294" t="s">
        <v>285</v>
      </c>
      <c r="H483" s="311"/>
      <c r="I483" s="295"/>
      <c r="J483" s="296" t="s">
        <v>627</v>
      </c>
      <c r="K483" s="292"/>
      <c r="L483" s="292"/>
      <c r="M483" s="292">
        <v>11557</v>
      </c>
      <c r="N483" s="292" t="s">
        <v>38</v>
      </c>
      <c r="O483" s="292" t="s">
        <v>47</v>
      </c>
      <c r="P483" s="292" t="s">
        <v>48</v>
      </c>
      <c r="Q483" s="292" t="s">
        <v>22</v>
      </c>
      <c r="R483" s="292" t="s">
        <v>23</v>
      </c>
      <c r="S483" s="297" t="s">
        <v>23</v>
      </c>
      <c r="T483" s="298"/>
      <c r="U483" s="299">
        <v>6854000</v>
      </c>
      <c r="V483" s="299">
        <v>4406000</v>
      </c>
      <c r="W483" s="300">
        <v>1152000</v>
      </c>
      <c r="X483" s="301"/>
      <c r="Y483" s="292" t="s">
        <v>31</v>
      </c>
      <c r="Z483" s="302" t="s">
        <v>28</v>
      </c>
      <c r="AA483" s="317"/>
      <c r="AB483" s="317"/>
      <c r="AC483" s="303">
        <f t="shared" si="15"/>
        <v>2000000</v>
      </c>
      <c r="AD483" s="303">
        <v>2000000</v>
      </c>
      <c r="AE483" s="303">
        <f t="shared" si="16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>
        <v>2000000</v>
      </c>
      <c r="BF483" s="306"/>
      <c r="BG483" s="308"/>
      <c r="BH483" s="309"/>
    </row>
    <row r="484" spans="1:60" s="310" customFormat="1" ht="16.5" customHeight="1">
      <c r="A484" s="290">
        <v>464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59864</v>
      </c>
      <c r="N484" s="292" t="s">
        <v>38</v>
      </c>
      <c r="O484" s="292" t="s">
        <v>47</v>
      </c>
      <c r="P484" s="292" t="s">
        <v>48</v>
      </c>
      <c r="Q484" s="292" t="s">
        <v>33</v>
      </c>
      <c r="R484" s="292" t="s">
        <v>34</v>
      </c>
      <c r="S484" s="297" t="s">
        <v>34</v>
      </c>
      <c r="T484" s="298"/>
      <c r="U484" s="299">
        <v>50184000</v>
      </c>
      <c r="V484" s="299">
        <v>19692000</v>
      </c>
      <c r="W484" s="300">
        <v>20196000</v>
      </c>
      <c r="X484" s="301"/>
      <c r="Y484" s="292" t="s">
        <v>31</v>
      </c>
      <c r="Z484" s="302" t="s">
        <v>31</v>
      </c>
      <c r="AA484" s="317"/>
      <c r="AB484" s="317"/>
      <c r="AC484" s="303">
        <f t="shared" si="15"/>
        <v>64000000</v>
      </c>
      <c r="AD484" s="303">
        <v>64000000</v>
      </c>
      <c r="AE484" s="303">
        <f t="shared" si="16"/>
        <v>0</v>
      </c>
      <c r="AF484" s="304">
        <v>64000000</v>
      </c>
      <c r="AG484" s="305">
        <v>64000000</v>
      </c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/>
      <c r="BF484" s="306"/>
      <c r="BG484" s="308"/>
      <c r="BH484" s="309"/>
    </row>
    <row r="485" spans="1:60" s="310" customFormat="1" ht="16.5" customHeight="1">
      <c r="A485" s="290">
        <v>465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41</v>
      </c>
      <c r="R485" s="292" t="s">
        <v>42</v>
      </c>
      <c r="S485" s="297" t="s">
        <v>42</v>
      </c>
      <c r="T485" s="298"/>
      <c r="U485" s="299">
        <v>570000</v>
      </c>
      <c r="V485" s="299">
        <v>0</v>
      </c>
      <c r="W485" s="300">
        <v>0</v>
      </c>
      <c r="X485" s="301"/>
      <c r="Y485" s="292" t="s">
        <v>28</v>
      </c>
      <c r="Z485" s="302" t="s">
        <v>29</v>
      </c>
      <c r="AA485" s="317"/>
      <c r="AB485" s="317"/>
      <c r="AC485" s="303">
        <f t="shared" si="15"/>
        <v>1000000</v>
      </c>
      <c r="AD485" s="303">
        <v>1000000</v>
      </c>
      <c r="AE485" s="303">
        <f t="shared" si="16"/>
        <v>0</v>
      </c>
      <c r="AF485" s="304"/>
      <c r="AG485" s="305"/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>
        <v>500000</v>
      </c>
      <c r="AR485" s="306"/>
      <c r="AS485" s="306"/>
      <c r="AT485" s="306"/>
      <c r="AU485" s="306"/>
      <c r="AV485" s="306"/>
      <c r="AW485" s="306"/>
      <c r="AX485" s="306"/>
      <c r="AY485" s="306">
        <v>500000</v>
      </c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customHeight="1">
      <c r="A486" s="290">
        <v>466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/>
      <c r="R486" s="292" t="s">
        <v>353</v>
      </c>
      <c r="S486" s="297" t="s">
        <v>353</v>
      </c>
      <c r="T486" s="298"/>
      <c r="U486" s="299"/>
      <c r="V486" s="299">
        <v>0</v>
      </c>
      <c r="W486" s="300">
        <v>0</v>
      </c>
      <c r="X486" s="301"/>
      <c r="Y486" s="292" t="s">
        <v>29</v>
      </c>
      <c r="Z486" s="302" t="s">
        <v>29</v>
      </c>
      <c r="AA486" s="317"/>
      <c r="AB486" s="317"/>
      <c r="AC486" s="303">
        <f t="shared" si="15"/>
        <v>3000000</v>
      </c>
      <c r="AD486" s="303">
        <v>3000000</v>
      </c>
      <c r="AE486" s="303">
        <f t="shared" si="16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3000000</v>
      </c>
      <c r="AR486" s="306"/>
      <c r="AS486" s="306"/>
      <c r="AT486" s="306"/>
      <c r="AU486" s="306"/>
      <c r="AV486" s="306"/>
      <c r="AW486" s="306"/>
      <c r="AX486" s="306"/>
      <c r="AY486" s="306"/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customHeight="1">
      <c r="A487" s="290">
        <v>467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352</v>
      </c>
      <c r="S487" s="297" t="s">
        <v>684</v>
      </c>
      <c r="T487" s="298"/>
      <c r="U487" s="299"/>
      <c r="V487" s="299">
        <v>0</v>
      </c>
      <c r="W487" s="300">
        <v>28000000</v>
      </c>
      <c r="X487" s="301"/>
      <c r="Y487" s="292" t="s">
        <v>31</v>
      </c>
      <c r="Z487" s="302" t="s">
        <v>28</v>
      </c>
      <c r="AA487" s="317"/>
      <c r="AB487" s="317"/>
      <c r="AC487" s="303">
        <f t="shared" si="15"/>
        <v>0</v>
      </c>
      <c r="AD487" s="303">
        <v>0</v>
      </c>
      <c r="AE487" s="303">
        <f t="shared" si="16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/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customHeight="1">
      <c r="A488" s="290">
        <v>468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772</v>
      </c>
      <c r="H488" s="311" t="s">
        <v>808</v>
      </c>
      <c r="I488" s="295"/>
      <c r="J488" s="296" t="s">
        <v>629</v>
      </c>
      <c r="K488" s="292"/>
      <c r="L488" s="292"/>
      <c r="M488" s="292">
        <v>59035</v>
      </c>
      <c r="N488" s="292"/>
      <c r="O488" s="292"/>
      <c r="P488" s="292"/>
      <c r="Q488" s="292"/>
      <c r="R488" s="292" t="s">
        <v>23</v>
      </c>
      <c r="S488" s="297" t="s">
        <v>23</v>
      </c>
      <c r="T488" s="298"/>
      <c r="U488" s="299"/>
      <c r="V488" s="299"/>
      <c r="W488" s="300">
        <v>4180000</v>
      </c>
      <c r="X488" s="301"/>
      <c r="Y488" s="292" t="s">
        <v>31</v>
      </c>
      <c r="Z488" s="302" t="s">
        <v>31</v>
      </c>
      <c r="AA488" s="317"/>
      <c r="AB488" s="317"/>
      <c r="AC488" s="303">
        <f t="shared" si="15"/>
        <v>920000</v>
      </c>
      <c r="AD488" s="303">
        <v>920000</v>
      </c>
      <c r="AE488" s="303">
        <f t="shared" si="16"/>
        <v>0</v>
      </c>
      <c r="AF488" s="304"/>
      <c r="AG488" s="305"/>
      <c r="AH488" s="304"/>
      <c r="AI488" s="304"/>
      <c r="AJ488" s="305"/>
      <c r="AK488" s="304"/>
      <c r="AL488" s="306"/>
      <c r="AM488" s="318">
        <v>920000</v>
      </c>
      <c r="AN488" s="306"/>
      <c r="AO488" s="307"/>
      <c r="AP488" s="306"/>
      <c r="AQ488" s="306"/>
      <c r="AR488" s="306"/>
      <c r="AS488" s="306">
        <v>0</v>
      </c>
      <c r="AT488" s="306"/>
      <c r="AU488" s="306"/>
      <c r="AV488" s="306"/>
      <c r="AW488" s="306"/>
      <c r="AX488" s="306"/>
      <c r="AY488" s="306">
        <v>0</v>
      </c>
      <c r="AZ488" s="306"/>
      <c r="BA488" s="306"/>
      <c r="BB488" s="306"/>
      <c r="BC488" s="306">
        <v>0</v>
      </c>
      <c r="BD488" s="306"/>
      <c r="BE488" s="306"/>
      <c r="BF488" s="306"/>
      <c r="BG488" s="308"/>
      <c r="BH488" s="309"/>
    </row>
    <row r="489" spans="1:60" s="310" customFormat="1" ht="16.5" customHeight="1">
      <c r="A489" s="290">
        <v>469</v>
      </c>
      <c r="B489" s="291"/>
      <c r="C489" s="291"/>
      <c r="D489" s="292" t="s">
        <v>184</v>
      </c>
      <c r="E489" s="292" t="s">
        <v>555</v>
      </c>
      <c r="F489" s="293" t="s">
        <v>208</v>
      </c>
      <c r="G489" s="294" t="s">
        <v>824</v>
      </c>
      <c r="H489" s="311" t="s">
        <v>808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0</v>
      </c>
      <c r="X489" s="301"/>
      <c r="Y489" s="292" t="s">
        <v>31</v>
      </c>
      <c r="Z489" s="302"/>
      <c r="AA489" s="317"/>
      <c r="AB489" s="317"/>
      <c r="AC489" s="303">
        <f t="shared" si="15"/>
        <v>0</v>
      </c>
      <c r="AD489" s="303">
        <v>0</v>
      </c>
      <c r="AE489" s="303">
        <f t="shared" si="16"/>
        <v>0</v>
      </c>
      <c r="AF489" s="304"/>
      <c r="AG489" s="305"/>
      <c r="AH489" s="304"/>
      <c r="AI489" s="304"/>
      <c r="AJ489" s="305"/>
      <c r="AK489" s="304"/>
      <c r="AL489" s="306"/>
      <c r="AM489" s="318"/>
      <c r="AN489" s="306"/>
      <c r="AO489" s="307"/>
      <c r="AP489" s="306"/>
      <c r="AQ489" s="306"/>
      <c r="AR489" s="306"/>
      <c r="AS489" s="306"/>
      <c r="AT489" s="306"/>
      <c r="AU489" s="306"/>
      <c r="AV489" s="306"/>
      <c r="AW489" s="306"/>
      <c r="AX489" s="306"/>
      <c r="AY489" s="306"/>
      <c r="AZ489" s="306"/>
      <c r="BA489" s="306"/>
      <c r="BB489" s="306"/>
      <c r="BC489" s="306"/>
      <c r="BD489" s="306"/>
      <c r="BE489" s="306"/>
      <c r="BF489" s="306"/>
      <c r="BG489" s="308"/>
      <c r="BH489" s="309"/>
    </row>
    <row r="490" spans="1:60" s="310" customFormat="1" ht="16.5" customHeight="1">
      <c r="A490" s="290">
        <v>470</v>
      </c>
      <c r="B490" s="291"/>
      <c r="C490" s="291"/>
      <c r="D490" s="292" t="s">
        <v>184</v>
      </c>
      <c r="E490" s="292" t="s">
        <v>560</v>
      </c>
      <c r="F490" s="293" t="s">
        <v>208</v>
      </c>
      <c r="G490" s="294" t="s">
        <v>285</v>
      </c>
      <c r="H490" s="311"/>
      <c r="I490" s="295"/>
      <c r="J490" s="296" t="s">
        <v>630</v>
      </c>
      <c r="K490" s="292"/>
      <c r="L490" s="292"/>
      <c r="M490" s="292">
        <v>233</v>
      </c>
      <c r="N490" s="292" t="s">
        <v>26</v>
      </c>
      <c r="O490" s="292" t="s">
        <v>47</v>
      </c>
      <c r="P490" s="292"/>
      <c r="Q490" s="292" t="s">
        <v>83</v>
      </c>
      <c r="R490" s="292" t="s">
        <v>32</v>
      </c>
      <c r="S490" s="297" t="s">
        <v>32</v>
      </c>
      <c r="T490" s="298"/>
      <c r="U490" s="299">
        <v>127403210</v>
      </c>
      <c r="V490" s="299">
        <v>109030600</v>
      </c>
      <c r="W490" s="300">
        <v>0</v>
      </c>
      <c r="X490" s="301"/>
      <c r="Y490" s="292" t="s">
        <v>441</v>
      </c>
      <c r="Z490" s="302" t="s">
        <v>29</v>
      </c>
      <c r="AA490" s="317"/>
      <c r="AB490" s="317"/>
      <c r="AC490" s="303">
        <f t="shared" si="15"/>
        <v>40000000</v>
      </c>
      <c r="AD490" s="303">
        <v>45000000</v>
      </c>
      <c r="AE490" s="303">
        <f t="shared" si="16"/>
        <v>-5000000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>
        <v>5000000</v>
      </c>
      <c r="AR490" s="306"/>
      <c r="AS490" s="306">
        <v>5000000</v>
      </c>
      <c r="AT490" s="306"/>
      <c r="AU490" s="306">
        <v>5000000</v>
      </c>
      <c r="AV490" s="306"/>
      <c r="AW490" s="306">
        <v>5000000</v>
      </c>
      <c r="AX490" s="306"/>
      <c r="AY490" s="306">
        <v>5000000</v>
      </c>
      <c r="AZ490" s="306"/>
      <c r="BA490" s="306">
        <v>5000000</v>
      </c>
      <c r="BB490" s="306"/>
      <c r="BC490" s="306">
        <v>5000000</v>
      </c>
      <c r="BD490" s="306"/>
      <c r="BE490" s="306">
        <v>5000000</v>
      </c>
      <c r="BF490" s="306"/>
      <c r="BG490" s="308"/>
      <c r="BH490" s="309"/>
    </row>
    <row r="491" spans="1:60" s="310" customFormat="1" ht="16.5" customHeight="1">
      <c r="A491" s="290">
        <v>471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33</v>
      </c>
      <c r="R491" s="292" t="s">
        <v>34</v>
      </c>
      <c r="S491" s="297" t="s">
        <v>34</v>
      </c>
      <c r="T491" s="298"/>
      <c r="U491" s="299">
        <v>11130000</v>
      </c>
      <c r="V491" s="299">
        <v>37723500</v>
      </c>
      <c r="W491" s="300">
        <v>0</v>
      </c>
      <c r="X491" s="301"/>
      <c r="Y491" s="292" t="s">
        <v>28</v>
      </c>
      <c r="Z491" s="302" t="s">
        <v>28</v>
      </c>
      <c r="AA491" s="317"/>
      <c r="AB491" s="317"/>
      <c r="AC491" s="303">
        <f t="shared" si="15"/>
        <v>20000000</v>
      </c>
      <c r="AD491" s="303">
        <v>20000000</v>
      </c>
      <c r="AE491" s="303">
        <f t="shared" si="16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/>
      <c r="AP491" s="306"/>
      <c r="AQ491" s="306"/>
      <c r="AR491" s="306"/>
      <c r="AS491" s="306"/>
      <c r="AT491" s="306"/>
      <c r="AU491" s="306"/>
      <c r="AV491" s="306"/>
      <c r="AW491" s="306"/>
      <c r="AX491" s="306"/>
      <c r="AY491" s="306"/>
      <c r="AZ491" s="306"/>
      <c r="BA491" s="306"/>
      <c r="BB491" s="306"/>
      <c r="BC491" s="306">
        <v>10000000</v>
      </c>
      <c r="BD491" s="306"/>
      <c r="BE491" s="306">
        <v>10000000</v>
      </c>
      <c r="BF491" s="306"/>
      <c r="BG491" s="308"/>
      <c r="BH491" s="309"/>
    </row>
    <row r="492" spans="1:60" s="310" customFormat="1" ht="16.5" customHeight="1">
      <c r="A492" s="290">
        <v>472</v>
      </c>
      <c r="B492" s="291"/>
      <c r="C492" s="291"/>
      <c r="D492" s="292" t="s">
        <v>184</v>
      </c>
      <c r="E492" s="292" t="s">
        <v>555</v>
      </c>
      <c r="F492" s="293" t="s">
        <v>208</v>
      </c>
      <c r="G492" s="294" t="s">
        <v>285</v>
      </c>
      <c r="H492" s="311"/>
      <c r="I492" s="295"/>
      <c r="J492" s="296" t="s">
        <v>774</v>
      </c>
      <c r="K492" s="292"/>
      <c r="L492" s="292"/>
      <c r="M492" s="292">
        <v>233</v>
      </c>
      <c r="N492" s="292"/>
      <c r="O492" s="292"/>
      <c r="P492" s="292"/>
      <c r="Q492" s="292"/>
      <c r="R492" s="292"/>
      <c r="S492" s="297" t="s">
        <v>354</v>
      </c>
      <c r="T492" s="298"/>
      <c r="U492" s="299"/>
      <c r="V492" s="299"/>
      <c r="W492" s="300">
        <v>19950000</v>
      </c>
      <c r="X492" s="301"/>
      <c r="Y492" s="292"/>
      <c r="Z492" s="302" t="s">
        <v>31</v>
      </c>
      <c r="AA492" s="317"/>
      <c r="AB492" s="317"/>
      <c r="AC492" s="303">
        <f t="shared" si="15"/>
        <v>7620000</v>
      </c>
      <c r="AD492" s="303">
        <v>7620000</v>
      </c>
      <c r="AE492" s="303">
        <f t="shared" si="16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>
        <v>7620000</v>
      </c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/>
      <c r="BD492" s="306"/>
      <c r="BE492" s="306"/>
      <c r="BF492" s="306"/>
      <c r="BG492" s="308"/>
      <c r="BH492" s="309"/>
    </row>
    <row r="493" spans="1:60" s="310" customFormat="1" ht="16.5" customHeight="1">
      <c r="A493" s="290">
        <v>473</v>
      </c>
      <c r="B493" s="291"/>
      <c r="C493" s="291"/>
      <c r="D493" s="292" t="s">
        <v>184</v>
      </c>
      <c r="E493" s="292" t="s">
        <v>560</v>
      </c>
      <c r="F493" s="293" t="s">
        <v>208</v>
      </c>
      <c r="G493" s="294" t="s">
        <v>285</v>
      </c>
      <c r="H493" s="311"/>
      <c r="I493" s="295"/>
      <c r="J493" s="296" t="s">
        <v>630</v>
      </c>
      <c r="K493" s="292"/>
      <c r="L493" s="292"/>
      <c r="M493" s="292">
        <v>233</v>
      </c>
      <c r="N493" s="292" t="s">
        <v>26</v>
      </c>
      <c r="O493" s="292" t="s">
        <v>47</v>
      </c>
      <c r="P493" s="292"/>
      <c r="Q493" s="292" t="s">
        <v>27</v>
      </c>
      <c r="R493" s="292" t="s">
        <v>273</v>
      </c>
      <c r="S493" s="297" t="s">
        <v>683</v>
      </c>
      <c r="T493" s="298"/>
      <c r="U493" s="299" t="s">
        <v>188</v>
      </c>
      <c r="V493" s="299">
        <v>12400000</v>
      </c>
      <c r="W493" s="300">
        <v>32636364</v>
      </c>
      <c r="X493" s="301"/>
      <c r="Y493" s="292" t="s">
        <v>28</v>
      </c>
      <c r="Z493" s="302" t="s">
        <v>31</v>
      </c>
      <c r="AA493" s="317"/>
      <c r="AB493" s="317"/>
      <c r="AC493" s="303">
        <f t="shared" si="15"/>
        <v>20000000</v>
      </c>
      <c r="AD493" s="303">
        <v>20000000</v>
      </c>
      <c r="AE493" s="303">
        <f t="shared" si="16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20000000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customHeight="1">
      <c r="A494" s="290">
        <v>474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83</v>
      </c>
      <c r="R494" s="292" t="s">
        <v>621</v>
      </c>
      <c r="S494" s="297" t="s">
        <v>691</v>
      </c>
      <c r="T494" s="298"/>
      <c r="U494" s="299"/>
      <c r="V494" s="299">
        <v>0</v>
      </c>
      <c r="W494" s="300">
        <v>0</v>
      </c>
      <c r="X494" s="301"/>
      <c r="Y494" s="292" t="s">
        <v>29</v>
      </c>
      <c r="Z494" s="302" t="s">
        <v>29</v>
      </c>
      <c r="AA494" s="317"/>
      <c r="AB494" s="317"/>
      <c r="AC494" s="303">
        <f t="shared" si="15"/>
        <v>3000000</v>
      </c>
      <c r="AD494" s="303">
        <v>3000000</v>
      </c>
      <c r="AE494" s="303">
        <f t="shared" si="16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/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>
        <v>3000000</v>
      </c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customHeight="1">
      <c r="A495" s="290">
        <v>475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631</v>
      </c>
      <c r="K495" s="292"/>
      <c r="L495" s="292"/>
      <c r="M495" s="292">
        <v>40123</v>
      </c>
      <c r="N495" s="292" t="s">
        <v>26</v>
      </c>
      <c r="O495" s="292" t="s">
        <v>47</v>
      </c>
      <c r="P495" s="292" t="s">
        <v>189</v>
      </c>
      <c r="Q495" s="292" t="s">
        <v>27</v>
      </c>
      <c r="R495" s="292" t="s">
        <v>273</v>
      </c>
      <c r="S495" s="297" t="s">
        <v>683</v>
      </c>
      <c r="T495" s="298"/>
      <c r="U495" s="299">
        <v>1000000</v>
      </c>
      <c r="V495" s="299">
        <v>28000000</v>
      </c>
      <c r="W495" s="300">
        <v>21181818</v>
      </c>
      <c r="X495" s="301"/>
      <c r="Y495" s="292" t="s">
        <v>31</v>
      </c>
      <c r="Z495" s="302" t="s">
        <v>31</v>
      </c>
      <c r="AA495" s="317"/>
      <c r="AB495" s="317"/>
      <c r="AC495" s="303">
        <f t="shared" si="15"/>
        <v>3000000</v>
      </c>
      <c r="AD495" s="303">
        <v>3000000</v>
      </c>
      <c r="AE495" s="303">
        <f t="shared" si="16"/>
        <v>0</v>
      </c>
      <c r="AF495" s="304"/>
      <c r="AG495" s="305"/>
      <c r="AH495" s="304"/>
      <c r="AI495" s="304"/>
      <c r="AJ495" s="305"/>
      <c r="AK495" s="304"/>
      <c r="AL495" s="306">
        <v>3000000</v>
      </c>
      <c r="AM495" s="318">
        <v>3000000</v>
      </c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/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customHeight="1">
      <c r="A496" s="290">
        <v>476</v>
      </c>
      <c r="B496" s="291"/>
      <c r="C496" s="291"/>
      <c r="D496" s="292" t="s">
        <v>208</v>
      </c>
      <c r="E496" s="292" t="s">
        <v>1</v>
      </c>
      <c r="F496" s="293" t="s">
        <v>208</v>
      </c>
      <c r="G496" s="294" t="s">
        <v>771</v>
      </c>
      <c r="H496" s="311"/>
      <c r="I496" s="295"/>
      <c r="J496" s="296" t="s">
        <v>650</v>
      </c>
      <c r="K496" s="292"/>
      <c r="L496" s="292"/>
      <c r="M496" s="292">
        <v>32283</v>
      </c>
      <c r="N496" s="292"/>
      <c r="O496" s="292"/>
      <c r="P496" s="292"/>
      <c r="Q496" s="292"/>
      <c r="R496" s="292" t="s">
        <v>32</v>
      </c>
      <c r="S496" s="297" t="s">
        <v>32</v>
      </c>
      <c r="T496" s="298"/>
      <c r="U496" s="299"/>
      <c r="V496" s="299"/>
      <c r="W496" s="300">
        <v>123764820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5"/>
        <v>114022000</v>
      </c>
      <c r="AD496" s="303">
        <v>114022000</v>
      </c>
      <c r="AE496" s="303">
        <f t="shared" si="16"/>
        <v>0</v>
      </c>
      <c r="AF496" s="304">
        <v>5861300</v>
      </c>
      <c r="AG496" s="305">
        <v>5861300</v>
      </c>
      <c r="AH496" s="304"/>
      <c r="AI496" s="304">
        <v>10000000</v>
      </c>
      <c r="AJ496" s="305">
        <v>6282920</v>
      </c>
      <c r="AK496" s="304"/>
      <c r="AL496" s="306">
        <v>6728380</v>
      </c>
      <c r="AM496" s="318">
        <v>7877780</v>
      </c>
      <c r="AN496" s="306"/>
      <c r="AO496" s="307">
        <v>10000000</v>
      </c>
      <c r="AP496" s="306"/>
      <c r="AQ496" s="306">
        <v>10000000</v>
      </c>
      <c r="AR496" s="306"/>
      <c r="AS496" s="306">
        <v>10000000</v>
      </c>
      <c r="AT496" s="306"/>
      <c r="AU496" s="306">
        <v>10000000</v>
      </c>
      <c r="AV496" s="306"/>
      <c r="AW496" s="306">
        <v>10000000</v>
      </c>
      <c r="AX496" s="306"/>
      <c r="AY496" s="306">
        <v>10000000</v>
      </c>
      <c r="AZ496" s="306"/>
      <c r="BA496" s="306">
        <v>12000000</v>
      </c>
      <c r="BB496" s="306"/>
      <c r="BC496" s="306">
        <v>12000000</v>
      </c>
      <c r="BD496" s="306"/>
      <c r="BE496" s="306">
        <v>10000000</v>
      </c>
      <c r="BF496" s="306"/>
      <c r="BG496" s="308"/>
      <c r="BH496" s="309"/>
    </row>
    <row r="497" spans="1:60" s="310" customFormat="1" ht="16.5" customHeight="1">
      <c r="A497" s="290">
        <v>477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650</v>
      </c>
      <c r="K497" s="292"/>
      <c r="L497" s="292"/>
      <c r="M497" s="292">
        <v>32283</v>
      </c>
      <c r="N497" s="292"/>
      <c r="O497" s="292"/>
      <c r="P497" s="292"/>
      <c r="Q497" s="292"/>
      <c r="R497" s="292"/>
      <c r="S497" s="297" t="s">
        <v>353</v>
      </c>
      <c r="T497" s="298"/>
      <c r="U497" s="299"/>
      <c r="V497" s="299"/>
      <c r="W497" s="300">
        <v>43251000</v>
      </c>
      <c r="X497" s="301"/>
      <c r="Y497" s="292"/>
      <c r="Z497" s="302" t="s">
        <v>578</v>
      </c>
      <c r="AA497" s="317"/>
      <c r="AB497" s="317"/>
      <c r="AC497" s="303">
        <f t="shared" si="15"/>
        <v>0</v>
      </c>
      <c r="AD497" s="303">
        <v>0</v>
      </c>
      <c r="AE497" s="303">
        <f t="shared" si="16"/>
        <v>0</v>
      </c>
      <c r="AF497" s="304"/>
      <c r="AG497" s="305"/>
      <c r="AH497" s="304"/>
      <c r="AI497" s="304"/>
      <c r="AJ497" s="305"/>
      <c r="AK497" s="304"/>
      <c r="AL497" s="306"/>
      <c r="AM497" s="318"/>
      <c r="AN497" s="306"/>
      <c r="AO497" s="307"/>
      <c r="AP497" s="306"/>
      <c r="AQ497" s="306"/>
      <c r="AR497" s="306"/>
      <c r="AS497" s="306"/>
      <c r="AT497" s="306"/>
      <c r="AU497" s="306"/>
      <c r="AV497" s="306"/>
      <c r="AW497" s="306"/>
      <c r="AX497" s="306"/>
      <c r="AY497" s="306"/>
      <c r="AZ497" s="306"/>
      <c r="BA497" s="306"/>
      <c r="BB497" s="306"/>
      <c r="BC497" s="306"/>
      <c r="BD497" s="306"/>
      <c r="BE497" s="306"/>
      <c r="BF497" s="306"/>
      <c r="BG497" s="308"/>
      <c r="BH497" s="309"/>
    </row>
    <row r="498" spans="1:60" s="310" customFormat="1" ht="16.5" customHeight="1">
      <c r="A498" s="290">
        <v>478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771</v>
      </c>
      <c r="H498" s="311"/>
      <c r="I498" s="295"/>
      <c r="J498" s="296" t="s">
        <v>65</v>
      </c>
      <c r="K498" s="292"/>
      <c r="L498" s="292"/>
      <c r="M498" s="292">
        <v>46268</v>
      </c>
      <c r="N498" s="292" t="s">
        <v>26</v>
      </c>
      <c r="O498" s="292"/>
      <c r="P498" s="292"/>
      <c r="Q498" s="292" t="s">
        <v>83</v>
      </c>
      <c r="R498" s="292" t="s">
        <v>32</v>
      </c>
      <c r="S498" s="297" t="s">
        <v>32</v>
      </c>
      <c r="T498" s="298"/>
      <c r="U498" s="299">
        <v>149440850</v>
      </c>
      <c r="V498" s="299">
        <v>171484338</v>
      </c>
      <c r="W498" s="300">
        <v>0</v>
      </c>
      <c r="X498" s="301"/>
      <c r="Y498" s="292" t="s">
        <v>31</v>
      </c>
      <c r="Z498" s="302" t="s">
        <v>24</v>
      </c>
      <c r="AA498" s="317"/>
      <c r="AB498" s="317"/>
      <c r="AC498" s="303">
        <f t="shared" si="15"/>
        <v>0</v>
      </c>
      <c r="AD498" s="303">
        <v>0</v>
      </c>
      <c r="AE498" s="303">
        <f t="shared" si="16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customHeight="1">
      <c r="A499" s="290">
        <v>479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771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30</v>
      </c>
      <c r="R499" s="292" t="s">
        <v>353</v>
      </c>
      <c r="S499" s="297" t="s">
        <v>353</v>
      </c>
      <c r="T499" s="298"/>
      <c r="U499" s="299">
        <v>51611100</v>
      </c>
      <c r="V499" s="299">
        <v>31860000</v>
      </c>
      <c r="W499" s="300">
        <v>0</v>
      </c>
      <c r="X499" s="301"/>
      <c r="Y499" s="292" t="s">
        <v>31</v>
      </c>
      <c r="Z499" s="302" t="s">
        <v>31</v>
      </c>
      <c r="AA499" s="317"/>
      <c r="AB499" s="317"/>
      <c r="AC499" s="303">
        <f t="shared" si="15"/>
        <v>1350000</v>
      </c>
      <c r="AD499" s="303">
        <v>1350000</v>
      </c>
      <c r="AE499" s="303">
        <f t="shared" si="16"/>
        <v>0</v>
      </c>
      <c r="AF499" s="304"/>
      <c r="AG499" s="305"/>
      <c r="AH499" s="304"/>
      <c r="AI499" s="304"/>
      <c r="AJ499" s="305"/>
      <c r="AK499" s="304"/>
      <c r="AL499" s="306"/>
      <c r="AM499" s="318">
        <v>1350000</v>
      </c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customHeight="1">
      <c r="A500" s="290">
        <v>480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771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/>
      <c r="V500" s="299">
        <v>0</v>
      </c>
      <c r="W500" s="300">
        <v>0</v>
      </c>
      <c r="X500" s="301"/>
      <c r="Y500" s="292" t="s">
        <v>28</v>
      </c>
      <c r="Z500" s="302" t="s">
        <v>28</v>
      </c>
      <c r="AA500" s="317"/>
      <c r="AB500" s="317"/>
      <c r="AC500" s="303">
        <f t="shared" si="15"/>
        <v>10000000</v>
      </c>
      <c r="AD500" s="303">
        <v>10000000</v>
      </c>
      <c r="AE500" s="303">
        <f t="shared" si="16"/>
        <v>0</v>
      </c>
      <c r="AF500" s="304"/>
      <c r="AG500" s="305"/>
      <c r="AH500" s="304"/>
      <c r="AI500" s="304"/>
      <c r="AJ500" s="305"/>
      <c r="AK500" s="304"/>
      <c r="AL500" s="306"/>
      <c r="AM500" s="318"/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>
        <v>10000000</v>
      </c>
      <c r="BF500" s="306"/>
      <c r="BG500" s="308"/>
      <c r="BH500" s="309"/>
    </row>
    <row r="501" spans="1:60" s="310" customFormat="1" ht="16.5" customHeight="1">
      <c r="A501" s="290">
        <v>481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66</v>
      </c>
      <c r="K501" s="292"/>
      <c r="L501" s="292"/>
      <c r="M501" s="292">
        <v>23157</v>
      </c>
      <c r="N501" s="292" t="s">
        <v>21</v>
      </c>
      <c r="O501" s="292"/>
      <c r="P501" s="292"/>
      <c r="Q501" s="292" t="s">
        <v>33</v>
      </c>
      <c r="R501" s="292" t="s">
        <v>34</v>
      </c>
      <c r="S501" s="297" t="s">
        <v>34</v>
      </c>
      <c r="T501" s="298"/>
      <c r="U501" s="299"/>
      <c r="V501" s="299">
        <v>4615000</v>
      </c>
      <c r="W501" s="300">
        <v>2905000</v>
      </c>
      <c r="X501" s="301"/>
      <c r="Y501" s="292" t="s">
        <v>31</v>
      </c>
      <c r="Z501" s="302" t="s">
        <v>441</v>
      </c>
      <c r="AA501" s="317"/>
      <c r="AB501" s="317"/>
      <c r="AC501" s="303">
        <f t="shared" si="15"/>
        <v>0</v>
      </c>
      <c r="AD501" s="303">
        <v>0</v>
      </c>
      <c r="AE501" s="303">
        <f t="shared" si="16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/>
      <c r="BF501" s="306"/>
      <c r="BG501" s="308"/>
      <c r="BH501" s="309"/>
    </row>
    <row r="502" spans="1:60" s="310" customFormat="1" ht="16.5" customHeight="1">
      <c r="A502" s="290">
        <v>482</v>
      </c>
      <c r="B502" s="291"/>
      <c r="C502" s="291"/>
      <c r="D502" s="292" t="s">
        <v>208</v>
      </c>
      <c r="E502" s="292" t="s">
        <v>106</v>
      </c>
      <c r="F502" s="293" t="s">
        <v>208</v>
      </c>
      <c r="G502" s="294" t="s">
        <v>285</v>
      </c>
      <c r="H502" s="311"/>
      <c r="I502" s="295"/>
      <c r="J502" s="296" t="s">
        <v>465</v>
      </c>
      <c r="K502" s="292"/>
      <c r="L502" s="292"/>
      <c r="M502" s="292">
        <v>545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>
        <v>4940000</v>
      </c>
      <c r="V502" s="299">
        <v>4870000</v>
      </c>
      <c r="W502" s="300">
        <v>5998000</v>
      </c>
      <c r="X502" s="301"/>
      <c r="Y502" s="292" t="s">
        <v>31</v>
      </c>
      <c r="Z502" s="302" t="s">
        <v>31</v>
      </c>
      <c r="AA502" s="317"/>
      <c r="AB502" s="317"/>
      <c r="AC502" s="303">
        <f t="shared" si="15"/>
        <v>5000000</v>
      </c>
      <c r="AD502" s="303">
        <v>5000000</v>
      </c>
      <c r="AE502" s="303">
        <f t="shared" si="16"/>
        <v>0</v>
      </c>
      <c r="AF502" s="304"/>
      <c r="AG502" s="305"/>
      <c r="AH502" s="304"/>
      <c r="AI502" s="304"/>
      <c r="AJ502" s="305"/>
      <c r="AK502" s="304"/>
      <c r="AL502" s="306"/>
      <c r="AM502" s="318">
        <v>48000</v>
      </c>
      <c r="AN502" s="306"/>
      <c r="AO502" s="307"/>
      <c r="AP502" s="306"/>
      <c r="AQ502" s="306"/>
      <c r="AR502" s="306"/>
      <c r="AS502" s="306"/>
      <c r="AT502" s="306"/>
      <c r="AU502" s="306">
        <v>4952000</v>
      </c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customHeight="1">
      <c r="A503" s="290">
        <v>483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63381</v>
      </c>
      <c r="N503" s="292" t="s">
        <v>21</v>
      </c>
      <c r="O503" s="292"/>
      <c r="P503" s="292"/>
      <c r="Q503" s="292"/>
      <c r="R503" s="292" t="s">
        <v>538</v>
      </c>
      <c r="S503" s="297" t="s">
        <v>677</v>
      </c>
      <c r="T503" s="298"/>
      <c r="U503" s="299"/>
      <c r="V503" s="299">
        <v>0</v>
      </c>
      <c r="W503" s="300">
        <v>11200000</v>
      </c>
      <c r="X503" s="301"/>
      <c r="Y503" s="292" t="s">
        <v>31</v>
      </c>
      <c r="Z503" s="302" t="s">
        <v>29</v>
      </c>
      <c r="AA503" s="317"/>
      <c r="AB503" s="317"/>
      <c r="AC503" s="303">
        <f t="shared" si="15"/>
        <v>10000000</v>
      </c>
      <c r="AD503" s="303">
        <v>10000000</v>
      </c>
      <c r="AE503" s="303">
        <f t="shared" si="16"/>
        <v>0</v>
      </c>
      <c r="AF503" s="304"/>
      <c r="AG503" s="305"/>
      <c r="AH503" s="304"/>
      <c r="AI503" s="304"/>
      <c r="AJ503" s="305"/>
      <c r="AK503" s="304"/>
      <c r="AL503" s="306"/>
      <c r="AM503" s="318"/>
      <c r="AN503" s="306"/>
      <c r="AO503" s="307"/>
      <c r="AP503" s="306"/>
      <c r="AQ503" s="306"/>
      <c r="AR503" s="306"/>
      <c r="AS503" s="306"/>
      <c r="AT503" s="306"/>
      <c r="AU503" s="306"/>
      <c r="AV503" s="306"/>
      <c r="AW503" s="306"/>
      <c r="AX503" s="306"/>
      <c r="AY503" s="306">
        <v>10000000</v>
      </c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customHeight="1">
      <c r="A504" s="290">
        <v>484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466</v>
      </c>
      <c r="K504" s="292"/>
      <c r="L504" s="292"/>
      <c r="M504" s="292">
        <v>55311</v>
      </c>
      <c r="N504" s="292" t="s">
        <v>21</v>
      </c>
      <c r="O504" s="292"/>
      <c r="P504" s="292"/>
      <c r="Q504" s="292" t="s">
        <v>73</v>
      </c>
      <c r="R504" s="292" t="s">
        <v>538</v>
      </c>
      <c r="S504" s="297" t="s">
        <v>677</v>
      </c>
      <c r="T504" s="298"/>
      <c r="U504" s="299">
        <v>8120000</v>
      </c>
      <c r="V504" s="299">
        <v>0</v>
      </c>
      <c r="W504" s="300">
        <v>0</v>
      </c>
      <c r="X504" s="301"/>
      <c r="Y504" s="292" t="s">
        <v>25</v>
      </c>
      <c r="Z504" s="302" t="s">
        <v>25</v>
      </c>
      <c r="AA504" s="317"/>
      <c r="AB504" s="317"/>
      <c r="AC504" s="303">
        <f t="shared" si="15"/>
        <v>0</v>
      </c>
      <c r="AD504" s="303">
        <v>0</v>
      </c>
      <c r="AE504" s="303">
        <f t="shared" si="16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/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customHeight="1">
      <c r="A505" s="290">
        <v>485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122</v>
      </c>
      <c r="K505" s="292"/>
      <c r="L505" s="292"/>
      <c r="M505" s="292">
        <v>57863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677</v>
      </c>
      <c r="T505" s="298"/>
      <c r="U505" s="299">
        <v>8820000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5"/>
        <v>0</v>
      </c>
      <c r="AD505" s="303">
        <v>0</v>
      </c>
      <c r="AE505" s="303">
        <f t="shared" si="16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customHeight="1">
      <c r="A506" s="290">
        <v>486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123</v>
      </c>
      <c r="K506" s="292"/>
      <c r="L506" s="292"/>
      <c r="M506" s="292">
        <v>60416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677</v>
      </c>
      <c r="T506" s="298"/>
      <c r="U506" s="299"/>
      <c r="V506" s="299">
        <v>10780000</v>
      </c>
      <c r="W506" s="300">
        <v>0</v>
      </c>
      <c r="X506" s="301"/>
      <c r="Y506" s="292" t="s">
        <v>24</v>
      </c>
      <c r="Z506" s="302" t="s">
        <v>24</v>
      </c>
      <c r="AA506" s="317"/>
      <c r="AB506" s="317"/>
      <c r="AC506" s="303">
        <f t="shared" si="15"/>
        <v>0</v>
      </c>
      <c r="AD506" s="303">
        <v>0</v>
      </c>
      <c r="AE506" s="303">
        <f t="shared" si="16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customHeight="1">
      <c r="A507" s="290">
        <v>487</v>
      </c>
      <c r="B507" s="291"/>
      <c r="C507" s="291"/>
      <c r="D507" s="292" t="s">
        <v>208</v>
      </c>
      <c r="E507" s="292" t="s">
        <v>1</v>
      </c>
      <c r="F507" s="293" t="s">
        <v>208</v>
      </c>
      <c r="G507" s="294" t="s">
        <v>285</v>
      </c>
      <c r="H507" s="311"/>
      <c r="I507" s="295"/>
      <c r="J507" s="296" t="s">
        <v>455</v>
      </c>
      <c r="K507" s="292"/>
      <c r="L507" s="292"/>
      <c r="M507" s="292">
        <v>55935</v>
      </c>
      <c r="N507" s="292" t="s">
        <v>26</v>
      </c>
      <c r="O507" s="292"/>
      <c r="P507" s="292"/>
      <c r="Q507" s="292" t="s">
        <v>83</v>
      </c>
      <c r="R507" s="292" t="s">
        <v>32</v>
      </c>
      <c r="S507" s="297" t="s">
        <v>32</v>
      </c>
      <c r="T507" s="298" t="s">
        <v>747</v>
      </c>
      <c r="U507" s="299">
        <v>124577980</v>
      </c>
      <c r="V507" s="299">
        <v>160617700</v>
      </c>
      <c r="W507" s="300">
        <v>181140300</v>
      </c>
      <c r="X507" s="301"/>
      <c r="Y507" s="292" t="s">
        <v>31</v>
      </c>
      <c r="Z507" s="302" t="s">
        <v>31</v>
      </c>
      <c r="AA507" s="317"/>
      <c r="AB507" s="317"/>
      <c r="AC507" s="303">
        <f t="shared" si="15"/>
        <v>177691300</v>
      </c>
      <c r="AD507" s="303">
        <v>177691300</v>
      </c>
      <c r="AE507" s="303">
        <f t="shared" si="16"/>
        <v>0</v>
      </c>
      <c r="AF507" s="304"/>
      <c r="AG507" s="305"/>
      <c r="AH507" s="304"/>
      <c r="AI507" s="304"/>
      <c r="AJ507" s="305"/>
      <c r="AK507" s="304"/>
      <c r="AL507" s="306">
        <v>45000000</v>
      </c>
      <c r="AM507" s="318"/>
      <c r="AN507" s="306"/>
      <c r="AO507" s="307">
        <v>42691300</v>
      </c>
      <c r="AP507" s="306"/>
      <c r="AQ507" s="306"/>
      <c r="AR507" s="306"/>
      <c r="AS507" s="306">
        <v>45000000</v>
      </c>
      <c r="AT507" s="306"/>
      <c r="AU507" s="306"/>
      <c r="AV507" s="306"/>
      <c r="AW507" s="306"/>
      <c r="AX507" s="306"/>
      <c r="AY507" s="306">
        <v>45000000</v>
      </c>
      <c r="AZ507" s="306"/>
      <c r="BA507" s="306"/>
      <c r="BB507" s="306"/>
      <c r="BC507" s="306"/>
      <c r="BD507" s="306"/>
      <c r="BE507" s="306">
        <v>45000000</v>
      </c>
      <c r="BF507" s="306"/>
      <c r="BG507" s="308"/>
      <c r="BH507" s="309"/>
    </row>
    <row r="508" spans="1:60" s="310" customFormat="1" ht="16.5" customHeight="1">
      <c r="A508" s="290">
        <v>488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/>
      <c r="R508" s="292" t="s">
        <v>34</v>
      </c>
      <c r="S508" s="297" t="s">
        <v>34</v>
      </c>
      <c r="T508" s="298"/>
      <c r="U508" s="299"/>
      <c r="V508" s="299"/>
      <c r="W508" s="300">
        <v>0</v>
      </c>
      <c r="X508" s="301"/>
      <c r="Y508" s="292" t="s">
        <v>29</v>
      </c>
      <c r="Z508" s="302" t="s">
        <v>29</v>
      </c>
      <c r="AA508" s="317"/>
      <c r="AB508" s="317"/>
      <c r="AC508" s="303">
        <f t="shared" si="15"/>
        <v>100000000</v>
      </c>
      <c r="AD508" s="303">
        <v>100000000</v>
      </c>
      <c r="AE508" s="303">
        <f t="shared" si="16"/>
        <v>0</v>
      </c>
      <c r="AF508" s="304"/>
      <c r="AG508" s="305"/>
      <c r="AH508" s="304"/>
      <c r="AI508" s="304"/>
      <c r="AJ508" s="305"/>
      <c r="AK508" s="304"/>
      <c r="AL508" s="306"/>
      <c r="AM508" s="318"/>
      <c r="AN508" s="306"/>
      <c r="AO508" s="307"/>
      <c r="AP508" s="306"/>
      <c r="AQ508" s="306"/>
      <c r="AR508" s="306"/>
      <c r="AS508" s="306"/>
      <c r="AT508" s="306"/>
      <c r="AU508" s="306"/>
      <c r="AV508" s="306"/>
      <c r="AW508" s="306"/>
      <c r="AX508" s="306"/>
      <c r="AY508" s="306"/>
      <c r="AZ508" s="306"/>
      <c r="BA508" s="306"/>
      <c r="BB508" s="306"/>
      <c r="BC508" s="306"/>
      <c r="BD508" s="306"/>
      <c r="BE508" s="306">
        <v>100000000</v>
      </c>
      <c r="BF508" s="306"/>
      <c r="BG508" s="308"/>
      <c r="BH508" s="309"/>
    </row>
    <row r="509" spans="1:60" s="310" customFormat="1" ht="16.5" customHeight="1">
      <c r="A509" s="290">
        <v>489</v>
      </c>
      <c r="B509" s="291"/>
      <c r="C509" s="291"/>
      <c r="D509" s="292" t="s">
        <v>208</v>
      </c>
      <c r="E509" s="292" t="s">
        <v>246</v>
      </c>
      <c r="F509" s="293" t="s">
        <v>208</v>
      </c>
      <c r="G509" s="294" t="s">
        <v>285</v>
      </c>
      <c r="H509" s="311"/>
      <c r="I509" s="295"/>
      <c r="J509" s="296" t="s">
        <v>336</v>
      </c>
      <c r="K509" s="292"/>
      <c r="L509" s="292"/>
      <c r="M509" s="292">
        <v>1821</v>
      </c>
      <c r="N509" s="292"/>
      <c r="O509" s="292"/>
      <c r="P509" s="292"/>
      <c r="Q509" s="292" t="s">
        <v>30</v>
      </c>
      <c r="R509" s="292" t="s">
        <v>353</v>
      </c>
      <c r="S509" s="297" t="s">
        <v>353</v>
      </c>
      <c r="T509" s="298"/>
      <c r="U509" s="299"/>
      <c r="V509" s="299">
        <v>0</v>
      </c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5"/>
        <v>20000000</v>
      </c>
      <c r="AD509" s="303">
        <v>20000000</v>
      </c>
      <c r="AE509" s="303">
        <f t="shared" si="16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>
        <v>10000000</v>
      </c>
      <c r="AR509" s="306"/>
      <c r="AS509" s="306"/>
      <c r="AT509" s="306"/>
      <c r="AU509" s="306"/>
      <c r="AV509" s="306"/>
      <c r="AW509" s="306"/>
      <c r="AX509" s="306"/>
      <c r="AY509" s="306">
        <v>10000000</v>
      </c>
      <c r="AZ509" s="306"/>
      <c r="BA509" s="306"/>
      <c r="BB509" s="306"/>
      <c r="BC509" s="306"/>
      <c r="BD509" s="306"/>
      <c r="BE509" s="306"/>
      <c r="BF509" s="306"/>
      <c r="BG509" s="308"/>
      <c r="BH509" s="309"/>
    </row>
    <row r="510" spans="1:60" s="310" customFormat="1" ht="16.5" customHeight="1">
      <c r="A510" s="290">
        <v>490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/>
      <c r="R510" s="292" t="s">
        <v>357</v>
      </c>
      <c r="S510" s="297" t="s">
        <v>680</v>
      </c>
      <c r="T510" s="298"/>
      <c r="U510" s="299"/>
      <c r="V510" s="299"/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5"/>
        <v>0</v>
      </c>
      <c r="AD510" s="303">
        <v>0</v>
      </c>
      <c r="AE510" s="303">
        <f t="shared" si="16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/>
      <c r="AR510" s="306"/>
      <c r="AS510" s="306"/>
      <c r="AT510" s="306"/>
      <c r="AU510" s="306"/>
      <c r="AV510" s="306"/>
      <c r="AW510" s="306"/>
      <c r="AX510" s="306"/>
      <c r="AY510" s="306"/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customHeight="1">
      <c r="A511" s="290">
        <v>491</v>
      </c>
      <c r="B511" s="291"/>
      <c r="C511" s="291"/>
      <c r="D511" s="292" t="s">
        <v>184</v>
      </c>
      <c r="E511" s="292" t="s">
        <v>555</v>
      </c>
      <c r="F511" s="293" t="s">
        <v>208</v>
      </c>
      <c r="G511" s="294" t="s">
        <v>285</v>
      </c>
      <c r="H511" s="311"/>
      <c r="I511" s="295"/>
      <c r="J511" s="296" t="s">
        <v>638</v>
      </c>
      <c r="K511" s="292"/>
      <c r="L511" s="292"/>
      <c r="M511" s="292">
        <v>1259</v>
      </c>
      <c r="N511" s="292"/>
      <c r="O511" s="292"/>
      <c r="P511" s="292"/>
      <c r="Q511" s="292"/>
      <c r="R511" s="292"/>
      <c r="S511" s="297" t="s">
        <v>23</v>
      </c>
      <c r="T511" s="298"/>
      <c r="U511" s="299"/>
      <c r="V511" s="299"/>
      <c r="W511" s="300">
        <v>4500000</v>
      </c>
      <c r="X511" s="301"/>
      <c r="Y511" s="292"/>
      <c r="Z511" s="302" t="s">
        <v>578</v>
      </c>
      <c r="AA511" s="317"/>
      <c r="AB511" s="317"/>
      <c r="AC511" s="303">
        <f t="shared" si="15"/>
        <v>0</v>
      </c>
      <c r="AD511" s="303">
        <v>0</v>
      </c>
      <c r="AE511" s="303">
        <f t="shared" si="16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customHeight="1">
      <c r="A512" s="290">
        <v>492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 t="s">
        <v>35</v>
      </c>
      <c r="O512" s="292"/>
      <c r="P512" s="292"/>
      <c r="Q512" s="292" t="s">
        <v>40</v>
      </c>
      <c r="R512" s="292" t="s">
        <v>354</v>
      </c>
      <c r="S512" s="297" t="s">
        <v>354</v>
      </c>
      <c r="T512" s="298"/>
      <c r="U512" s="299">
        <v>9090910</v>
      </c>
      <c r="V512" s="299">
        <v>0</v>
      </c>
      <c r="W512" s="300">
        <v>4545455</v>
      </c>
      <c r="X512" s="301"/>
      <c r="Y512" s="292" t="s">
        <v>25</v>
      </c>
      <c r="Z512" s="302" t="s">
        <v>28</v>
      </c>
      <c r="AA512" s="317"/>
      <c r="AB512" s="317"/>
      <c r="AC512" s="303">
        <f t="shared" si="15"/>
        <v>10000000</v>
      </c>
      <c r="AD512" s="303">
        <v>10000000</v>
      </c>
      <c r="AE512" s="303">
        <f t="shared" si="16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>
        <v>10000000</v>
      </c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customHeight="1">
      <c r="A513" s="290">
        <v>493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30</v>
      </c>
      <c r="R513" s="292" t="s">
        <v>353</v>
      </c>
      <c r="S513" s="297" t="s">
        <v>353</v>
      </c>
      <c r="T513" s="298"/>
      <c r="U513" s="299"/>
      <c r="V513" s="299">
        <v>5000000</v>
      </c>
      <c r="W513" s="300">
        <v>0</v>
      </c>
      <c r="X513" s="301"/>
      <c r="Y513" s="292" t="s">
        <v>24</v>
      </c>
      <c r="Z513" s="302" t="s">
        <v>28</v>
      </c>
      <c r="AA513" s="317"/>
      <c r="AB513" s="317"/>
      <c r="AC513" s="303">
        <f t="shared" si="15"/>
        <v>5000000</v>
      </c>
      <c r="AD513" s="303">
        <v>5000000</v>
      </c>
      <c r="AE513" s="303">
        <f t="shared" si="16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5000000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customHeight="1">
      <c r="A514" s="290">
        <v>494</v>
      </c>
      <c r="B514" s="291"/>
      <c r="C514" s="291"/>
      <c r="D514" s="292" t="s">
        <v>208</v>
      </c>
      <c r="E514" s="292" t="s">
        <v>106</v>
      </c>
      <c r="F514" s="293" t="s">
        <v>208</v>
      </c>
      <c r="G514" s="294" t="s">
        <v>285</v>
      </c>
      <c r="H514" s="311"/>
      <c r="I514" s="295"/>
      <c r="J514" s="296" t="s">
        <v>124</v>
      </c>
      <c r="K514" s="292"/>
      <c r="L514" s="292"/>
      <c r="M514" s="292">
        <v>4005</v>
      </c>
      <c r="N514" s="292" t="s">
        <v>44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17048000</v>
      </c>
      <c r="W514" s="300">
        <v>0</v>
      </c>
      <c r="X514" s="301"/>
      <c r="Y514" s="292" t="s">
        <v>29</v>
      </c>
      <c r="Z514" s="302" t="s">
        <v>441</v>
      </c>
      <c r="AA514" s="317"/>
      <c r="AB514" s="317"/>
      <c r="AC514" s="303">
        <f t="shared" si="15"/>
        <v>0</v>
      </c>
      <c r="AD514" s="303">
        <v>0</v>
      </c>
      <c r="AE514" s="303">
        <f t="shared" si="16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/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customHeight="1">
      <c r="A515" s="290">
        <v>495</v>
      </c>
      <c r="B515" s="291"/>
      <c r="C515" s="291"/>
      <c r="D515" s="292" t="s">
        <v>208</v>
      </c>
      <c r="E515" s="292" t="s">
        <v>5</v>
      </c>
      <c r="F515" s="293" t="s">
        <v>208</v>
      </c>
      <c r="G515" s="294" t="s">
        <v>285</v>
      </c>
      <c r="H515" s="311"/>
      <c r="I515" s="295"/>
      <c r="J515" s="296" t="s">
        <v>174</v>
      </c>
      <c r="K515" s="292"/>
      <c r="L515" s="292"/>
      <c r="M515" s="292">
        <v>13706</v>
      </c>
      <c r="N515" s="292" t="s">
        <v>35</v>
      </c>
      <c r="O515" s="292"/>
      <c r="P515" s="292"/>
      <c r="Q515" s="292" t="s">
        <v>83</v>
      </c>
      <c r="R515" s="292" t="s">
        <v>32</v>
      </c>
      <c r="S515" s="297" t="s">
        <v>32</v>
      </c>
      <c r="T515" s="298"/>
      <c r="U515" s="299">
        <v>44816000</v>
      </c>
      <c r="V515" s="299">
        <v>63117200</v>
      </c>
      <c r="W515" s="300">
        <v>57443200</v>
      </c>
      <c r="X515" s="301"/>
      <c r="Y515" s="292" t="s">
        <v>31</v>
      </c>
      <c r="Z515" s="302" t="s">
        <v>31</v>
      </c>
      <c r="AA515" s="317"/>
      <c r="AB515" s="317"/>
      <c r="AC515" s="303">
        <f t="shared" si="15"/>
        <v>3411000</v>
      </c>
      <c r="AD515" s="303">
        <v>3411000</v>
      </c>
      <c r="AE515" s="303">
        <f t="shared" si="16"/>
        <v>0</v>
      </c>
      <c r="AF515" s="304">
        <v>3411000</v>
      </c>
      <c r="AG515" s="305">
        <v>3411000</v>
      </c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customHeight="1">
      <c r="A516" s="290">
        <v>496</v>
      </c>
      <c r="B516" s="291"/>
      <c r="C516" s="291"/>
      <c r="D516" s="292" t="s">
        <v>208</v>
      </c>
      <c r="E516" s="292" t="s">
        <v>106</v>
      </c>
      <c r="F516" s="293" t="s">
        <v>208</v>
      </c>
      <c r="G516" s="294" t="s">
        <v>285</v>
      </c>
      <c r="H516" s="311"/>
      <c r="I516" s="295"/>
      <c r="J516" s="296" t="s">
        <v>125</v>
      </c>
      <c r="K516" s="292"/>
      <c r="L516" s="292"/>
      <c r="M516" s="292">
        <v>4524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156103008</v>
      </c>
      <c r="V516" s="299">
        <v>173295306.59900001</v>
      </c>
      <c r="W516" s="300">
        <v>139731700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5"/>
        <v>135502239</v>
      </c>
      <c r="AD516" s="303">
        <v>135502239</v>
      </c>
      <c r="AE516" s="303">
        <f t="shared" si="16"/>
        <v>0</v>
      </c>
      <c r="AF516" s="304"/>
      <c r="AG516" s="305"/>
      <c r="AH516" s="304"/>
      <c r="AI516" s="304">
        <v>8530913</v>
      </c>
      <c r="AJ516" s="305">
        <v>8530913</v>
      </c>
      <c r="AK516" s="304"/>
      <c r="AL516" s="306">
        <v>10000000</v>
      </c>
      <c r="AM516" s="318">
        <v>5887400</v>
      </c>
      <c r="AN516" s="306"/>
      <c r="AO516" s="307">
        <v>11083926</v>
      </c>
      <c r="AP516" s="306"/>
      <c r="AQ516" s="306">
        <v>10000000</v>
      </c>
      <c r="AR516" s="306"/>
      <c r="AS516" s="306">
        <v>10000000</v>
      </c>
      <c r="AT516" s="306"/>
      <c r="AU516" s="306">
        <v>10000000</v>
      </c>
      <c r="AV516" s="306"/>
      <c r="AW516" s="306">
        <v>10000000</v>
      </c>
      <c r="AX516" s="306"/>
      <c r="AY516" s="306">
        <v>20000000</v>
      </c>
      <c r="AZ516" s="306"/>
      <c r="BA516" s="306">
        <v>30000000</v>
      </c>
      <c r="BB516" s="306"/>
      <c r="BC516" s="306">
        <v>10000000</v>
      </c>
      <c r="BD516" s="306"/>
      <c r="BE516" s="306">
        <v>10000000</v>
      </c>
      <c r="BF516" s="306"/>
      <c r="BG516" s="308"/>
      <c r="BH516" s="309"/>
    </row>
    <row r="517" spans="1:60" s="310" customFormat="1" ht="16.5" customHeight="1">
      <c r="A517" s="290">
        <v>497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30</v>
      </c>
      <c r="R517" s="292" t="s">
        <v>361</v>
      </c>
      <c r="S517" s="297" t="s">
        <v>361</v>
      </c>
      <c r="T517" s="298"/>
      <c r="U517" s="299">
        <v>72973636</v>
      </c>
      <c r="V517" s="299">
        <v>16690000</v>
      </c>
      <c r="W517" s="300">
        <v>66153000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5"/>
        <v>35000000</v>
      </c>
      <c r="AD517" s="303">
        <v>35000000</v>
      </c>
      <c r="AE517" s="303">
        <f t="shared" si="16"/>
        <v>0</v>
      </c>
      <c r="AF517" s="304"/>
      <c r="AG517" s="305"/>
      <c r="AH517" s="304"/>
      <c r="AI517" s="304"/>
      <c r="AJ517" s="305"/>
      <c r="AK517" s="304"/>
      <c r="AL517" s="306"/>
      <c r="AM517" s="318"/>
      <c r="AN517" s="306"/>
      <c r="AO517" s="307"/>
      <c r="AP517" s="306"/>
      <c r="AQ517" s="306">
        <v>35000000</v>
      </c>
      <c r="AR517" s="306"/>
      <c r="AS517" s="306"/>
      <c r="AT517" s="306"/>
      <c r="AU517" s="306"/>
      <c r="AV517" s="306"/>
      <c r="AW517" s="306"/>
      <c r="AX517" s="306"/>
      <c r="AY517" s="306"/>
      <c r="AZ517" s="306"/>
      <c r="BA517" s="306"/>
      <c r="BB517" s="306"/>
      <c r="BC517" s="306"/>
      <c r="BD517" s="306"/>
      <c r="BE517" s="306"/>
      <c r="BF517" s="306"/>
      <c r="BG517" s="308"/>
      <c r="BH517" s="309"/>
    </row>
    <row r="518" spans="1:60" s="310" customFormat="1" ht="16.5" customHeight="1">
      <c r="A518" s="290">
        <v>498</v>
      </c>
      <c r="B518" s="291"/>
      <c r="C518" s="291"/>
      <c r="D518" s="292" t="s">
        <v>184</v>
      </c>
      <c r="E518" s="292" t="s">
        <v>555</v>
      </c>
      <c r="F518" s="293" t="s">
        <v>208</v>
      </c>
      <c r="G518" s="294" t="s">
        <v>285</v>
      </c>
      <c r="H518" s="311"/>
      <c r="I518" s="295"/>
      <c r="J518" s="296" t="s">
        <v>640</v>
      </c>
      <c r="K518" s="292"/>
      <c r="L518" s="292"/>
      <c r="M518" s="292">
        <v>27969</v>
      </c>
      <c r="N518" s="292"/>
      <c r="O518" s="292"/>
      <c r="P518" s="292"/>
      <c r="Q518" s="292"/>
      <c r="R518" s="292" t="s">
        <v>32</v>
      </c>
      <c r="S518" s="297" t="s">
        <v>32</v>
      </c>
      <c r="T518" s="298" t="s">
        <v>747</v>
      </c>
      <c r="U518" s="299"/>
      <c r="V518" s="299"/>
      <c r="W518" s="300">
        <v>25310830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5"/>
        <v>5160440</v>
      </c>
      <c r="AD518" s="303">
        <v>5160440</v>
      </c>
      <c r="AE518" s="303">
        <f t="shared" si="16"/>
        <v>0</v>
      </c>
      <c r="AF518" s="304"/>
      <c r="AG518" s="305"/>
      <c r="AH518" s="304"/>
      <c r="AI518" s="304">
        <v>1452740</v>
      </c>
      <c r="AJ518" s="305">
        <v>1452740</v>
      </c>
      <c r="AK518" s="304"/>
      <c r="AL518" s="306"/>
      <c r="AM518" s="318">
        <v>1411350</v>
      </c>
      <c r="AN518" s="306"/>
      <c r="AO518" s="307">
        <v>2296350</v>
      </c>
      <c r="AP518" s="306"/>
      <c r="AQ518" s="306"/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customHeight="1">
      <c r="A519" s="290">
        <v>499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355</v>
      </c>
      <c r="S519" s="297" t="s">
        <v>679</v>
      </c>
      <c r="T519" s="298"/>
      <c r="U519" s="299"/>
      <c r="V519" s="299">
        <v>0</v>
      </c>
      <c r="W519" s="300">
        <v>20085420</v>
      </c>
      <c r="X519" s="301"/>
      <c r="Y519" s="292" t="s">
        <v>31</v>
      </c>
      <c r="Z519" s="302" t="s">
        <v>28</v>
      </c>
      <c r="AA519" s="317"/>
      <c r="AB519" s="317"/>
      <c r="AC519" s="303">
        <f t="shared" si="15"/>
        <v>21000000</v>
      </c>
      <c r="AD519" s="303">
        <v>21000000</v>
      </c>
      <c r="AE519" s="303">
        <f t="shared" si="16"/>
        <v>0</v>
      </c>
      <c r="AF519" s="304"/>
      <c r="AG519" s="305"/>
      <c r="AH519" s="304"/>
      <c r="AI519" s="304"/>
      <c r="AJ519" s="305"/>
      <c r="AK519" s="304"/>
      <c r="AL519" s="306"/>
      <c r="AM519" s="318"/>
      <c r="AN519" s="306"/>
      <c r="AO519" s="307"/>
      <c r="AP519" s="306"/>
      <c r="AQ519" s="306">
        <v>21000000</v>
      </c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customHeight="1">
      <c r="A520" s="290">
        <v>500</v>
      </c>
      <c r="B520" s="291"/>
      <c r="C520" s="291"/>
      <c r="D520" s="292" t="s">
        <v>208</v>
      </c>
      <c r="E520" s="292" t="s">
        <v>1</v>
      </c>
      <c r="F520" s="293" t="s">
        <v>208</v>
      </c>
      <c r="G520" s="294" t="s">
        <v>285</v>
      </c>
      <c r="H520" s="311"/>
      <c r="I520" s="295"/>
      <c r="J520" s="296" t="s">
        <v>69</v>
      </c>
      <c r="K520" s="292"/>
      <c r="L520" s="292"/>
      <c r="M520" s="292">
        <v>15671</v>
      </c>
      <c r="N520" s="292" t="s">
        <v>44</v>
      </c>
      <c r="O520" s="292"/>
      <c r="P520" s="292"/>
      <c r="Q520" s="292" t="s">
        <v>83</v>
      </c>
      <c r="R520" s="292" t="s">
        <v>32</v>
      </c>
      <c r="S520" s="297" t="s">
        <v>32</v>
      </c>
      <c r="T520" s="298" t="s">
        <v>747</v>
      </c>
      <c r="U520" s="299">
        <v>13760800</v>
      </c>
      <c r="V520" s="299">
        <v>98296960</v>
      </c>
      <c r="W520" s="300">
        <v>96537500</v>
      </c>
      <c r="X520" s="301"/>
      <c r="Y520" s="292" t="s">
        <v>31</v>
      </c>
      <c r="Z520" s="302" t="s">
        <v>31</v>
      </c>
      <c r="AA520" s="317"/>
      <c r="AB520" s="317"/>
      <c r="AC520" s="303">
        <f t="shared" si="15"/>
        <v>100469700</v>
      </c>
      <c r="AD520" s="303">
        <v>100469700</v>
      </c>
      <c r="AE520" s="303">
        <f t="shared" si="16"/>
        <v>0</v>
      </c>
      <c r="AF520" s="304">
        <v>3332000</v>
      </c>
      <c r="AG520" s="305">
        <v>3332000</v>
      </c>
      <c r="AH520" s="304"/>
      <c r="AI520" s="304">
        <v>6350500</v>
      </c>
      <c r="AJ520" s="305">
        <v>6350500</v>
      </c>
      <c r="AK520" s="304"/>
      <c r="AL520" s="306">
        <v>9000000</v>
      </c>
      <c r="AM520" s="318">
        <v>10787200</v>
      </c>
      <c r="AN520" s="306"/>
      <c r="AO520" s="307">
        <v>9000000</v>
      </c>
      <c r="AP520" s="306"/>
      <c r="AQ520" s="306">
        <v>9000000</v>
      </c>
      <c r="AR520" s="306"/>
      <c r="AS520" s="306">
        <v>9000000</v>
      </c>
      <c r="AT520" s="306"/>
      <c r="AU520" s="306">
        <v>9000000</v>
      </c>
      <c r="AV520" s="306"/>
      <c r="AW520" s="306">
        <v>9000000</v>
      </c>
      <c r="AX520" s="306"/>
      <c r="AY520" s="306">
        <v>9000000</v>
      </c>
      <c r="AZ520" s="306"/>
      <c r="BA520" s="306">
        <v>9000000</v>
      </c>
      <c r="BB520" s="306"/>
      <c r="BC520" s="306">
        <v>9000000</v>
      </c>
      <c r="BD520" s="306"/>
      <c r="BE520" s="306">
        <v>8000000</v>
      </c>
      <c r="BF520" s="306"/>
      <c r="BG520" s="308"/>
      <c r="BH520" s="309"/>
    </row>
    <row r="521" spans="1:60" s="310" customFormat="1" ht="16.5" customHeight="1">
      <c r="A521" s="290">
        <v>501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30</v>
      </c>
      <c r="R521" s="292" t="s">
        <v>353</v>
      </c>
      <c r="S521" s="297" t="s">
        <v>353</v>
      </c>
      <c r="T521" s="298"/>
      <c r="U521" s="299"/>
      <c r="V521" s="299">
        <v>3700000</v>
      </c>
      <c r="W521" s="300">
        <v>0</v>
      </c>
      <c r="X521" s="301"/>
      <c r="Y521" s="292" t="s">
        <v>29</v>
      </c>
      <c r="Z521" s="302" t="s">
        <v>29</v>
      </c>
      <c r="AA521" s="317"/>
      <c r="AB521" s="317"/>
      <c r="AC521" s="303">
        <f t="shared" si="15"/>
        <v>20000000</v>
      </c>
      <c r="AD521" s="303">
        <v>20000000</v>
      </c>
      <c r="AE521" s="303">
        <f t="shared" si="16"/>
        <v>0</v>
      </c>
      <c r="AF521" s="304"/>
      <c r="AG521" s="305"/>
      <c r="AH521" s="304"/>
      <c r="AI521" s="304"/>
      <c r="AJ521" s="305"/>
      <c r="AK521" s="304"/>
      <c r="AL521" s="306"/>
      <c r="AM521" s="318"/>
      <c r="AN521" s="306"/>
      <c r="AO521" s="307"/>
      <c r="AP521" s="306"/>
      <c r="AQ521" s="306"/>
      <c r="AR521" s="306"/>
      <c r="AS521" s="306"/>
      <c r="AT521" s="306"/>
      <c r="AU521" s="306"/>
      <c r="AV521" s="306"/>
      <c r="AW521" s="306"/>
      <c r="AX521" s="306"/>
      <c r="AY521" s="306"/>
      <c r="AZ521" s="306"/>
      <c r="BA521" s="306"/>
      <c r="BB521" s="306"/>
      <c r="BC521" s="306"/>
      <c r="BD521" s="306"/>
      <c r="BE521" s="306">
        <v>20000000</v>
      </c>
      <c r="BF521" s="306"/>
      <c r="BG521" s="308"/>
      <c r="BH521" s="309"/>
    </row>
    <row r="522" spans="1:60" s="310" customFormat="1" ht="16.5" customHeight="1">
      <c r="A522" s="290">
        <v>502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71</v>
      </c>
      <c r="K522" s="292"/>
      <c r="L522" s="292"/>
      <c r="M522" s="292">
        <v>19231</v>
      </c>
      <c r="N522" s="292" t="s">
        <v>38</v>
      </c>
      <c r="O522" s="292"/>
      <c r="P522" s="292"/>
      <c r="Q522" s="292" t="s">
        <v>33</v>
      </c>
      <c r="R522" s="292" t="s">
        <v>34</v>
      </c>
      <c r="S522" s="297" t="s">
        <v>34</v>
      </c>
      <c r="T522" s="298"/>
      <c r="U522" s="299"/>
      <c r="V522" s="299">
        <v>9330000</v>
      </c>
      <c r="W522" s="300">
        <v>7120000</v>
      </c>
      <c r="X522" s="301"/>
      <c r="Y522" s="292" t="s">
        <v>31</v>
      </c>
      <c r="Z522" s="302" t="s">
        <v>31</v>
      </c>
      <c r="AA522" s="317"/>
      <c r="AB522" s="317"/>
      <c r="AC522" s="303">
        <f t="shared" si="15"/>
        <v>6890000</v>
      </c>
      <c r="AD522" s="303">
        <v>6890000</v>
      </c>
      <c r="AE522" s="303">
        <f t="shared" si="16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>
        <v>3445000</v>
      </c>
      <c r="AT522" s="306">
        <v>0</v>
      </c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3445000</v>
      </c>
      <c r="BF522" s="306"/>
      <c r="BG522" s="308"/>
      <c r="BH522" s="309"/>
    </row>
    <row r="523" spans="1:60" s="310" customFormat="1" ht="16.5" customHeight="1">
      <c r="A523" s="290">
        <v>503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30</v>
      </c>
      <c r="R523" s="292" t="s">
        <v>353</v>
      </c>
      <c r="S523" s="297" t="s">
        <v>353</v>
      </c>
      <c r="T523" s="298"/>
      <c r="U523" s="299"/>
      <c r="V523" s="299">
        <v>2300000</v>
      </c>
      <c r="W523" s="300">
        <v>16630000</v>
      </c>
      <c r="X523" s="301"/>
      <c r="Y523" s="292" t="s">
        <v>31</v>
      </c>
      <c r="Z523" s="302" t="s">
        <v>28</v>
      </c>
      <c r="AA523" s="317"/>
      <c r="AB523" s="317"/>
      <c r="AC523" s="303">
        <f t="shared" si="15"/>
        <v>10000000</v>
      </c>
      <c r="AD523" s="303">
        <v>10000000</v>
      </c>
      <c r="AE523" s="303">
        <f t="shared" si="16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/>
      <c r="AT523" s="306"/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10000000</v>
      </c>
      <c r="BF523" s="306"/>
      <c r="BG523" s="308"/>
      <c r="BH523" s="309"/>
    </row>
    <row r="524" spans="1:60" s="310" customFormat="1" ht="16.5" customHeight="1">
      <c r="A524" s="290">
        <v>504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49</v>
      </c>
      <c r="R524" s="292" t="s">
        <v>355</v>
      </c>
      <c r="S524" s="297" t="s">
        <v>679</v>
      </c>
      <c r="T524" s="298"/>
      <c r="U524" s="299"/>
      <c r="V524" s="299">
        <v>6000000</v>
      </c>
      <c r="W524" s="300">
        <v>0</v>
      </c>
      <c r="X524" s="301"/>
      <c r="Y524" s="292" t="s">
        <v>28</v>
      </c>
      <c r="Z524" s="302" t="s">
        <v>28</v>
      </c>
      <c r="AA524" s="317"/>
      <c r="AB524" s="317"/>
      <c r="AC524" s="303">
        <f t="shared" si="15"/>
        <v>0</v>
      </c>
      <c r="AD524" s="303">
        <v>0</v>
      </c>
      <c r="AE524" s="303">
        <f t="shared" si="16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0</v>
      </c>
      <c r="BF524" s="306"/>
      <c r="BG524" s="308"/>
      <c r="BH524" s="309"/>
    </row>
    <row r="525" spans="1:60" s="310" customFormat="1" ht="16.5" customHeight="1">
      <c r="A525" s="290">
        <v>505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46</v>
      </c>
      <c r="R525" s="292" t="s">
        <v>351</v>
      </c>
      <c r="S525" s="297" t="s">
        <v>691</v>
      </c>
      <c r="T525" s="298"/>
      <c r="U525" s="299"/>
      <c r="V525" s="299">
        <v>5400000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5"/>
        <v>8000000</v>
      </c>
      <c r="AD525" s="303">
        <v>8000000</v>
      </c>
      <c r="AE525" s="303">
        <f t="shared" si="16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8000000</v>
      </c>
      <c r="BF525" s="306"/>
      <c r="BG525" s="308"/>
      <c r="BH525" s="309"/>
    </row>
    <row r="526" spans="1:60" s="310" customFormat="1" ht="16.5" customHeight="1">
      <c r="A526" s="290">
        <v>506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72</v>
      </c>
      <c r="K526" s="292"/>
      <c r="L526" s="292"/>
      <c r="M526" s="292">
        <v>58169</v>
      </c>
      <c r="N526" s="292" t="s">
        <v>38</v>
      </c>
      <c r="O526" s="292"/>
      <c r="P526" s="292"/>
      <c r="Q526" s="292" t="s">
        <v>73</v>
      </c>
      <c r="R526" s="292" t="s">
        <v>538</v>
      </c>
      <c r="S526" s="297" t="s">
        <v>681</v>
      </c>
      <c r="T526" s="298"/>
      <c r="U526" s="299">
        <v>13160000</v>
      </c>
      <c r="V526" s="299">
        <v>0</v>
      </c>
      <c r="W526" s="300">
        <v>0</v>
      </c>
      <c r="X526" s="301"/>
      <c r="Y526" s="292" t="s">
        <v>25</v>
      </c>
      <c r="Z526" s="302" t="s">
        <v>25</v>
      </c>
      <c r="AA526" s="317"/>
      <c r="AB526" s="317"/>
      <c r="AC526" s="303">
        <f t="shared" si="15"/>
        <v>0</v>
      </c>
      <c r="AD526" s="303">
        <v>0</v>
      </c>
      <c r="AE526" s="303">
        <f t="shared" si="16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0</v>
      </c>
      <c r="BF526" s="306"/>
      <c r="BG526" s="308"/>
      <c r="BH526" s="309"/>
    </row>
    <row r="527" spans="1:60" s="310" customFormat="1" ht="16.5" customHeight="1">
      <c r="A527" s="290">
        <v>507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74</v>
      </c>
      <c r="K527" s="292"/>
      <c r="L527" s="292"/>
      <c r="M527" s="292">
        <v>9628</v>
      </c>
      <c r="N527" s="292" t="s">
        <v>44</v>
      </c>
      <c r="O527" s="292"/>
      <c r="P527" s="292"/>
      <c r="Q527" s="292" t="s">
        <v>22</v>
      </c>
      <c r="R527" s="292" t="s">
        <v>23</v>
      </c>
      <c r="S527" s="297" t="s">
        <v>23</v>
      </c>
      <c r="T527" s="298"/>
      <c r="U527" s="299">
        <v>11670000</v>
      </c>
      <c r="V527" s="299">
        <v>2200000</v>
      </c>
      <c r="W527" s="300">
        <v>2180000</v>
      </c>
      <c r="X527" s="301"/>
      <c r="Y527" s="292" t="s">
        <v>31</v>
      </c>
      <c r="Z527" s="302" t="s">
        <v>31</v>
      </c>
      <c r="AA527" s="317"/>
      <c r="AB527" s="317"/>
      <c r="AC527" s="303">
        <f t="shared" si="15"/>
        <v>2180000</v>
      </c>
      <c r="AD527" s="303">
        <v>2180000</v>
      </c>
      <c r="AE527" s="303">
        <f t="shared" si="16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>
        <v>2180000</v>
      </c>
      <c r="AX527" s="306"/>
      <c r="AY527" s="306"/>
      <c r="AZ527" s="306"/>
      <c r="BA527" s="306"/>
      <c r="BB527" s="306"/>
      <c r="BC527" s="306"/>
      <c r="BD527" s="306"/>
      <c r="BE527" s="306"/>
      <c r="BF527" s="306"/>
      <c r="BG527" s="308"/>
      <c r="BH527" s="309"/>
    </row>
    <row r="528" spans="1:60" s="310" customFormat="1" ht="16.5" customHeight="1">
      <c r="A528" s="290">
        <v>508</v>
      </c>
      <c r="B528" s="291"/>
      <c r="C528" s="291"/>
      <c r="D528" s="292" t="s">
        <v>208</v>
      </c>
      <c r="E528" s="292" t="s">
        <v>246</v>
      </c>
      <c r="F528" s="293" t="s">
        <v>208</v>
      </c>
      <c r="G528" s="294" t="s">
        <v>285</v>
      </c>
      <c r="H528" s="311"/>
      <c r="I528" s="295"/>
      <c r="J528" s="296" t="s">
        <v>263</v>
      </c>
      <c r="K528" s="292"/>
      <c r="L528" s="292"/>
      <c r="M528" s="292">
        <v>4333</v>
      </c>
      <c r="N528" s="292"/>
      <c r="O528" s="292"/>
      <c r="P528" s="292"/>
      <c r="Q528" s="292"/>
      <c r="R528" s="292"/>
      <c r="S528" s="297" t="s">
        <v>32</v>
      </c>
      <c r="T528" s="298"/>
      <c r="U528" s="299"/>
      <c r="V528" s="299"/>
      <c r="W528" s="300">
        <v>2402000</v>
      </c>
      <c r="X528" s="301"/>
      <c r="Y528" s="292"/>
      <c r="Z528" s="302" t="s">
        <v>31</v>
      </c>
      <c r="AA528" s="317"/>
      <c r="AB528" s="317"/>
      <c r="AC528" s="303">
        <f t="shared" si="15"/>
        <v>15722000</v>
      </c>
      <c r="AD528" s="303">
        <v>15722000</v>
      </c>
      <c r="AE528" s="303">
        <f t="shared" si="16"/>
        <v>0</v>
      </c>
      <c r="AF528" s="304"/>
      <c r="AG528" s="305"/>
      <c r="AH528" s="304"/>
      <c r="AI528" s="304">
        <v>15602000</v>
      </c>
      <c r="AJ528" s="305">
        <v>15602000</v>
      </c>
      <c r="AK528" s="304" t="s">
        <v>719</v>
      </c>
      <c r="AL528" s="306"/>
      <c r="AM528" s="318">
        <v>120000</v>
      </c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/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customHeight="1">
      <c r="A529" s="290">
        <v>509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 t="s">
        <v>26</v>
      </c>
      <c r="O529" s="292" t="s">
        <v>36</v>
      </c>
      <c r="P529" s="292"/>
      <c r="Q529" s="292" t="s">
        <v>83</v>
      </c>
      <c r="R529" s="292" t="s">
        <v>32</v>
      </c>
      <c r="S529" s="297" t="s">
        <v>23</v>
      </c>
      <c r="T529" s="298"/>
      <c r="U529" s="299">
        <v>2961140</v>
      </c>
      <c r="V529" s="299">
        <v>11967520</v>
      </c>
      <c r="W529" s="300">
        <v>0</v>
      </c>
      <c r="X529" s="301"/>
      <c r="Y529" s="292" t="s">
        <v>28</v>
      </c>
      <c r="Z529" s="302" t="s">
        <v>31</v>
      </c>
      <c r="AA529" s="317"/>
      <c r="AB529" s="317"/>
      <c r="AC529" s="303">
        <f t="shared" si="15"/>
        <v>0</v>
      </c>
      <c r="AD529" s="303">
        <v>0</v>
      </c>
      <c r="AE529" s="303">
        <f t="shared" si="16"/>
        <v>0</v>
      </c>
      <c r="AF529" s="304"/>
      <c r="AG529" s="305"/>
      <c r="AH529" s="304"/>
      <c r="AI529" s="304"/>
      <c r="AJ529" s="305"/>
      <c r="AK529" s="304"/>
      <c r="AL529" s="306"/>
      <c r="AM529" s="318"/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customHeight="1">
      <c r="A530" s="290">
        <v>510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33</v>
      </c>
      <c r="R530" s="292" t="s">
        <v>34</v>
      </c>
      <c r="S530" s="297" t="s">
        <v>34</v>
      </c>
      <c r="T530" s="298"/>
      <c r="U530" s="299">
        <v>15814500</v>
      </c>
      <c r="V530" s="299">
        <v>18708000</v>
      </c>
      <c r="W530" s="300">
        <v>32169500</v>
      </c>
      <c r="X530" s="301"/>
      <c r="Y530" s="292" t="s">
        <v>31</v>
      </c>
      <c r="Z530" s="302" t="s">
        <v>31</v>
      </c>
      <c r="AA530" s="317"/>
      <c r="AB530" s="317"/>
      <c r="AC530" s="303">
        <f t="shared" si="15"/>
        <v>20000000</v>
      </c>
      <c r="AD530" s="303">
        <v>20000000</v>
      </c>
      <c r="AE530" s="303">
        <f t="shared" si="16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>
        <v>10000000</v>
      </c>
      <c r="AT530" s="306"/>
      <c r="AU530" s="306"/>
      <c r="AV530" s="306"/>
      <c r="AW530" s="306"/>
      <c r="AX530" s="306"/>
      <c r="AY530" s="306"/>
      <c r="AZ530" s="306"/>
      <c r="BA530" s="306">
        <v>10000000</v>
      </c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customHeight="1">
      <c r="A531" s="290">
        <v>511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/>
      <c r="P531" s="292"/>
      <c r="Q531" s="292"/>
      <c r="R531" s="292" t="s">
        <v>362</v>
      </c>
      <c r="S531" s="297" t="s">
        <v>685</v>
      </c>
      <c r="T531" s="298"/>
      <c r="U531" s="299"/>
      <c r="V531" s="299"/>
      <c r="W531" s="300">
        <v>0</v>
      </c>
      <c r="X531" s="301"/>
      <c r="Y531" s="292" t="s">
        <v>29</v>
      </c>
      <c r="Z531" s="302" t="s">
        <v>29</v>
      </c>
      <c r="AA531" s="317"/>
      <c r="AB531" s="317"/>
      <c r="AC531" s="303">
        <f t="shared" si="15"/>
        <v>10000000</v>
      </c>
      <c r="AD531" s="303">
        <v>10000000</v>
      </c>
      <c r="AE531" s="303">
        <f t="shared" si="16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>
        <v>10000000</v>
      </c>
      <c r="AR531" s="306"/>
      <c r="AS531" s="306"/>
      <c r="AT531" s="306"/>
      <c r="AU531" s="306"/>
      <c r="AV531" s="306"/>
      <c r="AW531" s="306"/>
      <c r="AX531" s="306"/>
      <c r="AY531" s="306"/>
      <c r="AZ531" s="306"/>
      <c r="BA531" s="306"/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customHeight="1">
      <c r="A532" s="290">
        <v>512</v>
      </c>
      <c r="B532" s="291"/>
      <c r="C532" s="291"/>
      <c r="D532" s="292" t="s">
        <v>208</v>
      </c>
      <c r="E532" s="292" t="s">
        <v>2</v>
      </c>
      <c r="F532" s="293" t="s">
        <v>208</v>
      </c>
      <c r="G532" s="294" t="s">
        <v>285</v>
      </c>
      <c r="H532" s="311"/>
      <c r="I532" s="295"/>
      <c r="J532" s="296" t="s">
        <v>88</v>
      </c>
      <c r="K532" s="292"/>
      <c r="L532" s="292"/>
      <c r="M532" s="292">
        <v>40380</v>
      </c>
      <c r="N532" s="292" t="s">
        <v>44</v>
      </c>
      <c r="O532" s="292"/>
      <c r="P532" s="292"/>
      <c r="Q532" s="292" t="s">
        <v>83</v>
      </c>
      <c r="R532" s="292" t="s">
        <v>32</v>
      </c>
      <c r="S532" s="297" t="s">
        <v>32</v>
      </c>
      <c r="T532" s="298" t="s">
        <v>747</v>
      </c>
      <c r="U532" s="299">
        <v>45579332</v>
      </c>
      <c r="V532" s="299">
        <v>41312264</v>
      </c>
      <c r="W532" s="300">
        <v>51808880</v>
      </c>
      <c r="X532" s="301"/>
      <c r="Y532" s="292" t="s">
        <v>31</v>
      </c>
      <c r="Z532" s="302" t="s">
        <v>31</v>
      </c>
      <c r="AA532" s="317"/>
      <c r="AB532" s="317"/>
      <c r="AC532" s="303">
        <f t="shared" si="15"/>
        <v>46746420</v>
      </c>
      <c r="AD532" s="303">
        <v>46746420</v>
      </c>
      <c r="AE532" s="303">
        <f t="shared" si="16"/>
        <v>0</v>
      </c>
      <c r="AF532" s="304">
        <v>2883080</v>
      </c>
      <c r="AG532" s="305">
        <v>2883080</v>
      </c>
      <c r="AH532" s="304"/>
      <c r="AI532" s="304">
        <v>3448260</v>
      </c>
      <c r="AJ532" s="305">
        <v>3448260</v>
      </c>
      <c r="AK532" s="304"/>
      <c r="AL532" s="306">
        <v>3800000</v>
      </c>
      <c r="AM532" s="318">
        <v>5415080</v>
      </c>
      <c r="AN532" s="306"/>
      <c r="AO532" s="307">
        <v>4000000</v>
      </c>
      <c r="AP532" s="306"/>
      <c r="AQ532" s="306">
        <v>4000000</v>
      </c>
      <c r="AR532" s="306"/>
      <c r="AS532" s="306">
        <v>4000000</v>
      </c>
      <c r="AT532" s="306"/>
      <c r="AU532" s="306">
        <v>4000000</v>
      </c>
      <c r="AV532" s="306"/>
      <c r="AW532" s="306">
        <v>4000000</v>
      </c>
      <c r="AX532" s="306"/>
      <c r="AY532" s="306">
        <v>4000000</v>
      </c>
      <c r="AZ532" s="306"/>
      <c r="BA532" s="306">
        <v>4000000</v>
      </c>
      <c r="BB532" s="306"/>
      <c r="BC532" s="306">
        <v>4000000</v>
      </c>
      <c r="BD532" s="306"/>
      <c r="BE532" s="306">
        <v>3000000</v>
      </c>
      <c r="BF532" s="306"/>
      <c r="BG532" s="308"/>
      <c r="BH532" s="309"/>
    </row>
    <row r="533" spans="1:60" s="310" customFormat="1" ht="16.5" customHeight="1">
      <c r="A533" s="290">
        <v>513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/>
      <c r="U533" s="299"/>
      <c r="V533" s="299">
        <v>0</v>
      </c>
      <c r="W533" s="300">
        <v>0</v>
      </c>
      <c r="X533" s="301"/>
      <c r="Y533" s="292" t="s">
        <v>28</v>
      </c>
      <c r="Z533" s="302" t="s">
        <v>28</v>
      </c>
      <c r="AA533" s="317"/>
      <c r="AB533" s="317"/>
      <c r="AC533" s="303">
        <f t="shared" ref="AC533:AC596" si="17">AG533+AJ533+AM533+AO533+AQ533+AS533+AU533+AW533+AY533+BA533+BC533+BE533</f>
        <v>1000000</v>
      </c>
      <c r="AD533" s="303">
        <v>1000000</v>
      </c>
      <c r="AE533" s="303">
        <f t="shared" ref="AE533:AE596" si="18">AC533-AD533</f>
        <v>0</v>
      </c>
      <c r="AF533" s="304"/>
      <c r="AG533" s="305"/>
      <c r="AH533" s="304"/>
      <c r="AI533" s="304"/>
      <c r="AJ533" s="305"/>
      <c r="AK533" s="304"/>
      <c r="AL533" s="306"/>
      <c r="AM533" s="318"/>
      <c r="AN533" s="306"/>
      <c r="AO533" s="307"/>
      <c r="AP533" s="306"/>
      <c r="AQ533" s="306"/>
      <c r="AR533" s="306"/>
      <c r="AS533" s="306">
        <v>1000000</v>
      </c>
      <c r="AT533" s="306"/>
      <c r="AU533" s="306"/>
      <c r="AV533" s="306"/>
      <c r="AW533" s="306"/>
      <c r="AX533" s="306"/>
      <c r="AY533" s="306"/>
      <c r="AZ533" s="306"/>
      <c r="BA533" s="306"/>
      <c r="BB533" s="306"/>
      <c r="BC533" s="306"/>
      <c r="BD533" s="306"/>
      <c r="BE533" s="306"/>
      <c r="BF533" s="306"/>
      <c r="BG533" s="308"/>
      <c r="BH533" s="309"/>
    </row>
    <row r="534" spans="1:60" s="310" customFormat="1" ht="16.5" customHeight="1">
      <c r="A534" s="290">
        <v>514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30</v>
      </c>
      <c r="R534" s="292" t="s">
        <v>353</v>
      </c>
      <c r="S534" s="297" t="s">
        <v>353</v>
      </c>
      <c r="T534" s="298"/>
      <c r="U534" s="299"/>
      <c r="V534" s="299">
        <v>0</v>
      </c>
      <c r="W534" s="300">
        <v>0</v>
      </c>
      <c r="X534" s="301"/>
      <c r="Y534" s="292" t="s">
        <v>29</v>
      </c>
      <c r="Z534" s="302" t="s">
        <v>29</v>
      </c>
      <c r="AA534" s="317"/>
      <c r="AB534" s="317"/>
      <c r="AC534" s="303">
        <f t="shared" si="17"/>
        <v>20000000</v>
      </c>
      <c r="AD534" s="303">
        <v>20000000</v>
      </c>
      <c r="AE534" s="303">
        <f t="shared" si="18"/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/>
      <c r="AT534" s="306"/>
      <c r="AU534" s="306"/>
      <c r="AV534" s="306"/>
      <c r="AW534" s="306">
        <v>20000000</v>
      </c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customHeight="1">
      <c r="A535" s="290">
        <v>515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27</v>
      </c>
      <c r="R535" s="292" t="s">
        <v>273</v>
      </c>
      <c r="S535" s="297" t="s">
        <v>683</v>
      </c>
      <c r="T535" s="298"/>
      <c r="U535" s="299">
        <v>5500000</v>
      </c>
      <c r="V535" s="299">
        <v>0</v>
      </c>
      <c r="W535" s="300">
        <v>8000000</v>
      </c>
      <c r="X535" s="301"/>
      <c r="Y535" s="292" t="s">
        <v>31</v>
      </c>
      <c r="Z535" s="302" t="s">
        <v>28</v>
      </c>
      <c r="AA535" s="317"/>
      <c r="AB535" s="317"/>
      <c r="AC535" s="303">
        <f t="shared" si="17"/>
        <v>5000000</v>
      </c>
      <c r="AD535" s="303">
        <v>5000000</v>
      </c>
      <c r="AE535" s="303">
        <f t="shared" si="18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>
        <v>5000000</v>
      </c>
      <c r="AV535" s="306"/>
      <c r="AW535" s="306"/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customHeight="1">
      <c r="A536" s="290">
        <v>516</v>
      </c>
      <c r="B536" s="291"/>
      <c r="C536" s="291"/>
      <c r="D536" s="292"/>
      <c r="E536" s="292"/>
      <c r="F536" s="293" t="s">
        <v>208</v>
      </c>
      <c r="G536" s="294" t="s">
        <v>285</v>
      </c>
      <c r="H536" s="311"/>
      <c r="I536" s="295"/>
      <c r="J536" s="296" t="s">
        <v>711</v>
      </c>
      <c r="K536" s="292"/>
      <c r="L536" s="292"/>
      <c r="M536" s="292">
        <v>20949</v>
      </c>
      <c r="N536" s="292"/>
      <c r="O536" s="292"/>
      <c r="P536" s="292"/>
      <c r="Q536" s="292"/>
      <c r="R536" s="292"/>
      <c r="S536" s="297" t="s">
        <v>353</v>
      </c>
      <c r="T536" s="298"/>
      <c r="U536" s="299"/>
      <c r="V536" s="299"/>
      <c r="W536" s="300">
        <v>100700000</v>
      </c>
      <c r="X536" s="301"/>
      <c r="Y536" s="292"/>
      <c r="Z536" s="302" t="s">
        <v>578</v>
      </c>
      <c r="AA536" s="317"/>
      <c r="AB536" s="317"/>
      <c r="AC536" s="303">
        <f t="shared" si="17"/>
        <v>0</v>
      </c>
      <c r="AD536" s="303">
        <v>0</v>
      </c>
      <c r="AE536" s="303">
        <f t="shared" si="18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/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customHeight="1">
      <c r="A537" s="290">
        <v>517</v>
      </c>
      <c r="B537" s="291"/>
      <c r="C537" s="291"/>
      <c r="D537" s="292" t="s">
        <v>208</v>
      </c>
      <c r="E537" s="292" t="s">
        <v>5</v>
      </c>
      <c r="F537" s="293" t="s">
        <v>208</v>
      </c>
      <c r="G537" s="294" t="s">
        <v>285</v>
      </c>
      <c r="H537" s="311"/>
      <c r="I537" s="295"/>
      <c r="J537" s="296" t="s">
        <v>177</v>
      </c>
      <c r="K537" s="292"/>
      <c r="L537" s="292"/>
      <c r="M537" s="292">
        <v>43143</v>
      </c>
      <c r="N537" s="292" t="s">
        <v>38</v>
      </c>
      <c r="O537" s="292"/>
      <c r="P537" s="292"/>
      <c r="Q537" s="292" t="s">
        <v>83</v>
      </c>
      <c r="R537" s="292" t="s">
        <v>32</v>
      </c>
      <c r="S537" s="297" t="s">
        <v>32</v>
      </c>
      <c r="T537" s="298"/>
      <c r="U537" s="299">
        <v>76175412</v>
      </c>
      <c r="V537" s="299">
        <v>64064000</v>
      </c>
      <c r="W537" s="300">
        <v>66684800</v>
      </c>
      <c r="X537" s="301"/>
      <c r="Y537" s="292" t="s">
        <v>31</v>
      </c>
      <c r="Z537" s="302" t="s">
        <v>31</v>
      </c>
      <c r="AA537" s="317"/>
      <c r="AB537" s="317"/>
      <c r="AC537" s="303">
        <f t="shared" si="17"/>
        <v>64000000</v>
      </c>
      <c r="AD537" s="303">
        <v>64000000</v>
      </c>
      <c r="AE537" s="303">
        <f t="shared" si="18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>
        <v>32000000</v>
      </c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>
        <v>32000000</v>
      </c>
      <c r="BF537" s="306"/>
      <c r="BG537" s="308"/>
      <c r="BH537" s="309"/>
    </row>
    <row r="538" spans="1:60" s="310" customFormat="1" ht="16.5" customHeight="1">
      <c r="A538" s="290">
        <v>518</v>
      </c>
      <c r="B538" s="291"/>
      <c r="C538" s="291"/>
      <c r="D538" s="292" t="s">
        <v>208</v>
      </c>
      <c r="E538" s="292" t="s">
        <v>2</v>
      </c>
      <c r="F538" s="293" t="s">
        <v>208</v>
      </c>
      <c r="G538" s="294" t="s">
        <v>285</v>
      </c>
      <c r="H538" s="311"/>
      <c r="I538" s="295"/>
      <c r="J538" s="296" t="s">
        <v>91</v>
      </c>
      <c r="K538" s="292"/>
      <c r="L538" s="292"/>
      <c r="M538" s="292">
        <v>4348</v>
      </c>
      <c r="N538" s="292" t="s">
        <v>35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190000000</v>
      </c>
      <c r="V538" s="299">
        <v>195000000</v>
      </c>
      <c r="W538" s="300">
        <v>185181819</v>
      </c>
      <c r="X538" s="301"/>
      <c r="Y538" s="292" t="s">
        <v>31</v>
      </c>
      <c r="Z538" s="302" t="s">
        <v>28</v>
      </c>
      <c r="AA538" s="317"/>
      <c r="AB538" s="317"/>
      <c r="AC538" s="303">
        <f t="shared" si="17"/>
        <v>180000000</v>
      </c>
      <c r="AD538" s="303">
        <v>180000000</v>
      </c>
      <c r="AE538" s="303">
        <f t="shared" si="18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>
        <v>180000000</v>
      </c>
      <c r="AR538" s="306"/>
      <c r="AS538" s="306"/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/>
      <c r="BF538" s="306"/>
      <c r="BG538" s="308"/>
      <c r="BH538" s="309"/>
    </row>
    <row r="539" spans="1:60" s="310" customFormat="1" ht="16.5" customHeight="1">
      <c r="A539" s="290">
        <v>519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22</v>
      </c>
      <c r="R539" s="292" t="s">
        <v>23</v>
      </c>
      <c r="S539" s="297" t="s">
        <v>23</v>
      </c>
      <c r="T539" s="298"/>
      <c r="U539" s="299"/>
      <c r="V539" s="299">
        <v>13193455</v>
      </c>
      <c r="W539" s="300">
        <v>0</v>
      </c>
      <c r="X539" s="301"/>
      <c r="Y539" s="292" t="s">
        <v>24</v>
      </c>
      <c r="Z539" s="302" t="s">
        <v>24</v>
      </c>
      <c r="AA539" s="317"/>
      <c r="AB539" s="317"/>
      <c r="AC539" s="303">
        <f t="shared" si="17"/>
        <v>0</v>
      </c>
      <c r="AD539" s="303">
        <v>0</v>
      </c>
      <c r="AE539" s="303">
        <f t="shared" si="18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/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customHeight="1">
      <c r="A540" s="290">
        <v>520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30</v>
      </c>
      <c r="R540" s="292" t="s">
        <v>361</v>
      </c>
      <c r="S540" s="297" t="s">
        <v>361</v>
      </c>
      <c r="T540" s="298"/>
      <c r="U540" s="299"/>
      <c r="V540" s="299">
        <v>3010000</v>
      </c>
      <c r="W540" s="300">
        <v>0</v>
      </c>
      <c r="X540" s="301"/>
      <c r="Y540" s="292" t="s">
        <v>24</v>
      </c>
      <c r="Z540" s="302" t="s">
        <v>29</v>
      </c>
      <c r="AA540" s="317"/>
      <c r="AB540" s="317"/>
      <c r="AC540" s="303">
        <f t="shared" si="17"/>
        <v>10000000</v>
      </c>
      <c r="AD540" s="303">
        <v>10000000</v>
      </c>
      <c r="AE540" s="303">
        <f t="shared" si="18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>
        <v>10000000</v>
      </c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customHeight="1">
      <c r="A541" s="290">
        <v>521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487</v>
      </c>
      <c r="K541" s="292"/>
      <c r="L541" s="292"/>
      <c r="M541" s="292">
        <v>62562</v>
      </c>
      <c r="N541" s="292" t="s">
        <v>35</v>
      </c>
      <c r="O541" s="292"/>
      <c r="P541" s="292"/>
      <c r="Q541" s="292"/>
      <c r="R541" s="292" t="s">
        <v>354</v>
      </c>
      <c r="S541" s="297" t="s">
        <v>354</v>
      </c>
      <c r="T541" s="298"/>
      <c r="U541" s="299"/>
      <c r="V541" s="299">
        <v>0</v>
      </c>
      <c r="W541" s="300">
        <v>63090909</v>
      </c>
      <c r="X541" s="301"/>
      <c r="Y541" s="292" t="s">
        <v>31</v>
      </c>
      <c r="Z541" s="302" t="s">
        <v>31</v>
      </c>
      <c r="AA541" s="317"/>
      <c r="AB541" s="317"/>
      <c r="AC541" s="303">
        <f t="shared" si="17"/>
        <v>0</v>
      </c>
      <c r="AD541" s="303">
        <v>0</v>
      </c>
      <c r="AE541" s="303">
        <f t="shared" si="18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/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customHeight="1">
      <c r="A542" s="290">
        <v>522</v>
      </c>
      <c r="B542" s="291"/>
      <c r="C542" s="291"/>
      <c r="D542" s="292" t="s">
        <v>208</v>
      </c>
      <c r="E542" s="292" t="s">
        <v>1</v>
      </c>
      <c r="F542" s="293" t="s">
        <v>208</v>
      </c>
      <c r="G542" s="294" t="s">
        <v>285</v>
      </c>
      <c r="H542" s="311"/>
      <c r="I542" s="295"/>
      <c r="J542" s="296" t="s">
        <v>775</v>
      </c>
      <c r="K542" s="292"/>
      <c r="L542" s="292"/>
      <c r="M542" s="292">
        <v>4767</v>
      </c>
      <c r="N542" s="292" t="s">
        <v>26</v>
      </c>
      <c r="O542" s="292"/>
      <c r="P542" s="292"/>
      <c r="Q542" s="292"/>
      <c r="R542" s="292" t="s">
        <v>353</v>
      </c>
      <c r="S542" s="297" t="s">
        <v>353</v>
      </c>
      <c r="T542" s="298"/>
      <c r="U542" s="299"/>
      <c r="V542" s="299"/>
      <c r="W542" s="300">
        <v>45024000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7"/>
        <v>27000000</v>
      </c>
      <c r="AD542" s="303">
        <v>27000000</v>
      </c>
      <c r="AE542" s="303">
        <f t="shared" si="18"/>
        <v>0</v>
      </c>
      <c r="AF542" s="304">
        <v>2000000</v>
      </c>
      <c r="AG542" s="305">
        <v>2000000</v>
      </c>
      <c r="AH542" s="304"/>
      <c r="AI542" s="304"/>
      <c r="AJ542" s="305"/>
      <c r="AK542" s="304"/>
      <c r="AL542" s="306"/>
      <c r="AM542" s="318">
        <v>2250000</v>
      </c>
      <c r="AN542" s="306"/>
      <c r="AO542" s="307"/>
      <c r="AP542" s="306"/>
      <c r="AQ542" s="306"/>
      <c r="AR542" s="306"/>
      <c r="AS542" s="306">
        <v>18000000</v>
      </c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>
        <v>4750000</v>
      </c>
      <c r="BF542" s="306"/>
      <c r="BG542" s="308"/>
      <c r="BH542" s="309"/>
    </row>
    <row r="543" spans="1:60" s="310" customFormat="1" ht="16.5" customHeight="1">
      <c r="A543" s="290">
        <v>523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506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0</v>
      </c>
      <c r="X543" s="301"/>
      <c r="Y543" s="292" t="s">
        <v>28</v>
      </c>
      <c r="Z543" s="302" t="s">
        <v>28</v>
      </c>
      <c r="AA543" s="317"/>
      <c r="AB543" s="317"/>
      <c r="AC543" s="303">
        <f t="shared" si="17"/>
        <v>23000000</v>
      </c>
      <c r="AD543" s="303">
        <v>23000000</v>
      </c>
      <c r="AE543" s="303">
        <f t="shared" si="18"/>
        <v>0</v>
      </c>
      <c r="AF543" s="304"/>
      <c r="AG543" s="305"/>
      <c r="AH543" s="304"/>
      <c r="AI543" s="304"/>
      <c r="AJ543" s="305"/>
      <c r="AK543" s="304"/>
      <c r="AL543" s="306"/>
      <c r="AM543" s="318"/>
      <c r="AN543" s="306"/>
      <c r="AO543" s="307"/>
      <c r="AP543" s="306"/>
      <c r="AQ543" s="306"/>
      <c r="AR543" s="306"/>
      <c r="AS543" s="306"/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23000000</v>
      </c>
      <c r="BF543" s="306"/>
      <c r="BG543" s="308"/>
      <c r="BH543" s="309"/>
    </row>
    <row r="544" spans="1:60" s="310" customFormat="1" ht="16.5" customHeight="1">
      <c r="A544" s="290">
        <v>524</v>
      </c>
      <c r="B544" s="291"/>
      <c r="C544" s="291"/>
      <c r="D544" s="292" t="s">
        <v>208</v>
      </c>
      <c r="E544" s="292" t="s">
        <v>4</v>
      </c>
      <c r="F544" s="293" t="s">
        <v>208</v>
      </c>
      <c r="G544" s="294" t="s">
        <v>285</v>
      </c>
      <c r="H544" s="311"/>
      <c r="I544" s="295"/>
      <c r="J544" s="296" t="s">
        <v>152</v>
      </c>
      <c r="K544" s="292"/>
      <c r="L544" s="292"/>
      <c r="M544" s="292">
        <v>2258</v>
      </c>
      <c r="N544" s="292" t="s">
        <v>35</v>
      </c>
      <c r="O544" s="292"/>
      <c r="P544" s="292"/>
      <c r="Q544" s="292" t="s">
        <v>83</v>
      </c>
      <c r="R544" s="292" t="s">
        <v>32</v>
      </c>
      <c r="S544" s="297" t="s">
        <v>32</v>
      </c>
      <c r="T544" s="298"/>
      <c r="U544" s="299">
        <v>20000000</v>
      </c>
      <c r="V544" s="299">
        <v>22000000</v>
      </c>
      <c r="W544" s="300">
        <v>20000000</v>
      </c>
      <c r="X544" s="301"/>
      <c r="Y544" s="292" t="s">
        <v>31</v>
      </c>
      <c r="Z544" s="302" t="s">
        <v>107</v>
      </c>
      <c r="AA544" s="317"/>
      <c r="AB544" s="317"/>
      <c r="AC544" s="303">
        <f t="shared" si="17"/>
        <v>0</v>
      </c>
      <c r="AD544" s="303">
        <v>0</v>
      </c>
      <c r="AE544" s="303">
        <f t="shared" si="18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/>
      <c r="BF544" s="306"/>
      <c r="BG544" s="308"/>
      <c r="BH544" s="309"/>
    </row>
    <row r="545" spans="1:60" s="310" customFormat="1" ht="16.5" customHeight="1">
      <c r="A545" s="290">
        <v>525</v>
      </c>
      <c r="B545" s="291"/>
      <c r="C545" s="291"/>
      <c r="D545" s="292" t="s">
        <v>208</v>
      </c>
      <c r="E545" s="292" t="s">
        <v>5</v>
      </c>
      <c r="F545" s="293" t="s">
        <v>208</v>
      </c>
      <c r="G545" s="294" t="s">
        <v>285</v>
      </c>
      <c r="H545" s="311"/>
      <c r="I545" s="295"/>
      <c r="J545" s="296" t="s">
        <v>670</v>
      </c>
      <c r="K545" s="292"/>
      <c r="L545" s="292"/>
      <c r="M545" s="292">
        <v>10262</v>
      </c>
      <c r="N545" s="292" t="s">
        <v>21</v>
      </c>
      <c r="O545" s="292"/>
      <c r="P545" s="292"/>
      <c r="Q545" s="292" t="s">
        <v>22</v>
      </c>
      <c r="R545" s="292" t="s">
        <v>23</v>
      </c>
      <c r="S545" s="297" t="s">
        <v>23</v>
      </c>
      <c r="T545" s="298"/>
      <c r="U545" s="299">
        <v>6875000</v>
      </c>
      <c r="V545" s="299">
        <v>7500000</v>
      </c>
      <c r="W545" s="300">
        <v>0</v>
      </c>
      <c r="X545" s="301"/>
      <c r="Y545" s="292" t="s">
        <v>28</v>
      </c>
      <c r="Z545" s="302" t="s">
        <v>29</v>
      </c>
      <c r="AA545" s="317"/>
      <c r="AB545" s="317"/>
      <c r="AC545" s="303">
        <f t="shared" si="17"/>
        <v>6000000</v>
      </c>
      <c r="AD545" s="303">
        <v>6000000</v>
      </c>
      <c r="AE545" s="303">
        <f t="shared" si="18"/>
        <v>0</v>
      </c>
      <c r="AF545" s="304">
        <v>0</v>
      </c>
      <c r="AG545" s="305"/>
      <c r="AH545" s="304"/>
      <c r="AI545" s="304">
        <v>0</v>
      </c>
      <c r="AJ545" s="305"/>
      <c r="AK545" s="304"/>
      <c r="AL545" s="306"/>
      <c r="AM545" s="318"/>
      <c r="AN545" s="306"/>
      <c r="AO545" s="307"/>
      <c r="AP545" s="306"/>
      <c r="AQ545" s="306">
        <v>3000000</v>
      </c>
      <c r="AR545" s="306"/>
      <c r="AS545" s="306">
        <v>0</v>
      </c>
      <c r="AT545" s="306"/>
      <c r="AU545" s="306">
        <v>0</v>
      </c>
      <c r="AV545" s="306"/>
      <c r="AW545" s="306">
        <v>3000000</v>
      </c>
      <c r="AX545" s="306"/>
      <c r="AY545" s="306">
        <v>0</v>
      </c>
      <c r="AZ545" s="306"/>
      <c r="BA545" s="306">
        <v>0</v>
      </c>
      <c r="BB545" s="306"/>
      <c r="BC545" s="306">
        <v>0</v>
      </c>
      <c r="BD545" s="306"/>
      <c r="BE545" s="306">
        <v>0</v>
      </c>
      <c r="BF545" s="306"/>
      <c r="BG545" s="308"/>
      <c r="BH545" s="309"/>
    </row>
    <row r="546" spans="1:60" s="310" customFormat="1" ht="16.5" customHeight="1">
      <c r="A546" s="290">
        <v>526</v>
      </c>
      <c r="B546" s="291"/>
      <c r="C546" s="291"/>
      <c r="D546" s="292" t="s">
        <v>208</v>
      </c>
      <c r="E546" s="292" t="s">
        <v>2</v>
      </c>
      <c r="F546" s="293" t="s">
        <v>208</v>
      </c>
      <c r="G546" s="294" t="s">
        <v>285</v>
      </c>
      <c r="H546" s="311"/>
      <c r="I546" s="295"/>
      <c r="J546" s="296" t="s">
        <v>244</v>
      </c>
      <c r="K546" s="292"/>
      <c r="L546" s="292"/>
      <c r="M546" s="292">
        <v>10725</v>
      </c>
      <c r="N546" s="292" t="s">
        <v>35</v>
      </c>
      <c r="O546" s="292" t="s">
        <v>47</v>
      </c>
      <c r="P546" s="292" t="s">
        <v>48</v>
      </c>
      <c r="Q546" s="292" t="s">
        <v>83</v>
      </c>
      <c r="R546" s="292" t="s">
        <v>32</v>
      </c>
      <c r="S546" s="297" t="s">
        <v>32</v>
      </c>
      <c r="T546" s="298"/>
      <c r="U546" s="299">
        <v>112908364</v>
      </c>
      <c r="V546" s="299">
        <v>149208180</v>
      </c>
      <c r="W546" s="300">
        <v>145940720</v>
      </c>
      <c r="X546" s="301"/>
      <c r="Y546" s="292" t="s">
        <v>31</v>
      </c>
      <c r="Z546" s="302" t="s">
        <v>31</v>
      </c>
      <c r="AA546" s="317"/>
      <c r="AB546" s="317"/>
      <c r="AC546" s="303">
        <f t="shared" si="17"/>
        <v>145971000</v>
      </c>
      <c r="AD546" s="303">
        <v>145971000</v>
      </c>
      <c r="AE546" s="303">
        <f t="shared" si="18"/>
        <v>0</v>
      </c>
      <c r="AF546" s="304"/>
      <c r="AG546" s="305"/>
      <c r="AH546" s="304"/>
      <c r="AI546" s="304"/>
      <c r="AJ546" s="305"/>
      <c r="AK546" s="304"/>
      <c r="AL546" s="306"/>
      <c r="AM546" s="318">
        <v>102000000</v>
      </c>
      <c r="AN546" s="306"/>
      <c r="AO546" s="307"/>
      <c r="AP546" s="306"/>
      <c r="AQ546" s="306"/>
      <c r="AR546" s="306"/>
      <c r="AS546" s="306"/>
      <c r="AT546" s="306"/>
      <c r="AU546" s="306"/>
      <c r="AV546" s="306"/>
      <c r="AW546" s="306"/>
      <c r="AX546" s="306"/>
      <c r="AY546" s="306"/>
      <c r="AZ546" s="306"/>
      <c r="BA546" s="306"/>
      <c r="BB546" s="306"/>
      <c r="BC546" s="306">
        <v>43971000</v>
      </c>
      <c r="BD546" s="306"/>
      <c r="BE546" s="306"/>
      <c r="BF546" s="306"/>
      <c r="BG546" s="308"/>
      <c r="BH546" s="309"/>
    </row>
    <row r="547" spans="1:60" s="310" customFormat="1" ht="16.5" customHeight="1">
      <c r="A547" s="290">
        <v>527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/>
      <c r="P547" s="292" t="s">
        <v>48</v>
      </c>
      <c r="Q547" s="292"/>
      <c r="R547" s="292" t="s">
        <v>273</v>
      </c>
      <c r="S547" s="297" t="s">
        <v>683</v>
      </c>
      <c r="T547" s="298"/>
      <c r="U547" s="299"/>
      <c r="V547" s="299">
        <v>0</v>
      </c>
      <c r="W547" s="300">
        <v>0</v>
      </c>
      <c r="X547" s="301"/>
      <c r="Y547" s="292" t="s">
        <v>441</v>
      </c>
      <c r="Z547" s="302" t="s">
        <v>441</v>
      </c>
      <c r="AA547" s="317"/>
      <c r="AB547" s="317"/>
      <c r="AC547" s="303">
        <f t="shared" si="17"/>
        <v>0</v>
      </c>
      <c r="AD547" s="303">
        <v>0</v>
      </c>
      <c r="AE547" s="303">
        <f t="shared" si="18"/>
        <v>0</v>
      </c>
      <c r="AF547" s="304"/>
      <c r="AG547" s="305"/>
      <c r="AH547" s="304"/>
      <c r="AI547" s="304"/>
      <c r="AJ547" s="305"/>
      <c r="AK547" s="304"/>
      <c r="AL547" s="306"/>
      <c r="AM547" s="318"/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/>
      <c r="BD547" s="306"/>
      <c r="BE547" s="306"/>
      <c r="BF547" s="306"/>
      <c r="BG547" s="308"/>
      <c r="BH547" s="309"/>
    </row>
    <row r="548" spans="1:60" s="310" customFormat="1" ht="16.5" customHeight="1">
      <c r="A548" s="290">
        <v>528</v>
      </c>
      <c r="B548" s="291"/>
      <c r="C548" s="291"/>
      <c r="D548" s="292"/>
      <c r="E548" s="292"/>
      <c r="F548" s="293" t="s">
        <v>208</v>
      </c>
      <c r="G548" s="294" t="s">
        <v>285</v>
      </c>
      <c r="H548" s="311"/>
      <c r="I548" s="295"/>
      <c r="J548" s="296" t="s">
        <v>764</v>
      </c>
      <c r="K548" s="292"/>
      <c r="L548" s="292"/>
      <c r="M548" s="292">
        <v>21250</v>
      </c>
      <c r="N548" s="292"/>
      <c r="O548" s="292"/>
      <c r="P548" s="292"/>
      <c r="Q548" s="292"/>
      <c r="R548" s="292"/>
      <c r="S548" s="297" t="s">
        <v>353</v>
      </c>
      <c r="T548" s="298"/>
      <c r="U548" s="299"/>
      <c r="V548" s="299"/>
      <c r="W548" s="300">
        <v>0</v>
      </c>
      <c r="X548" s="301"/>
      <c r="Y548" s="292"/>
      <c r="Z548" s="302" t="s">
        <v>31</v>
      </c>
      <c r="AA548" s="317"/>
      <c r="AB548" s="317"/>
      <c r="AC548" s="303">
        <f t="shared" si="17"/>
        <v>30000</v>
      </c>
      <c r="AD548" s="303">
        <v>30000</v>
      </c>
      <c r="AE548" s="303">
        <f t="shared" si="18"/>
        <v>0</v>
      </c>
      <c r="AF548" s="304"/>
      <c r="AG548" s="305">
        <v>30000</v>
      </c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customHeight="1">
      <c r="A549" s="290">
        <v>529</v>
      </c>
      <c r="B549" s="291"/>
      <c r="C549" s="291"/>
      <c r="D549" s="292" t="s">
        <v>208</v>
      </c>
      <c r="E549" s="292" t="s">
        <v>1</v>
      </c>
      <c r="F549" s="293" t="s">
        <v>208</v>
      </c>
      <c r="G549" s="294" t="s">
        <v>285</v>
      </c>
      <c r="H549" s="311"/>
      <c r="I549" s="295"/>
      <c r="J549" s="296" t="s">
        <v>452</v>
      </c>
      <c r="K549" s="292"/>
      <c r="L549" s="292"/>
      <c r="M549" s="292">
        <v>7621</v>
      </c>
      <c r="N549" s="292" t="s">
        <v>26</v>
      </c>
      <c r="O549" s="292"/>
      <c r="P549" s="292"/>
      <c r="Q549" s="292" t="s">
        <v>30</v>
      </c>
      <c r="R549" s="292" t="s">
        <v>353</v>
      </c>
      <c r="S549" s="297" t="s">
        <v>353</v>
      </c>
      <c r="T549" s="298"/>
      <c r="U549" s="299">
        <v>850000</v>
      </c>
      <c r="V549" s="299">
        <v>1200000</v>
      </c>
      <c r="W549" s="300">
        <v>1000000</v>
      </c>
      <c r="X549" s="301"/>
      <c r="Y549" s="292" t="s">
        <v>24</v>
      </c>
      <c r="Z549" s="302" t="s">
        <v>31</v>
      </c>
      <c r="AA549" s="317"/>
      <c r="AB549" s="317"/>
      <c r="AC549" s="303">
        <f t="shared" si="17"/>
        <v>900000</v>
      </c>
      <c r="AD549" s="303">
        <v>900000</v>
      </c>
      <c r="AE549" s="303">
        <f t="shared" si="18"/>
        <v>0</v>
      </c>
      <c r="AF549" s="304"/>
      <c r="AG549" s="305"/>
      <c r="AH549" s="304"/>
      <c r="AI549" s="304">
        <v>900000</v>
      </c>
      <c r="AJ549" s="305">
        <v>900000</v>
      </c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>
        <v>0</v>
      </c>
      <c r="BF549" s="306"/>
      <c r="BG549" s="308"/>
      <c r="BH549" s="309"/>
    </row>
    <row r="550" spans="1:60" s="310" customFormat="1" ht="16.5" customHeight="1">
      <c r="A550" s="290">
        <v>530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/>
      <c r="R550" s="292" t="s">
        <v>273</v>
      </c>
      <c r="S550" s="297" t="s">
        <v>683</v>
      </c>
      <c r="T550" s="298"/>
      <c r="U550" s="299"/>
      <c r="V550" s="299">
        <v>0</v>
      </c>
      <c r="W550" s="300">
        <v>0</v>
      </c>
      <c r="X550" s="301"/>
      <c r="Y550" s="292" t="s">
        <v>28</v>
      </c>
      <c r="Z550" s="302" t="s">
        <v>29</v>
      </c>
      <c r="AA550" s="317"/>
      <c r="AB550" s="317"/>
      <c r="AC550" s="303">
        <f t="shared" si="17"/>
        <v>0</v>
      </c>
      <c r="AD550" s="303">
        <v>0</v>
      </c>
      <c r="AE550" s="303">
        <f t="shared" si="18"/>
        <v>0</v>
      </c>
      <c r="AF550" s="304"/>
      <c r="AG550" s="305"/>
      <c r="AH550" s="304"/>
      <c r="AI550" s="304"/>
      <c r="AJ550" s="305"/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/>
      <c r="BF550" s="306"/>
      <c r="BG550" s="308"/>
      <c r="BH550" s="309"/>
    </row>
    <row r="551" spans="1:60" s="310" customFormat="1" ht="16.5" customHeight="1">
      <c r="A551" s="290">
        <v>531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683</v>
      </c>
      <c r="T551" s="298"/>
      <c r="U551" s="299"/>
      <c r="V551" s="299"/>
      <c r="W551" s="300">
        <v>0</v>
      </c>
      <c r="X551" s="301"/>
      <c r="Y551" s="292" t="s">
        <v>29</v>
      </c>
      <c r="Z551" s="302" t="s">
        <v>29</v>
      </c>
      <c r="AA551" s="317"/>
      <c r="AB551" s="317"/>
      <c r="AC551" s="303">
        <f t="shared" si="17"/>
        <v>0</v>
      </c>
      <c r="AD551" s="303">
        <v>0</v>
      </c>
      <c r="AE551" s="303">
        <f t="shared" si="18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customHeight="1">
      <c r="A552" s="290">
        <v>532</v>
      </c>
      <c r="B552" s="291"/>
      <c r="C552" s="291"/>
      <c r="D552" s="292" t="s">
        <v>208</v>
      </c>
      <c r="E552" s="292" t="s">
        <v>2</v>
      </c>
      <c r="F552" s="293" t="s">
        <v>208</v>
      </c>
      <c r="G552" s="294" t="s">
        <v>285</v>
      </c>
      <c r="H552" s="311"/>
      <c r="I552" s="295"/>
      <c r="J552" s="296" t="s">
        <v>94</v>
      </c>
      <c r="K552" s="292"/>
      <c r="L552" s="292"/>
      <c r="M552" s="292">
        <v>23001</v>
      </c>
      <c r="N552" s="292" t="s">
        <v>44</v>
      </c>
      <c r="O552" s="292"/>
      <c r="P552" s="292"/>
      <c r="Q552" s="292" t="s">
        <v>83</v>
      </c>
      <c r="R552" s="292" t="s">
        <v>32</v>
      </c>
      <c r="S552" s="297" t="s">
        <v>32</v>
      </c>
      <c r="T552" s="298"/>
      <c r="U552" s="299"/>
      <c r="V552" s="299">
        <v>1500000</v>
      </c>
      <c r="W552" s="300">
        <v>0</v>
      </c>
      <c r="X552" s="301"/>
      <c r="Y552" s="292" t="s">
        <v>24</v>
      </c>
      <c r="Z552" s="302" t="s">
        <v>24</v>
      </c>
      <c r="AA552" s="317"/>
      <c r="AB552" s="317"/>
      <c r="AC552" s="303">
        <f t="shared" si="17"/>
        <v>0</v>
      </c>
      <c r="AD552" s="303">
        <v>0</v>
      </c>
      <c r="AE552" s="303">
        <f t="shared" si="18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customHeight="1">
      <c r="A553" s="290">
        <v>533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22</v>
      </c>
      <c r="R553" s="292" t="s">
        <v>23</v>
      </c>
      <c r="S553" s="297" t="s">
        <v>23</v>
      </c>
      <c r="T553" s="298"/>
      <c r="U553" s="299"/>
      <c r="V553" s="299">
        <v>46882000</v>
      </c>
      <c r="W553" s="300">
        <v>0</v>
      </c>
      <c r="X553" s="301"/>
      <c r="Y553" s="292" t="s">
        <v>28</v>
      </c>
      <c r="Z553" s="302" t="s">
        <v>24</v>
      </c>
      <c r="AA553" s="317"/>
      <c r="AB553" s="317"/>
      <c r="AC553" s="303">
        <f t="shared" si="17"/>
        <v>0</v>
      </c>
      <c r="AD553" s="303">
        <v>0</v>
      </c>
      <c r="AE553" s="303">
        <f t="shared" si="18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customHeight="1">
      <c r="A554" s="290">
        <v>534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33</v>
      </c>
      <c r="R554" s="292" t="s">
        <v>34</v>
      </c>
      <c r="S554" s="297" t="s">
        <v>34</v>
      </c>
      <c r="T554" s="298"/>
      <c r="U554" s="299">
        <v>44465000</v>
      </c>
      <c r="V554" s="299">
        <v>43588000</v>
      </c>
      <c r="W554" s="300">
        <v>14575000</v>
      </c>
      <c r="X554" s="301"/>
      <c r="Y554" s="292" t="s">
        <v>31</v>
      </c>
      <c r="Z554" s="302" t="s">
        <v>578</v>
      </c>
      <c r="AA554" s="317"/>
      <c r="AB554" s="317"/>
      <c r="AC554" s="303">
        <f t="shared" si="17"/>
        <v>0</v>
      </c>
      <c r="AD554" s="303">
        <v>0</v>
      </c>
      <c r="AE554" s="303">
        <f t="shared" si="18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customHeight="1">
      <c r="A555" s="290">
        <v>535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30</v>
      </c>
      <c r="R555" s="292" t="s">
        <v>353</v>
      </c>
      <c r="S555" s="297" t="s">
        <v>353</v>
      </c>
      <c r="T555" s="298"/>
      <c r="U555" s="299">
        <v>128198000</v>
      </c>
      <c r="V555" s="299">
        <v>0</v>
      </c>
      <c r="W555" s="300">
        <v>4500000</v>
      </c>
      <c r="X555" s="301"/>
      <c r="Y555" s="292" t="s">
        <v>31</v>
      </c>
      <c r="Z555" s="302" t="s">
        <v>28</v>
      </c>
      <c r="AA555" s="317"/>
      <c r="AB555" s="317"/>
      <c r="AC555" s="303">
        <f t="shared" si="17"/>
        <v>5000000</v>
      </c>
      <c r="AD555" s="303">
        <v>5000000</v>
      </c>
      <c r="AE555" s="303">
        <f t="shared" si="18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>
        <v>5000000</v>
      </c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customHeight="1">
      <c r="A556" s="290">
        <v>536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/>
      <c r="V556" s="299">
        <v>0</v>
      </c>
      <c r="W556" s="300">
        <v>0</v>
      </c>
      <c r="X556" s="301"/>
      <c r="Y556" s="292" t="s">
        <v>29</v>
      </c>
      <c r="Z556" s="302" t="s">
        <v>441</v>
      </c>
      <c r="AA556" s="317"/>
      <c r="AB556" s="317"/>
      <c r="AC556" s="303">
        <f t="shared" si="17"/>
        <v>0</v>
      </c>
      <c r="AD556" s="303">
        <v>0</v>
      </c>
      <c r="AE556" s="303">
        <f t="shared" si="18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/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customHeight="1">
      <c r="A557" s="290">
        <v>537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45</v>
      </c>
      <c r="R557" s="292" t="s">
        <v>352</v>
      </c>
      <c r="S557" s="297" t="s">
        <v>684</v>
      </c>
      <c r="T557" s="298"/>
      <c r="U557" s="299">
        <v>75000000</v>
      </c>
      <c r="V557" s="299">
        <v>75180000</v>
      </c>
      <c r="W557" s="300">
        <v>25000000</v>
      </c>
      <c r="X557" s="301"/>
      <c r="Y557" s="292" t="s">
        <v>31</v>
      </c>
      <c r="Z557" s="302" t="s">
        <v>578</v>
      </c>
      <c r="AA557" s="317"/>
      <c r="AB557" s="317"/>
      <c r="AC557" s="303">
        <f t="shared" si="17"/>
        <v>0</v>
      </c>
      <c r="AD557" s="303">
        <v>0</v>
      </c>
      <c r="AE557" s="303">
        <f t="shared" si="18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customHeight="1">
      <c r="A558" s="290">
        <v>538</v>
      </c>
      <c r="B558" s="291"/>
      <c r="C558" s="291"/>
      <c r="D558" s="292" t="s">
        <v>208</v>
      </c>
      <c r="E558" s="292" t="s">
        <v>1</v>
      </c>
      <c r="F558" s="293" t="s">
        <v>208</v>
      </c>
      <c r="G558" s="294" t="s">
        <v>702</v>
      </c>
      <c r="H558" s="311"/>
      <c r="I558" s="295"/>
      <c r="J558" s="296" t="s">
        <v>51</v>
      </c>
      <c r="K558" s="292"/>
      <c r="L558" s="292"/>
      <c r="M558" s="292">
        <v>28707</v>
      </c>
      <c r="N558" s="292" t="s">
        <v>26</v>
      </c>
      <c r="O558" s="292"/>
      <c r="P558" s="292"/>
      <c r="Q558" s="292" t="s">
        <v>41</v>
      </c>
      <c r="R558" s="292" t="s">
        <v>42</v>
      </c>
      <c r="S558" s="297" t="s">
        <v>42</v>
      </c>
      <c r="T558" s="298"/>
      <c r="U558" s="299">
        <v>5000000</v>
      </c>
      <c r="V558" s="299">
        <v>5000000</v>
      </c>
      <c r="W558" s="300">
        <v>5000000</v>
      </c>
      <c r="X558" s="301"/>
      <c r="Y558" s="292" t="s">
        <v>31</v>
      </c>
      <c r="Z558" s="302" t="s">
        <v>31</v>
      </c>
      <c r="AA558" s="317"/>
      <c r="AB558" s="317"/>
      <c r="AC558" s="303">
        <f t="shared" si="17"/>
        <v>0</v>
      </c>
      <c r="AD558" s="303">
        <v>0</v>
      </c>
      <c r="AE558" s="303">
        <f t="shared" si="18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customHeight="1">
      <c r="A559" s="290">
        <v>539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702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/>
      <c r="R559" s="292" t="s">
        <v>353</v>
      </c>
      <c r="S559" s="297" t="s">
        <v>353</v>
      </c>
      <c r="T559" s="298"/>
      <c r="U559" s="299"/>
      <c r="V559" s="299">
        <v>0</v>
      </c>
      <c r="W559" s="300">
        <v>3000000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7"/>
        <v>0</v>
      </c>
      <c r="AD559" s="303">
        <v>0</v>
      </c>
      <c r="AE559" s="303">
        <f t="shared" si="18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customHeight="1">
      <c r="A560" s="290">
        <v>540</v>
      </c>
      <c r="B560" s="291"/>
      <c r="C560" s="291"/>
      <c r="D560" s="292" t="s">
        <v>184</v>
      </c>
      <c r="E560" s="292" t="s">
        <v>555</v>
      </c>
      <c r="F560" s="293" t="s">
        <v>208</v>
      </c>
      <c r="G560" s="294" t="s">
        <v>864</v>
      </c>
      <c r="H560" s="311" t="s">
        <v>863</v>
      </c>
      <c r="I560" s="295"/>
      <c r="J560" s="296" t="s">
        <v>595</v>
      </c>
      <c r="K560" s="292"/>
      <c r="L560" s="292"/>
      <c r="M560" s="292">
        <v>25011</v>
      </c>
      <c r="N560" s="292"/>
      <c r="O560" s="292"/>
      <c r="P560" s="292"/>
      <c r="Q560" s="292"/>
      <c r="R560" s="292" t="s">
        <v>23</v>
      </c>
      <c r="S560" s="297" t="s">
        <v>23</v>
      </c>
      <c r="T560" s="298"/>
      <c r="U560" s="299"/>
      <c r="V560" s="299">
        <v>0</v>
      </c>
      <c r="W560" s="300">
        <v>0</v>
      </c>
      <c r="X560" s="301"/>
      <c r="Y560" s="292" t="s">
        <v>29</v>
      </c>
      <c r="Z560" s="302" t="s">
        <v>29</v>
      </c>
      <c r="AA560" s="317"/>
      <c r="AB560" s="317"/>
      <c r="AC560" s="303">
        <f t="shared" si="17"/>
        <v>0</v>
      </c>
      <c r="AD560" s="303">
        <v>0</v>
      </c>
      <c r="AE560" s="303">
        <f t="shared" si="18"/>
        <v>0</v>
      </c>
      <c r="AF560" s="304">
        <v>0</v>
      </c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customHeight="1">
      <c r="A561" s="290">
        <v>541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702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7"/>
        <v>10000000</v>
      </c>
      <c r="AD561" s="303">
        <v>10000000</v>
      </c>
      <c r="AE561" s="303">
        <f t="shared" si="18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customHeight="1">
      <c r="A562" s="290">
        <v>542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702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7"/>
        <v>10000000</v>
      </c>
      <c r="AD562" s="303">
        <v>10000000</v>
      </c>
      <c r="AE562" s="303">
        <f t="shared" si="18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customHeight="1">
      <c r="A563" s="290">
        <v>543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702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7"/>
        <v>0</v>
      </c>
      <c r="AD563" s="303">
        <v>0</v>
      </c>
      <c r="AE563" s="303">
        <f t="shared" si="18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customHeight="1">
      <c r="A564" s="290">
        <v>544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702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7"/>
        <v>5000000</v>
      </c>
      <c r="AD564" s="303">
        <v>5000000</v>
      </c>
      <c r="AE564" s="303">
        <f t="shared" si="18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customHeight="1">
      <c r="A565" s="290">
        <v>545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811</v>
      </c>
      <c r="H565" s="311" t="s">
        <v>812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747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7"/>
        <v>41172600</v>
      </c>
      <c r="AD565" s="303">
        <v>41172600</v>
      </c>
      <c r="AE565" s="303">
        <f t="shared" si="18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797</v>
      </c>
      <c r="AO565" s="307">
        <v>3000000</v>
      </c>
      <c r="AP565" s="306" t="s">
        <v>837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customHeight="1">
      <c r="A566" s="290">
        <v>546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825</v>
      </c>
      <c r="H566" s="311" t="s">
        <v>803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7"/>
        <v>0</v>
      </c>
      <c r="AD566" s="303">
        <v>0</v>
      </c>
      <c r="AE566" s="303">
        <f t="shared" si="18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customHeight="1">
      <c r="A567" s="290">
        <v>547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780</v>
      </c>
      <c r="H567" s="311" t="s">
        <v>804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7"/>
        <v>0</v>
      </c>
      <c r="AD567" s="303">
        <v>0</v>
      </c>
      <c r="AE567" s="303">
        <f t="shared" si="18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customHeight="1">
      <c r="A568" s="290">
        <v>548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702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684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7"/>
        <v>8000000</v>
      </c>
      <c r="AD568" s="303">
        <v>8000000</v>
      </c>
      <c r="AE568" s="303">
        <f t="shared" si="18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customHeight="1">
      <c r="A569" s="290">
        <v>549</v>
      </c>
      <c r="B569" s="291"/>
      <c r="C569" s="291"/>
      <c r="D569" s="292"/>
      <c r="E569" s="292"/>
      <c r="F569" s="293" t="s">
        <v>208</v>
      </c>
      <c r="G569" s="294" t="s">
        <v>702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7"/>
        <v>0</v>
      </c>
      <c r="AD569" s="303">
        <v>0</v>
      </c>
      <c r="AE569" s="303">
        <f t="shared" si="18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customHeight="1">
      <c r="A570" s="290">
        <v>550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702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684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7"/>
        <v>20000000</v>
      </c>
      <c r="AD570" s="303">
        <v>20000000</v>
      </c>
      <c r="AE570" s="303">
        <f t="shared" si="18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customHeight="1">
      <c r="A571" s="290">
        <v>551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702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7"/>
        <v>0</v>
      </c>
      <c r="AD571" s="303">
        <v>0</v>
      </c>
      <c r="AE571" s="303">
        <f t="shared" si="18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customHeight="1">
      <c r="A572" s="290">
        <v>552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702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7"/>
        <v>4000000</v>
      </c>
      <c r="AD572" s="303">
        <v>4000000</v>
      </c>
      <c r="AE572" s="303">
        <f t="shared" si="18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customHeight="1">
      <c r="A573" s="290">
        <v>553</v>
      </c>
      <c r="B573" s="291"/>
      <c r="C573" s="291"/>
      <c r="D573" s="292"/>
      <c r="E573" s="292"/>
      <c r="F573" s="293" t="s">
        <v>208</v>
      </c>
      <c r="G573" s="294" t="s">
        <v>702</v>
      </c>
      <c r="H573" s="311"/>
      <c r="I573" s="295"/>
      <c r="J573" s="296" t="s">
        <v>716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7"/>
        <v>0</v>
      </c>
      <c r="AD573" s="303">
        <v>0</v>
      </c>
      <c r="AE573" s="303">
        <f t="shared" si="18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customHeight="1">
      <c r="A574" s="290">
        <v>554</v>
      </c>
      <c r="B574" s="291"/>
      <c r="C574" s="291"/>
      <c r="D574" s="292" t="s">
        <v>208</v>
      </c>
      <c r="E574" s="292" t="s">
        <v>106</v>
      </c>
      <c r="F574" s="293" t="s">
        <v>208</v>
      </c>
      <c r="G574" s="294" t="s">
        <v>702</v>
      </c>
      <c r="H574" s="311"/>
      <c r="I574" s="295"/>
      <c r="J574" s="296" t="s">
        <v>108</v>
      </c>
      <c r="K574" s="292"/>
      <c r="L574" s="292"/>
      <c r="M574" s="292">
        <v>7032</v>
      </c>
      <c r="N574" s="292" t="s">
        <v>35</v>
      </c>
      <c r="O574" s="292"/>
      <c r="P574" s="292"/>
      <c r="Q574" s="292" t="s">
        <v>83</v>
      </c>
      <c r="R574" s="292" t="s">
        <v>32</v>
      </c>
      <c r="S574" s="297" t="s">
        <v>32</v>
      </c>
      <c r="T574" s="298"/>
      <c r="U574" s="299"/>
      <c r="V574" s="299">
        <v>0</v>
      </c>
      <c r="W574" s="300">
        <v>97164900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7"/>
        <v>79854600</v>
      </c>
      <c r="AD574" s="303">
        <v>79854600</v>
      </c>
      <c r="AE574" s="303">
        <f t="shared" si="18"/>
        <v>0</v>
      </c>
      <c r="AF574" s="304"/>
      <c r="AG574" s="305"/>
      <c r="AH574" s="304"/>
      <c r="AI574" s="304">
        <v>20000000</v>
      </c>
      <c r="AJ574" s="305">
        <v>917400</v>
      </c>
      <c r="AK574" s="304"/>
      <c r="AL574" s="306">
        <v>937200</v>
      </c>
      <c r="AM574" s="318">
        <v>937200</v>
      </c>
      <c r="AN574" s="306"/>
      <c r="AO574" s="307">
        <v>16145840</v>
      </c>
      <c r="AP574" s="306"/>
      <c r="AQ574" s="306">
        <v>11000000</v>
      </c>
      <c r="AR574" s="306"/>
      <c r="AS574" s="306">
        <v>11000000</v>
      </c>
      <c r="AT574" s="306"/>
      <c r="AU574" s="306">
        <v>11000000</v>
      </c>
      <c r="AV574" s="306"/>
      <c r="AW574" s="306">
        <v>10000000</v>
      </c>
      <c r="AX574" s="306"/>
      <c r="AY574" s="306">
        <v>10000000</v>
      </c>
      <c r="AZ574" s="306"/>
      <c r="BA574" s="306">
        <v>8854160</v>
      </c>
      <c r="BB574" s="306"/>
      <c r="BC574" s="306"/>
      <c r="BD574" s="306"/>
      <c r="BE574" s="306"/>
      <c r="BF574" s="306"/>
      <c r="BG574" s="308"/>
      <c r="BH574" s="309"/>
    </row>
    <row r="575" spans="1:60" s="310" customFormat="1" ht="16.5" customHeight="1">
      <c r="A575" s="290">
        <v>555</v>
      </c>
      <c r="B575" s="291"/>
      <c r="C575" s="291"/>
      <c r="D575" s="292" t="s">
        <v>208</v>
      </c>
      <c r="E575" s="292" t="s">
        <v>106</v>
      </c>
      <c r="F575" s="293" t="s">
        <v>208</v>
      </c>
      <c r="G575" s="294" t="s">
        <v>702</v>
      </c>
      <c r="H575" s="311"/>
      <c r="I575" s="295"/>
      <c r="J575" s="296" t="s">
        <v>108</v>
      </c>
      <c r="K575" s="292"/>
      <c r="L575" s="292"/>
      <c r="M575" s="292">
        <v>7032</v>
      </c>
      <c r="N575" s="292" t="s">
        <v>35</v>
      </c>
      <c r="O575" s="292"/>
      <c r="P575" s="292"/>
      <c r="Q575" s="292" t="s">
        <v>83</v>
      </c>
      <c r="R575" s="292" t="s">
        <v>32</v>
      </c>
      <c r="S575" s="297" t="s">
        <v>32</v>
      </c>
      <c r="T575" s="298"/>
      <c r="U575" s="299">
        <v>83073220</v>
      </c>
      <c r="V575" s="299">
        <v>72705640</v>
      </c>
      <c r="W575" s="300">
        <v>0</v>
      </c>
      <c r="X575" s="301"/>
      <c r="Y575" s="292" t="s">
        <v>31</v>
      </c>
      <c r="Z575" s="302" t="s">
        <v>578</v>
      </c>
      <c r="AA575" s="317"/>
      <c r="AB575" s="317"/>
      <c r="AC575" s="303">
        <f t="shared" si="17"/>
        <v>0</v>
      </c>
      <c r="AD575" s="303">
        <v>0</v>
      </c>
      <c r="AE575" s="303">
        <f t="shared" si="18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/>
      <c r="BF575" s="306"/>
      <c r="BG575" s="308"/>
      <c r="BH575" s="309"/>
    </row>
    <row r="576" spans="1:60" s="310" customFormat="1" ht="16.5" customHeight="1">
      <c r="A576" s="290">
        <v>556</v>
      </c>
      <c r="B576" s="291"/>
      <c r="C576" s="291"/>
      <c r="D576" s="292" t="s">
        <v>208</v>
      </c>
      <c r="E576" s="292" t="s">
        <v>106</v>
      </c>
      <c r="F576" s="293" t="s">
        <v>208</v>
      </c>
      <c r="G576" s="294" t="s">
        <v>702</v>
      </c>
      <c r="H576" s="311"/>
      <c r="I576" s="295"/>
      <c r="J576" s="296" t="s">
        <v>108</v>
      </c>
      <c r="K576" s="292"/>
      <c r="L576" s="292"/>
      <c r="M576" s="292">
        <v>7032</v>
      </c>
      <c r="N576" s="292" t="s">
        <v>35</v>
      </c>
      <c r="O576" s="292"/>
      <c r="P576" s="292"/>
      <c r="Q576" s="292" t="s">
        <v>83</v>
      </c>
      <c r="R576" s="292" t="s">
        <v>361</v>
      </c>
      <c r="S576" s="297" t="s">
        <v>361</v>
      </c>
      <c r="T576" s="298"/>
      <c r="U576" s="299"/>
      <c r="V576" s="299"/>
      <c r="W576" s="300">
        <v>12800000</v>
      </c>
      <c r="X576" s="301"/>
      <c r="Y576" s="292" t="s">
        <v>31</v>
      </c>
      <c r="Z576" s="302" t="s">
        <v>578</v>
      </c>
      <c r="AA576" s="317"/>
      <c r="AB576" s="317"/>
      <c r="AC576" s="303">
        <f t="shared" si="17"/>
        <v>0</v>
      </c>
      <c r="AD576" s="303">
        <v>0</v>
      </c>
      <c r="AE576" s="303">
        <f t="shared" si="18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/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customHeight="1">
      <c r="A577" s="290">
        <v>557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702</v>
      </c>
      <c r="H577" s="311"/>
      <c r="I577" s="295"/>
      <c r="J577" s="296" t="s">
        <v>109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46</v>
      </c>
      <c r="R577" s="292" t="s">
        <v>359</v>
      </c>
      <c r="S577" s="297" t="s">
        <v>690</v>
      </c>
      <c r="T577" s="298"/>
      <c r="U577" s="299"/>
      <c r="V577" s="299">
        <v>2000000</v>
      </c>
      <c r="W577" s="300">
        <v>0</v>
      </c>
      <c r="X577" s="301"/>
      <c r="Y577" s="292" t="s">
        <v>29</v>
      </c>
      <c r="Z577" s="302" t="s">
        <v>24</v>
      </c>
      <c r="AA577" s="317"/>
      <c r="AB577" s="317"/>
      <c r="AC577" s="303">
        <f t="shared" si="17"/>
        <v>0</v>
      </c>
      <c r="AD577" s="303">
        <v>0</v>
      </c>
      <c r="AE577" s="303">
        <f t="shared" si="18"/>
        <v>0</v>
      </c>
      <c r="AF577" s="304"/>
      <c r="AG577" s="305"/>
      <c r="AH577" s="304"/>
      <c r="AI577" s="304"/>
      <c r="AJ577" s="305"/>
      <c r="AK577" s="304"/>
      <c r="AL577" s="306"/>
      <c r="AM577" s="318"/>
      <c r="AN577" s="306"/>
      <c r="AO577" s="307"/>
      <c r="AP577" s="306"/>
      <c r="AQ577" s="306"/>
      <c r="AR577" s="306"/>
      <c r="AS577" s="306"/>
      <c r="AT577" s="306"/>
      <c r="AU577" s="306"/>
      <c r="AV577" s="306"/>
      <c r="AW577" s="306"/>
      <c r="AX577" s="306"/>
      <c r="AY577" s="306"/>
      <c r="AZ577" s="306"/>
      <c r="BA577" s="306"/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customHeight="1">
      <c r="A578" s="290">
        <v>558</v>
      </c>
      <c r="B578" s="291"/>
      <c r="C578" s="291"/>
      <c r="D578" s="292" t="s">
        <v>208</v>
      </c>
      <c r="E578" s="292" t="s">
        <v>4</v>
      </c>
      <c r="F578" s="293" t="s">
        <v>208</v>
      </c>
      <c r="G578" s="294" t="s">
        <v>702</v>
      </c>
      <c r="H578" s="311"/>
      <c r="I578" s="295"/>
      <c r="J578" s="296" t="s">
        <v>137</v>
      </c>
      <c r="K578" s="292"/>
      <c r="L578" s="292"/>
      <c r="M578" s="292">
        <v>4582</v>
      </c>
      <c r="N578" s="292" t="s">
        <v>26</v>
      </c>
      <c r="O578" s="292"/>
      <c r="P578" s="292"/>
      <c r="Q578" s="292" t="s">
        <v>22</v>
      </c>
      <c r="R578" s="292" t="s">
        <v>23</v>
      </c>
      <c r="S578" s="297" t="s">
        <v>23</v>
      </c>
      <c r="T578" s="298"/>
      <c r="U578" s="299">
        <v>3960000</v>
      </c>
      <c r="V578" s="299">
        <v>39520000</v>
      </c>
      <c r="W578" s="300">
        <v>1000000</v>
      </c>
      <c r="X578" s="301"/>
      <c r="Y578" s="292" t="s">
        <v>28</v>
      </c>
      <c r="Z578" s="302" t="s">
        <v>31</v>
      </c>
      <c r="AA578" s="317"/>
      <c r="AB578" s="317"/>
      <c r="AC578" s="303">
        <f t="shared" si="17"/>
        <v>1000000</v>
      </c>
      <c r="AD578" s="303">
        <v>1000000</v>
      </c>
      <c r="AE578" s="303">
        <f t="shared" si="18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>
        <v>1000000</v>
      </c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customHeight="1">
      <c r="A579" s="290">
        <v>559</v>
      </c>
      <c r="B579" s="291"/>
      <c r="C579" s="291"/>
      <c r="D579" s="292"/>
      <c r="E579" s="292"/>
      <c r="F579" s="293" t="s">
        <v>208</v>
      </c>
      <c r="G579" s="294" t="s">
        <v>702</v>
      </c>
      <c r="H579" s="311"/>
      <c r="I579" s="295"/>
      <c r="J579" s="296" t="s">
        <v>137</v>
      </c>
      <c r="K579" s="292"/>
      <c r="L579" s="292"/>
      <c r="M579" s="292">
        <v>4582</v>
      </c>
      <c r="N579" s="292"/>
      <c r="O579" s="292"/>
      <c r="P579" s="292"/>
      <c r="Q579" s="292"/>
      <c r="R579" s="292"/>
      <c r="S579" s="297" t="s">
        <v>23</v>
      </c>
      <c r="T579" s="298"/>
      <c r="U579" s="299"/>
      <c r="V579" s="299"/>
      <c r="W579" s="300">
        <v>19900000</v>
      </c>
      <c r="X579" s="301"/>
      <c r="Y579" s="292" t="s">
        <v>28</v>
      </c>
      <c r="Z579" s="302" t="s">
        <v>28</v>
      </c>
      <c r="AA579" s="317"/>
      <c r="AB579" s="317"/>
      <c r="AC579" s="303">
        <f t="shared" si="17"/>
        <v>39000000</v>
      </c>
      <c r="AD579" s="303">
        <v>39000000</v>
      </c>
      <c r="AE579" s="303">
        <f t="shared" si="18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>
        <v>9000000</v>
      </c>
      <c r="AX579" s="306"/>
      <c r="AY579" s="306">
        <v>10000000</v>
      </c>
      <c r="AZ579" s="306"/>
      <c r="BA579" s="306">
        <v>10000000</v>
      </c>
      <c r="BB579" s="306"/>
      <c r="BC579" s="306">
        <v>10000000</v>
      </c>
      <c r="BD579" s="306"/>
      <c r="BE579" s="306"/>
      <c r="BF579" s="306"/>
      <c r="BG579" s="308"/>
      <c r="BH579" s="309"/>
    </row>
    <row r="580" spans="1:60" s="310" customFormat="1" ht="16.5" customHeight="1">
      <c r="A580" s="290">
        <v>560</v>
      </c>
      <c r="B580" s="291"/>
      <c r="C580" s="291"/>
      <c r="D580" s="292" t="s">
        <v>208</v>
      </c>
      <c r="E580" s="292" t="s">
        <v>4</v>
      </c>
      <c r="F580" s="293" t="s">
        <v>208</v>
      </c>
      <c r="G580" s="294" t="s">
        <v>702</v>
      </c>
      <c r="H580" s="311"/>
      <c r="I580" s="295"/>
      <c r="J580" s="296" t="s">
        <v>476</v>
      </c>
      <c r="K580" s="292"/>
      <c r="L580" s="292"/>
      <c r="M580" s="292">
        <v>1688</v>
      </c>
      <c r="N580" s="292" t="s">
        <v>35</v>
      </c>
      <c r="O580" s="292"/>
      <c r="P580" s="292"/>
      <c r="Q580" s="292"/>
      <c r="R580" s="292" t="s">
        <v>23</v>
      </c>
      <c r="S580" s="297" t="s">
        <v>23</v>
      </c>
      <c r="T580" s="298"/>
      <c r="U580" s="299"/>
      <c r="V580" s="299">
        <v>0</v>
      </c>
      <c r="W580" s="300">
        <v>1824000</v>
      </c>
      <c r="X580" s="301"/>
      <c r="Y580" s="292" t="s">
        <v>31</v>
      </c>
      <c r="Z580" s="302" t="s">
        <v>28</v>
      </c>
      <c r="AA580" s="317"/>
      <c r="AB580" s="317"/>
      <c r="AC580" s="303">
        <f t="shared" si="17"/>
        <v>2000000</v>
      </c>
      <c r="AD580" s="303">
        <v>2000000</v>
      </c>
      <c r="AE580" s="303">
        <f t="shared" si="18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>
        <v>2000000</v>
      </c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customHeight="1">
      <c r="A581" s="290">
        <v>561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702</v>
      </c>
      <c r="H581" s="311"/>
      <c r="I581" s="295"/>
      <c r="J581" s="296" t="s">
        <v>476</v>
      </c>
      <c r="K581" s="292"/>
      <c r="L581" s="292"/>
      <c r="M581" s="292">
        <v>1688</v>
      </c>
      <c r="N581" s="292" t="s">
        <v>35</v>
      </c>
      <c r="O581" s="292"/>
      <c r="P581" s="292"/>
      <c r="Q581" s="292" t="s">
        <v>33</v>
      </c>
      <c r="R581" s="292" t="s">
        <v>34</v>
      </c>
      <c r="S581" s="297" t="s">
        <v>34</v>
      </c>
      <c r="T581" s="298"/>
      <c r="U581" s="299">
        <v>5645000</v>
      </c>
      <c r="V581" s="299">
        <v>7380000</v>
      </c>
      <c r="W581" s="300">
        <v>7225000</v>
      </c>
      <c r="X581" s="301"/>
      <c r="Y581" s="292" t="s">
        <v>31</v>
      </c>
      <c r="Z581" s="302" t="s">
        <v>31</v>
      </c>
      <c r="AA581" s="317"/>
      <c r="AB581" s="317"/>
      <c r="AC581" s="303">
        <f t="shared" si="17"/>
        <v>9000000</v>
      </c>
      <c r="AD581" s="303">
        <v>9000000</v>
      </c>
      <c r="AE581" s="303">
        <f t="shared" si="18"/>
        <v>0</v>
      </c>
      <c r="AF581" s="304"/>
      <c r="AG581" s="305"/>
      <c r="AH581" s="304"/>
      <c r="AI581" s="304"/>
      <c r="AJ581" s="305"/>
      <c r="AK581" s="304"/>
      <c r="AL581" s="306">
        <v>3535000</v>
      </c>
      <c r="AM581" s="318">
        <v>3535000</v>
      </c>
      <c r="AN581" s="306"/>
      <c r="AO581" s="307"/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>
        <v>5465000</v>
      </c>
      <c r="BF581" s="306"/>
      <c r="BG581" s="308"/>
      <c r="BH581" s="309"/>
    </row>
    <row r="582" spans="1:60" s="310" customFormat="1" ht="16.5" customHeight="1">
      <c r="A582" s="290">
        <v>562</v>
      </c>
      <c r="B582" s="291"/>
      <c r="C582" s="291"/>
      <c r="D582" s="292" t="s">
        <v>208</v>
      </c>
      <c r="E582" s="292" t="s">
        <v>246</v>
      </c>
      <c r="F582" s="293" t="s">
        <v>208</v>
      </c>
      <c r="G582" s="294" t="s">
        <v>702</v>
      </c>
      <c r="H582" s="311"/>
      <c r="I582" s="295"/>
      <c r="J582" s="296" t="s">
        <v>490</v>
      </c>
      <c r="K582" s="292"/>
      <c r="L582" s="292"/>
      <c r="M582" s="292">
        <v>53602</v>
      </c>
      <c r="N582" s="292"/>
      <c r="O582" s="292"/>
      <c r="P582" s="292"/>
      <c r="Q582" s="292" t="s">
        <v>22</v>
      </c>
      <c r="R582" s="292" t="s">
        <v>23</v>
      </c>
      <c r="S582" s="297" t="s">
        <v>23</v>
      </c>
      <c r="T582" s="298"/>
      <c r="U582" s="299">
        <v>18455780</v>
      </c>
      <c r="V582" s="299">
        <v>22555900</v>
      </c>
      <c r="W582" s="300">
        <v>8254300</v>
      </c>
      <c r="X582" s="301"/>
      <c r="Y582" s="292" t="s">
        <v>31</v>
      </c>
      <c r="Z582" s="302" t="s">
        <v>31</v>
      </c>
      <c r="AA582" s="317"/>
      <c r="AB582" s="317"/>
      <c r="AC582" s="303">
        <f t="shared" si="17"/>
        <v>8596000</v>
      </c>
      <c r="AD582" s="303">
        <v>8596000</v>
      </c>
      <c r="AE582" s="303">
        <f t="shared" si="18"/>
        <v>0</v>
      </c>
      <c r="AF582" s="304"/>
      <c r="AG582" s="305">
        <v>634000</v>
      </c>
      <c r="AH582" s="304"/>
      <c r="AI582" s="304"/>
      <c r="AJ582" s="305">
        <v>596000</v>
      </c>
      <c r="AK582" s="304"/>
      <c r="AL582" s="306">
        <v>240000</v>
      </c>
      <c r="AM582" s="318">
        <v>240000</v>
      </c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/>
      <c r="AX582" s="306"/>
      <c r="AY582" s="306"/>
      <c r="AZ582" s="306"/>
      <c r="BA582" s="306"/>
      <c r="BB582" s="306"/>
      <c r="BC582" s="306"/>
      <c r="BD582" s="306"/>
      <c r="BE582" s="306">
        <v>7126000</v>
      </c>
      <c r="BF582" s="306"/>
      <c r="BG582" s="308"/>
      <c r="BH582" s="309"/>
    </row>
    <row r="583" spans="1:60" s="310" customFormat="1" ht="16.5" customHeight="1">
      <c r="A583" s="290">
        <v>563</v>
      </c>
      <c r="B583" s="291"/>
      <c r="C583" s="291"/>
      <c r="D583" s="292" t="s">
        <v>208</v>
      </c>
      <c r="E583" s="292" t="s">
        <v>246</v>
      </c>
      <c r="F583" s="293" t="s">
        <v>208</v>
      </c>
      <c r="G583" s="294" t="s">
        <v>702</v>
      </c>
      <c r="H583" s="311"/>
      <c r="I583" s="295"/>
      <c r="J583" s="296" t="s">
        <v>490</v>
      </c>
      <c r="K583" s="292"/>
      <c r="L583" s="292"/>
      <c r="M583" s="292">
        <v>53602</v>
      </c>
      <c r="N583" s="292"/>
      <c r="O583" s="292"/>
      <c r="P583" s="292"/>
      <c r="Q583" s="292"/>
      <c r="R583" s="292" t="s">
        <v>34</v>
      </c>
      <c r="S583" s="297" t="s">
        <v>34</v>
      </c>
      <c r="T583" s="298"/>
      <c r="U583" s="299"/>
      <c r="V583" s="299"/>
      <c r="W583" s="300">
        <v>11608000</v>
      </c>
      <c r="X583" s="301"/>
      <c r="Y583" s="292" t="s">
        <v>29</v>
      </c>
      <c r="Z583" s="302" t="s">
        <v>29</v>
      </c>
      <c r="AA583" s="317"/>
      <c r="AB583" s="317"/>
      <c r="AC583" s="303">
        <f t="shared" si="17"/>
        <v>0</v>
      </c>
      <c r="AD583" s="303">
        <v>0</v>
      </c>
      <c r="AE583" s="303">
        <f t="shared" si="18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/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customHeight="1">
      <c r="A584" s="290">
        <v>564</v>
      </c>
      <c r="B584" s="291"/>
      <c r="C584" s="291"/>
      <c r="D584" s="292" t="s">
        <v>208</v>
      </c>
      <c r="E584" s="292" t="s">
        <v>1</v>
      </c>
      <c r="F584" s="293" t="s">
        <v>208</v>
      </c>
      <c r="G584" s="294" t="s">
        <v>702</v>
      </c>
      <c r="H584" s="311"/>
      <c r="I584" s="295"/>
      <c r="J584" s="296" t="s">
        <v>453</v>
      </c>
      <c r="K584" s="292"/>
      <c r="L584" s="292"/>
      <c r="M584" s="292">
        <v>6897</v>
      </c>
      <c r="N584" s="292" t="s">
        <v>44</v>
      </c>
      <c r="O584" s="292" t="s">
        <v>47</v>
      </c>
      <c r="P584" s="292" t="s">
        <v>48</v>
      </c>
      <c r="Q584" s="292" t="s">
        <v>22</v>
      </c>
      <c r="R584" s="292" t="s">
        <v>23</v>
      </c>
      <c r="S584" s="297" t="s">
        <v>23</v>
      </c>
      <c r="T584" s="298"/>
      <c r="U584" s="299">
        <v>27403964</v>
      </c>
      <c r="V584" s="299">
        <v>33795520</v>
      </c>
      <c r="W584" s="300">
        <v>18042000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7"/>
        <v>0</v>
      </c>
      <c r="AD584" s="303">
        <v>0</v>
      </c>
      <c r="AE584" s="303">
        <f t="shared" si="18"/>
        <v>0</v>
      </c>
      <c r="AF584" s="304"/>
      <c r="AG584" s="305"/>
      <c r="AH584" s="304"/>
      <c r="AI584" s="304"/>
      <c r="AJ584" s="305"/>
      <c r="AK584" s="304"/>
      <c r="AL584" s="306"/>
      <c r="AM584" s="318"/>
      <c r="AN584" s="306"/>
      <c r="AO584" s="307"/>
      <c r="AP584" s="306" t="s">
        <v>838</v>
      </c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/>
      <c r="BF584" s="306"/>
      <c r="BG584" s="308"/>
      <c r="BH584" s="309"/>
    </row>
    <row r="585" spans="1:60" s="310" customFormat="1" ht="16.5" customHeight="1">
      <c r="A585" s="290">
        <v>565</v>
      </c>
      <c r="B585" s="291"/>
      <c r="C585" s="291"/>
      <c r="D585" s="292" t="s">
        <v>208</v>
      </c>
      <c r="E585" s="292" t="s">
        <v>1</v>
      </c>
      <c r="F585" s="293" t="s">
        <v>208</v>
      </c>
      <c r="G585" s="294" t="s">
        <v>702</v>
      </c>
      <c r="H585" s="311"/>
      <c r="I585" s="295"/>
      <c r="J585" s="296" t="s">
        <v>453</v>
      </c>
      <c r="K585" s="292"/>
      <c r="L585" s="292"/>
      <c r="M585" s="292">
        <v>6897</v>
      </c>
      <c r="N585" s="292" t="s">
        <v>44</v>
      </c>
      <c r="O585" s="292"/>
      <c r="P585" s="292"/>
      <c r="Q585" s="292" t="s">
        <v>33</v>
      </c>
      <c r="R585" s="292" t="s">
        <v>34</v>
      </c>
      <c r="S585" s="297" t="s">
        <v>34</v>
      </c>
      <c r="T585" s="298"/>
      <c r="U585" s="299"/>
      <c r="V585" s="299">
        <v>0</v>
      </c>
      <c r="W585" s="300">
        <v>10328000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7"/>
        <v>10388000</v>
      </c>
      <c r="AD585" s="303">
        <v>10388000</v>
      </c>
      <c r="AE585" s="303">
        <f t="shared" si="18"/>
        <v>0</v>
      </c>
      <c r="AF585" s="304">
        <v>60000</v>
      </c>
      <c r="AG585" s="305">
        <v>60000</v>
      </c>
      <c r="AH585" s="304"/>
      <c r="AI585" s="304"/>
      <c r="AJ585" s="305"/>
      <c r="AK585" s="304"/>
      <c r="AL585" s="306"/>
      <c r="AM585" s="318">
        <v>1211000</v>
      </c>
      <c r="AN585" s="306"/>
      <c r="AO585" s="307"/>
      <c r="AP585" s="306"/>
      <c r="AQ585" s="306"/>
      <c r="AR585" s="306"/>
      <c r="AS585" s="306">
        <v>5164000</v>
      </c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3953000</v>
      </c>
      <c r="BF585" s="306"/>
      <c r="BG585" s="308"/>
      <c r="BH585" s="309"/>
    </row>
    <row r="586" spans="1:60" s="310" customFormat="1" ht="16.5" customHeight="1">
      <c r="A586" s="290">
        <v>566</v>
      </c>
      <c r="B586" s="291"/>
      <c r="C586" s="291"/>
      <c r="D586" s="292" t="s">
        <v>208</v>
      </c>
      <c r="E586" s="292" t="s">
        <v>1</v>
      </c>
      <c r="F586" s="293" t="s">
        <v>208</v>
      </c>
      <c r="G586" s="294" t="s">
        <v>702</v>
      </c>
      <c r="H586" s="311"/>
      <c r="I586" s="295"/>
      <c r="J586" s="296" t="s">
        <v>453</v>
      </c>
      <c r="K586" s="292"/>
      <c r="L586" s="292"/>
      <c r="M586" s="292">
        <v>6897</v>
      </c>
      <c r="N586" s="292" t="s">
        <v>44</v>
      </c>
      <c r="O586" s="292"/>
      <c r="P586" s="292"/>
      <c r="Q586" s="292" t="s">
        <v>30</v>
      </c>
      <c r="R586" s="292" t="s">
        <v>353</v>
      </c>
      <c r="S586" s="297" t="s">
        <v>353</v>
      </c>
      <c r="T586" s="298"/>
      <c r="U586" s="299"/>
      <c r="V586" s="299">
        <v>1500000</v>
      </c>
      <c r="W586" s="300">
        <v>1800000</v>
      </c>
      <c r="X586" s="301"/>
      <c r="Y586" s="292" t="s">
        <v>31</v>
      </c>
      <c r="Z586" s="302" t="s">
        <v>28</v>
      </c>
      <c r="AA586" s="317"/>
      <c r="AB586" s="317"/>
      <c r="AC586" s="303">
        <f t="shared" si="17"/>
        <v>0</v>
      </c>
      <c r="AD586" s="303">
        <v>0</v>
      </c>
      <c r="AE586" s="303">
        <f t="shared" si="18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customHeight="1">
      <c r="A587" s="290">
        <v>567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702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/>
      <c r="P587" s="292"/>
      <c r="Q587" s="292" t="s">
        <v>49</v>
      </c>
      <c r="R587" s="292" t="s">
        <v>355</v>
      </c>
      <c r="S587" s="297" t="s">
        <v>679</v>
      </c>
      <c r="T587" s="298"/>
      <c r="U587" s="299"/>
      <c r="V587" s="299">
        <v>1000000</v>
      </c>
      <c r="W587" s="300">
        <v>0</v>
      </c>
      <c r="X587" s="301"/>
      <c r="Y587" s="292" t="s">
        <v>29</v>
      </c>
      <c r="Z587" s="302" t="s">
        <v>29</v>
      </c>
      <c r="AA587" s="317"/>
      <c r="AB587" s="317"/>
      <c r="AC587" s="303">
        <f t="shared" si="17"/>
        <v>1000000</v>
      </c>
      <c r="AD587" s="303">
        <v>1000000</v>
      </c>
      <c r="AE587" s="303">
        <f t="shared" si="18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/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>
        <v>1000000</v>
      </c>
      <c r="BF587" s="306"/>
      <c r="BG587" s="308"/>
      <c r="BH587" s="309"/>
    </row>
    <row r="588" spans="1:60" s="310" customFormat="1" ht="16.5" customHeight="1">
      <c r="A588" s="290">
        <v>568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702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27</v>
      </c>
      <c r="R588" s="292" t="s">
        <v>273</v>
      </c>
      <c r="S588" s="297" t="s">
        <v>683</v>
      </c>
      <c r="T588" s="298"/>
      <c r="U588" s="299"/>
      <c r="V588" s="299">
        <v>0</v>
      </c>
      <c r="W588" s="300">
        <v>0</v>
      </c>
      <c r="X588" s="301"/>
      <c r="Y588" s="292" t="s">
        <v>29</v>
      </c>
      <c r="Z588" s="302" t="s">
        <v>29</v>
      </c>
      <c r="AA588" s="317"/>
      <c r="AB588" s="317"/>
      <c r="AC588" s="303">
        <f t="shared" si="17"/>
        <v>10000000</v>
      </c>
      <c r="AD588" s="303">
        <v>10000000</v>
      </c>
      <c r="AE588" s="303">
        <f t="shared" si="18"/>
        <v>0</v>
      </c>
      <c r="AF588" s="304"/>
      <c r="AG588" s="305"/>
      <c r="AH588" s="304"/>
      <c r="AI588" s="304"/>
      <c r="AJ588" s="305"/>
      <c r="AK588" s="304"/>
      <c r="AL588" s="306"/>
      <c r="AM588" s="318"/>
      <c r="AN588" s="306"/>
      <c r="AO588" s="307"/>
      <c r="AP588" s="306"/>
      <c r="AQ588" s="306"/>
      <c r="AR588" s="306"/>
      <c r="AS588" s="306"/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10000000</v>
      </c>
      <c r="BF588" s="306"/>
      <c r="BG588" s="308"/>
      <c r="BH588" s="309"/>
    </row>
    <row r="589" spans="1:60" s="310" customFormat="1" ht="16.5" customHeight="1">
      <c r="A589" s="290">
        <v>569</v>
      </c>
      <c r="B589" s="291"/>
      <c r="C589" s="291"/>
      <c r="D589" s="292"/>
      <c r="E589" s="292"/>
      <c r="F589" s="293" t="s">
        <v>208</v>
      </c>
      <c r="G589" s="294" t="s">
        <v>702</v>
      </c>
      <c r="H589" s="311"/>
      <c r="I589" s="295"/>
      <c r="J589" s="296" t="s">
        <v>710</v>
      </c>
      <c r="K589" s="292"/>
      <c r="L589" s="292"/>
      <c r="M589" s="292">
        <v>64795</v>
      </c>
      <c r="N589" s="292"/>
      <c r="O589" s="292"/>
      <c r="P589" s="292"/>
      <c r="Q589" s="292"/>
      <c r="R589" s="292"/>
      <c r="S589" s="297" t="s">
        <v>677</v>
      </c>
      <c r="T589" s="298"/>
      <c r="U589" s="299"/>
      <c r="V589" s="299"/>
      <c r="W589" s="300">
        <v>15092000</v>
      </c>
      <c r="X589" s="301"/>
      <c r="Y589" s="292"/>
      <c r="Z589" s="302" t="s">
        <v>578</v>
      </c>
      <c r="AA589" s="317"/>
      <c r="AB589" s="317"/>
      <c r="AC589" s="303">
        <f t="shared" si="17"/>
        <v>0</v>
      </c>
      <c r="AD589" s="303">
        <v>0</v>
      </c>
      <c r="AE589" s="303">
        <f t="shared" si="18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customHeight="1">
      <c r="A590" s="290">
        <v>570</v>
      </c>
      <c r="B590" s="291"/>
      <c r="C590" s="291"/>
      <c r="D590" s="292" t="s">
        <v>208</v>
      </c>
      <c r="E590" s="292" t="s">
        <v>246</v>
      </c>
      <c r="F590" s="293" t="s">
        <v>208</v>
      </c>
      <c r="G590" s="294" t="s">
        <v>702</v>
      </c>
      <c r="H590" s="311"/>
      <c r="I590" s="295"/>
      <c r="J590" s="296" t="s">
        <v>532</v>
      </c>
      <c r="K590" s="292"/>
      <c r="L590" s="292"/>
      <c r="M590" s="292">
        <v>47759</v>
      </c>
      <c r="N590" s="292"/>
      <c r="O590" s="292"/>
      <c r="P590" s="292"/>
      <c r="Q590" s="292"/>
      <c r="R590" s="292" t="s">
        <v>32</v>
      </c>
      <c r="S590" s="297" t="s">
        <v>32</v>
      </c>
      <c r="T590" s="298"/>
      <c r="U590" s="299"/>
      <c r="V590" s="299"/>
      <c r="W590" s="300">
        <v>11901100</v>
      </c>
      <c r="X590" s="301"/>
      <c r="Y590" s="292" t="s">
        <v>31</v>
      </c>
      <c r="Z590" s="302" t="s">
        <v>31</v>
      </c>
      <c r="AA590" s="317"/>
      <c r="AB590" s="317"/>
      <c r="AC590" s="303">
        <f t="shared" si="17"/>
        <v>5000000</v>
      </c>
      <c r="AD590" s="303">
        <v>5000000</v>
      </c>
      <c r="AE590" s="303">
        <f t="shared" si="18"/>
        <v>0</v>
      </c>
      <c r="AF590" s="304"/>
      <c r="AG590" s="305"/>
      <c r="AH590" s="304"/>
      <c r="AI590" s="304"/>
      <c r="AJ590" s="305"/>
      <c r="AK590" s="304"/>
      <c r="AL590" s="306"/>
      <c r="AM590" s="318">
        <v>120000</v>
      </c>
      <c r="AN590" s="306"/>
      <c r="AO590" s="307">
        <v>248000</v>
      </c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>
        <v>4632000</v>
      </c>
      <c r="AZ590" s="306"/>
      <c r="BA590" s="306"/>
      <c r="BB590" s="306"/>
      <c r="BC590" s="306"/>
      <c r="BD590" s="306"/>
      <c r="BE590" s="306"/>
      <c r="BF590" s="306"/>
      <c r="BG590" s="308"/>
      <c r="BH590" s="309"/>
    </row>
    <row r="591" spans="1:60" s="310" customFormat="1" ht="16.5" customHeight="1">
      <c r="A591" s="290">
        <v>571</v>
      </c>
      <c r="B591" s="291"/>
      <c r="C591" s="291"/>
      <c r="D591" s="292" t="s">
        <v>208</v>
      </c>
      <c r="E591" s="292" t="s">
        <v>4</v>
      </c>
      <c r="F591" s="293" t="s">
        <v>208</v>
      </c>
      <c r="G591" s="294" t="s">
        <v>702</v>
      </c>
      <c r="H591" s="311"/>
      <c r="I591" s="295"/>
      <c r="J591" s="296" t="s">
        <v>139</v>
      </c>
      <c r="K591" s="292"/>
      <c r="L591" s="292"/>
      <c r="M591" s="292">
        <v>24600</v>
      </c>
      <c r="N591" s="292" t="s">
        <v>26</v>
      </c>
      <c r="O591" s="292"/>
      <c r="P591" s="292"/>
      <c r="Q591" s="292" t="s">
        <v>33</v>
      </c>
      <c r="R591" s="292" t="s">
        <v>34</v>
      </c>
      <c r="S591" s="297" t="s">
        <v>34</v>
      </c>
      <c r="T591" s="298"/>
      <c r="U591" s="299"/>
      <c r="V591" s="299">
        <v>3822500</v>
      </c>
      <c r="W591" s="300">
        <v>13046500</v>
      </c>
      <c r="X591" s="301"/>
      <c r="Y591" s="292" t="s">
        <v>31</v>
      </c>
      <c r="Z591" s="302" t="s">
        <v>28</v>
      </c>
      <c r="AA591" s="317"/>
      <c r="AB591" s="317"/>
      <c r="AC591" s="303">
        <f t="shared" si="17"/>
        <v>4500000</v>
      </c>
      <c r="AD591" s="303">
        <v>4500000</v>
      </c>
      <c r="AE591" s="303">
        <f t="shared" si="18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>
        <v>1200000</v>
      </c>
      <c r="AR591" s="306"/>
      <c r="AS591" s="306">
        <v>3300000</v>
      </c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/>
      <c r="BF591" s="306"/>
      <c r="BG591" s="308"/>
      <c r="BH591" s="309"/>
    </row>
    <row r="592" spans="1:60" s="310" customFormat="1" ht="16.5" customHeight="1">
      <c r="A592" s="290">
        <v>572</v>
      </c>
      <c r="B592" s="291"/>
      <c r="C592" s="291"/>
      <c r="D592" s="292" t="s">
        <v>208</v>
      </c>
      <c r="E592" s="292" t="s">
        <v>1</v>
      </c>
      <c r="F592" s="293" t="s">
        <v>208</v>
      </c>
      <c r="G592" s="294" t="s">
        <v>702</v>
      </c>
      <c r="H592" s="311"/>
      <c r="I592" s="295"/>
      <c r="J592" s="296" t="s">
        <v>454</v>
      </c>
      <c r="K592" s="292"/>
      <c r="L592" s="292"/>
      <c r="M592" s="292">
        <v>506</v>
      </c>
      <c r="N592" s="292" t="s">
        <v>26</v>
      </c>
      <c r="O592" s="292"/>
      <c r="P592" s="292"/>
      <c r="Q592" s="292" t="s">
        <v>33</v>
      </c>
      <c r="R592" s="292" t="s">
        <v>34</v>
      </c>
      <c r="S592" s="297" t="s">
        <v>34</v>
      </c>
      <c r="T592" s="298"/>
      <c r="U592" s="299"/>
      <c r="V592" s="299">
        <v>0</v>
      </c>
      <c r="W592" s="300">
        <v>46999999</v>
      </c>
      <c r="X592" s="301"/>
      <c r="Y592" s="292" t="s">
        <v>31</v>
      </c>
      <c r="Z592" s="302" t="s">
        <v>31</v>
      </c>
      <c r="AA592" s="317"/>
      <c r="AB592" s="317"/>
      <c r="AC592" s="303">
        <f t="shared" si="17"/>
        <v>0</v>
      </c>
      <c r="AD592" s="303">
        <v>0</v>
      </c>
      <c r="AE592" s="303">
        <f t="shared" si="18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customHeight="1">
      <c r="A593" s="290">
        <v>573</v>
      </c>
      <c r="B593" s="291"/>
      <c r="C593" s="291"/>
      <c r="D593" s="292" t="s">
        <v>208</v>
      </c>
      <c r="E593" s="292" t="s">
        <v>106</v>
      </c>
      <c r="F593" s="293" t="s">
        <v>208</v>
      </c>
      <c r="G593" s="294" t="s">
        <v>702</v>
      </c>
      <c r="H593" s="311"/>
      <c r="I593" s="295"/>
      <c r="J593" s="296" t="s">
        <v>120</v>
      </c>
      <c r="K593" s="292"/>
      <c r="L593" s="292"/>
      <c r="M593" s="292">
        <v>4594</v>
      </c>
      <c r="N593" s="292" t="s">
        <v>26</v>
      </c>
      <c r="O593" s="292"/>
      <c r="P593" s="292"/>
      <c r="Q593" s="292" t="s">
        <v>83</v>
      </c>
      <c r="R593" s="292" t="s">
        <v>32</v>
      </c>
      <c r="S593" s="297" t="s">
        <v>32</v>
      </c>
      <c r="T593" s="298" t="s">
        <v>747</v>
      </c>
      <c r="U593" s="299">
        <v>23978058</v>
      </c>
      <c r="V593" s="299">
        <v>59775880</v>
      </c>
      <c r="W593" s="300">
        <v>82512070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7"/>
        <v>75812000</v>
      </c>
      <c r="AD593" s="303">
        <v>75812000</v>
      </c>
      <c r="AE593" s="303">
        <f t="shared" si="18"/>
        <v>0</v>
      </c>
      <c r="AF593" s="304">
        <v>1279000</v>
      </c>
      <c r="AG593" s="305">
        <v>1279000</v>
      </c>
      <c r="AH593" s="304"/>
      <c r="AI593" s="304">
        <v>3000000</v>
      </c>
      <c r="AJ593" s="305">
        <v>765000</v>
      </c>
      <c r="AK593" s="304"/>
      <c r="AL593" s="306">
        <v>2579100</v>
      </c>
      <c r="AM593" s="318">
        <v>2579100</v>
      </c>
      <c r="AN593" s="306"/>
      <c r="AO593" s="307">
        <v>7000000</v>
      </c>
      <c r="AP593" s="306" t="s">
        <v>839</v>
      </c>
      <c r="AQ593" s="306">
        <v>7000000</v>
      </c>
      <c r="AR593" s="306"/>
      <c r="AS593" s="306">
        <v>8000000</v>
      </c>
      <c r="AT593" s="306"/>
      <c r="AU593" s="306">
        <v>4000000</v>
      </c>
      <c r="AV593" s="306"/>
      <c r="AW593" s="306">
        <v>3000000</v>
      </c>
      <c r="AX593" s="306"/>
      <c r="AY593" s="306">
        <v>3000000</v>
      </c>
      <c r="AZ593" s="306"/>
      <c r="BA593" s="306">
        <v>12808900</v>
      </c>
      <c r="BB593" s="306"/>
      <c r="BC593" s="306">
        <v>13000000</v>
      </c>
      <c r="BD593" s="306"/>
      <c r="BE593" s="306">
        <v>13380000</v>
      </c>
      <c r="BF593" s="306"/>
      <c r="BG593" s="308"/>
      <c r="BH593" s="309"/>
    </row>
    <row r="594" spans="1:60" s="310" customFormat="1" ht="16.5" customHeight="1">
      <c r="A594" s="290">
        <v>574</v>
      </c>
      <c r="B594" s="291"/>
      <c r="C594" s="291"/>
      <c r="D594" s="292" t="s">
        <v>208</v>
      </c>
      <c r="E594" s="292" t="s">
        <v>106</v>
      </c>
      <c r="F594" s="293" t="s">
        <v>208</v>
      </c>
      <c r="G594" s="294" t="s">
        <v>702</v>
      </c>
      <c r="H594" s="311"/>
      <c r="I594" s="295"/>
      <c r="J594" s="296" t="s">
        <v>120</v>
      </c>
      <c r="K594" s="292"/>
      <c r="L594" s="292"/>
      <c r="M594" s="292">
        <v>4594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>
        <v>16052000</v>
      </c>
      <c r="V594" s="299">
        <v>6672000</v>
      </c>
      <c r="W594" s="300">
        <v>0</v>
      </c>
      <c r="X594" s="301"/>
      <c r="Y594" s="292" t="s">
        <v>24</v>
      </c>
      <c r="Z594" s="302" t="s">
        <v>24</v>
      </c>
      <c r="AA594" s="317"/>
      <c r="AB594" s="317"/>
      <c r="AC594" s="303">
        <f t="shared" si="17"/>
        <v>0</v>
      </c>
      <c r="AD594" s="303">
        <v>0</v>
      </c>
      <c r="AE594" s="303">
        <f t="shared" si="18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/>
      <c r="AR594" s="306"/>
      <c r="AS594" s="306"/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customHeight="1">
      <c r="A595" s="290">
        <v>575</v>
      </c>
      <c r="B595" s="291"/>
      <c r="C595" s="291"/>
      <c r="D595" s="292" t="s">
        <v>208</v>
      </c>
      <c r="E595" s="292" t="s">
        <v>106</v>
      </c>
      <c r="F595" s="293" t="s">
        <v>208</v>
      </c>
      <c r="G595" s="294" t="s">
        <v>702</v>
      </c>
      <c r="H595" s="311"/>
      <c r="I595" s="295"/>
      <c r="J595" s="296" t="s">
        <v>120</v>
      </c>
      <c r="K595" s="292"/>
      <c r="L595" s="292"/>
      <c r="M595" s="292">
        <v>4594</v>
      </c>
      <c r="N595" s="292" t="s">
        <v>26</v>
      </c>
      <c r="O595" s="292"/>
      <c r="P595" s="292"/>
      <c r="Q595" s="292" t="s">
        <v>27</v>
      </c>
      <c r="R595" s="292" t="s">
        <v>273</v>
      </c>
      <c r="S595" s="297" t="s">
        <v>683</v>
      </c>
      <c r="T595" s="298"/>
      <c r="U595" s="299">
        <v>6200000</v>
      </c>
      <c r="V595" s="299">
        <v>0</v>
      </c>
      <c r="W595" s="300">
        <v>6500000</v>
      </c>
      <c r="X595" s="301"/>
      <c r="Y595" s="292" t="s">
        <v>31</v>
      </c>
      <c r="Z595" s="302" t="s">
        <v>28</v>
      </c>
      <c r="AA595" s="317"/>
      <c r="AB595" s="317"/>
      <c r="AC595" s="303">
        <f t="shared" si="17"/>
        <v>0</v>
      </c>
      <c r="AD595" s="303">
        <v>0</v>
      </c>
      <c r="AE595" s="303">
        <f t="shared" si="18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customHeight="1">
      <c r="A596" s="290">
        <v>576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702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27</v>
      </c>
      <c r="R596" s="292" t="s">
        <v>273</v>
      </c>
      <c r="S596" s="297" t="s">
        <v>683</v>
      </c>
      <c r="T596" s="298"/>
      <c r="U596" s="299"/>
      <c r="V596" s="299">
        <v>0</v>
      </c>
      <c r="W596" s="300">
        <v>0</v>
      </c>
      <c r="X596" s="301"/>
      <c r="Y596" s="292" t="s">
        <v>28</v>
      </c>
      <c r="Z596" s="302" t="s">
        <v>441</v>
      </c>
      <c r="AA596" s="317"/>
      <c r="AB596" s="317"/>
      <c r="AC596" s="303">
        <f t="shared" si="17"/>
        <v>0</v>
      </c>
      <c r="AD596" s="303">
        <v>0</v>
      </c>
      <c r="AE596" s="303">
        <f t="shared" si="18"/>
        <v>0</v>
      </c>
      <c r="AF596" s="304"/>
      <c r="AG596" s="305"/>
      <c r="AH596" s="304"/>
      <c r="AI596" s="304"/>
      <c r="AJ596" s="305"/>
      <c r="AK596" s="304"/>
      <c r="AL596" s="306"/>
      <c r="AM596" s="318"/>
      <c r="AN596" s="306"/>
      <c r="AO596" s="307"/>
      <c r="AP596" s="306"/>
      <c r="AQ596" s="306"/>
      <c r="AR596" s="306"/>
      <c r="AS596" s="306"/>
      <c r="AT596" s="306"/>
      <c r="AU596" s="306"/>
      <c r="AV596" s="306"/>
      <c r="AW596" s="306"/>
      <c r="AX596" s="306"/>
      <c r="AY596" s="306"/>
      <c r="AZ596" s="306"/>
      <c r="BA596" s="306"/>
      <c r="BB596" s="306"/>
      <c r="BC596" s="306"/>
      <c r="BD596" s="306"/>
      <c r="BE596" s="306"/>
      <c r="BF596" s="306"/>
      <c r="BG596" s="308"/>
      <c r="BH596" s="309"/>
    </row>
    <row r="597" spans="1:60" s="310" customFormat="1" ht="16.5" customHeight="1">
      <c r="A597" s="290">
        <v>577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702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45</v>
      </c>
      <c r="R597" s="292" t="s">
        <v>352</v>
      </c>
      <c r="S597" s="297" t="s">
        <v>684</v>
      </c>
      <c r="T597" s="298"/>
      <c r="U597" s="299">
        <v>28850000</v>
      </c>
      <c r="V597" s="299">
        <v>0</v>
      </c>
      <c r="W597" s="300">
        <v>0</v>
      </c>
      <c r="X597" s="301"/>
      <c r="Y597" s="292" t="s">
        <v>28</v>
      </c>
      <c r="Z597" s="302" t="s">
        <v>29</v>
      </c>
      <c r="AA597" s="317"/>
      <c r="AB597" s="317"/>
      <c r="AC597" s="303">
        <f t="shared" ref="AC597:AC660" si="19">AG597+AJ597+AM597+AO597+AQ597+AS597+AU597+AW597+AY597+BA597+BC597+BE597</f>
        <v>30000000</v>
      </c>
      <c r="AD597" s="303">
        <v>30000000</v>
      </c>
      <c r="AE597" s="303">
        <f t="shared" ref="AE597:AE660" si="20">AC597-AD597</f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>
        <v>30000000</v>
      </c>
      <c r="BD597" s="306"/>
      <c r="BE597" s="306"/>
      <c r="BF597" s="306"/>
      <c r="BG597" s="308"/>
      <c r="BH597" s="309"/>
    </row>
    <row r="598" spans="1:60" s="310" customFormat="1" ht="16.5" customHeight="1">
      <c r="A598" s="290">
        <v>578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702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45</v>
      </c>
      <c r="R598" s="292" t="s">
        <v>356</v>
      </c>
      <c r="S598" s="297" t="s">
        <v>686</v>
      </c>
      <c r="T598" s="298"/>
      <c r="U598" s="299"/>
      <c r="V598" s="299">
        <v>0</v>
      </c>
      <c r="W598" s="300">
        <v>0</v>
      </c>
      <c r="X598" s="301"/>
      <c r="Y598" s="292" t="s">
        <v>29</v>
      </c>
      <c r="Z598" s="302" t="s">
        <v>29</v>
      </c>
      <c r="AA598" s="317"/>
      <c r="AB598" s="317"/>
      <c r="AC598" s="303">
        <f t="shared" si="19"/>
        <v>0</v>
      </c>
      <c r="AD598" s="303">
        <v>0</v>
      </c>
      <c r="AE598" s="303">
        <f t="shared" si="20"/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customHeight="1">
      <c r="A599" s="290">
        <v>579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702</v>
      </c>
      <c r="H599" s="311"/>
      <c r="I599" s="295"/>
      <c r="J599" s="296" t="s">
        <v>121</v>
      </c>
      <c r="K599" s="292"/>
      <c r="L599" s="292"/>
      <c r="M599" s="292">
        <v>57130</v>
      </c>
      <c r="N599" s="292" t="s">
        <v>26</v>
      </c>
      <c r="O599" s="292"/>
      <c r="P599" s="292"/>
      <c r="Q599" s="292" t="s">
        <v>33</v>
      </c>
      <c r="R599" s="292" t="s">
        <v>34</v>
      </c>
      <c r="S599" s="297" t="s">
        <v>34</v>
      </c>
      <c r="T599" s="298"/>
      <c r="U599" s="299">
        <v>22000000</v>
      </c>
      <c r="V599" s="299">
        <v>13000000</v>
      </c>
      <c r="W599" s="300">
        <v>0</v>
      </c>
      <c r="X599" s="301"/>
      <c r="Y599" s="292" t="s">
        <v>441</v>
      </c>
      <c r="Z599" s="302" t="s">
        <v>441</v>
      </c>
      <c r="AA599" s="317"/>
      <c r="AB599" s="317"/>
      <c r="AC599" s="303">
        <f t="shared" si="19"/>
        <v>0</v>
      </c>
      <c r="AD599" s="303">
        <v>0</v>
      </c>
      <c r="AE599" s="303">
        <f t="shared" si="20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customHeight="1">
      <c r="A600" s="290">
        <v>580</v>
      </c>
      <c r="B600" s="291"/>
      <c r="C600" s="291"/>
      <c r="D600" s="292" t="s">
        <v>208</v>
      </c>
      <c r="E600" s="292" t="s">
        <v>1</v>
      </c>
      <c r="F600" s="293" t="s">
        <v>208</v>
      </c>
      <c r="G600" s="294" t="s">
        <v>702</v>
      </c>
      <c r="H600" s="311"/>
      <c r="I600" s="295"/>
      <c r="J600" s="296" t="s">
        <v>62</v>
      </c>
      <c r="K600" s="292"/>
      <c r="L600" s="292"/>
      <c r="M600" s="292">
        <v>30136</v>
      </c>
      <c r="N600" s="292" t="s">
        <v>44</v>
      </c>
      <c r="O600" s="292"/>
      <c r="P600" s="292"/>
      <c r="Q600" s="292" t="s">
        <v>33</v>
      </c>
      <c r="R600" s="292" t="s">
        <v>34</v>
      </c>
      <c r="S600" s="297" t="s">
        <v>34</v>
      </c>
      <c r="T600" s="298"/>
      <c r="U600" s="299">
        <v>385200</v>
      </c>
      <c r="V600" s="299">
        <v>0</v>
      </c>
      <c r="W600" s="300">
        <v>0</v>
      </c>
      <c r="X600" s="301"/>
      <c r="Y600" s="292" t="s">
        <v>29</v>
      </c>
      <c r="Z600" s="302" t="s">
        <v>29</v>
      </c>
      <c r="AA600" s="317"/>
      <c r="AB600" s="317"/>
      <c r="AC600" s="303">
        <f t="shared" si="19"/>
        <v>10000000</v>
      </c>
      <c r="AD600" s="303">
        <v>10000000</v>
      </c>
      <c r="AE600" s="303">
        <f t="shared" si="20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/>
      <c r="BD600" s="306"/>
      <c r="BE600" s="306">
        <v>10000000</v>
      </c>
      <c r="BF600" s="306"/>
      <c r="BG600" s="308"/>
      <c r="BH600" s="309"/>
    </row>
    <row r="601" spans="1:60" s="310" customFormat="1" ht="16.5" customHeight="1">
      <c r="A601" s="290">
        <v>581</v>
      </c>
      <c r="B601" s="291"/>
      <c r="C601" s="291"/>
      <c r="D601" s="292" t="s">
        <v>208</v>
      </c>
      <c r="E601" s="292" t="s">
        <v>1</v>
      </c>
      <c r="F601" s="293" t="s">
        <v>208</v>
      </c>
      <c r="G601" s="294" t="s">
        <v>702</v>
      </c>
      <c r="H601" s="311"/>
      <c r="I601" s="295"/>
      <c r="J601" s="296" t="s">
        <v>63</v>
      </c>
      <c r="K601" s="292"/>
      <c r="L601" s="292"/>
      <c r="M601" s="292">
        <v>45681</v>
      </c>
      <c r="N601" s="292" t="s">
        <v>26</v>
      </c>
      <c r="O601" s="292"/>
      <c r="P601" s="292"/>
      <c r="Q601" s="292" t="s">
        <v>27</v>
      </c>
      <c r="R601" s="292" t="s">
        <v>273</v>
      </c>
      <c r="S601" s="297" t="s">
        <v>683</v>
      </c>
      <c r="T601" s="298"/>
      <c r="U601" s="299">
        <v>35000000</v>
      </c>
      <c r="V601" s="299">
        <v>15000000</v>
      </c>
      <c r="W601" s="300">
        <v>7000000</v>
      </c>
      <c r="X601" s="301"/>
      <c r="Y601" s="292" t="s">
        <v>31</v>
      </c>
      <c r="Z601" s="302" t="s">
        <v>28</v>
      </c>
      <c r="AA601" s="317"/>
      <c r="AB601" s="317"/>
      <c r="AC601" s="303">
        <f t="shared" si="19"/>
        <v>7000000</v>
      </c>
      <c r="AD601" s="303">
        <v>7000000</v>
      </c>
      <c r="AE601" s="303">
        <f t="shared" si="20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>
        <v>7000000</v>
      </c>
      <c r="BF601" s="306"/>
      <c r="BG601" s="308"/>
      <c r="BH601" s="309"/>
    </row>
    <row r="602" spans="1:60" s="310" customFormat="1" ht="16.5" customHeight="1">
      <c r="A602" s="290">
        <v>582</v>
      </c>
      <c r="B602" s="291"/>
      <c r="C602" s="291"/>
      <c r="D602" s="292" t="s">
        <v>208</v>
      </c>
      <c r="E602" s="292" t="s">
        <v>246</v>
      </c>
      <c r="F602" s="293" t="s">
        <v>208</v>
      </c>
      <c r="G602" s="294" t="s">
        <v>702</v>
      </c>
      <c r="H602" s="311"/>
      <c r="I602" s="295"/>
      <c r="J602" s="296" t="s">
        <v>160</v>
      </c>
      <c r="K602" s="292"/>
      <c r="L602" s="292"/>
      <c r="M602" s="292">
        <v>784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/>
      <c r="V602" s="299">
        <v>0</v>
      </c>
      <c r="W602" s="300">
        <v>0</v>
      </c>
      <c r="X602" s="301"/>
      <c r="Y602" s="292" t="s">
        <v>28</v>
      </c>
      <c r="Z602" s="302" t="s">
        <v>28</v>
      </c>
      <c r="AA602" s="317"/>
      <c r="AB602" s="317"/>
      <c r="AC602" s="303">
        <f t="shared" si="19"/>
        <v>10000000</v>
      </c>
      <c r="AD602" s="303">
        <v>10000000</v>
      </c>
      <c r="AE602" s="303">
        <f t="shared" si="20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>
        <v>10000000</v>
      </c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customHeight="1">
      <c r="A603" s="290">
        <v>583</v>
      </c>
      <c r="B603" s="291"/>
      <c r="C603" s="291"/>
      <c r="D603" s="292" t="s">
        <v>208</v>
      </c>
      <c r="E603" s="292" t="s">
        <v>4</v>
      </c>
      <c r="F603" s="293" t="s">
        <v>208</v>
      </c>
      <c r="G603" s="294" t="s">
        <v>702</v>
      </c>
      <c r="H603" s="311"/>
      <c r="I603" s="295"/>
      <c r="J603" s="296" t="s">
        <v>141</v>
      </c>
      <c r="K603" s="292"/>
      <c r="L603" s="292"/>
      <c r="M603" s="292">
        <v>48591</v>
      </c>
      <c r="N603" s="292" t="s">
        <v>26</v>
      </c>
      <c r="O603" s="292"/>
      <c r="P603" s="292"/>
      <c r="Q603" s="292" t="s">
        <v>33</v>
      </c>
      <c r="R603" s="292" t="s">
        <v>23</v>
      </c>
      <c r="S603" s="297" t="s">
        <v>23</v>
      </c>
      <c r="T603" s="298"/>
      <c r="U603" s="299"/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19"/>
        <v>5000000</v>
      </c>
      <c r="AD603" s="303">
        <v>5000000</v>
      </c>
      <c r="AE603" s="303">
        <f t="shared" si="20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5000000</v>
      </c>
      <c r="BF603" s="306"/>
      <c r="BG603" s="308"/>
      <c r="BH603" s="309"/>
    </row>
    <row r="604" spans="1:60" s="310" customFormat="1" ht="16.5" customHeight="1">
      <c r="A604" s="290">
        <v>584</v>
      </c>
      <c r="B604" s="291"/>
      <c r="C604" s="291"/>
      <c r="D604" s="292" t="s">
        <v>208</v>
      </c>
      <c r="E604" s="292" t="s">
        <v>246</v>
      </c>
      <c r="F604" s="293" t="s">
        <v>208</v>
      </c>
      <c r="G604" s="294" t="s">
        <v>702</v>
      </c>
      <c r="H604" s="311"/>
      <c r="I604" s="295"/>
      <c r="J604" s="296" t="s">
        <v>254</v>
      </c>
      <c r="K604" s="292"/>
      <c r="L604" s="292"/>
      <c r="M604" s="292">
        <v>24615</v>
      </c>
      <c r="N604" s="292"/>
      <c r="O604" s="292"/>
      <c r="P604" s="292"/>
      <c r="Q604" s="292" t="s">
        <v>33</v>
      </c>
      <c r="R604" s="292" t="s">
        <v>34</v>
      </c>
      <c r="S604" s="297" t="s">
        <v>34</v>
      </c>
      <c r="T604" s="298"/>
      <c r="U604" s="299">
        <v>7400000</v>
      </c>
      <c r="V604" s="299">
        <v>0</v>
      </c>
      <c r="W604" s="300">
        <v>0</v>
      </c>
      <c r="X604" s="301"/>
      <c r="Y604" s="292" t="s">
        <v>29</v>
      </c>
      <c r="Z604" s="302" t="s">
        <v>25</v>
      </c>
      <c r="AA604" s="317"/>
      <c r="AB604" s="317"/>
      <c r="AC604" s="303">
        <f t="shared" si="19"/>
        <v>0</v>
      </c>
      <c r="AD604" s="303">
        <v>0</v>
      </c>
      <c r="AE604" s="303">
        <f t="shared" si="20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/>
      <c r="BF604" s="306"/>
      <c r="BG604" s="308"/>
      <c r="BH604" s="309"/>
    </row>
    <row r="605" spans="1:60" s="310" customFormat="1" ht="16.5" customHeight="1">
      <c r="A605" s="290">
        <v>585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702</v>
      </c>
      <c r="H605" s="311"/>
      <c r="I605" s="295"/>
      <c r="J605" s="296" t="s">
        <v>256</v>
      </c>
      <c r="K605" s="292"/>
      <c r="L605" s="292"/>
      <c r="M605" s="292">
        <v>19432</v>
      </c>
      <c r="N605" s="292" t="s">
        <v>44</v>
      </c>
      <c r="O605" s="292" t="s">
        <v>47</v>
      </c>
      <c r="P605" s="292" t="s">
        <v>48</v>
      </c>
      <c r="Q605" s="292" t="s">
        <v>33</v>
      </c>
      <c r="R605" s="292" t="s">
        <v>34</v>
      </c>
      <c r="S605" s="297" t="s">
        <v>34</v>
      </c>
      <c r="T605" s="298"/>
      <c r="U605" s="299">
        <v>2096500</v>
      </c>
      <c r="V605" s="299">
        <v>0</v>
      </c>
      <c r="W605" s="300">
        <v>21564500</v>
      </c>
      <c r="X605" s="301"/>
      <c r="Y605" s="292" t="s">
        <v>31</v>
      </c>
      <c r="Z605" s="302" t="s">
        <v>31</v>
      </c>
      <c r="AA605" s="317"/>
      <c r="AB605" s="317"/>
      <c r="AC605" s="303">
        <f t="shared" si="19"/>
        <v>20000000</v>
      </c>
      <c r="AD605" s="303">
        <v>20000000</v>
      </c>
      <c r="AE605" s="303">
        <f t="shared" si="20"/>
        <v>0</v>
      </c>
      <c r="AF605" s="304"/>
      <c r="AG605" s="305">
        <v>14545455</v>
      </c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>
        <v>5454545</v>
      </c>
      <c r="AX605" s="306"/>
      <c r="AY605" s="306"/>
      <c r="AZ605" s="306"/>
      <c r="BA605" s="306"/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customHeight="1">
      <c r="A606" s="290">
        <v>586</v>
      </c>
      <c r="B606" s="291"/>
      <c r="C606" s="291"/>
      <c r="D606" s="292" t="s">
        <v>208</v>
      </c>
      <c r="E606" s="292" t="s">
        <v>246</v>
      </c>
      <c r="F606" s="293" t="s">
        <v>208</v>
      </c>
      <c r="G606" s="294" t="s">
        <v>702</v>
      </c>
      <c r="H606" s="311"/>
      <c r="I606" s="295"/>
      <c r="J606" s="296" t="s">
        <v>257</v>
      </c>
      <c r="K606" s="292"/>
      <c r="L606" s="292"/>
      <c r="M606" s="292">
        <v>17031</v>
      </c>
      <c r="N606" s="292" t="s">
        <v>26</v>
      </c>
      <c r="O606" s="292" t="s">
        <v>47</v>
      </c>
      <c r="P606" s="292" t="s">
        <v>47</v>
      </c>
      <c r="Q606" s="292" t="s">
        <v>33</v>
      </c>
      <c r="R606" s="292" t="s">
        <v>34</v>
      </c>
      <c r="S606" s="297" t="s">
        <v>34</v>
      </c>
      <c r="T606" s="298"/>
      <c r="U606" s="299">
        <v>3540000</v>
      </c>
      <c r="V606" s="299">
        <v>5180000</v>
      </c>
      <c r="W606" s="300">
        <v>1168000</v>
      </c>
      <c r="X606" s="301"/>
      <c r="Y606" s="292" t="s">
        <v>28</v>
      </c>
      <c r="Z606" s="302" t="s">
        <v>28</v>
      </c>
      <c r="AA606" s="317"/>
      <c r="AB606" s="317"/>
      <c r="AC606" s="303">
        <f t="shared" si="19"/>
        <v>3000000</v>
      </c>
      <c r="AD606" s="303">
        <v>3000000</v>
      </c>
      <c r="AE606" s="303">
        <f t="shared" si="20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>
        <v>3000000</v>
      </c>
      <c r="AZ606" s="306"/>
      <c r="BA606" s="306"/>
      <c r="BB606" s="306"/>
      <c r="BC606" s="306"/>
      <c r="BD606" s="306"/>
      <c r="BE606" s="306"/>
      <c r="BF606" s="306"/>
      <c r="BG606" s="308"/>
      <c r="BH606" s="309"/>
    </row>
    <row r="607" spans="1:60" s="310" customFormat="1" ht="16.5" customHeight="1">
      <c r="A607" s="290">
        <v>587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702</v>
      </c>
      <c r="H607" s="311"/>
      <c r="I607" s="295"/>
      <c r="J607" s="296" t="s">
        <v>258</v>
      </c>
      <c r="K607" s="292"/>
      <c r="L607" s="292"/>
      <c r="M607" s="292">
        <v>16140</v>
      </c>
      <c r="N607" s="292" t="s">
        <v>26</v>
      </c>
      <c r="O607" s="292" t="s">
        <v>47</v>
      </c>
      <c r="P607" s="292" t="s">
        <v>47</v>
      </c>
      <c r="Q607" s="292" t="s">
        <v>22</v>
      </c>
      <c r="R607" s="292" t="s">
        <v>23</v>
      </c>
      <c r="S607" s="297" t="s">
        <v>23</v>
      </c>
      <c r="T607" s="298"/>
      <c r="U607" s="299">
        <v>3530000</v>
      </c>
      <c r="V607" s="299">
        <v>3170000</v>
      </c>
      <c r="W607" s="300">
        <v>3310000</v>
      </c>
      <c r="X607" s="301"/>
      <c r="Y607" s="292" t="s">
        <v>29</v>
      </c>
      <c r="Z607" s="302" t="s">
        <v>29</v>
      </c>
      <c r="AA607" s="317"/>
      <c r="AB607" s="317"/>
      <c r="AC607" s="303">
        <f t="shared" si="19"/>
        <v>3000000</v>
      </c>
      <c r="AD607" s="303">
        <v>3000000</v>
      </c>
      <c r="AE607" s="303">
        <f t="shared" si="20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>
        <v>3000000</v>
      </c>
      <c r="BF607" s="306"/>
      <c r="BG607" s="308"/>
      <c r="BH607" s="309"/>
    </row>
    <row r="608" spans="1:60" s="310" customFormat="1" ht="16.5" customHeight="1">
      <c r="A608" s="290">
        <v>588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702</v>
      </c>
      <c r="H608" s="311"/>
      <c r="I608" s="295"/>
      <c r="J608" s="296" t="s">
        <v>258</v>
      </c>
      <c r="K608" s="292"/>
      <c r="L608" s="292"/>
      <c r="M608" s="292">
        <v>16140</v>
      </c>
      <c r="N608" s="292" t="s">
        <v>26</v>
      </c>
      <c r="O608" s="292" t="s">
        <v>47</v>
      </c>
      <c r="P608" s="292" t="s">
        <v>47</v>
      </c>
      <c r="Q608" s="292" t="s">
        <v>30</v>
      </c>
      <c r="R608" s="292" t="s">
        <v>353</v>
      </c>
      <c r="S608" s="297" t="s">
        <v>353</v>
      </c>
      <c r="T608" s="298"/>
      <c r="U608" s="299">
        <v>9300000</v>
      </c>
      <c r="V608" s="299">
        <v>0</v>
      </c>
      <c r="W608" s="300">
        <v>0</v>
      </c>
      <c r="X608" s="301"/>
      <c r="Y608" s="292" t="s">
        <v>29</v>
      </c>
      <c r="Z608" s="302" t="s">
        <v>29</v>
      </c>
      <c r="AA608" s="317"/>
      <c r="AB608" s="317"/>
      <c r="AC608" s="303">
        <f t="shared" si="19"/>
        <v>0</v>
      </c>
      <c r="AD608" s="303">
        <v>0</v>
      </c>
      <c r="AE608" s="303">
        <f t="shared" si="20"/>
        <v>0</v>
      </c>
      <c r="AF608" s="304"/>
      <c r="AG608" s="305"/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/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customHeight="1">
      <c r="A609" s="290">
        <v>589</v>
      </c>
      <c r="B609" s="291"/>
      <c r="C609" s="291"/>
      <c r="D609" s="292" t="s">
        <v>208</v>
      </c>
      <c r="E609" s="292" t="s">
        <v>1</v>
      </c>
      <c r="F609" s="293" t="s">
        <v>208</v>
      </c>
      <c r="G609" s="294" t="s">
        <v>702</v>
      </c>
      <c r="H609" s="311"/>
      <c r="I609" s="295"/>
      <c r="J609" s="296" t="s">
        <v>447</v>
      </c>
      <c r="K609" s="292"/>
      <c r="L609" s="292"/>
      <c r="M609" s="292">
        <v>21908</v>
      </c>
      <c r="N609" s="292" t="s">
        <v>21</v>
      </c>
      <c r="O609" s="292"/>
      <c r="P609" s="292"/>
      <c r="Q609" s="292" t="s">
        <v>33</v>
      </c>
      <c r="R609" s="292" t="s">
        <v>34</v>
      </c>
      <c r="S609" s="297" t="s">
        <v>34</v>
      </c>
      <c r="T609" s="298"/>
      <c r="U609" s="299">
        <v>720000</v>
      </c>
      <c r="V609" s="299">
        <v>97500</v>
      </c>
      <c r="W609" s="300">
        <v>457500</v>
      </c>
      <c r="X609" s="301"/>
      <c r="Y609" s="292" t="s">
        <v>31</v>
      </c>
      <c r="Z609" s="302" t="s">
        <v>31</v>
      </c>
      <c r="AA609" s="317"/>
      <c r="AB609" s="317"/>
      <c r="AC609" s="303">
        <f t="shared" si="19"/>
        <v>0</v>
      </c>
      <c r="AD609" s="303">
        <v>0</v>
      </c>
      <c r="AE609" s="303">
        <f t="shared" si="20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/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customHeight="1">
      <c r="A610" s="290">
        <v>590</v>
      </c>
      <c r="B610" s="291"/>
      <c r="C610" s="291"/>
      <c r="D610" s="292" t="s">
        <v>208</v>
      </c>
      <c r="E610" s="292" t="s">
        <v>1</v>
      </c>
      <c r="F610" s="293" t="s">
        <v>208</v>
      </c>
      <c r="G610" s="294" t="s">
        <v>702</v>
      </c>
      <c r="H610" s="311"/>
      <c r="I610" s="295"/>
      <c r="J610" s="296" t="s">
        <v>447</v>
      </c>
      <c r="K610" s="292"/>
      <c r="L610" s="292"/>
      <c r="M610" s="292">
        <v>21908</v>
      </c>
      <c r="N610" s="292" t="s">
        <v>21</v>
      </c>
      <c r="O610" s="292"/>
      <c r="P610" s="292"/>
      <c r="Q610" s="292" t="s">
        <v>30</v>
      </c>
      <c r="R610" s="292" t="s">
        <v>353</v>
      </c>
      <c r="S610" s="297" t="s">
        <v>353</v>
      </c>
      <c r="T610" s="298"/>
      <c r="U610" s="299"/>
      <c r="V610" s="299">
        <v>0</v>
      </c>
      <c r="W610" s="300">
        <v>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19"/>
        <v>20000000</v>
      </c>
      <c r="AD610" s="303">
        <v>20000000</v>
      </c>
      <c r="AE610" s="303">
        <f t="shared" si="20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20000000</v>
      </c>
      <c r="BF610" s="306"/>
      <c r="BG610" s="308"/>
      <c r="BH610" s="309"/>
    </row>
    <row r="611" spans="1:60" s="310" customFormat="1" ht="16.5" customHeight="1">
      <c r="A611" s="290">
        <v>591</v>
      </c>
      <c r="B611" s="291"/>
      <c r="C611" s="291"/>
      <c r="D611" s="292" t="s">
        <v>208</v>
      </c>
      <c r="E611" s="292" t="s">
        <v>1</v>
      </c>
      <c r="F611" s="293" t="s">
        <v>208</v>
      </c>
      <c r="G611" s="294" t="s">
        <v>702</v>
      </c>
      <c r="H611" s="311"/>
      <c r="I611" s="295"/>
      <c r="J611" s="296" t="s">
        <v>448</v>
      </c>
      <c r="K611" s="292"/>
      <c r="L611" s="292"/>
      <c r="M611" s="292">
        <v>21907</v>
      </c>
      <c r="N611" s="292" t="s">
        <v>38</v>
      </c>
      <c r="O611" s="292"/>
      <c r="P611" s="292"/>
      <c r="Q611" s="292" t="s">
        <v>33</v>
      </c>
      <c r="R611" s="292" t="s">
        <v>34</v>
      </c>
      <c r="S611" s="297" t="s">
        <v>34</v>
      </c>
      <c r="T611" s="298"/>
      <c r="U611" s="299">
        <v>9682500</v>
      </c>
      <c r="V611" s="299">
        <v>3682500</v>
      </c>
      <c r="W611" s="300">
        <v>9240000</v>
      </c>
      <c r="X611" s="301"/>
      <c r="Y611" s="292" t="s">
        <v>31</v>
      </c>
      <c r="Z611" s="302" t="s">
        <v>31</v>
      </c>
      <c r="AA611" s="317"/>
      <c r="AB611" s="317"/>
      <c r="AC611" s="303">
        <f t="shared" si="19"/>
        <v>2620000</v>
      </c>
      <c r="AD611" s="303">
        <v>2620000</v>
      </c>
      <c r="AE611" s="303">
        <f t="shared" si="20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>
        <v>2620000</v>
      </c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customHeight="1">
      <c r="A612" s="290">
        <v>592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702</v>
      </c>
      <c r="H612" s="311"/>
      <c r="I612" s="295"/>
      <c r="J612" s="296" t="s">
        <v>448</v>
      </c>
      <c r="K612" s="292"/>
      <c r="L612" s="292"/>
      <c r="M612" s="292">
        <v>21907</v>
      </c>
      <c r="N612" s="292" t="s">
        <v>21</v>
      </c>
      <c r="O612" s="292"/>
      <c r="P612" s="292"/>
      <c r="Q612" s="292" t="s">
        <v>30</v>
      </c>
      <c r="R612" s="292" t="s">
        <v>353</v>
      </c>
      <c r="S612" s="297" t="s">
        <v>353</v>
      </c>
      <c r="T612" s="298"/>
      <c r="U612" s="299"/>
      <c r="V612" s="299">
        <v>0</v>
      </c>
      <c r="W612" s="300">
        <v>0</v>
      </c>
      <c r="X612" s="301"/>
      <c r="Y612" s="292" t="s">
        <v>29</v>
      </c>
      <c r="Z612" s="302" t="s">
        <v>29</v>
      </c>
      <c r="AA612" s="317"/>
      <c r="AB612" s="317"/>
      <c r="AC612" s="303">
        <f t="shared" si="19"/>
        <v>10000000</v>
      </c>
      <c r="AD612" s="303">
        <v>10000000</v>
      </c>
      <c r="AE612" s="303">
        <f t="shared" si="20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>
        <v>10000000</v>
      </c>
      <c r="BF612" s="306"/>
      <c r="BG612" s="308"/>
      <c r="BH612" s="309"/>
    </row>
    <row r="613" spans="1:60" s="310" customFormat="1" ht="16.5" customHeight="1">
      <c r="A613" s="290">
        <v>593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702</v>
      </c>
      <c r="H613" s="311"/>
      <c r="I613" s="295"/>
      <c r="J613" s="296" t="s">
        <v>522</v>
      </c>
      <c r="K613" s="292"/>
      <c r="L613" s="292"/>
      <c r="M613" s="292">
        <v>17318</v>
      </c>
      <c r="N613" s="292" t="s">
        <v>21</v>
      </c>
      <c r="O613" s="292"/>
      <c r="P613" s="292"/>
      <c r="Q613" s="292" t="s">
        <v>33</v>
      </c>
      <c r="R613" s="292" t="s">
        <v>34</v>
      </c>
      <c r="S613" s="297" t="s">
        <v>34</v>
      </c>
      <c r="T613" s="298"/>
      <c r="U613" s="299">
        <v>8372500</v>
      </c>
      <c r="V613" s="299">
        <v>3895000</v>
      </c>
      <c r="W613" s="300">
        <v>5793000</v>
      </c>
      <c r="X613" s="301"/>
      <c r="Y613" s="292" t="s">
        <v>31</v>
      </c>
      <c r="Z613" s="302" t="s">
        <v>31</v>
      </c>
      <c r="AA613" s="317"/>
      <c r="AB613" s="317"/>
      <c r="AC613" s="303">
        <f t="shared" si="19"/>
        <v>0</v>
      </c>
      <c r="AD613" s="303">
        <v>0</v>
      </c>
      <c r="AE613" s="303">
        <f t="shared" si="20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/>
      <c r="BF613" s="306"/>
      <c r="BG613" s="308"/>
      <c r="BH613" s="309"/>
    </row>
    <row r="614" spans="1:60" s="310" customFormat="1" ht="16.5" customHeight="1">
      <c r="A614" s="290">
        <v>594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702</v>
      </c>
      <c r="H614" s="311"/>
      <c r="I614" s="295"/>
      <c r="J614" s="296" t="s">
        <v>522</v>
      </c>
      <c r="K614" s="292"/>
      <c r="L614" s="292"/>
      <c r="M614" s="292">
        <v>17318</v>
      </c>
      <c r="N614" s="292" t="s">
        <v>21</v>
      </c>
      <c r="O614" s="292"/>
      <c r="P614" s="292"/>
      <c r="Q614" s="292"/>
      <c r="R614" s="292" t="s">
        <v>353</v>
      </c>
      <c r="S614" s="297" t="s">
        <v>353</v>
      </c>
      <c r="T614" s="298"/>
      <c r="U614" s="299"/>
      <c r="V614" s="299"/>
      <c r="W614" s="300">
        <v>0</v>
      </c>
      <c r="X614" s="301"/>
      <c r="Y614" s="292" t="s">
        <v>29</v>
      </c>
      <c r="Z614" s="302" t="s">
        <v>29</v>
      </c>
      <c r="AA614" s="317"/>
      <c r="AB614" s="317"/>
      <c r="AC614" s="303">
        <f t="shared" si="19"/>
        <v>10000000</v>
      </c>
      <c r="AD614" s="303">
        <v>10000000</v>
      </c>
      <c r="AE614" s="303">
        <f t="shared" si="20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/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>
        <v>10000000</v>
      </c>
      <c r="BF614" s="306"/>
      <c r="BG614" s="308"/>
      <c r="BH614" s="309"/>
    </row>
    <row r="615" spans="1:60" s="310" customFormat="1" ht="16.5" customHeight="1">
      <c r="A615" s="290">
        <v>595</v>
      </c>
      <c r="B615" s="291"/>
      <c r="C615" s="291"/>
      <c r="D615" s="292"/>
      <c r="E615" s="292"/>
      <c r="F615" s="293" t="s">
        <v>208</v>
      </c>
      <c r="G615" s="294" t="s">
        <v>702</v>
      </c>
      <c r="H615" s="311"/>
      <c r="I615" s="295"/>
      <c r="J615" s="296" t="s">
        <v>715</v>
      </c>
      <c r="K615" s="292"/>
      <c r="L615" s="292"/>
      <c r="M615" s="292">
        <v>63167</v>
      </c>
      <c r="N615" s="292"/>
      <c r="O615" s="292"/>
      <c r="P615" s="292"/>
      <c r="Q615" s="292"/>
      <c r="R615" s="292"/>
      <c r="S615" s="297" t="s">
        <v>34</v>
      </c>
      <c r="T615" s="298"/>
      <c r="U615" s="299"/>
      <c r="V615" s="299"/>
      <c r="W615" s="300">
        <v>390000</v>
      </c>
      <c r="X615" s="301"/>
      <c r="Y615" s="292"/>
      <c r="Z615" s="302" t="s">
        <v>31</v>
      </c>
      <c r="AA615" s="317"/>
      <c r="AB615" s="317"/>
      <c r="AC615" s="303">
        <f t="shared" si="19"/>
        <v>10000</v>
      </c>
      <c r="AD615" s="303">
        <v>10000</v>
      </c>
      <c r="AE615" s="303">
        <f t="shared" si="20"/>
        <v>0</v>
      </c>
      <c r="AF615" s="304"/>
      <c r="AG615" s="305"/>
      <c r="AH615" s="304"/>
      <c r="AI615" s="304"/>
      <c r="AJ615" s="305">
        <v>5000</v>
      </c>
      <c r="AK615" s="304"/>
      <c r="AL615" s="306">
        <v>5000</v>
      </c>
      <c r="AM615" s="318">
        <v>5000</v>
      </c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/>
      <c r="BF615" s="306"/>
      <c r="BG615" s="308"/>
      <c r="BH615" s="309"/>
    </row>
    <row r="616" spans="1:60" s="310" customFormat="1" ht="16.5" customHeight="1">
      <c r="A616" s="290">
        <v>596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702</v>
      </c>
      <c r="H616" s="311"/>
      <c r="I616" s="295"/>
      <c r="J616" s="296" t="s">
        <v>450</v>
      </c>
      <c r="K616" s="292"/>
      <c r="L616" s="292"/>
      <c r="M616" s="292">
        <v>21909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1425000</v>
      </c>
      <c r="V616" s="299">
        <v>1475000</v>
      </c>
      <c r="W616" s="300">
        <v>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19"/>
        <v>0</v>
      </c>
      <c r="AD616" s="303">
        <v>0</v>
      </c>
      <c r="AE616" s="303">
        <f t="shared" si="20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customHeight="1">
      <c r="A617" s="290">
        <v>597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702</v>
      </c>
      <c r="H617" s="311"/>
      <c r="I617" s="295"/>
      <c r="J617" s="296" t="s">
        <v>450</v>
      </c>
      <c r="K617" s="292"/>
      <c r="L617" s="292"/>
      <c r="M617" s="292">
        <v>21909</v>
      </c>
      <c r="N617" s="292" t="s">
        <v>21</v>
      </c>
      <c r="O617" s="292"/>
      <c r="P617" s="292"/>
      <c r="Q617" s="292" t="s">
        <v>30</v>
      </c>
      <c r="R617" s="292" t="s">
        <v>353</v>
      </c>
      <c r="S617" s="297" t="s">
        <v>353</v>
      </c>
      <c r="T617" s="298"/>
      <c r="U617" s="299"/>
      <c r="V617" s="299">
        <v>0</v>
      </c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19"/>
        <v>10000000</v>
      </c>
      <c r="AD617" s="303">
        <v>10000000</v>
      </c>
      <c r="AE617" s="303">
        <f t="shared" si="20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customHeight="1">
      <c r="A618" s="290">
        <v>598</v>
      </c>
      <c r="B618" s="291"/>
      <c r="C618" s="291"/>
      <c r="D618" s="292" t="s">
        <v>208</v>
      </c>
      <c r="E618" s="292" t="s">
        <v>1</v>
      </c>
      <c r="F618" s="293" t="s">
        <v>208</v>
      </c>
      <c r="G618" s="294" t="s">
        <v>702</v>
      </c>
      <c r="H618" s="311"/>
      <c r="I618" s="295"/>
      <c r="J618" s="296" t="s">
        <v>451</v>
      </c>
      <c r="K618" s="292"/>
      <c r="L618" s="292"/>
      <c r="M618" s="292">
        <v>21910</v>
      </c>
      <c r="N618" s="292" t="s">
        <v>38</v>
      </c>
      <c r="O618" s="292"/>
      <c r="P618" s="292"/>
      <c r="Q618" s="292" t="s">
        <v>33</v>
      </c>
      <c r="R618" s="292" t="s">
        <v>34</v>
      </c>
      <c r="S618" s="297" t="s">
        <v>34</v>
      </c>
      <c r="T618" s="298"/>
      <c r="U618" s="299">
        <v>3858800</v>
      </c>
      <c r="V618" s="299">
        <v>2547500</v>
      </c>
      <c r="W618" s="300">
        <v>3517500</v>
      </c>
      <c r="X618" s="301"/>
      <c r="Y618" s="292" t="s">
        <v>31</v>
      </c>
      <c r="Z618" s="302" t="s">
        <v>31</v>
      </c>
      <c r="AA618" s="317"/>
      <c r="AB618" s="317"/>
      <c r="AC618" s="303">
        <f t="shared" si="19"/>
        <v>0</v>
      </c>
      <c r="AD618" s="303">
        <v>0</v>
      </c>
      <c r="AE618" s="303">
        <f t="shared" si="20"/>
        <v>0</v>
      </c>
      <c r="AF618" s="304"/>
      <c r="AG618" s="305"/>
      <c r="AH618" s="304"/>
      <c r="AI618" s="304"/>
      <c r="AJ618" s="305"/>
      <c r="AK618" s="304"/>
      <c r="AL618" s="306"/>
      <c r="AM618" s="318"/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customHeight="1">
      <c r="A619" s="290">
        <v>599</v>
      </c>
      <c r="B619" s="291"/>
      <c r="C619" s="291"/>
      <c r="D619" s="292" t="s">
        <v>184</v>
      </c>
      <c r="E619" s="292" t="s">
        <v>555</v>
      </c>
      <c r="F619" s="293" t="s">
        <v>208</v>
      </c>
      <c r="G619" s="294" t="s">
        <v>702</v>
      </c>
      <c r="H619" s="311"/>
      <c r="I619" s="295"/>
      <c r="J619" s="296" t="s">
        <v>628</v>
      </c>
      <c r="K619" s="292"/>
      <c r="L619" s="292"/>
      <c r="M619" s="292">
        <v>60609</v>
      </c>
      <c r="N619" s="292"/>
      <c r="O619" s="292"/>
      <c r="P619" s="292"/>
      <c r="Q619" s="292"/>
      <c r="R619" s="292" t="s">
        <v>32</v>
      </c>
      <c r="S619" s="297" t="s">
        <v>32</v>
      </c>
      <c r="T619" s="298"/>
      <c r="U619" s="299"/>
      <c r="V619" s="299"/>
      <c r="W619" s="300">
        <v>1825800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19"/>
        <v>1991000</v>
      </c>
      <c r="AD619" s="303">
        <v>1991000</v>
      </c>
      <c r="AE619" s="303">
        <f t="shared" si="20"/>
        <v>0</v>
      </c>
      <c r="AF619" s="304"/>
      <c r="AG619" s="305">
        <v>94000</v>
      </c>
      <c r="AH619" s="304"/>
      <c r="AI619" s="304"/>
      <c r="AJ619" s="305">
        <v>125000</v>
      </c>
      <c r="AK619" s="304"/>
      <c r="AL619" s="306"/>
      <c r="AM619" s="318">
        <v>160000</v>
      </c>
      <c r="AN619" s="306"/>
      <c r="AO619" s="307">
        <v>1612000</v>
      </c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customHeight="1">
      <c r="A620" s="290">
        <v>600</v>
      </c>
      <c r="B620" s="291"/>
      <c r="C620" s="291"/>
      <c r="D620" s="292" t="s">
        <v>184</v>
      </c>
      <c r="E620" s="292" t="s">
        <v>560</v>
      </c>
      <c r="F620" s="293" t="s">
        <v>208</v>
      </c>
      <c r="G620" s="294" t="s">
        <v>702</v>
      </c>
      <c r="H620" s="311"/>
      <c r="I620" s="295"/>
      <c r="J620" s="296" t="s">
        <v>628</v>
      </c>
      <c r="K620" s="292"/>
      <c r="L620" s="292"/>
      <c r="M620" s="292">
        <v>60609</v>
      </c>
      <c r="N620" s="292"/>
      <c r="O620" s="292"/>
      <c r="P620" s="292"/>
      <c r="Q620" s="292"/>
      <c r="R620" s="292" t="s">
        <v>32</v>
      </c>
      <c r="S620" s="297" t="s">
        <v>32</v>
      </c>
      <c r="T620" s="298"/>
      <c r="U620" s="299"/>
      <c r="V620" s="299"/>
      <c r="W620" s="300">
        <v>0</v>
      </c>
      <c r="X620" s="301"/>
      <c r="Y620" s="292" t="s">
        <v>31</v>
      </c>
      <c r="Z620" s="302" t="s">
        <v>29</v>
      </c>
      <c r="AA620" s="317"/>
      <c r="AB620" s="317"/>
      <c r="AC620" s="303">
        <f t="shared" si="19"/>
        <v>3000000</v>
      </c>
      <c r="AD620" s="303">
        <v>3000000</v>
      </c>
      <c r="AE620" s="303">
        <f t="shared" si="20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>
        <v>1000000</v>
      </c>
      <c r="AT620" s="306"/>
      <c r="AU620" s="306"/>
      <c r="AV620" s="306"/>
      <c r="AW620" s="306"/>
      <c r="AX620" s="306"/>
      <c r="AY620" s="306">
        <v>1000000</v>
      </c>
      <c r="AZ620" s="306"/>
      <c r="BA620" s="306"/>
      <c r="BB620" s="306"/>
      <c r="BC620" s="306"/>
      <c r="BD620" s="306"/>
      <c r="BE620" s="306">
        <v>1000000</v>
      </c>
      <c r="BF620" s="306"/>
      <c r="BG620" s="308"/>
      <c r="BH620" s="309"/>
    </row>
    <row r="621" spans="1:60" s="310" customFormat="1" ht="16.5" customHeight="1">
      <c r="A621" s="290">
        <v>601</v>
      </c>
      <c r="B621" s="291"/>
      <c r="C621" s="291"/>
      <c r="D621" s="292" t="s">
        <v>208</v>
      </c>
      <c r="E621" s="292" t="s">
        <v>4</v>
      </c>
      <c r="F621" s="293" t="s">
        <v>208</v>
      </c>
      <c r="G621" s="294" t="s">
        <v>702</v>
      </c>
      <c r="H621" s="311"/>
      <c r="I621" s="295"/>
      <c r="J621" s="296" t="s">
        <v>142</v>
      </c>
      <c r="K621" s="292"/>
      <c r="L621" s="292"/>
      <c r="M621" s="292">
        <v>57212</v>
      </c>
      <c r="N621" s="292" t="s">
        <v>35</v>
      </c>
      <c r="O621" s="292"/>
      <c r="P621" s="292"/>
      <c r="Q621" s="292" t="s">
        <v>40</v>
      </c>
      <c r="R621" s="292" t="s">
        <v>354</v>
      </c>
      <c r="S621" s="297" t="s">
        <v>354</v>
      </c>
      <c r="T621" s="298"/>
      <c r="U621" s="299">
        <v>36765000</v>
      </c>
      <c r="V621" s="299">
        <v>19400000</v>
      </c>
      <c r="W621" s="300">
        <v>0</v>
      </c>
      <c r="X621" s="301"/>
      <c r="Y621" s="292" t="s">
        <v>28</v>
      </c>
      <c r="Z621" s="302" t="s">
        <v>441</v>
      </c>
      <c r="AA621" s="317"/>
      <c r="AB621" s="317"/>
      <c r="AC621" s="303">
        <f t="shared" si="19"/>
        <v>0</v>
      </c>
      <c r="AD621" s="303">
        <v>19000000</v>
      </c>
      <c r="AE621" s="303">
        <f t="shared" si="20"/>
        <v>-19000000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customHeight="1">
      <c r="A622" s="290">
        <v>602</v>
      </c>
      <c r="B622" s="291"/>
      <c r="C622" s="291"/>
      <c r="D622" s="292" t="s">
        <v>208</v>
      </c>
      <c r="E622" s="292" t="s">
        <v>4</v>
      </c>
      <c r="F622" s="293" t="s">
        <v>208</v>
      </c>
      <c r="G622" s="294" t="s">
        <v>702</v>
      </c>
      <c r="H622" s="311"/>
      <c r="I622" s="295"/>
      <c r="J622" s="296" t="s">
        <v>143</v>
      </c>
      <c r="K622" s="292"/>
      <c r="L622" s="292"/>
      <c r="M622" s="292">
        <v>19394</v>
      </c>
      <c r="N622" s="292" t="s">
        <v>35</v>
      </c>
      <c r="O622" s="292"/>
      <c r="P622" s="292"/>
      <c r="Q622" s="292" t="s">
        <v>46</v>
      </c>
      <c r="R622" s="292" t="s">
        <v>351</v>
      </c>
      <c r="S622" s="297" t="s">
        <v>691</v>
      </c>
      <c r="T622" s="298"/>
      <c r="U622" s="299"/>
      <c r="V622" s="299">
        <v>1000000</v>
      </c>
      <c r="W622" s="300">
        <v>0</v>
      </c>
      <c r="X622" s="301"/>
      <c r="Y622" s="292" t="s">
        <v>29</v>
      </c>
      <c r="Z622" s="302" t="s">
        <v>29</v>
      </c>
      <c r="AA622" s="317"/>
      <c r="AB622" s="317"/>
      <c r="AC622" s="303">
        <f t="shared" si="19"/>
        <v>0</v>
      </c>
      <c r="AD622" s="303">
        <v>0</v>
      </c>
      <c r="AE622" s="303">
        <f t="shared" si="20"/>
        <v>0</v>
      </c>
      <c r="AF622" s="304"/>
      <c r="AG622" s="305"/>
      <c r="AH622" s="304"/>
      <c r="AI622" s="304"/>
      <c r="AJ622" s="305"/>
      <c r="AK622" s="304"/>
      <c r="AL622" s="306"/>
      <c r="AM622" s="318"/>
      <c r="AN622" s="306"/>
      <c r="AO622" s="307"/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customHeight="1">
      <c r="A623" s="290">
        <v>603</v>
      </c>
      <c r="B623" s="291"/>
      <c r="C623" s="291"/>
      <c r="D623" s="292" t="s">
        <v>208</v>
      </c>
      <c r="E623" s="292" t="s">
        <v>4</v>
      </c>
      <c r="F623" s="293" t="s">
        <v>208</v>
      </c>
      <c r="G623" s="294" t="s">
        <v>702</v>
      </c>
      <c r="H623" s="311"/>
      <c r="I623" s="295"/>
      <c r="J623" s="296" t="s">
        <v>144</v>
      </c>
      <c r="K623" s="292"/>
      <c r="L623" s="292"/>
      <c r="M623" s="292">
        <v>8105</v>
      </c>
      <c r="N623" s="292" t="s">
        <v>21</v>
      </c>
      <c r="O623" s="292"/>
      <c r="P623" s="292"/>
      <c r="Q623" s="292" t="s">
        <v>40</v>
      </c>
      <c r="R623" s="292" t="s">
        <v>354</v>
      </c>
      <c r="S623" s="297" t="s">
        <v>354</v>
      </c>
      <c r="T623" s="298"/>
      <c r="U623" s="299"/>
      <c r="V623" s="299">
        <v>8800000</v>
      </c>
      <c r="W623" s="300">
        <v>8800000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19"/>
        <v>8800000</v>
      </c>
      <c r="AD623" s="303">
        <v>8800000</v>
      </c>
      <c r="AE623" s="303">
        <f t="shared" si="20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>
        <v>8800000</v>
      </c>
      <c r="AR623" s="306"/>
      <c r="AS623" s="306"/>
      <c r="AT623" s="306"/>
      <c r="AU623" s="306"/>
      <c r="AV623" s="306"/>
      <c r="AW623" s="306"/>
      <c r="AX623" s="306"/>
      <c r="AY623" s="306"/>
      <c r="AZ623" s="306"/>
      <c r="BA623" s="306"/>
      <c r="BB623" s="306"/>
      <c r="BC623" s="306"/>
      <c r="BD623" s="306"/>
      <c r="BE623" s="306"/>
      <c r="BF623" s="306"/>
      <c r="BG623" s="308"/>
      <c r="BH623" s="309"/>
    </row>
    <row r="624" spans="1:60" s="310" customFormat="1" ht="16.5" customHeight="1">
      <c r="A624" s="290">
        <v>604</v>
      </c>
      <c r="B624" s="291"/>
      <c r="C624" s="291"/>
      <c r="D624" s="292" t="s">
        <v>208</v>
      </c>
      <c r="E624" s="292" t="s">
        <v>2</v>
      </c>
      <c r="F624" s="293" t="s">
        <v>208</v>
      </c>
      <c r="G624" s="294" t="s">
        <v>702</v>
      </c>
      <c r="H624" s="311"/>
      <c r="I624" s="295"/>
      <c r="J624" s="296" t="s">
        <v>511</v>
      </c>
      <c r="K624" s="292"/>
      <c r="L624" s="292"/>
      <c r="M624" s="292">
        <v>6033</v>
      </c>
      <c r="N624" s="292"/>
      <c r="O624" s="292"/>
      <c r="P624" s="292"/>
      <c r="Q624" s="292"/>
      <c r="R624" s="292" t="s">
        <v>354</v>
      </c>
      <c r="S624" s="297" t="s">
        <v>354</v>
      </c>
      <c r="T624" s="298"/>
      <c r="U624" s="299"/>
      <c r="V624" s="299"/>
      <c r="W624" s="300">
        <v>0</v>
      </c>
      <c r="X624" s="301"/>
      <c r="Y624" s="292" t="s">
        <v>29</v>
      </c>
      <c r="Z624" s="302" t="s">
        <v>29</v>
      </c>
      <c r="AA624" s="317"/>
      <c r="AB624" s="317"/>
      <c r="AC624" s="303">
        <f t="shared" si="19"/>
        <v>10000000</v>
      </c>
      <c r="AD624" s="303">
        <v>10000000</v>
      </c>
      <c r="AE624" s="303">
        <f t="shared" si="20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>
        <v>10000000</v>
      </c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/>
      <c r="BD624" s="306"/>
      <c r="BE624" s="306"/>
      <c r="BF624" s="306"/>
      <c r="BG624" s="308"/>
      <c r="BH624" s="309"/>
    </row>
    <row r="625" spans="1:60" s="310" customFormat="1" ht="16.5" customHeight="1">
      <c r="A625" s="290">
        <v>605</v>
      </c>
      <c r="B625" s="291"/>
      <c r="C625" s="291"/>
      <c r="D625" s="292"/>
      <c r="E625" s="292"/>
      <c r="F625" s="293" t="s">
        <v>208</v>
      </c>
      <c r="G625" s="294" t="s">
        <v>702</v>
      </c>
      <c r="H625" s="311"/>
      <c r="I625" s="295"/>
      <c r="J625" s="296" t="s">
        <v>511</v>
      </c>
      <c r="K625" s="292"/>
      <c r="L625" s="292"/>
      <c r="M625" s="292">
        <v>6033</v>
      </c>
      <c r="N625" s="292"/>
      <c r="O625" s="292"/>
      <c r="P625" s="292"/>
      <c r="Q625" s="292"/>
      <c r="R625" s="292"/>
      <c r="S625" s="297" t="s">
        <v>353</v>
      </c>
      <c r="T625" s="298"/>
      <c r="U625" s="299"/>
      <c r="V625" s="299"/>
      <c r="W625" s="300">
        <v>6204545</v>
      </c>
      <c r="X625" s="301"/>
      <c r="Y625" s="292"/>
      <c r="Z625" s="302" t="s">
        <v>578</v>
      </c>
      <c r="AA625" s="317"/>
      <c r="AB625" s="317"/>
      <c r="AC625" s="303">
        <f t="shared" si="19"/>
        <v>0</v>
      </c>
      <c r="AD625" s="303">
        <v>0</v>
      </c>
      <c r="AE625" s="303">
        <f t="shared" si="20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customHeight="1">
      <c r="A626" s="290">
        <v>606</v>
      </c>
      <c r="B626" s="291"/>
      <c r="C626" s="291"/>
      <c r="D626" s="292" t="s">
        <v>208</v>
      </c>
      <c r="E626" s="292" t="s">
        <v>246</v>
      </c>
      <c r="F626" s="293" t="s">
        <v>208</v>
      </c>
      <c r="G626" s="294" t="s">
        <v>702</v>
      </c>
      <c r="H626" s="311"/>
      <c r="I626" s="295"/>
      <c r="J626" s="296" t="s">
        <v>334</v>
      </c>
      <c r="K626" s="292"/>
      <c r="L626" s="292"/>
      <c r="M626" s="292">
        <v>4622</v>
      </c>
      <c r="N626" s="292"/>
      <c r="O626" s="292"/>
      <c r="P626" s="292"/>
      <c r="Q626" s="292" t="s">
        <v>33</v>
      </c>
      <c r="R626" s="292" t="s">
        <v>34</v>
      </c>
      <c r="S626" s="297" t="s">
        <v>34</v>
      </c>
      <c r="T626" s="298"/>
      <c r="U626" s="299"/>
      <c r="V626" s="299">
        <v>0</v>
      </c>
      <c r="W626" s="300">
        <v>0</v>
      </c>
      <c r="X626" s="301"/>
      <c r="Y626" s="292" t="s">
        <v>29</v>
      </c>
      <c r="Z626" s="302" t="s">
        <v>29</v>
      </c>
      <c r="AA626" s="317"/>
      <c r="AB626" s="317"/>
      <c r="AC626" s="303">
        <f t="shared" si="19"/>
        <v>5000000</v>
      </c>
      <c r="AD626" s="303">
        <v>5000000</v>
      </c>
      <c r="AE626" s="303">
        <f t="shared" si="20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/>
      <c r="AR626" s="306"/>
      <c r="AS626" s="306"/>
      <c r="AT626" s="306"/>
      <c r="AU626" s="306"/>
      <c r="AV626" s="306"/>
      <c r="AW626" s="306"/>
      <c r="AX626" s="306"/>
      <c r="AY626" s="306">
        <v>5000000</v>
      </c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customHeight="1">
      <c r="A627" s="290">
        <v>607</v>
      </c>
      <c r="B627" s="291"/>
      <c r="C627" s="291"/>
      <c r="D627" s="292" t="s">
        <v>208</v>
      </c>
      <c r="E627" s="292" t="s">
        <v>106</v>
      </c>
      <c r="F627" s="293" t="s">
        <v>208</v>
      </c>
      <c r="G627" s="294" t="s">
        <v>702</v>
      </c>
      <c r="H627" s="311"/>
      <c r="I627" s="295"/>
      <c r="J627" s="296" t="s">
        <v>464</v>
      </c>
      <c r="K627" s="292"/>
      <c r="L627" s="292"/>
      <c r="M627" s="292">
        <v>46591</v>
      </c>
      <c r="N627" s="292" t="s">
        <v>26</v>
      </c>
      <c r="O627" s="292"/>
      <c r="P627" s="292"/>
      <c r="Q627" s="292" t="s">
        <v>27</v>
      </c>
      <c r="R627" s="292" t="s">
        <v>361</v>
      </c>
      <c r="S627" s="297" t="s">
        <v>361</v>
      </c>
      <c r="T627" s="298"/>
      <c r="U627" s="299"/>
      <c r="V627" s="299">
        <v>0</v>
      </c>
      <c r="W627" s="300">
        <v>44080000</v>
      </c>
      <c r="X627" s="301"/>
      <c r="Y627" s="292" t="s">
        <v>31</v>
      </c>
      <c r="Z627" s="302" t="s">
        <v>28</v>
      </c>
      <c r="AA627" s="317"/>
      <c r="AB627" s="317"/>
      <c r="AC627" s="303">
        <f t="shared" si="19"/>
        <v>10000000</v>
      </c>
      <c r="AD627" s="303">
        <v>10000000</v>
      </c>
      <c r="AE627" s="303">
        <f t="shared" si="20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/>
      <c r="AR627" s="306"/>
      <c r="AS627" s="306"/>
      <c r="AT627" s="306"/>
      <c r="AU627" s="306"/>
      <c r="AV627" s="306"/>
      <c r="AW627" s="306">
        <v>10000000</v>
      </c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customHeight="1">
      <c r="A628" s="290">
        <v>608</v>
      </c>
      <c r="B628" s="291"/>
      <c r="C628" s="291"/>
      <c r="D628" s="292" t="s">
        <v>208</v>
      </c>
      <c r="E628" s="292" t="s">
        <v>106</v>
      </c>
      <c r="F628" s="293" t="s">
        <v>208</v>
      </c>
      <c r="G628" s="294" t="s">
        <v>702</v>
      </c>
      <c r="H628" s="311"/>
      <c r="I628" s="295"/>
      <c r="J628" s="296" t="s">
        <v>464</v>
      </c>
      <c r="K628" s="292"/>
      <c r="L628" s="292"/>
      <c r="M628" s="292">
        <v>487</v>
      </c>
      <c r="N628" s="292" t="s">
        <v>26</v>
      </c>
      <c r="O628" s="292"/>
      <c r="P628" s="292"/>
      <c r="Q628" s="292" t="s">
        <v>27</v>
      </c>
      <c r="R628" s="292" t="s">
        <v>361</v>
      </c>
      <c r="S628" s="297" t="s">
        <v>361</v>
      </c>
      <c r="T628" s="298"/>
      <c r="U628" s="299"/>
      <c r="V628" s="299">
        <v>0</v>
      </c>
      <c r="W628" s="300">
        <v>0</v>
      </c>
      <c r="X628" s="301"/>
      <c r="Y628" s="292" t="s">
        <v>29</v>
      </c>
      <c r="Z628" s="302" t="s">
        <v>29</v>
      </c>
      <c r="AA628" s="317"/>
      <c r="AB628" s="317"/>
      <c r="AC628" s="303">
        <f t="shared" si="19"/>
        <v>30000000</v>
      </c>
      <c r="AD628" s="303">
        <v>40000000</v>
      </c>
      <c r="AE628" s="303">
        <f t="shared" si="20"/>
        <v>-10000000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>
        <v>10000000</v>
      </c>
      <c r="AR628" s="306"/>
      <c r="AS628" s="306"/>
      <c r="AT628" s="306"/>
      <c r="AU628" s="306"/>
      <c r="AV628" s="306"/>
      <c r="AW628" s="306"/>
      <c r="AX628" s="306"/>
      <c r="AY628" s="306">
        <v>10000000</v>
      </c>
      <c r="AZ628" s="306"/>
      <c r="BA628" s="306">
        <v>10000000</v>
      </c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customHeight="1">
      <c r="A629" s="290">
        <v>609</v>
      </c>
      <c r="B629" s="291"/>
      <c r="C629" s="291"/>
      <c r="D629" s="292" t="s">
        <v>208</v>
      </c>
      <c r="E629" s="292" t="s">
        <v>106</v>
      </c>
      <c r="F629" s="293" t="s">
        <v>208</v>
      </c>
      <c r="G629" s="294" t="s">
        <v>702</v>
      </c>
      <c r="H629" s="311"/>
      <c r="I629" s="295"/>
      <c r="J629" s="296" t="s">
        <v>464</v>
      </c>
      <c r="K629" s="292"/>
      <c r="L629" s="292"/>
      <c r="M629" s="292">
        <v>487</v>
      </c>
      <c r="N629" s="292" t="s">
        <v>26</v>
      </c>
      <c r="O629" s="292"/>
      <c r="P629" s="292"/>
      <c r="Q629" s="292" t="s">
        <v>27</v>
      </c>
      <c r="R629" s="292" t="s">
        <v>273</v>
      </c>
      <c r="S629" s="297" t="s">
        <v>683</v>
      </c>
      <c r="T629" s="298"/>
      <c r="U629" s="299">
        <v>1500000</v>
      </c>
      <c r="V629" s="299">
        <v>0</v>
      </c>
      <c r="W629" s="300">
        <v>0</v>
      </c>
      <c r="X629" s="301"/>
      <c r="Y629" s="292" t="s">
        <v>25</v>
      </c>
      <c r="Z629" s="302" t="s">
        <v>25</v>
      </c>
      <c r="AA629" s="317"/>
      <c r="AB629" s="317"/>
      <c r="AC629" s="303">
        <f t="shared" si="19"/>
        <v>0</v>
      </c>
      <c r="AD629" s="303">
        <v>0</v>
      </c>
      <c r="AE629" s="303">
        <f t="shared" si="20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/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customHeight="1">
      <c r="A630" s="290">
        <v>610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702</v>
      </c>
      <c r="H630" s="311"/>
      <c r="I630" s="295"/>
      <c r="J630" s="296" t="s">
        <v>464</v>
      </c>
      <c r="K630" s="292"/>
      <c r="L630" s="292"/>
      <c r="M630" s="292">
        <v>487</v>
      </c>
      <c r="N630" s="292" t="s">
        <v>26</v>
      </c>
      <c r="O630" s="292"/>
      <c r="P630" s="292"/>
      <c r="Q630" s="292" t="s">
        <v>50</v>
      </c>
      <c r="R630" s="292" t="s">
        <v>360</v>
      </c>
      <c r="S630" s="297" t="s">
        <v>688</v>
      </c>
      <c r="T630" s="298"/>
      <c r="U630" s="299">
        <v>45000000</v>
      </c>
      <c r="V630" s="299">
        <v>34840000</v>
      </c>
      <c r="W630" s="300">
        <v>0</v>
      </c>
      <c r="X630" s="301"/>
      <c r="Y630" s="292" t="s">
        <v>24</v>
      </c>
      <c r="Z630" s="302" t="s">
        <v>24</v>
      </c>
      <c r="AA630" s="317"/>
      <c r="AB630" s="317"/>
      <c r="AC630" s="303">
        <f t="shared" si="19"/>
        <v>0</v>
      </c>
      <c r="AD630" s="303">
        <v>0</v>
      </c>
      <c r="AE630" s="303">
        <f t="shared" si="20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/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customHeight="1">
      <c r="A631" s="290">
        <v>611</v>
      </c>
      <c r="B631" s="291"/>
      <c r="C631" s="291"/>
      <c r="D631" s="292" t="s">
        <v>208</v>
      </c>
      <c r="E631" s="292" t="s">
        <v>4</v>
      </c>
      <c r="F631" s="293" t="s">
        <v>208</v>
      </c>
      <c r="G631" s="294" t="s">
        <v>702</v>
      </c>
      <c r="H631" s="311"/>
      <c r="I631" s="295"/>
      <c r="J631" s="296" t="s">
        <v>479</v>
      </c>
      <c r="K631" s="292"/>
      <c r="L631" s="292"/>
      <c r="M631" s="292">
        <v>3693</v>
      </c>
      <c r="N631" s="292" t="s">
        <v>26</v>
      </c>
      <c r="O631" s="292"/>
      <c r="P631" s="292"/>
      <c r="Q631" s="292" t="s">
        <v>83</v>
      </c>
      <c r="R631" s="292" t="s">
        <v>32</v>
      </c>
      <c r="S631" s="297" t="s">
        <v>32</v>
      </c>
      <c r="T631" s="298"/>
      <c r="U631" s="299"/>
      <c r="V631" s="299">
        <v>55900000</v>
      </c>
      <c r="W631" s="300">
        <v>0</v>
      </c>
      <c r="X631" s="301"/>
      <c r="Y631" s="292" t="s">
        <v>107</v>
      </c>
      <c r="Z631" s="302" t="s">
        <v>107</v>
      </c>
      <c r="AA631" s="317"/>
      <c r="AB631" s="317"/>
      <c r="AC631" s="303">
        <f t="shared" si="19"/>
        <v>0</v>
      </c>
      <c r="AD631" s="303">
        <v>57000000</v>
      </c>
      <c r="AE631" s="303">
        <f t="shared" si="20"/>
        <v>-57000000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/>
      <c r="AP631" s="306"/>
      <c r="AQ631" s="306"/>
      <c r="AR631" s="306"/>
      <c r="AS631" s="306"/>
      <c r="AT631" s="306"/>
      <c r="AU631" s="306"/>
      <c r="AV631" s="306"/>
      <c r="AW631" s="306"/>
      <c r="AX631" s="306"/>
      <c r="AY631" s="306"/>
      <c r="AZ631" s="306"/>
      <c r="BA631" s="306"/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customHeight="1">
      <c r="A632" s="290">
        <v>612</v>
      </c>
      <c r="B632" s="291"/>
      <c r="C632" s="291"/>
      <c r="D632" s="292" t="s">
        <v>208</v>
      </c>
      <c r="E632" s="292" t="s">
        <v>4</v>
      </c>
      <c r="F632" s="293" t="s">
        <v>208</v>
      </c>
      <c r="G632" s="294" t="s">
        <v>702</v>
      </c>
      <c r="H632" s="311"/>
      <c r="I632" s="295"/>
      <c r="J632" s="296" t="s">
        <v>479</v>
      </c>
      <c r="K632" s="292"/>
      <c r="L632" s="292"/>
      <c r="M632" s="292">
        <v>3693</v>
      </c>
      <c r="N632" s="292" t="s">
        <v>26</v>
      </c>
      <c r="O632" s="292"/>
      <c r="P632" s="292"/>
      <c r="Q632" s="292" t="s">
        <v>33</v>
      </c>
      <c r="R632" s="292" t="s">
        <v>34</v>
      </c>
      <c r="S632" s="297" t="s">
        <v>34</v>
      </c>
      <c r="T632" s="298"/>
      <c r="U632" s="299"/>
      <c r="V632" s="299">
        <v>2348000</v>
      </c>
      <c r="W632" s="300">
        <v>0</v>
      </c>
      <c r="X632" s="301"/>
      <c r="Y632" s="292" t="s">
        <v>28</v>
      </c>
      <c r="Z632" s="302" t="s">
        <v>107</v>
      </c>
      <c r="AA632" s="317"/>
      <c r="AB632" s="317"/>
      <c r="AC632" s="303">
        <f t="shared" si="19"/>
        <v>0</v>
      </c>
      <c r="AD632" s="303">
        <v>5000000</v>
      </c>
      <c r="AE632" s="303">
        <f t="shared" si="20"/>
        <v>-5000000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customHeight="1">
      <c r="A633" s="290">
        <v>613</v>
      </c>
      <c r="B633" s="291"/>
      <c r="C633" s="291"/>
      <c r="D633" s="292" t="s">
        <v>208</v>
      </c>
      <c r="E633" s="292" t="s">
        <v>4</v>
      </c>
      <c r="F633" s="293" t="s">
        <v>208</v>
      </c>
      <c r="G633" s="294" t="s">
        <v>702</v>
      </c>
      <c r="H633" s="311"/>
      <c r="I633" s="295"/>
      <c r="J633" s="296" t="s">
        <v>479</v>
      </c>
      <c r="K633" s="292"/>
      <c r="L633" s="292"/>
      <c r="M633" s="292">
        <v>3693</v>
      </c>
      <c r="N633" s="292" t="s">
        <v>26</v>
      </c>
      <c r="O633" s="292"/>
      <c r="P633" s="292"/>
      <c r="Q633" s="292" t="s">
        <v>30</v>
      </c>
      <c r="R633" s="292" t="s">
        <v>361</v>
      </c>
      <c r="S633" s="297" t="s">
        <v>361</v>
      </c>
      <c r="T633" s="298"/>
      <c r="U633" s="299">
        <v>11440000</v>
      </c>
      <c r="V633" s="299">
        <v>0</v>
      </c>
      <c r="W633" s="300">
        <v>0</v>
      </c>
      <c r="X633" s="301"/>
      <c r="Y633" s="292" t="s">
        <v>29</v>
      </c>
      <c r="Z633" s="302" t="s">
        <v>107</v>
      </c>
      <c r="AA633" s="317"/>
      <c r="AB633" s="317"/>
      <c r="AC633" s="303">
        <f t="shared" si="19"/>
        <v>0</v>
      </c>
      <c r="AD633" s="303">
        <v>100000000</v>
      </c>
      <c r="AE633" s="303">
        <f t="shared" si="20"/>
        <v>-100000000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customHeight="1">
      <c r="A634" s="290">
        <v>614</v>
      </c>
      <c r="B634" s="291"/>
      <c r="C634" s="291"/>
      <c r="D634" s="292" t="s">
        <v>208</v>
      </c>
      <c r="E634" s="292" t="s">
        <v>4</v>
      </c>
      <c r="F634" s="293" t="s">
        <v>208</v>
      </c>
      <c r="G634" s="294" t="s">
        <v>702</v>
      </c>
      <c r="H634" s="311"/>
      <c r="I634" s="295"/>
      <c r="J634" s="296" t="s">
        <v>479</v>
      </c>
      <c r="K634" s="292"/>
      <c r="L634" s="292"/>
      <c r="M634" s="292">
        <v>3693</v>
      </c>
      <c r="N634" s="292" t="s">
        <v>26</v>
      </c>
      <c r="O634" s="292"/>
      <c r="P634" s="292"/>
      <c r="Q634" s="292" t="s">
        <v>46</v>
      </c>
      <c r="R634" s="292" t="s">
        <v>351</v>
      </c>
      <c r="S634" s="297" t="s">
        <v>691</v>
      </c>
      <c r="T634" s="298"/>
      <c r="U634" s="299"/>
      <c r="V634" s="299">
        <v>600000</v>
      </c>
      <c r="W634" s="300">
        <v>0</v>
      </c>
      <c r="X634" s="301"/>
      <c r="Y634" s="292" t="s">
        <v>24</v>
      </c>
      <c r="Z634" s="302" t="s">
        <v>29</v>
      </c>
      <c r="AA634" s="317"/>
      <c r="AB634" s="317"/>
      <c r="AC634" s="303">
        <f t="shared" si="19"/>
        <v>0</v>
      </c>
      <c r="AD634" s="303">
        <v>0</v>
      </c>
      <c r="AE634" s="303">
        <f t="shared" si="20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/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5" customHeight="1">
      <c r="A635" s="290">
        <v>615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702</v>
      </c>
      <c r="H635" s="311"/>
      <c r="I635" s="295"/>
      <c r="J635" s="296" t="s">
        <v>82</v>
      </c>
      <c r="K635" s="292"/>
      <c r="L635" s="292"/>
      <c r="M635" s="292">
        <v>3695</v>
      </c>
      <c r="N635" s="292" t="s">
        <v>26</v>
      </c>
      <c r="O635" s="292"/>
      <c r="P635" s="292"/>
      <c r="Q635" s="292" t="s">
        <v>40</v>
      </c>
      <c r="R635" s="292" t="s">
        <v>354</v>
      </c>
      <c r="S635" s="297" t="s">
        <v>354</v>
      </c>
      <c r="T635" s="298"/>
      <c r="U635" s="299">
        <v>8750000</v>
      </c>
      <c r="V635" s="299">
        <v>0</v>
      </c>
      <c r="W635" s="300">
        <v>0</v>
      </c>
      <c r="X635" s="301"/>
      <c r="Y635" s="292" t="s">
        <v>28</v>
      </c>
      <c r="Z635" s="302" t="s">
        <v>29</v>
      </c>
      <c r="AA635" s="317"/>
      <c r="AB635" s="317"/>
      <c r="AC635" s="303">
        <f t="shared" si="19"/>
        <v>8000000</v>
      </c>
      <c r="AD635" s="303">
        <v>8000000</v>
      </c>
      <c r="AE635" s="303">
        <f t="shared" si="20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/>
      <c r="AR635" s="306"/>
      <c r="AS635" s="306">
        <v>8000000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customHeight="1">
      <c r="A636" s="290">
        <v>616</v>
      </c>
      <c r="B636" s="291"/>
      <c r="C636" s="291"/>
      <c r="D636" s="292" t="s">
        <v>184</v>
      </c>
      <c r="E636" s="292" t="s">
        <v>559</v>
      </c>
      <c r="F636" s="293" t="s">
        <v>208</v>
      </c>
      <c r="G636" s="294" t="s">
        <v>702</v>
      </c>
      <c r="H636" s="311"/>
      <c r="I636" s="295"/>
      <c r="J636" s="296" t="s">
        <v>583</v>
      </c>
      <c r="K636" s="292"/>
      <c r="L636" s="292"/>
      <c r="M636" s="292">
        <v>3734</v>
      </c>
      <c r="N636" s="292"/>
      <c r="O636" s="292"/>
      <c r="P636" s="292"/>
      <c r="Q636" s="292"/>
      <c r="R636" s="292"/>
      <c r="S636" s="297" t="s">
        <v>34</v>
      </c>
      <c r="T636" s="298"/>
      <c r="U636" s="299"/>
      <c r="V636" s="299"/>
      <c r="W636" s="300">
        <v>1810000</v>
      </c>
      <c r="X636" s="301"/>
      <c r="Y636" s="292"/>
      <c r="Z636" s="302" t="s">
        <v>578</v>
      </c>
      <c r="AA636" s="317"/>
      <c r="AB636" s="317"/>
      <c r="AC636" s="303">
        <f t="shared" si="19"/>
        <v>0</v>
      </c>
      <c r="AD636" s="303">
        <v>0</v>
      </c>
      <c r="AE636" s="303">
        <f t="shared" si="20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/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customHeight="1">
      <c r="A637" s="290">
        <v>617</v>
      </c>
      <c r="B637" s="291"/>
      <c r="C637" s="291"/>
      <c r="D637" s="292" t="s">
        <v>184</v>
      </c>
      <c r="E637" s="292" t="s">
        <v>555</v>
      </c>
      <c r="F637" s="293" t="s">
        <v>208</v>
      </c>
      <c r="G637" s="294" t="s">
        <v>702</v>
      </c>
      <c r="H637" s="311"/>
      <c r="I637" s="295"/>
      <c r="J637" s="296" t="s">
        <v>583</v>
      </c>
      <c r="K637" s="292"/>
      <c r="L637" s="292"/>
      <c r="M637" s="292">
        <v>3734</v>
      </c>
      <c r="N637" s="292"/>
      <c r="O637" s="292"/>
      <c r="P637" s="292"/>
      <c r="Q637" s="292"/>
      <c r="R637" s="292" t="s">
        <v>353</v>
      </c>
      <c r="S637" s="297" t="s">
        <v>353</v>
      </c>
      <c r="T637" s="298"/>
      <c r="U637" s="299"/>
      <c r="V637" s="299"/>
      <c r="W637" s="300">
        <v>0</v>
      </c>
      <c r="X637" s="301"/>
      <c r="Y637" s="292" t="s">
        <v>31</v>
      </c>
      <c r="Z637" s="302" t="s">
        <v>441</v>
      </c>
      <c r="AA637" s="317"/>
      <c r="AB637" s="317"/>
      <c r="AC637" s="303">
        <f t="shared" si="19"/>
        <v>0</v>
      </c>
      <c r="AD637" s="303">
        <v>0</v>
      </c>
      <c r="AE637" s="303">
        <f t="shared" si="20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/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/>
      <c r="BD637" s="306"/>
      <c r="BE637" s="306"/>
      <c r="BF637" s="306"/>
      <c r="BG637" s="308"/>
      <c r="BH637" s="309"/>
    </row>
    <row r="638" spans="1:60" s="310" customFormat="1" ht="16.5" customHeight="1">
      <c r="A638" s="290">
        <v>618</v>
      </c>
      <c r="B638" s="291"/>
      <c r="C638" s="291"/>
      <c r="D638" s="292" t="s">
        <v>184</v>
      </c>
      <c r="E638" s="292" t="s">
        <v>559</v>
      </c>
      <c r="F638" s="293" t="s">
        <v>208</v>
      </c>
      <c r="G638" s="294" t="s">
        <v>702</v>
      </c>
      <c r="H638" s="311"/>
      <c r="I638" s="295"/>
      <c r="J638" s="296" t="s">
        <v>583</v>
      </c>
      <c r="K638" s="292"/>
      <c r="L638" s="292"/>
      <c r="M638" s="292">
        <v>3734</v>
      </c>
      <c r="N638" s="292"/>
      <c r="O638" s="292"/>
      <c r="P638" s="292"/>
      <c r="Q638" s="292" t="s">
        <v>50</v>
      </c>
      <c r="R638" s="292" t="s">
        <v>360</v>
      </c>
      <c r="S638" s="297" t="s">
        <v>688</v>
      </c>
      <c r="T638" s="298"/>
      <c r="U638" s="299">
        <v>18181818</v>
      </c>
      <c r="V638" s="299">
        <v>0</v>
      </c>
      <c r="W638" s="300">
        <v>0</v>
      </c>
      <c r="X638" s="301"/>
      <c r="Y638" s="292" t="s">
        <v>25</v>
      </c>
      <c r="Z638" s="302" t="s">
        <v>441</v>
      </c>
      <c r="AA638" s="317"/>
      <c r="AB638" s="317"/>
      <c r="AC638" s="303">
        <f t="shared" si="19"/>
        <v>0</v>
      </c>
      <c r="AD638" s="303">
        <v>0</v>
      </c>
      <c r="AE638" s="303">
        <f t="shared" si="20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/>
      <c r="BD638" s="306"/>
      <c r="BE638" s="306"/>
      <c r="BF638" s="306"/>
      <c r="BG638" s="308"/>
      <c r="BH638" s="309"/>
    </row>
    <row r="639" spans="1:60" s="310" customFormat="1" ht="16.5" customHeight="1">
      <c r="A639" s="290">
        <v>619</v>
      </c>
      <c r="B639" s="291"/>
      <c r="C639" s="291"/>
      <c r="D639" s="292" t="s">
        <v>184</v>
      </c>
      <c r="E639" s="292" t="s">
        <v>559</v>
      </c>
      <c r="F639" s="293" t="s">
        <v>208</v>
      </c>
      <c r="G639" s="294" t="s">
        <v>702</v>
      </c>
      <c r="H639" s="311"/>
      <c r="I639" s="295"/>
      <c r="J639" s="296" t="s">
        <v>583</v>
      </c>
      <c r="K639" s="292"/>
      <c r="L639" s="292"/>
      <c r="M639" s="292">
        <v>3734</v>
      </c>
      <c r="N639" s="292"/>
      <c r="O639" s="292"/>
      <c r="P639" s="292"/>
      <c r="Q639" s="292"/>
      <c r="R639" s="292"/>
      <c r="S639" s="297" t="s">
        <v>690</v>
      </c>
      <c r="T639" s="298"/>
      <c r="U639" s="299"/>
      <c r="V639" s="299"/>
      <c r="W639" s="300">
        <v>2000000</v>
      </c>
      <c r="X639" s="301"/>
      <c r="Y639" s="292"/>
      <c r="Z639" s="302" t="s">
        <v>578</v>
      </c>
      <c r="AA639" s="317"/>
      <c r="AB639" s="317"/>
      <c r="AC639" s="303">
        <f t="shared" si="19"/>
        <v>0</v>
      </c>
      <c r="AD639" s="303">
        <v>0</v>
      </c>
      <c r="AE639" s="303">
        <f t="shared" si="20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/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customHeight="1">
      <c r="A640" s="290">
        <v>620</v>
      </c>
      <c r="B640" s="291"/>
      <c r="C640" s="291"/>
      <c r="D640" s="292" t="s">
        <v>184</v>
      </c>
      <c r="E640" s="292" t="s">
        <v>555</v>
      </c>
      <c r="F640" s="293" t="s">
        <v>208</v>
      </c>
      <c r="G640" s="294" t="s">
        <v>702</v>
      </c>
      <c r="H640" s="311"/>
      <c r="I640" s="295"/>
      <c r="J640" s="296" t="s">
        <v>584</v>
      </c>
      <c r="K640" s="292"/>
      <c r="L640" s="292"/>
      <c r="M640" s="292">
        <v>3734</v>
      </c>
      <c r="N640" s="292"/>
      <c r="O640" s="292"/>
      <c r="P640" s="292"/>
      <c r="Q640" s="292" t="s">
        <v>98</v>
      </c>
      <c r="R640" s="292" t="s">
        <v>353</v>
      </c>
      <c r="S640" s="297" t="s">
        <v>353</v>
      </c>
      <c r="T640" s="298"/>
      <c r="U640" s="299" t="s">
        <v>188</v>
      </c>
      <c r="V640" s="299">
        <v>290909182</v>
      </c>
      <c r="W640" s="300">
        <v>8261818</v>
      </c>
      <c r="X640" s="301"/>
      <c r="Y640" s="292" t="s">
        <v>31</v>
      </c>
      <c r="Z640" s="302" t="s">
        <v>441</v>
      </c>
      <c r="AA640" s="317"/>
      <c r="AB640" s="317"/>
      <c r="AC640" s="303">
        <f t="shared" si="19"/>
        <v>0</v>
      </c>
      <c r="AD640" s="303">
        <v>0</v>
      </c>
      <c r="AE640" s="303">
        <f t="shared" si="20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customHeight="1">
      <c r="A641" s="290">
        <v>621</v>
      </c>
      <c r="B641" s="291"/>
      <c r="C641" s="291"/>
      <c r="D641" s="292" t="s">
        <v>184</v>
      </c>
      <c r="E641" s="292" t="s">
        <v>559</v>
      </c>
      <c r="F641" s="293" t="s">
        <v>208</v>
      </c>
      <c r="G641" s="294" t="s">
        <v>702</v>
      </c>
      <c r="H641" s="311"/>
      <c r="I641" s="295"/>
      <c r="J641" s="296" t="s">
        <v>585</v>
      </c>
      <c r="K641" s="292"/>
      <c r="L641" s="292"/>
      <c r="M641" s="292">
        <v>3734</v>
      </c>
      <c r="N641" s="292"/>
      <c r="O641" s="292"/>
      <c r="P641" s="292"/>
      <c r="Q641" s="292" t="s">
        <v>98</v>
      </c>
      <c r="R641" s="292" t="s">
        <v>353</v>
      </c>
      <c r="S641" s="297" t="s">
        <v>353</v>
      </c>
      <c r="T641" s="298"/>
      <c r="U641" s="299"/>
      <c r="V641" s="299" t="s">
        <v>188</v>
      </c>
      <c r="W641" s="300">
        <v>168750926</v>
      </c>
      <c r="X641" s="301"/>
      <c r="Y641" s="292" t="s">
        <v>31</v>
      </c>
      <c r="Z641" s="302" t="s">
        <v>441</v>
      </c>
      <c r="AA641" s="317"/>
      <c r="AB641" s="317"/>
      <c r="AC641" s="303">
        <f t="shared" si="19"/>
        <v>0</v>
      </c>
      <c r="AD641" s="303">
        <v>0</v>
      </c>
      <c r="AE641" s="303">
        <f t="shared" si="20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/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customHeight="1">
      <c r="A642" s="290">
        <v>622</v>
      </c>
      <c r="B642" s="291"/>
      <c r="C642" s="291"/>
      <c r="D642" s="292" t="s">
        <v>184</v>
      </c>
      <c r="E642" s="292" t="s">
        <v>555</v>
      </c>
      <c r="F642" s="293" t="s">
        <v>208</v>
      </c>
      <c r="G642" s="294" t="s">
        <v>702</v>
      </c>
      <c r="H642" s="311"/>
      <c r="I642" s="295"/>
      <c r="J642" s="296" t="s">
        <v>586</v>
      </c>
      <c r="K642" s="292"/>
      <c r="L642" s="292"/>
      <c r="M642" s="292">
        <v>3734</v>
      </c>
      <c r="N642" s="292"/>
      <c r="O642" s="292"/>
      <c r="P642" s="292"/>
      <c r="Q642" s="292"/>
      <c r="R642" s="292" t="s">
        <v>361</v>
      </c>
      <c r="S642" s="297" t="s">
        <v>361</v>
      </c>
      <c r="T642" s="298"/>
      <c r="U642" s="299"/>
      <c r="V642" s="299"/>
      <c r="W642" s="300">
        <v>54090909</v>
      </c>
      <c r="X642" s="301"/>
      <c r="Y642" s="292" t="s">
        <v>31</v>
      </c>
      <c r="Z642" s="302" t="s">
        <v>441</v>
      </c>
      <c r="AA642" s="317"/>
      <c r="AB642" s="317"/>
      <c r="AC642" s="303">
        <f t="shared" si="19"/>
        <v>0</v>
      </c>
      <c r="AD642" s="303">
        <v>0</v>
      </c>
      <c r="AE642" s="303">
        <f t="shared" si="20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customHeight="1">
      <c r="A643" s="290">
        <v>623</v>
      </c>
      <c r="B643" s="291"/>
      <c r="C643" s="291"/>
      <c r="D643" s="292" t="s">
        <v>184</v>
      </c>
      <c r="E643" s="292" t="s">
        <v>559</v>
      </c>
      <c r="F643" s="293" t="s">
        <v>208</v>
      </c>
      <c r="G643" s="294" t="s">
        <v>702</v>
      </c>
      <c r="H643" s="311"/>
      <c r="I643" s="295"/>
      <c r="J643" s="296" t="s">
        <v>756</v>
      </c>
      <c r="K643" s="292"/>
      <c r="L643" s="292"/>
      <c r="M643" s="292">
        <v>3734</v>
      </c>
      <c r="N643" s="292"/>
      <c r="O643" s="292"/>
      <c r="P643" s="292"/>
      <c r="Q643" s="292" t="s">
        <v>30</v>
      </c>
      <c r="R643" s="292" t="s">
        <v>353</v>
      </c>
      <c r="S643" s="297" t="s">
        <v>353</v>
      </c>
      <c r="T643" s="298"/>
      <c r="U643" s="299" t="s">
        <v>188</v>
      </c>
      <c r="V643" s="299">
        <v>400000</v>
      </c>
      <c r="W643" s="300">
        <v>2500003</v>
      </c>
      <c r="X643" s="301"/>
      <c r="Y643" s="292" t="s">
        <v>24</v>
      </c>
      <c r="Z643" s="302" t="s">
        <v>31</v>
      </c>
      <c r="AA643" s="317"/>
      <c r="AB643" s="317"/>
      <c r="AC643" s="303">
        <f t="shared" si="19"/>
        <v>270000000</v>
      </c>
      <c r="AD643" s="303">
        <v>270000000</v>
      </c>
      <c r="AE643" s="303">
        <f t="shared" si="20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>
        <v>270000000</v>
      </c>
      <c r="BF643" s="306"/>
      <c r="BG643" s="308"/>
      <c r="BH643" s="309"/>
    </row>
    <row r="644" spans="1:60" s="310" customFormat="1" ht="16.5" customHeight="1">
      <c r="A644" s="290">
        <v>624</v>
      </c>
      <c r="B644" s="291"/>
      <c r="C644" s="291"/>
      <c r="D644" s="292" t="s">
        <v>208</v>
      </c>
      <c r="E644" s="292" t="s">
        <v>4</v>
      </c>
      <c r="F644" s="293" t="s">
        <v>208</v>
      </c>
      <c r="G644" s="294" t="s">
        <v>702</v>
      </c>
      <c r="H644" s="311"/>
      <c r="I644" s="295"/>
      <c r="J644" s="296" t="s">
        <v>477</v>
      </c>
      <c r="K644" s="292"/>
      <c r="L644" s="292"/>
      <c r="M644" s="292">
        <v>15054</v>
      </c>
      <c r="N644" s="292" t="s">
        <v>26</v>
      </c>
      <c r="O644" s="292"/>
      <c r="P644" s="292"/>
      <c r="Q644" s="292" t="s">
        <v>22</v>
      </c>
      <c r="R644" s="292" t="s">
        <v>23</v>
      </c>
      <c r="S644" s="297" t="s">
        <v>23</v>
      </c>
      <c r="T644" s="298"/>
      <c r="U644" s="299">
        <v>39211955</v>
      </c>
      <c r="V644" s="299">
        <v>25000000</v>
      </c>
      <c r="W644" s="300">
        <v>32000000</v>
      </c>
      <c r="X644" s="301"/>
      <c r="Y644" s="292" t="s">
        <v>31</v>
      </c>
      <c r="Z644" s="302" t="s">
        <v>28</v>
      </c>
      <c r="AA644" s="317"/>
      <c r="AB644" s="317"/>
      <c r="AC644" s="303">
        <f t="shared" si="19"/>
        <v>28000000</v>
      </c>
      <c r="AD644" s="303">
        <v>28000000</v>
      </c>
      <c r="AE644" s="303">
        <f t="shared" si="20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>
        <v>25000000</v>
      </c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>
        <v>3000000</v>
      </c>
      <c r="BD644" s="306"/>
      <c r="BE644" s="306"/>
      <c r="BF644" s="306"/>
      <c r="BG644" s="308"/>
      <c r="BH644" s="309"/>
    </row>
    <row r="645" spans="1:60" s="310" customFormat="1" ht="16.5" customHeight="1">
      <c r="A645" s="290">
        <v>625</v>
      </c>
      <c r="B645" s="291"/>
      <c r="C645" s="291"/>
      <c r="D645" s="292" t="s">
        <v>208</v>
      </c>
      <c r="E645" s="292" t="s">
        <v>4</v>
      </c>
      <c r="F645" s="293" t="s">
        <v>208</v>
      </c>
      <c r="G645" s="294" t="s">
        <v>702</v>
      </c>
      <c r="H645" s="311"/>
      <c r="I645" s="295"/>
      <c r="J645" s="296" t="s">
        <v>477</v>
      </c>
      <c r="K645" s="292"/>
      <c r="L645" s="292"/>
      <c r="M645" s="292">
        <v>15054</v>
      </c>
      <c r="N645" s="292" t="s">
        <v>26</v>
      </c>
      <c r="O645" s="292"/>
      <c r="P645" s="292"/>
      <c r="Q645" s="292" t="s">
        <v>33</v>
      </c>
      <c r="R645" s="292" t="s">
        <v>34</v>
      </c>
      <c r="S645" s="297" t="s">
        <v>34</v>
      </c>
      <c r="T645" s="298"/>
      <c r="U645" s="299">
        <v>10471000</v>
      </c>
      <c r="V645" s="299">
        <v>19372100</v>
      </c>
      <c r="W645" s="300">
        <v>13058000</v>
      </c>
      <c r="X645" s="301"/>
      <c r="Y645" s="292" t="s">
        <v>31</v>
      </c>
      <c r="Z645" s="302" t="s">
        <v>28</v>
      </c>
      <c r="AA645" s="317"/>
      <c r="AB645" s="317"/>
      <c r="AC645" s="303">
        <f t="shared" si="19"/>
        <v>10700000</v>
      </c>
      <c r="AD645" s="303">
        <v>12300000</v>
      </c>
      <c r="AE645" s="303">
        <f t="shared" si="20"/>
        <v>-1600000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>
        <v>1600000</v>
      </c>
      <c r="AR645" s="306"/>
      <c r="AS645" s="306">
        <v>1600000</v>
      </c>
      <c r="AT645" s="306"/>
      <c r="AU645" s="306">
        <v>1500000</v>
      </c>
      <c r="AV645" s="306"/>
      <c r="AW645" s="306">
        <v>1500000</v>
      </c>
      <c r="AX645" s="306"/>
      <c r="AY645" s="306">
        <v>1500000</v>
      </c>
      <c r="AZ645" s="306"/>
      <c r="BA645" s="306">
        <v>1500000</v>
      </c>
      <c r="BB645" s="306"/>
      <c r="BC645" s="306">
        <v>1500000</v>
      </c>
      <c r="BD645" s="306"/>
      <c r="BE645" s="306"/>
      <c r="BF645" s="306"/>
      <c r="BG645" s="308"/>
      <c r="BH645" s="309"/>
    </row>
    <row r="646" spans="1:60" s="310" customFormat="1" ht="16.5" customHeight="1">
      <c r="A646" s="290">
        <v>626</v>
      </c>
      <c r="B646" s="291"/>
      <c r="C646" s="291"/>
      <c r="D646" s="292" t="s">
        <v>208</v>
      </c>
      <c r="E646" s="292" t="s">
        <v>4</v>
      </c>
      <c r="F646" s="293" t="s">
        <v>208</v>
      </c>
      <c r="G646" s="294" t="s">
        <v>702</v>
      </c>
      <c r="H646" s="311"/>
      <c r="I646" s="295"/>
      <c r="J646" s="296" t="s">
        <v>477</v>
      </c>
      <c r="K646" s="292"/>
      <c r="L646" s="292"/>
      <c r="M646" s="292">
        <v>15054</v>
      </c>
      <c r="N646" s="292" t="s">
        <v>26</v>
      </c>
      <c r="O646" s="292"/>
      <c r="P646" s="292"/>
      <c r="Q646" s="292" t="s">
        <v>30</v>
      </c>
      <c r="R646" s="292" t="s">
        <v>353</v>
      </c>
      <c r="S646" s="297" t="s">
        <v>353</v>
      </c>
      <c r="T646" s="298"/>
      <c r="U646" s="299">
        <v>1000000</v>
      </c>
      <c r="V646" s="299">
        <v>346000</v>
      </c>
      <c r="W646" s="300">
        <v>0</v>
      </c>
      <c r="X646" s="301"/>
      <c r="Y646" s="292" t="s">
        <v>28</v>
      </c>
      <c r="Z646" s="302" t="s">
        <v>28</v>
      </c>
      <c r="AA646" s="317"/>
      <c r="AB646" s="317"/>
      <c r="AC646" s="303">
        <f t="shared" si="19"/>
        <v>0</v>
      </c>
      <c r="AD646" s="303">
        <v>0</v>
      </c>
      <c r="AE646" s="303">
        <f t="shared" si="20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customHeight="1">
      <c r="A647" s="290">
        <v>627</v>
      </c>
      <c r="B647" s="291"/>
      <c r="C647" s="291"/>
      <c r="D647" s="292"/>
      <c r="E647" s="292"/>
      <c r="F647" s="293" t="s">
        <v>208</v>
      </c>
      <c r="G647" s="294" t="s">
        <v>702</v>
      </c>
      <c r="H647" s="311"/>
      <c r="I647" s="295"/>
      <c r="J647" s="296" t="s">
        <v>731</v>
      </c>
      <c r="K647" s="292"/>
      <c r="L647" s="292"/>
      <c r="M647" s="292" t="s">
        <v>757</v>
      </c>
      <c r="N647" s="292"/>
      <c r="O647" s="292"/>
      <c r="P647" s="292"/>
      <c r="Q647" s="292"/>
      <c r="R647" s="292"/>
      <c r="S647" s="297" t="s">
        <v>32</v>
      </c>
      <c r="T647" s="298"/>
      <c r="U647" s="299"/>
      <c r="V647" s="299"/>
      <c r="W647" s="300"/>
      <c r="X647" s="301"/>
      <c r="Y647" s="292"/>
      <c r="Z647" s="302" t="s">
        <v>31</v>
      </c>
      <c r="AA647" s="317"/>
      <c r="AB647" s="317"/>
      <c r="AC647" s="303">
        <f t="shared" si="19"/>
        <v>180000</v>
      </c>
      <c r="AD647" s="303">
        <v>180000</v>
      </c>
      <c r="AE647" s="303">
        <f t="shared" si="20"/>
        <v>0</v>
      </c>
      <c r="AF647" s="304"/>
      <c r="AG647" s="305"/>
      <c r="AH647" s="304"/>
      <c r="AI647" s="304"/>
      <c r="AJ647" s="305">
        <v>180000</v>
      </c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customHeight="1">
      <c r="A648" s="290">
        <v>628</v>
      </c>
      <c r="B648" s="291"/>
      <c r="C648" s="291"/>
      <c r="D648" s="292" t="s">
        <v>208</v>
      </c>
      <c r="E648" s="292" t="s">
        <v>4</v>
      </c>
      <c r="F648" s="293" t="s">
        <v>208</v>
      </c>
      <c r="G648" s="294" t="s">
        <v>702</v>
      </c>
      <c r="H648" s="311"/>
      <c r="I648" s="295"/>
      <c r="J648" s="296" t="s">
        <v>440</v>
      </c>
      <c r="K648" s="292"/>
      <c r="L648" s="292"/>
      <c r="M648" s="292">
        <v>44206</v>
      </c>
      <c r="N648" s="292" t="s">
        <v>35</v>
      </c>
      <c r="O648" s="292"/>
      <c r="P648" s="292"/>
      <c r="Q648" s="292"/>
      <c r="R648" s="292" t="s">
        <v>538</v>
      </c>
      <c r="S648" s="297" t="s">
        <v>681</v>
      </c>
      <c r="T648" s="298"/>
      <c r="U648" s="299"/>
      <c r="V648" s="299">
        <v>0</v>
      </c>
      <c r="W648" s="300">
        <v>0</v>
      </c>
      <c r="X648" s="301"/>
      <c r="Y648" s="292" t="s">
        <v>29</v>
      </c>
      <c r="Z648" s="302" t="s">
        <v>29</v>
      </c>
      <c r="AA648" s="317"/>
      <c r="AB648" s="317"/>
      <c r="AC648" s="303">
        <f t="shared" si="19"/>
        <v>20000000</v>
      </c>
      <c r="AD648" s="303">
        <v>20000000</v>
      </c>
      <c r="AE648" s="303">
        <f t="shared" si="20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>
        <v>20000000</v>
      </c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customHeight="1">
      <c r="A649" s="290">
        <v>629</v>
      </c>
      <c r="B649" s="291"/>
      <c r="C649" s="291"/>
      <c r="D649" s="292" t="s">
        <v>208</v>
      </c>
      <c r="E649" s="292" t="s">
        <v>4</v>
      </c>
      <c r="F649" s="293" t="s">
        <v>208</v>
      </c>
      <c r="G649" s="294" t="s">
        <v>702</v>
      </c>
      <c r="H649" s="311"/>
      <c r="I649" s="295"/>
      <c r="J649" s="296" t="s">
        <v>102</v>
      </c>
      <c r="K649" s="292"/>
      <c r="L649" s="292"/>
      <c r="M649" s="292">
        <v>50527</v>
      </c>
      <c r="N649" s="292" t="s">
        <v>35</v>
      </c>
      <c r="O649" s="292"/>
      <c r="P649" s="292"/>
      <c r="Q649" s="292" t="s">
        <v>83</v>
      </c>
      <c r="R649" s="292" t="s">
        <v>32</v>
      </c>
      <c r="S649" s="297" t="s">
        <v>32</v>
      </c>
      <c r="T649" s="298"/>
      <c r="U649" s="299">
        <v>448067211</v>
      </c>
      <c r="V649" s="299">
        <v>468797780</v>
      </c>
      <c r="W649" s="300">
        <v>0</v>
      </c>
      <c r="X649" s="301"/>
      <c r="Y649" s="292" t="s">
        <v>107</v>
      </c>
      <c r="Z649" s="302" t="s">
        <v>107</v>
      </c>
      <c r="AA649" s="317"/>
      <c r="AB649" s="317"/>
      <c r="AC649" s="303">
        <f t="shared" si="19"/>
        <v>0</v>
      </c>
      <c r="AD649" s="303">
        <v>0</v>
      </c>
      <c r="AE649" s="303">
        <f t="shared" si="20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/>
      <c r="BF649" s="306"/>
      <c r="BG649" s="308"/>
      <c r="BH649" s="309"/>
    </row>
    <row r="650" spans="1:60" s="310" customFormat="1" ht="16.5" customHeight="1">
      <c r="A650" s="290">
        <v>630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702</v>
      </c>
      <c r="H650" s="311"/>
      <c r="I650" s="295"/>
      <c r="J650" s="296" t="s">
        <v>102</v>
      </c>
      <c r="K650" s="292"/>
      <c r="L650" s="292"/>
      <c r="M650" s="292">
        <v>50527</v>
      </c>
      <c r="N650" s="292" t="s">
        <v>35</v>
      </c>
      <c r="O650" s="292"/>
      <c r="P650" s="292"/>
      <c r="Q650" s="292"/>
      <c r="R650" s="292" t="s">
        <v>353</v>
      </c>
      <c r="S650" s="297" t="s">
        <v>353</v>
      </c>
      <c r="T650" s="298"/>
      <c r="U650" s="299"/>
      <c r="V650" s="299">
        <v>0</v>
      </c>
      <c r="W650" s="300">
        <v>0</v>
      </c>
      <c r="X650" s="301"/>
      <c r="Y650" s="292" t="s">
        <v>107</v>
      </c>
      <c r="Z650" s="302" t="s">
        <v>29</v>
      </c>
      <c r="AA650" s="317"/>
      <c r="AB650" s="317"/>
      <c r="AC650" s="303">
        <f t="shared" si="19"/>
        <v>0</v>
      </c>
      <c r="AD650" s="303">
        <v>0</v>
      </c>
      <c r="AE650" s="303">
        <f t="shared" si="20"/>
        <v>0</v>
      </c>
      <c r="AF650" s="304"/>
      <c r="AG650" s="305"/>
      <c r="AH650" s="304"/>
      <c r="AI650" s="304">
        <v>180000000</v>
      </c>
      <c r="AJ650" s="305"/>
      <c r="AK650" s="304"/>
      <c r="AL650" s="306"/>
      <c r="AM650" s="318"/>
      <c r="AN650" s="306"/>
      <c r="AO650" s="307"/>
      <c r="AP650" s="306"/>
      <c r="AQ650" s="306"/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/>
      <c r="BD650" s="306"/>
      <c r="BE650" s="306"/>
      <c r="BF650" s="306"/>
      <c r="BG650" s="308"/>
      <c r="BH650" s="309"/>
    </row>
    <row r="651" spans="1:60" s="310" customFormat="1" ht="16.5" customHeight="1">
      <c r="A651" s="290">
        <v>631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702</v>
      </c>
      <c r="H651" s="311"/>
      <c r="I651" s="295"/>
      <c r="J651" s="296" t="s">
        <v>536</v>
      </c>
      <c r="K651" s="292"/>
      <c r="L651" s="292"/>
      <c r="M651" s="292">
        <v>62973</v>
      </c>
      <c r="N651" s="292" t="s">
        <v>32</v>
      </c>
      <c r="O651" s="292"/>
      <c r="P651" s="292"/>
      <c r="Q651" s="292"/>
      <c r="R651" s="292" t="s">
        <v>23</v>
      </c>
      <c r="S651" s="297" t="s">
        <v>23</v>
      </c>
      <c r="T651" s="298"/>
      <c r="U651" s="299"/>
      <c r="V651" s="299"/>
      <c r="W651" s="300">
        <v>168000</v>
      </c>
      <c r="X651" s="301"/>
      <c r="Y651" s="292" t="s">
        <v>31</v>
      </c>
      <c r="Z651" s="302" t="s">
        <v>29</v>
      </c>
      <c r="AA651" s="317"/>
      <c r="AB651" s="317"/>
      <c r="AC651" s="303">
        <f t="shared" si="19"/>
        <v>0</v>
      </c>
      <c r="AD651" s="303">
        <v>0</v>
      </c>
      <c r="AE651" s="303">
        <f t="shared" si="20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/>
      <c r="AP651" s="306"/>
      <c r="AQ651" s="306"/>
      <c r="AR651" s="306"/>
      <c r="AS651" s="306"/>
      <c r="AT651" s="306"/>
      <c r="AU651" s="306"/>
      <c r="AV651" s="306"/>
      <c r="AW651" s="306"/>
      <c r="AX651" s="306"/>
      <c r="AY651" s="306"/>
      <c r="AZ651" s="306"/>
      <c r="BA651" s="306"/>
      <c r="BB651" s="306"/>
      <c r="BC651" s="306"/>
      <c r="BD651" s="306"/>
      <c r="BE651" s="306"/>
      <c r="BF651" s="306"/>
      <c r="BG651" s="308"/>
      <c r="BH651" s="309"/>
    </row>
    <row r="652" spans="1:60" s="310" customFormat="1" ht="16.5" customHeight="1">
      <c r="A652" s="290">
        <v>632</v>
      </c>
      <c r="B652" s="291"/>
      <c r="C652" s="291"/>
      <c r="D652" s="292" t="s">
        <v>208</v>
      </c>
      <c r="E652" s="292" t="s">
        <v>2</v>
      </c>
      <c r="F652" s="293" t="s">
        <v>208</v>
      </c>
      <c r="G652" s="294" t="s">
        <v>702</v>
      </c>
      <c r="H652" s="311"/>
      <c r="I652" s="295"/>
      <c r="J652" s="296" t="s">
        <v>510</v>
      </c>
      <c r="K652" s="292"/>
      <c r="L652" s="292"/>
      <c r="M652" s="292">
        <v>44192</v>
      </c>
      <c r="N652" s="292" t="s">
        <v>35</v>
      </c>
      <c r="O652" s="292"/>
      <c r="P652" s="292"/>
      <c r="Q652" s="292"/>
      <c r="R652" s="292" t="s">
        <v>23</v>
      </c>
      <c r="S652" s="297" t="s">
        <v>23</v>
      </c>
      <c r="T652" s="298"/>
      <c r="U652" s="299"/>
      <c r="V652" s="299"/>
      <c r="W652" s="300">
        <v>7000000</v>
      </c>
      <c r="X652" s="301"/>
      <c r="Y652" s="292" t="s">
        <v>31</v>
      </c>
      <c r="Z652" s="302" t="s">
        <v>31</v>
      </c>
      <c r="AA652" s="317"/>
      <c r="AB652" s="317"/>
      <c r="AC652" s="303">
        <f t="shared" si="19"/>
        <v>7000000</v>
      </c>
      <c r="AD652" s="303">
        <v>7000000</v>
      </c>
      <c r="AE652" s="303">
        <f t="shared" si="20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>
        <v>7000000</v>
      </c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customHeight="1">
      <c r="A653" s="290">
        <v>633</v>
      </c>
      <c r="B653" s="291"/>
      <c r="C653" s="291"/>
      <c r="D653" s="292" t="s">
        <v>208</v>
      </c>
      <c r="E653" s="292" t="s">
        <v>2</v>
      </c>
      <c r="F653" s="293" t="s">
        <v>208</v>
      </c>
      <c r="G653" s="294" t="s">
        <v>702</v>
      </c>
      <c r="H653" s="311"/>
      <c r="I653" s="295"/>
      <c r="J653" s="296" t="s">
        <v>510</v>
      </c>
      <c r="K653" s="292"/>
      <c r="L653" s="292"/>
      <c r="M653" s="292">
        <v>44192</v>
      </c>
      <c r="N653" s="292" t="s">
        <v>35</v>
      </c>
      <c r="O653" s="292"/>
      <c r="P653" s="292"/>
      <c r="Q653" s="292" t="s">
        <v>33</v>
      </c>
      <c r="R653" s="292" t="s">
        <v>34</v>
      </c>
      <c r="S653" s="297" t="s">
        <v>34</v>
      </c>
      <c r="T653" s="298"/>
      <c r="U653" s="299">
        <v>6000000</v>
      </c>
      <c r="V653" s="299">
        <v>6000000</v>
      </c>
      <c r="W653" s="300">
        <v>6290000</v>
      </c>
      <c r="X653" s="301"/>
      <c r="Y653" s="292" t="s">
        <v>31</v>
      </c>
      <c r="Z653" s="302" t="s">
        <v>31</v>
      </c>
      <c r="AA653" s="317"/>
      <c r="AB653" s="317"/>
      <c r="AC653" s="303">
        <f t="shared" si="19"/>
        <v>6010000</v>
      </c>
      <c r="AD653" s="303">
        <v>6010000</v>
      </c>
      <c r="AE653" s="303">
        <f t="shared" si="20"/>
        <v>0</v>
      </c>
      <c r="AF653" s="304"/>
      <c r="AG653" s="305"/>
      <c r="AH653" s="304"/>
      <c r="AI653" s="304"/>
      <c r="AJ653" s="305"/>
      <c r="AK653" s="304"/>
      <c r="AL653" s="306"/>
      <c r="AM653" s="318">
        <v>10000</v>
      </c>
      <c r="AN653" s="306"/>
      <c r="AO653" s="307"/>
      <c r="AP653" s="306"/>
      <c r="AQ653" s="306">
        <v>6000000</v>
      </c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customHeight="1">
      <c r="A654" s="290">
        <v>634</v>
      </c>
      <c r="B654" s="291"/>
      <c r="C654" s="291"/>
      <c r="D654" s="292" t="s">
        <v>208</v>
      </c>
      <c r="E654" s="292" t="s">
        <v>1</v>
      </c>
      <c r="F654" s="293" t="s">
        <v>208</v>
      </c>
      <c r="G654" s="294" t="s">
        <v>702</v>
      </c>
      <c r="H654" s="311"/>
      <c r="I654" s="295"/>
      <c r="J654" s="296" t="s">
        <v>508</v>
      </c>
      <c r="K654" s="292"/>
      <c r="L654" s="292"/>
      <c r="M654" s="292">
        <v>8489</v>
      </c>
      <c r="N654" s="292" t="s">
        <v>44</v>
      </c>
      <c r="O654" s="292"/>
      <c r="P654" s="292"/>
      <c r="Q654" s="292"/>
      <c r="R654" s="292" t="s">
        <v>34</v>
      </c>
      <c r="S654" s="297" t="s">
        <v>34</v>
      </c>
      <c r="T654" s="298"/>
      <c r="U654" s="299"/>
      <c r="V654" s="299"/>
      <c r="W654" s="300">
        <v>0</v>
      </c>
      <c r="X654" s="301"/>
      <c r="Y654" s="292" t="s">
        <v>31</v>
      </c>
      <c r="Z654" s="302" t="s">
        <v>29</v>
      </c>
      <c r="AA654" s="317"/>
      <c r="AB654" s="317"/>
      <c r="AC654" s="303">
        <f t="shared" si="19"/>
        <v>0</v>
      </c>
      <c r="AD654" s="303">
        <v>0</v>
      </c>
      <c r="AE654" s="303">
        <f t="shared" si="20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/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customHeight="1">
      <c r="A655" s="290">
        <v>635</v>
      </c>
      <c r="B655" s="291"/>
      <c r="C655" s="291"/>
      <c r="D655" s="292"/>
      <c r="E655" s="292"/>
      <c r="F655" s="293" t="s">
        <v>208</v>
      </c>
      <c r="G655" s="294" t="s">
        <v>826</v>
      </c>
      <c r="H655" s="311" t="s">
        <v>799</v>
      </c>
      <c r="I655" s="295"/>
      <c r="J655" s="296" t="s">
        <v>86</v>
      </c>
      <c r="K655" s="292"/>
      <c r="L655" s="292"/>
      <c r="M655" s="292">
        <v>30465</v>
      </c>
      <c r="N655" s="292"/>
      <c r="O655" s="292"/>
      <c r="P655" s="292"/>
      <c r="Q655" s="292"/>
      <c r="R655" s="292"/>
      <c r="S655" s="297" t="s">
        <v>23</v>
      </c>
      <c r="T655" s="298"/>
      <c r="U655" s="299"/>
      <c r="V655" s="299"/>
      <c r="W655" s="300"/>
      <c r="X655" s="301"/>
      <c r="Y655" s="292" t="s">
        <v>31</v>
      </c>
      <c r="Z655" s="302" t="s">
        <v>31</v>
      </c>
      <c r="AA655" s="317"/>
      <c r="AB655" s="317"/>
      <c r="AC655" s="303">
        <f t="shared" si="19"/>
        <v>6300000</v>
      </c>
      <c r="AD655" s="303">
        <v>6300000</v>
      </c>
      <c r="AE655" s="303">
        <f t="shared" si="20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>
        <v>700000</v>
      </c>
      <c r="AP655" s="306"/>
      <c r="AQ655" s="306">
        <v>700000</v>
      </c>
      <c r="AR655" s="306"/>
      <c r="AS655" s="306">
        <v>700000</v>
      </c>
      <c r="AT655" s="306"/>
      <c r="AU655" s="306">
        <v>700000</v>
      </c>
      <c r="AV655" s="306"/>
      <c r="AW655" s="306">
        <v>700000</v>
      </c>
      <c r="AX655" s="306"/>
      <c r="AY655" s="306">
        <v>700000</v>
      </c>
      <c r="AZ655" s="306"/>
      <c r="BA655" s="306">
        <v>700000</v>
      </c>
      <c r="BB655" s="306"/>
      <c r="BC655" s="306">
        <v>700000</v>
      </c>
      <c r="BD655" s="306"/>
      <c r="BE655" s="306">
        <v>700000</v>
      </c>
      <c r="BF655" s="306"/>
      <c r="BG655" s="308"/>
      <c r="BH655" s="309"/>
    </row>
    <row r="656" spans="1:60" s="310" customFormat="1" ht="16.5" customHeight="1">
      <c r="A656" s="290">
        <v>636</v>
      </c>
      <c r="B656" s="291"/>
      <c r="C656" s="291"/>
      <c r="D656" s="292" t="s">
        <v>208</v>
      </c>
      <c r="E656" s="292" t="s">
        <v>106</v>
      </c>
      <c r="F656" s="293" t="s">
        <v>208</v>
      </c>
      <c r="G656" s="294" t="s">
        <v>702</v>
      </c>
      <c r="H656" s="311"/>
      <c r="I656" s="295"/>
      <c r="J656" s="296" t="s">
        <v>126</v>
      </c>
      <c r="K656" s="292"/>
      <c r="L656" s="292"/>
      <c r="M656" s="292">
        <v>20791</v>
      </c>
      <c r="N656" s="292" t="s">
        <v>35</v>
      </c>
      <c r="O656" s="292"/>
      <c r="P656" s="292"/>
      <c r="Q656" s="292" t="s">
        <v>83</v>
      </c>
      <c r="R656" s="292" t="s">
        <v>32</v>
      </c>
      <c r="S656" s="297" t="s">
        <v>32</v>
      </c>
      <c r="T656" s="298"/>
      <c r="U656" s="299">
        <v>84538000</v>
      </c>
      <c r="V656" s="299">
        <v>68035000</v>
      </c>
      <c r="W656" s="300">
        <v>69537500</v>
      </c>
      <c r="X656" s="301"/>
      <c r="Y656" s="292" t="s">
        <v>31</v>
      </c>
      <c r="Z656" s="302" t="s">
        <v>31</v>
      </c>
      <c r="AA656" s="317"/>
      <c r="AB656" s="317"/>
      <c r="AC656" s="303">
        <f t="shared" si="19"/>
        <v>70630000</v>
      </c>
      <c r="AD656" s="303">
        <v>70630000</v>
      </c>
      <c r="AE656" s="303">
        <f t="shared" si="20"/>
        <v>0</v>
      </c>
      <c r="AF656" s="304">
        <v>1021000</v>
      </c>
      <c r="AG656" s="305">
        <v>1021000</v>
      </c>
      <c r="AH656" s="304"/>
      <c r="AI656" s="304"/>
      <c r="AJ656" s="305">
        <v>609000</v>
      </c>
      <c r="AK656" s="304"/>
      <c r="AL656" s="306">
        <v>609000</v>
      </c>
      <c r="AM656" s="318">
        <v>609000</v>
      </c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>
        <v>68391000</v>
      </c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customHeight="1">
      <c r="A657" s="290">
        <v>637</v>
      </c>
      <c r="B657" s="291"/>
      <c r="C657" s="291"/>
      <c r="D657" s="292" t="s">
        <v>208</v>
      </c>
      <c r="E657" s="292" t="s">
        <v>106</v>
      </c>
      <c r="F657" s="293" t="s">
        <v>208</v>
      </c>
      <c r="G657" s="294" t="s">
        <v>702</v>
      </c>
      <c r="H657" s="311"/>
      <c r="I657" s="295"/>
      <c r="J657" s="296" t="s">
        <v>126</v>
      </c>
      <c r="K657" s="292"/>
      <c r="L657" s="292"/>
      <c r="M657" s="292">
        <v>20791</v>
      </c>
      <c r="N657" s="292" t="s">
        <v>35</v>
      </c>
      <c r="O657" s="292"/>
      <c r="P657" s="292"/>
      <c r="Q657" s="292" t="s">
        <v>30</v>
      </c>
      <c r="R657" s="292" t="s">
        <v>353</v>
      </c>
      <c r="S657" s="297" t="s">
        <v>353</v>
      </c>
      <c r="T657" s="298"/>
      <c r="U657" s="299"/>
      <c r="V657" s="299">
        <v>6500000</v>
      </c>
      <c r="W657" s="300">
        <v>0</v>
      </c>
      <c r="X657" s="301"/>
      <c r="Y657" s="292" t="s">
        <v>29</v>
      </c>
      <c r="Z657" s="302" t="s">
        <v>29</v>
      </c>
      <c r="AA657" s="317"/>
      <c r="AB657" s="317"/>
      <c r="AC657" s="303">
        <f t="shared" si="19"/>
        <v>0</v>
      </c>
      <c r="AD657" s="303">
        <v>0</v>
      </c>
      <c r="AE657" s="303">
        <f t="shared" si="20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customHeight="1">
      <c r="A658" s="290">
        <v>638</v>
      </c>
      <c r="B658" s="291"/>
      <c r="C658" s="291"/>
      <c r="D658" s="292" t="s">
        <v>208</v>
      </c>
      <c r="E658" s="292" t="s">
        <v>106</v>
      </c>
      <c r="F658" s="293" t="s">
        <v>208</v>
      </c>
      <c r="G658" s="294" t="s">
        <v>702</v>
      </c>
      <c r="H658" s="311"/>
      <c r="I658" s="295"/>
      <c r="J658" s="296" t="s">
        <v>126</v>
      </c>
      <c r="K658" s="292"/>
      <c r="L658" s="292"/>
      <c r="M658" s="292">
        <v>20791</v>
      </c>
      <c r="N658" s="292" t="s">
        <v>35</v>
      </c>
      <c r="O658" s="292"/>
      <c r="P658" s="292"/>
      <c r="Q658" s="292" t="s">
        <v>46</v>
      </c>
      <c r="R658" s="292" t="s">
        <v>351</v>
      </c>
      <c r="S658" s="297" t="s">
        <v>691</v>
      </c>
      <c r="T658" s="298"/>
      <c r="U658" s="299"/>
      <c r="V658" s="299">
        <v>8181818</v>
      </c>
      <c r="W658" s="300">
        <v>0</v>
      </c>
      <c r="X658" s="301"/>
      <c r="Y658" s="292" t="s">
        <v>31</v>
      </c>
      <c r="Z658" s="302" t="s">
        <v>29</v>
      </c>
      <c r="AA658" s="317"/>
      <c r="AB658" s="317"/>
      <c r="AC658" s="303">
        <f t="shared" si="19"/>
        <v>6000000</v>
      </c>
      <c r="AD658" s="303">
        <v>6000000</v>
      </c>
      <c r="AE658" s="303">
        <f t="shared" si="20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/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>
        <v>6000000</v>
      </c>
      <c r="BD658" s="306"/>
      <c r="BE658" s="306"/>
      <c r="BF658" s="306"/>
      <c r="BG658" s="308"/>
      <c r="BH658" s="309"/>
    </row>
    <row r="659" spans="1:60" s="310" customFormat="1" ht="16.5" customHeight="1">
      <c r="A659" s="290">
        <v>639</v>
      </c>
      <c r="B659" s="291"/>
      <c r="C659" s="291"/>
      <c r="D659" s="292" t="s">
        <v>208</v>
      </c>
      <c r="E659" s="292" t="s">
        <v>1</v>
      </c>
      <c r="F659" s="293" t="s">
        <v>208</v>
      </c>
      <c r="G659" s="294" t="s">
        <v>702</v>
      </c>
      <c r="H659" s="311"/>
      <c r="I659" s="295"/>
      <c r="J659" s="296" t="s">
        <v>67</v>
      </c>
      <c r="K659" s="292"/>
      <c r="L659" s="292"/>
      <c r="M659" s="292">
        <v>6916</v>
      </c>
      <c r="N659" s="292" t="s">
        <v>44</v>
      </c>
      <c r="O659" s="292"/>
      <c r="P659" s="292"/>
      <c r="Q659" s="292" t="s">
        <v>83</v>
      </c>
      <c r="R659" s="292" t="s">
        <v>32</v>
      </c>
      <c r="S659" s="297" t="s">
        <v>32</v>
      </c>
      <c r="T659" s="298"/>
      <c r="U659" s="299">
        <v>29753620</v>
      </c>
      <c r="V659" s="299">
        <v>36149280</v>
      </c>
      <c r="W659" s="300">
        <v>29002500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19"/>
        <v>42212000</v>
      </c>
      <c r="AD659" s="303">
        <v>42212000</v>
      </c>
      <c r="AE659" s="303">
        <f t="shared" si="20"/>
        <v>0</v>
      </c>
      <c r="AF659" s="304"/>
      <c r="AG659" s="305">
        <v>2678000</v>
      </c>
      <c r="AH659" s="304"/>
      <c r="AI659" s="304"/>
      <c r="AJ659" s="305">
        <v>1534000</v>
      </c>
      <c r="AK659" s="304"/>
      <c r="AL659" s="306">
        <v>1478000</v>
      </c>
      <c r="AM659" s="318">
        <v>1478000</v>
      </c>
      <c r="AN659" s="306"/>
      <c r="AO659" s="307"/>
      <c r="AP659" s="306"/>
      <c r="AQ659" s="306"/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>
        <v>36522000</v>
      </c>
      <c r="BF659" s="306"/>
      <c r="BG659" s="308"/>
      <c r="BH659" s="309"/>
    </row>
    <row r="660" spans="1:60" s="310" customFormat="1" ht="16.5" customHeight="1">
      <c r="A660" s="290">
        <v>640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702</v>
      </c>
      <c r="H660" s="311"/>
      <c r="I660" s="295"/>
      <c r="J660" s="296" t="s">
        <v>67</v>
      </c>
      <c r="K660" s="292"/>
      <c r="L660" s="292"/>
      <c r="M660" s="292">
        <v>6916</v>
      </c>
      <c r="N660" s="292" t="s">
        <v>44</v>
      </c>
      <c r="O660" s="292"/>
      <c r="P660" s="292"/>
      <c r="Q660" s="292" t="s">
        <v>33</v>
      </c>
      <c r="R660" s="292" t="s">
        <v>34</v>
      </c>
      <c r="S660" s="297" t="s">
        <v>34</v>
      </c>
      <c r="T660" s="298"/>
      <c r="U660" s="299"/>
      <c r="V660" s="299">
        <v>8904000</v>
      </c>
      <c r="W660" s="300">
        <v>0</v>
      </c>
      <c r="X660" s="301"/>
      <c r="Y660" s="292" t="s">
        <v>31</v>
      </c>
      <c r="Z660" s="302" t="s">
        <v>31</v>
      </c>
      <c r="AA660" s="317"/>
      <c r="AB660" s="317"/>
      <c r="AC660" s="303">
        <f t="shared" si="19"/>
        <v>0</v>
      </c>
      <c r="AD660" s="303">
        <v>0</v>
      </c>
      <c r="AE660" s="303">
        <f t="shared" si="20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customHeight="1">
      <c r="A661" s="290">
        <v>641</v>
      </c>
      <c r="B661" s="291"/>
      <c r="C661" s="291"/>
      <c r="D661" s="292" t="s">
        <v>208</v>
      </c>
      <c r="E661" s="292" t="s">
        <v>1</v>
      </c>
      <c r="F661" s="293" t="s">
        <v>208</v>
      </c>
      <c r="G661" s="294" t="s">
        <v>702</v>
      </c>
      <c r="H661" s="311"/>
      <c r="I661" s="295"/>
      <c r="J661" s="296" t="s">
        <v>67</v>
      </c>
      <c r="K661" s="292"/>
      <c r="L661" s="292"/>
      <c r="M661" s="292">
        <v>6916</v>
      </c>
      <c r="N661" s="292" t="s">
        <v>44</v>
      </c>
      <c r="O661" s="292"/>
      <c r="P661" s="292"/>
      <c r="Q661" s="292" t="s">
        <v>30</v>
      </c>
      <c r="R661" s="292" t="s">
        <v>353</v>
      </c>
      <c r="S661" s="297" t="s">
        <v>353</v>
      </c>
      <c r="T661" s="298"/>
      <c r="U661" s="299"/>
      <c r="V661" s="299">
        <v>0</v>
      </c>
      <c r="W661" s="300">
        <v>0</v>
      </c>
      <c r="X661" s="301"/>
      <c r="Y661" s="292" t="s">
        <v>29</v>
      </c>
      <c r="Z661" s="302" t="s">
        <v>29</v>
      </c>
      <c r="AA661" s="317"/>
      <c r="AB661" s="317"/>
      <c r="AC661" s="303">
        <f t="shared" ref="AC661:AC724" si="21">AG661+AJ661+AM661+AO661+AQ661+AS661+AU661+AW661+AY661+BA661+BC661+BE661</f>
        <v>30000000</v>
      </c>
      <c r="AD661" s="303">
        <v>30000000</v>
      </c>
      <c r="AE661" s="303">
        <f t="shared" ref="AE661:AE724" si="22">AC661-AD661</f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/>
      <c r="AP661" s="306"/>
      <c r="AQ661" s="306"/>
      <c r="AR661" s="306"/>
      <c r="AS661" s="306"/>
      <c r="AT661" s="306"/>
      <c r="AU661" s="306"/>
      <c r="AV661" s="306"/>
      <c r="AW661" s="306"/>
      <c r="AX661" s="306"/>
      <c r="AY661" s="306"/>
      <c r="AZ661" s="306"/>
      <c r="BA661" s="306"/>
      <c r="BB661" s="306"/>
      <c r="BC661" s="306"/>
      <c r="BD661" s="306"/>
      <c r="BE661" s="306">
        <v>30000000</v>
      </c>
      <c r="BF661" s="306"/>
      <c r="BG661" s="308"/>
      <c r="BH661" s="309"/>
    </row>
    <row r="662" spans="1:60" s="310" customFormat="1" ht="16.5" customHeight="1">
      <c r="A662" s="290">
        <v>642</v>
      </c>
      <c r="B662" s="291"/>
      <c r="C662" s="291"/>
      <c r="D662" s="292" t="s">
        <v>208</v>
      </c>
      <c r="E662" s="292" t="s">
        <v>1</v>
      </c>
      <c r="F662" s="293" t="s">
        <v>208</v>
      </c>
      <c r="G662" s="294" t="s">
        <v>702</v>
      </c>
      <c r="H662" s="311"/>
      <c r="I662" s="295"/>
      <c r="J662" s="296" t="s">
        <v>67</v>
      </c>
      <c r="K662" s="292"/>
      <c r="L662" s="292"/>
      <c r="M662" s="292">
        <v>6916</v>
      </c>
      <c r="N662" s="292" t="s">
        <v>44</v>
      </c>
      <c r="O662" s="292"/>
      <c r="P662" s="292"/>
      <c r="Q662" s="292" t="s">
        <v>49</v>
      </c>
      <c r="R662" s="292" t="s">
        <v>355</v>
      </c>
      <c r="S662" s="297" t="s">
        <v>679</v>
      </c>
      <c r="T662" s="298"/>
      <c r="U662" s="299"/>
      <c r="V662" s="299">
        <v>0</v>
      </c>
      <c r="W662" s="300">
        <v>0</v>
      </c>
      <c r="X662" s="301"/>
      <c r="Y662" s="292" t="s">
        <v>29</v>
      </c>
      <c r="Z662" s="302" t="s">
        <v>29</v>
      </c>
      <c r="AA662" s="317"/>
      <c r="AB662" s="317"/>
      <c r="AC662" s="303">
        <f t="shared" si="21"/>
        <v>10000000</v>
      </c>
      <c r="AD662" s="303">
        <v>10000000</v>
      </c>
      <c r="AE662" s="303">
        <f t="shared" si="22"/>
        <v>0</v>
      </c>
      <c r="AF662" s="304"/>
      <c r="AG662" s="305"/>
      <c r="AH662" s="304"/>
      <c r="AI662" s="304"/>
      <c r="AJ662" s="305"/>
      <c r="AK662" s="304"/>
      <c r="AL662" s="306"/>
      <c r="AM662" s="318"/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/>
      <c r="AZ662" s="306"/>
      <c r="BA662" s="306"/>
      <c r="BB662" s="306"/>
      <c r="BC662" s="306"/>
      <c r="BD662" s="306"/>
      <c r="BE662" s="306">
        <v>10000000</v>
      </c>
      <c r="BF662" s="306"/>
      <c r="BG662" s="308"/>
      <c r="BH662" s="309"/>
    </row>
    <row r="663" spans="1:60" s="310" customFormat="1" ht="16.5" customHeight="1">
      <c r="A663" s="290">
        <v>643</v>
      </c>
      <c r="B663" s="291"/>
      <c r="C663" s="291"/>
      <c r="D663" s="292" t="s">
        <v>208</v>
      </c>
      <c r="E663" s="292" t="s">
        <v>1</v>
      </c>
      <c r="F663" s="293" t="s">
        <v>208</v>
      </c>
      <c r="G663" s="294" t="s">
        <v>702</v>
      </c>
      <c r="H663" s="311"/>
      <c r="I663" s="295"/>
      <c r="J663" s="296" t="s">
        <v>67</v>
      </c>
      <c r="K663" s="292"/>
      <c r="L663" s="292"/>
      <c r="M663" s="292">
        <v>6916</v>
      </c>
      <c r="N663" s="292" t="s">
        <v>44</v>
      </c>
      <c r="O663" s="292"/>
      <c r="P663" s="292"/>
      <c r="Q663" s="292" t="s">
        <v>27</v>
      </c>
      <c r="R663" s="292" t="s">
        <v>360</v>
      </c>
      <c r="S663" s="297" t="s">
        <v>688</v>
      </c>
      <c r="T663" s="298"/>
      <c r="U663" s="299"/>
      <c r="V663" s="299">
        <v>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1"/>
        <v>10000000</v>
      </c>
      <c r="AD663" s="303">
        <v>10000000</v>
      </c>
      <c r="AE663" s="303">
        <f t="shared" si="22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>
        <v>10000000</v>
      </c>
      <c r="BF663" s="306"/>
      <c r="BG663" s="308"/>
      <c r="BH663" s="309"/>
    </row>
    <row r="664" spans="1:60" s="310" customFormat="1" ht="16.5" customHeight="1">
      <c r="A664" s="290">
        <v>644</v>
      </c>
      <c r="B664" s="291"/>
      <c r="C664" s="291"/>
      <c r="D664" s="292" t="s">
        <v>208</v>
      </c>
      <c r="E664" s="292" t="s">
        <v>2</v>
      </c>
      <c r="F664" s="293" t="s">
        <v>208</v>
      </c>
      <c r="G664" s="294" t="s">
        <v>702</v>
      </c>
      <c r="H664" s="311"/>
      <c r="I664" s="295"/>
      <c r="J664" s="296" t="s">
        <v>773</v>
      </c>
      <c r="K664" s="292"/>
      <c r="L664" s="292"/>
      <c r="M664" s="292">
        <v>58607</v>
      </c>
      <c r="N664" s="292" t="s">
        <v>21</v>
      </c>
      <c r="O664" s="292"/>
      <c r="P664" s="292"/>
      <c r="Q664" s="292" t="s">
        <v>22</v>
      </c>
      <c r="R664" s="292" t="s">
        <v>23</v>
      </c>
      <c r="S664" s="297" t="s">
        <v>23</v>
      </c>
      <c r="T664" s="298"/>
      <c r="U664" s="299">
        <v>2850600</v>
      </c>
      <c r="V664" s="299">
        <v>6031350</v>
      </c>
      <c r="W664" s="300">
        <v>6814600</v>
      </c>
      <c r="X664" s="301"/>
      <c r="Y664" s="292" t="s">
        <v>31</v>
      </c>
      <c r="Z664" s="302" t="s">
        <v>31</v>
      </c>
      <c r="AA664" s="317"/>
      <c r="AB664" s="317"/>
      <c r="AC664" s="303">
        <f t="shared" si="21"/>
        <v>5295500</v>
      </c>
      <c r="AD664" s="303">
        <v>5295500</v>
      </c>
      <c r="AE664" s="303">
        <f t="shared" si="22"/>
        <v>0</v>
      </c>
      <c r="AF664" s="304"/>
      <c r="AG664" s="305">
        <v>136300</v>
      </c>
      <c r="AH664" s="304"/>
      <c r="AI664" s="304"/>
      <c r="AJ664" s="305"/>
      <c r="AK664" s="304"/>
      <c r="AL664" s="306">
        <v>5159200</v>
      </c>
      <c r="AM664" s="318">
        <v>5159200</v>
      </c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/>
      <c r="BD664" s="306"/>
      <c r="BE664" s="306"/>
      <c r="BF664" s="306"/>
      <c r="BG664" s="308"/>
      <c r="BH664" s="309"/>
    </row>
    <row r="665" spans="1:60" s="310" customFormat="1" ht="16.5" customHeight="1">
      <c r="A665" s="290">
        <v>645</v>
      </c>
      <c r="B665" s="291"/>
      <c r="C665" s="291"/>
      <c r="D665" s="292" t="s">
        <v>208</v>
      </c>
      <c r="E665" s="292" t="s">
        <v>2</v>
      </c>
      <c r="F665" s="293" t="s">
        <v>208</v>
      </c>
      <c r="G665" s="294" t="s">
        <v>702</v>
      </c>
      <c r="H665" s="311"/>
      <c r="I665" s="295"/>
      <c r="J665" s="296" t="s">
        <v>87</v>
      </c>
      <c r="K665" s="292"/>
      <c r="L665" s="292"/>
      <c r="M665" s="292">
        <v>58607</v>
      </c>
      <c r="N665" s="292" t="s">
        <v>21</v>
      </c>
      <c r="O665" s="292"/>
      <c r="P665" s="292"/>
      <c r="Q665" s="292" t="s">
        <v>22</v>
      </c>
      <c r="R665" s="292" t="s">
        <v>23</v>
      </c>
      <c r="S665" s="297" t="s">
        <v>23</v>
      </c>
      <c r="T665" s="298"/>
      <c r="U665" s="299"/>
      <c r="V665" s="299">
        <v>0</v>
      </c>
      <c r="W665" s="300">
        <v>0</v>
      </c>
      <c r="X665" s="301"/>
      <c r="Y665" s="292" t="s">
        <v>28</v>
      </c>
      <c r="Z665" s="302" t="s">
        <v>28</v>
      </c>
      <c r="AA665" s="317"/>
      <c r="AB665" s="317"/>
      <c r="AC665" s="303">
        <f t="shared" si="21"/>
        <v>2000000</v>
      </c>
      <c r="AD665" s="303">
        <v>2000000</v>
      </c>
      <c r="AE665" s="303">
        <f t="shared" si="22"/>
        <v>0</v>
      </c>
      <c r="AF665" s="304"/>
      <c r="AG665" s="305"/>
      <c r="AH665" s="304"/>
      <c r="AI665" s="304"/>
      <c r="AJ665" s="305"/>
      <c r="AK665" s="304"/>
      <c r="AL665" s="306"/>
      <c r="AM665" s="318"/>
      <c r="AN665" s="306"/>
      <c r="AO665" s="307"/>
      <c r="AP665" s="306"/>
      <c r="AQ665" s="306">
        <v>1000000</v>
      </c>
      <c r="AR665" s="306"/>
      <c r="AS665" s="306"/>
      <c r="AT665" s="306"/>
      <c r="AU665" s="306">
        <v>1000000</v>
      </c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/>
      <c r="BF665" s="306"/>
      <c r="BG665" s="308"/>
      <c r="BH665" s="309"/>
    </row>
    <row r="666" spans="1:60" s="310" customFormat="1" ht="16.5" customHeight="1">
      <c r="A666" s="290">
        <v>646</v>
      </c>
      <c r="B666" s="291"/>
      <c r="C666" s="291"/>
      <c r="D666" s="292" t="s">
        <v>208</v>
      </c>
      <c r="E666" s="292" t="s">
        <v>2</v>
      </c>
      <c r="F666" s="293" t="s">
        <v>208</v>
      </c>
      <c r="G666" s="294" t="s">
        <v>702</v>
      </c>
      <c r="H666" s="311"/>
      <c r="I666" s="295"/>
      <c r="J666" s="296" t="s">
        <v>87</v>
      </c>
      <c r="K666" s="292"/>
      <c r="L666" s="292"/>
      <c r="M666" s="292">
        <v>58607</v>
      </c>
      <c r="N666" s="292" t="s">
        <v>21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>
        <v>2410000</v>
      </c>
      <c r="V666" s="299">
        <v>5782000</v>
      </c>
      <c r="W666" s="300">
        <v>4053600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1"/>
        <v>3090000</v>
      </c>
      <c r="AD666" s="303">
        <v>3090000</v>
      </c>
      <c r="AE666" s="303">
        <f t="shared" si="22"/>
        <v>0</v>
      </c>
      <c r="AF666" s="304"/>
      <c r="AG666" s="305"/>
      <c r="AH666" s="304"/>
      <c r="AI666" s="304"/>
      <c r="AJ666" s="305"/>
      <c r="AK666" s="304"/>
      <c r="AL666" s="306">
        <v>630000</v>
      </c>
      <c r="AM666" s="318">
        <v>720000</v>
      </c>
      <c r="AN666" s="306"/>
      <c r="AO666" s="307"/>
      <c r="AP666" s="306"/>
      <c r="AQ666" s="306"/>
      <c r="AR666" s="306"/>
      <c r="AS666" s="306">
        <v>370000</v>
      </c>
      <c r="AT666" s="306"/>
      <c r="AU666" s="306"/>
      <c r="AV666" s="306"/>
      <c r="AW666" s="306"/>
      <c r="AX666" s="306"/>
      <c r="AY666" s="306">
        <v>2000000</v>
      </c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customHeight="1">
      <c r="A667" s="290">
        <v>647</v>
      </c>
      <c r="B667" s="291"/>
      <c r="C667" s="291"/>
      <c r="D667" s="292" t="s">
        <v>208</v>
      </c>
      <c r="E667" s="292" t="s">
        <v>2</v>
      </c>
      <c r="F667" s="293" t="s">
        <v>208</v>
      </c>
      <c r="G667" s="294" t="s">
        <v>702</v>
      </c>
      <c r="H667" s="311"/>
      <c r="I667" s="295"/>
      <c r="J667" s="296" t="s">
        <v>87</v>
      </c>
      <c r="K667" s="292"/>
      <c r="L667" s="292"/>
      <c r="M667" s="292">
        <v>58607</v>
      </c>
      <c r="N667" s="292" t="s">
        <v>21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>
        <v>1700000</v>
      </c>
      <c r="V667" s="299">
        <v>23915000</v>
      </c>
      <c r="W667" s="300">
        <v>21280000</v>
      </c>
      <c r="X667" s="301"/>
      <c r="Y667" s="292" t="s">
        <v>31</v>
      </c>
      <c r="Z667" s="302" t="s">
        <v>31</v>
      </c>
      <c r="AA667" s="317"/>
      <c r="AB667" s="317"/>
      <c r="AC667" s="303">
        <f t="shared" si="21"/>
        <v>2361700</v>
      </c>
      <c r="AD667" s="303">
        <v>2361700</v>
      </c>
      <c r="AE667" s="303">
        <f t="shared" si="22"/>
        <v>0</v>
      </c>
      <c r="AF667" s="304"/>
      <c r="AG667" s="305">
        <v>1920000</v>
      </c>
      <c r="AH667" s="304"/>
      <c r="AI667" s="304"/>
      <c r="AJ667" s="305">
        <v>441700</v>
      </c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/>
      <c r="BF667" s="306"/>
      <c r="BG667" s="308"/>
      <c r="BH667" s="309"/>
    </row>
    <row r="668" spans="1:60" s="310" customFormat="1" ht="16.5" customHeight="1">
      <c r="A668" s="290">
        <v>648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702</v>
      </c>
      <c r="H668" s="311"/>
      <c r="I668" s="295"/>
      <c r="J668" s="296" t="s">
        <v>656</v>
      </c>
      <c r="K668" s="292"/>
      <c r="L668" s="292"/>
      <c r="M668" s="292">
        <v>59604</v>
      </c>
      <c r="N668" s="292" t="s">
        <v>21</v>
      </c>
      <c r="O668" s="292"/>
      <c r="P668" s="292"/>
      <c r="Q668" s="292" t="s">
        <v>33</v>
      </c>
      <c r="R668" s="292" t="s">
        <v>34</v>
      </c>
      <c r="S668" s="297" t="s">
        <v>34</v>
      </c>
      <c r="T668" s="298"/>
      <c r="U668" s="299">
        <v>570000</v>
      </c>
      <c r="V668" s="299">
        <v>0</v>
      </c>
      <c r="W668" s="300">
        <v>592500</v>
      </c>
      <c r="X668" s="301"/>
      <c r="Y668" s="292" t="s">
        <v>31</v>
      </c>
      <c r="Z668" s="302"/>
      <c r="AA668" s="317"/>
      <c r="AB668" s="317"/>
      <c r="AC668" s="303">
        <f t="shared" si="21"/>
        <v>0</v>
      </c>
      <c r="AD668" s="303">
        <v>0</v>
      </c>
      <c r="AE668" s="303">
        <f t="shared" si="22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/>
      <c r="BF668" s="306"/>
      <c r="BG668" s="308"/>
      <c r="BH668" s="309"/>
    </row>
    <row r="669" spans="1:60" s="310" customFormat="1" ht="16.5" customHeight="1">
      <c r="A669" s="290">
        <v>649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702</v>
      </c>
      <c r="H669" s="311"/>
      <c r="I669" s="295"/>
      <c r="J669" s="296" t="s">
        <v>75</v>
      </c>
      <c r="K669" s="292"/>
      <c r="L669" s="292"/>
      <c r="M669" s="292">
        <v>8793</v>
      </c>
      <c r="N669" s="292" t="s">
        <v>21</v>
      </c>
      <c r="O669" s="292"/>
      <c r="P669" s="292"/>
      <c r="Q669" s="292" t="s">
        <v>33</v>
      </c>
      <c r="R669" s="292" t="s">
        <v>34</v>
      </c>
      <c r="S669" s="297" t="s">
        <v>34</v>
      </c>
      <c r="T669" s="298"/>
      <c r="U669" s="299"/>
      <c r="V669" s="299">
        <v>8020000</v>
      </c>
      <c r="W669" s="300">
        <v>9070000</v>
      </c>
      <c r="X669" s="301"/>
      <c r="Y669" s="292" t="s">
        <v>31</v>
      </c>
      <c r="Z669" s="302" t="s">
        <v>31</v>
      </c>
      <c r="AA669" s="317"/>
      <c r="AB669" s="317"/>
      <c r="AC669" s="303">
        <f t="shared" si="21"/>
        <v>8511000</v>
      </c>
      <c r="AD669" s="303">
        <v>8511000</v>
      </c>
      <c r="AE669" s="303">
        <f t="shared" si="22"/>
        <v>0</v>
      </c>
      <c r="AF669" s="304">
        <v>1919000</v>
      </c>
      <c r="AG669" s="305">
        <v>1919000</v>
      </c>
      <c r="AH669" s="304"/>
      <c r="AI669" s="304"/>
      <c r="AJ669" s="305">
        <v>92000</v>
      </c>
      <c r="AK669" s="304"/>
      <c r="AL669" s="306"/>
      <c r="AM669" s="318">
        <v>15000</v>
      </c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6485000</v>
      </c>
      <c r="BF669" s="306"/>
      <c r="BG669" s="308"/>
      <c r="BH669" s="309"/>
    </row>
    <row r="670" spans="1:60" s="310" customFormat="1" ht="16.5" customHeight="1">
      <c r="A670" s="290">
        <v>650</v>
      </c>
      <c r="B670" s="291"/>
      <c r="C670" s="291"/>
      <c r="D670" s="292" t="s">
        <v>208</v>
      </c>
      <c r="E670" s="292" t="s">
        <v>1</v>
      </c>
      <c r="F670" s="293" t="s">
        <v>208</v>
      </c>
      <c r="G670" s="294" t="s">
        <v>702</v>
      </c>
      <c r="H670" s="311"/>
      <c r="I670" s="295"/>
      <c r="J670" s="296" t="s">
        <v>75</v>
      </c>
      <c r="K670" s="292"/>
      <c r="L670" s="292"/>
      <c r="M670" s="292">
        <v>8793</v>
      </c>
      <c r="N670" s="292" t="s">
        <v>21</v>
      </c>
      <c r="O670" s="292"/>
      <c r="P670" s="292"/>
      <c r="Q670" s="292"/>
      <c r="R670" s="292" t="s">
        <v>353</v>
      </c>
      <c r="S670" s="297" t="s">
        <v>353</v>
      </c>
      <c r="T670" s="298"/>
      <c r="U670" s="299"/>
      <c r="V670" s="299">
        <v>0</v>
      </c>
      <c r="W670" s="300">
        <v>9138002</v>
      </c>
      <c r="X670" s="301"/>
      <c r="Y670" s="292" t="s">
        <v>31</v>
      </c>
      <c r="Z670" s="302" t="s">
        <v>28</v>
      </c>
      <c r="AA670" s="317"/>
      <c r="AB670" s="317"/>
      <c r="AC670" s="303">
        <f t="shared" si="21"/>
        <v>10000000</v>
      </c>
      <c r="AD670" s="303">
        <v>10000000</v>
      </c>
      <c r="AE670" s="303">
        <f t="shared" si="22"/>
        <v>0</v>
      </c>
      <c r="AF670" s="304"/>
      <c r="AG670" s="305"/>
      <c r="AH670" s="304"/>
      <c r="AI670" s="304"/>
      <c r="AJ670" s="305"/>
      <c r="AK670" s="304"/>
      <c r="AL670" s="306"/>
      <c r="AM670" s="318"/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>
        <v>10000000</v>
      </c>
      <c r="BF670" s="306"/>
      <c r="BG670" s="308"/>
      <c r="BH670" s="309"/>
    </row>
    <row r="671" spans="1:60" s="310" customFormat="1" ht="16.5" customHeight="1">
      <c r="A671" s="290">
        <v>651</v>
      </c>
      <c r="B671" s="291"/>
      <c r="C671" s="291"/>
      <c r="D671" s="292" t="s">
        <v>208</v>
      </c>
      <c r="E671" s="292" t="s">
        <v>1</v>
      </c>
      <c r="F671" s="293" t="s">
        <v>208</v>
      </c>
      <c r="G671" s="294" t="s">
        <v>702</v>
      </c>
      <c r="H671" s="311"/>
      <c r="I671" s="295"/>
      <c r="J671" s="296" t="s">
        <v>75</v>
      </c>
      <c r="K671" s="292"/>
      <c r="L671" s="292"/>
      <c r="M671" s="292">
        <v>8793</v>
      </c>
      <c r="N671" s="292" t="s">
        <v>21</v>
      </c>
      <c r="O671" s="292"/>
      <c r="P671" s="292"/>
      <c r="Q671" s="292" t="s">
        <v>30</v>
      </c>
      <c r="R671" s="292" t="s">
        <v>353</v>
      </c>
      <c r="S671" s="297" t="s">
        <v>353</v>
      </c>
      <c r="T671" s="298"/>
      <c r="U671" s="299"/>
      <c r="V671" s="299">
        <v>0</v>
      </c>
      <c r="W671" s="300">
        <v>0</v>
      </c>
      <c r="X671" s="301"/>
      <c r="Y671" s="292" t="s">
        <v>29</v>
      </c>
      <c r="Z671" s="302" t="s">
        <v>29</v>
      </c>
      <c r="AA671" s="317"/>
      <c r="AB671" s="317"/>
      <c r="AC671" s="303">
        <f t="shared" si="21"/>
        <v>0</v>
      </c>
      <c r="AD671" s="303">
        <v>0</v>
      </c>
      <c r="AE671" s="303">
        <f t="shared" si="22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/>
      <c r="AR671" s="306"/>
      <c r="AS671" s="306"/>
      <c r="AT671" s="306"/>
      <c r="AU671" s="306"/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>
        <v>0</v>
      </c>
      <c r="BF671" s="306"/>
      <c r="BG671" s="308"/>
      <c r="BH671" s="309"/>
    </row>
    <row r="672" spans="1:60" s="310" customFormat="1" ht="16.5" customHeight="1">
      <c r="A672" s="290">
        <v>652</v>
      </c>
      <c r="B672" s="291"/>
      <c r="C672" s="291"/>
      <c r="D672" s="292"/>
      <c r="E672" s="292"/>
      <c r="F672" s="293" t="s">
        <v>208</v>
      </c>
      <c r="G672" s="294" t="s">
        <v>702</v>
      </c>
      <c r="H672" s="311"/>
      <c r="I672" s="295"/>
      <c r="J672" s="296" t="s">
        <v>75</v>
      </c>
      <c r="K672" s="292"/>
      <c r="L672" s="292"/>
      <c r="M672" s="292">
        <v>8793</v>
      </c>
      <c r="N672" s="292"/>
      <c r="O672" s="292"/>
      <c r="P672" s="292"/>
      <c r="Q672" s="292"/>
      <c r="R672" s="292"/>
      <c r="S672" s="297" t="s">
        <v>683</v>
      </c>
      <c r="T672" s="298"/>
      <c r="U672" s="299"/>
      <c r="V672" s="299"/>
      <c r="W672" s="300">
        <v>9900000</v>
      </c>
      <c r="X672" s="301"/>
      <c r="Y672" s="292"/>
      <c r="Z672" s="302" t="s">
        <v>578</v>
      </c>
      <c r="AA672" s="317"/>
      <c r="AB672" s="317"/>
      <c r="AC672" s="303">
        <f t="shared" si="21"/>
        <v>0</v>
      </c>
      <c r="AD672" s="303">
        <v>0</v>
      </c>
      <c r="AE672" s="303">
        <f t="shared" si="22"/>
        <v>0</v>
      </c>
      <c r="AF672" s="304"/>
      <c r="AG672" s="305"/>
      <c r="AH672" s="304"/>
      <c r="AI672" s="304"/>
      <c r="AJ672" s="305"/>
      <c r="AK672" s="304"/>
      <c r="AL672" s="306"/>
      <c r="AM672" s="318"/>
      <c r="AN672" s="306"/>
      <c r="AO672" s="307"/>
      <c r="AP672" s="306"/>
      <c r="AQ672" s="306"/>
      <c r="AR672" s="306"/>
      <c r="AS672" s="306"/>
      <c r="AT672" s="306"/>
      <c r="AU672" s="306"/>
      <c r="AV672" s="306"/>
      <c r="AW672" s="306"/>
      <c r="AX672" s="306"/>
      <c r="AY672" s="306"/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customHeight="1">
      <c r="A673" s="290">
        <v>653</v>
      </c>
      <c r="B673" s="291"/>
      <c r="C673" s="291"/>
      <c r="D673" s="292" t="s">
        <v>208</v>
      </c>
      <c r="E673" s="292" t="s">
        <v>4</v>
      </c>
      <c r="F673" s="293" t="s">
        <v>208</v>
      </c>
      <c r="G673" s="294" t="s">
        <v>702</v>
      </c>
      <c r="H673" s="311"/>
      <c r="I673" s="295"/>
      <c r="J673" s="296" t="s">
        <v>478</v>
      </c>
      <c r="K673" s="292"/>
      <c r="L673" s="292"/>
      <c r="M673" s="292">
        <v>46285</v>
      </c>
      <c r="N673" s="292" t="s">
        <v>44</v>
      </c>
      <c r="O673" s="292"/>
      <c r="P673" s="292"/>
      <c r="Q673" s="292" t="s">
        <v>22</v>
      </c>
      <c r="R673" s="292" t="s">
        <v>23</v>
      </c>
      <c r="S673" s="297" t="s">
        <v>32</v>
      </c>
      <c r="T673" s="298"/>
      <c r="U673" s="299">
        <v>28570020</v>
      </c>
      <c r="V673" s="299">
        <v>11875520</v>
      </c>
      <c r="W673" s="300">
        <v>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1"/>
        <v>16181500</v>
      </c>
      <c r="AD673" s="303">
        <v>16181500</v>
      </c>
      <c r="AE673" s="303">
        <f t="shared" si="22"/>
        <v>0</v>
      </c>
      <c r="AF673" s="304">
        <v>1000000</v>
      </c>
      <c r="AG673" s="305">
        <v>1574000</v>
      </c>
      <c r="AH673" s="304"/>
      <c r="AI673" s="304">
        <v>1000000</v>
      </c>
      <c r="AJ673" s="305">
        <v>1607500</v>
      </c>
      <c r="AK673" s="304"/>
      <c r="AL673" s="306">
        <v>3117000</v>
      </c>
      <c r="AM673" s="318">
        <v>3117000</v>
      </c>
      <c r="AN673" s="306"/>
      <c r="AO673" s="307">
        <v>1000000</v>
      </c>
      <c r="AP673" s="306"/>
      <c r="AQ673" s="306">
        <v>1000000</v>
      </c>
      <c r="AR673" s="306"/>
      <c r="AS673" s="306">
        <v>1000000</v>
      </c>
      <c r="AT673" s="306"/>
      <c r="AU673" s="306">
        <v>1000000</v>
      </c>
      <c r="AV673" s="306"/>
      <c r="AW673" s="306">
        <v>1500000</v>
      </c>
      <c r="AX673" s="306"/>
      <c r="AY673" s="306">
        <v>1500000</v>
      </c>
      <c r="AZ673" s="306"/>
      <c r="BA673" s="306">
        <v>1000000</v>
      </c>
      <c r="BB673" s="306"/>
      <c r="BC673" s="306">
        <v>1000000</v>
      </c>
      <c r="BD673" s="306"/>
      <c r="BE673" s="306">
        <v>883000</v>
      </c>
      <c r="BF673" s="306"/>
      <c r="BG673" s="308"/>
      <c r="BH673" s="309"/>
    </row>
    <row r="674" spans="1:60" s="310" customFormat="1" ht="16.5" customHeight="1">
      <c r="A674" s="290">
        <v>654</v>
      </c>
      <c r="B674" s="291"/>
      <c r="C674" s="291"/>
      <c r="D674" s="292" t="s">
        <v>208</v>
      </c>
      <c r="E674" s="292" t="s">
        <v>4</v>
      </c>
      <c r="F674" s="293" t="s">
        <v>208</v>
      </c>
      <c r="G674" s="294" t="s">
        <v>702</v>
      </c>
      <c r="H674" s="311"/>
      <c r="I674" s="295"/>
      <c r="J674" s="296" t="s">
        <v>478</v>
      </c>
      <c r="K674" s="292"/>
      <c r="L674" s="292"/>
      <c r="M674" s="292">
        <v>46285</v>
      </c>
      <c r="N674" s="292" t="s">
        <v>44</v>
      </c>
      <c r="O674" s="292"/>
      <c r="P674" s="292"/>
      <c r="Q674" s="292"/>
      <c r="R674" s="292" t="s">
        <v>23</v>
      </c>
      <c r="S674" s="297" t="s">
        <v>23</v>
      </c>
      <c r="T674" s="298"/>
      <c r="U674" s="299"/>
      <c r="V674" s="299">
        <v>0</v>
      </c>
      <c r="W674" s="300">
        <v>15898900</v>
      </c>
      <c r="X674" s="301"/>
      <c r="Y674" s="292" t="s">
        <v>28</v>
      </c>
      <c r="Z674" s="302" t="s">
        <v>28</v>
      </c>
      <c r="AA674" s="317"/>
      <c r="AB674" s="317"/>
      <c r="AC674" s="303">
        <f t="shared" si="21"/>
        <v>7000000</v>
      </c>
      <c r="AD674" s="303">
        <v>8000000</v>
      </c>
      <c r="AE674" s="303">
        <f t="shared" si="22"/>
        <v>-1000000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>
        <v>1000000</v>
      </c>
      <c r="AR674" s="306"/>
      <c r="AS674" s="306">
        <v>1000000</v>
      </c>
      <c r="AT674" s="306"/>
      <c r="AU674" s="306">
        <v>1000000</v>
      </c>
      <c r="AV674" s="306"/>
      <c r="AW674" s="306">
        <v>1000000</v>
      </c>
      <c r="AX674" s="306"/>
      <c r="AY674" s="306">
        <v>1000000</v>
      </c>
      <c r="AZ674" s="306"/>
      <c r="BA674" s="306">
        <v>1000000</v>
      </c>
      <c r="BB674" s="306"/>
      <c r="BC674" s="306">
        <v>1000000</v>
      </c>
      <c r="BD674" s="306"/>
      <c r="BE674" s="306"/>
      <c r="BF674" s="306"/>
      <c r="BG674" s="308"/>
      <c r="BH674" s="309"/>
    </row>
    <row r="675" spans="1:60" s="310" customFormat="1" ht="16.5" customHeight="1">
      <c r="A675" s="290">
        <v>655</v>
      </c>
      <c r="B675" s="291"/>
      <c r="C675" s="291"/>
      <c r="D675" s="292" t="s">
        <v>208</v>
      </c>
      <c r="E675" s="292" t="s">
        <v>4</v>
      </c>
      <c r="F675" s="293" t="s">
        <v>208</v>
      </c>
      <c r="G675" s="294" t="s">
        <v>702</v>
      </c>
      <c r="H675" s="311"/>
      <c r="I675" s="295"/>
      <c r="J675" s="296" t="s">
        <v>478</v>
      </c>
      <c r="K675" s="292"/>
      <c r="L675" s="292"/>
      <c r="M675" s="292">
        <v>46285</v>
      </c>
      <c r="N675" s="292" t="s">
        <v>44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>
        <v>1167000</v>
      </c>
      <c r="V675" s="299">
        <v>2134000</v>
      </c>
      <c r="W675" s="300">
        <v>3000000</v>
      </c>
      <c r="X675" s="301"/>
      <c r="Y675" s="292" t="s">
        <v>31</v>
      </c>
      <c r="Z675" s="302" t="s">
        <v>28</v>
      </c>
      <c r="AA675" s="317"/>
      <c r="AB675" s="317"/>
      <c r="AC675" s="303">
        <f t="shared" si="21"/>
        <v>3000000</v>
      </c>
      <c r="AD675" s="303">
        <v>3000000</v>
      </c>
      <c r="AE675" s="303">
        <f t="shared" si="22"/>
        <v>0</v>
      </c>
      <c r="AF675" s="304"/>
      <c r="AG675" s="305"/>
      <c r="AH675" s="304"/>
      <c r="AI675" s="304"/>
      <c r="AJ675" s="305"/>
      <c r="AK675" s="304"/>
      <c r="AL675" s="306"/>
      <c r="AM675" s="318"/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3000000</v>
      </c>
      <c r="BF675" s="306"/>
      <c r="BG675" s="308"/>
      <c r="BH675" s="309"/>
    </row>
    <row r="676" spans="1:60" s="310" customFormat="1" ht="16.5" customHeight="1">
      <c r="A676" s="290">
        <v>656</v>
      </c>
      <c r="B676" s="291"/>
      <c r="C676" s="291"/>
      <c r="D676" s="292"/>
      <c r="E676" s="292"/>
      <c r="F676" s="293" t="s">
        <v>208</v>
      </c>
      <c r="G676" s="294" t="s">
        <v>702</v>
      </c>
      <c r="H676" s="311"/>
      <c r="I676" s="295"/>
      <c r="J676" s="296" t="s">
        <v>478</v>
      </c>
      <c r="K676" s="292"/>
      <c r="L676" s="292"/>
      <c r="M676" s="292">
        <v>46285</v>
      </c>
      <c r="N676" s="292"/>
      <c r="O676" s="292"/>
      <c r="P676" s="292"/>
      <c r="Q676" s="292"/>
      <c r="R676" s="292"/>
      <c r="S676" s="297" t="s">
        <v>353</v>
      </c>
      <c r="T676" s="298"/>
      <c r="U676" s="299"/>
      <c r="V676" s="299"/>
      <c r="W676" s="300">
        <v>24300000</v>
      </c>
      <c r="X676" s="301"/>
      <c r="Y676" s="292"/>
      <c r="Z676" s="302" t="s">
        <v>578</v>
      </c>
      <c r="AA676" s="317"/>
      <c r="AB676" s="317"/>
      <c r="AC676" s="303">
        <f t="shared" si="21"/>
        <v>0</v>
      </c>
      <c r="AD676" s="303">
        <v>0</v>
      </c>
      <c r="AE676" s="303">
        <f t="shared" si="22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/>
      <c r="BF676" s="306"/>
      <c r="BG676" s="308"/>
      <c r="BH676" s="309"/>
    </row>
    <row r="677" spans="1:60" s="310" customFormat="1" ht="16.5" customHeight="1">
      <c r="A677" s="290">
        <v>657</v>
      </c>
      <c r="B677" s="291"/>
      <c r="C677" s="291"/>
      <c r="D677" s="292" t="s">
        <v>208</v>
      </c>
      <c r="E677" s="292" t="s">
        <v>246</v>
      </c>
      <c r="F677" s="293" t="s">
        <v>208</v>
      </c>
      <c r="G677" s="294" t="s">
        <v>702</v>
      </c>
      <c r="H677" s="311"/>
      <c r="I677" s="295"/>
      <c r="J677" s="296" t="s">
        <v>486</v>
      </c>
      <c r="K677" s="292"/>
      <c r="L677" s="292"/>
      <c r="M677" s="292">
        <v>14134</v>
      </c>
      <c r="N677" s="292"/>
      <c r="O677" s="292"/>
      <c r="P677" s="292"/>
      <c r="Q677" s="292"/>
      <c r="R677" s="292" t="s">
        <v>353</v>
      </c>
      <c r="S677" s="297" t="s">
        <v>353</v>
      </c>
      <c r="T677" s="298"/>
      <c r="U677" s="299"/>
      <c r="V677" s="299">
        <v>0</v>
      </c>
      <c r="W677" s="300">
        <v>5200000</v>
      </c>
      <c r="X677" s="301"/>
      <c r="Y677" s="292" t="s">
        <v>31</v>
      </c>
      <c r="Z677" s="302" t="s">
        <v>28</v>
      </c>
      <c r="AA677" s="317"/>
      <c r="AB677" s="317"/>
      <c r="AC677" s="303">
        <f t="shared" si="21"/>
        <v>5000000</v>
      </c>
      <c r="AD677" s="303">
        <v>5000000</v>
      </c>
      <c r="AE677" s="303">
        <f t="shared" si="22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>
        <v>5000000</v>
      </c>
      <c r="BB677" s="306"/>
      <c r="BC677" s="306"/>
      <c r="BD677" s="306"/>
      <c r="BE677" s="306"/>
      <c r="BF677" s="306"/>
      <c r="BG677" s="308"/>
      <c r="BH677" s="309"/>
    </row>
    <row r="678" spans="1:60" s="310" customFormat="1" ht="16.5" customHeight="1">
      <c r="A678" s="290">
        <v>658</v>
      </c>
      <c r="B678" s="291"/>
      <c r="C678" s="291"/>
      <c r="D678" s="292" t="s">
        <v>208</v>
      </c>
      <c r="E678" s="292" t="s">
        <v>1</v>
      </c>
      <c r="F678" s="293" t="s">
        <v>208</v>
      </c>
      <c r="G678" s="294" t="s">
        <v>702</v>
      </c>
      <c r="H678" s="311"/>
      <c r="I678" s="295"/>
      <c r="J678" s="296" t="s">
        <v>481</v>
      </c>
      <c r="K678" s="292"/>
      <c r="L678" s="292"/>
      <c r="M678" s="292">
        <v>4127</v>
      </c>
      <c r="N678" s="292" t="s">
        <v>44</v>
      </c>
      <c r="O678" s="292"/>
      <c r="P678" s="292"/>
      <c r="Q678" s="292" t="s">
        <v>83</v>
      </c>
      <c r="R678" s="292" t="s">
        <v>32</v>
      </c>
      <c r="S678" s="297" t="s">
        <v>32</v>
      </c>
      <c r="T678" s="298"/>
      <c r="U678" s="299">
        <v>30811000</v>
      </c>
      <c r="V678" s="299">
        <v>1073500</v>
      </c>
      <c r="W678" s="300">
        <v>32168200</v>
      </c>
      <c r="X678" s="301"/>
      <c r="Y678" s="292" t="s">
        <v>31</v>
      </c>
      <c r="Z678" s="302" t="s">
        <v>31</v>
      </c>
      <c r="AA678" s="317"/>
      <c r="AB678" s="317"/>
      <c r="AC678" s="303">
        <f t="shared" si="21"/>
        <v>40000</v>
      </c>
      <c r="AD678" s="303">
        <v>40000</v>
      </c>
      <c r="AE678" s="303">
        <f t="shared" si="22"/>
        <v>0</v>
      </c>
      <c r="AF678" s="304"/>
      <c r="AG678" s="305"/>
      <c r="AH678" s="304"/>
      <c r="AI678" s="304"/>
      <c r="AJ678" s="305">
        <v>40000</v>
      </c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customHeight="1">
      <c r="A679" s="290">
        <v>659</v>
      </c>
      <c r="B679" s="291"/>
      <c r="C679" s="291"/>
      <c r="D679" s="292" t="s">
        <v>208</v>
      </c>
      <c r="E679" s="292" t="s">
        <v>1</v>
      </c>
      <c r="F679" s="293" t="s">
        <v>208</v>
      </c>
      <c r="G679" s="294" t="s">
        <v>702</v>
      </c>
      <c r="H679" s="311"/>
      <c r="I679" s="295"/>
      <c r="J679" s="296" t="s">
        <v>481</v>
      </c>
      <c r="K679" s="292"/>
      <c r="L679" s="292"/>
      <c r="M679" s="292">
        <v>4127</v>
      </c>
      <c r="N679" s="292" t="s">
        <v>44</v>
      </c>
      <c r="O679" s="292"/>
      <c r="P679" s="292"/>
      <c r="Q679" s="292" t="s">
        <v>155</v>
      </c>
      <c r="R679" s="292" t="s">
        <v>23</v>
      </c>
      <c r="S679" s="297" t="s">
        <v>23</v>
      </c>
      <c r="T679" s="298"/>
      <c r="U679" s="299"/>
      <c r="V679" s="299">
        <v>2736000</v>
      </c>
      <c r="W679" s="300">
        <v>360000</v>
      </c>
      <c r="X679" s="301"/>
      <c r="Y679" s="292" t="s">
        <v>28</v>
      </c>
      <c r="Z679" s="302" t="s">
        <v>28</v>
      </c>
      <c r="AA679" s="317"/>
      <c r="AB679" s="317"/>
      <c r="AC679" s="303">
        <f t="shared" si="21"/>
        <v>6000000</v>
      </c>
      <c r="AD679" s="303">
        <v>6000000</v>
      </c>
      <c r="AE679" s="303">
        <f t="shared" si="22"/>
        <v>0</v>
      </c>
      <c r="AF679" s="304"/>
      <c r="AG679" s="305"/>
      <c r="AH679" s="304"/>
      <c r="AI679" s="304"/>
      <c r="AJ679" s="305"/>
      <c r="AK679" s="304"/>
      <c r="AL679" s="306"/>
      <c r="AM679" s="318"/>
      <c r="AN679" s="306"/>
      <c r="AO679" s="307"/>
      <c r="AP679" s="306"/>
      <c r="AQ679" s="306"/>
      <c r="AR679" s="306"/>
      <c r="AS679" s="306"/>
      <c r="AT679" s="306"/>
      <c r="AU679" s="306"/>
      <c r="AV679" s="306"/>
      <c r="AW679" s="306"/>
      <c r="AX679" s="306"/>
      <c r="AY679" s="306"/>
      <c r="AZ679" s="306"/>
      <c r="BA679" s="306"/>
      <c r="BB679" s="306"/>
      <c r="BC679" s="306"/>
      <c r="BD679" s="306"/>
      <c r="BE679" s="306">
        <v>6000000</v>
      </c>
      <c r="BF679" s="306"/>
      <c r="BG679" s="308"/>
      <c r="BH679" s="309"/>
    </row>
    <row r="680" spans="1:60" s="310" customFormat="1" ht="16.5" customHeight="1">
      <c r="A680" s="290">
        <v>660</v>
      </c>
      <c r="B680" s="291"/>
      <c r="C680" s="291"/>
      <c r="D680" s="292" t="s">
        <v>208</v>
      </c>
      <c r="E680" s="292" t="s">
        <v>1</v>
      </c>
      <c r="F680" s="293" t="s">
        <v>208</v>
      </c>
      <c r="G680" s="294" t="s">
        <v>702</v>
      </c>
      <c r="H680" s="311"/>
      <c r="I680" s="295"/>
      <c r="J680" s="296" t="s">
        <v>481</v>
      </c>
      <c r="K680" s="292"/>
      <c r="L680" s="292"/>
      <c r="M680" s="292">
        <v>4127</v>
      </c>
      <c r="N680" s="292" t="s">
        <v>44</v>
      </c>
      <c r="O680" s="292"/>
      <c r="P680" s="292"/>
      <c r="Q680" s="292" t="s">
        <v>33</v>
      </c>
      <c r="R680" s="292" t="s">
        <v>34</v>
      </c>
      <c r="S680" s="297" t="s">
        <v>34</v>
      </c>
      <c r="T680" s="298"/>
      <c r="U680" s="299">
        <v>6035000</v>
      </c>
      <c r="V680" s="299">
        <v>6617000</v>
      </c>
      <c r="W680" s="300">
        <v>3741600</v>
      </c>
      <c r="X680" s="301"/>
      <c r="Y680" s="292" t="s">
        <v>31</v>
      </c>
      <c r="Z680" s="302" t="s">
        <v>31</v>
      </c>
      <c r="AA680" s="317"/>
      <c r="AB680" s="317"/>
      <c r="AC680" s="303">
        <f t="shared" si="21"/>
        <v>5000000</v>
      </c>
      <c r="AD680" s="303">
        <v>5000000</v>
      </c>
      <c r="AE680" s="303">
        <f t="shared" si="22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1461000</v>
      </c>
      <c r="AP680" s="306"/>
      <c r="AQ680" s="306"/>
      <c r="AR680" s="306"/>
      <c r="AS680" s="306">
        <v>1039000</v>
      </c>
      <c r="AT680" s="306"/>
      <c r="AU680" s="306"/>
      <c r="AV680" s="306"/>
      <c r="AW680" s="306"/>
      <c r="AX680" s="306"/>
      <c r="AY680" s="306"/>
      <c r="AZ680" s="306"/>
      <c r="BA680" s="306"/>
      <c r="BB680" s="306"/>
      <c r="BC680" s="306"/>
      <c r="BD680" s="306"/>
      <c r="BE680" s="306">
        <v>2500000</v>
      </c>
      <c r="BF680" s="306"/>
      <c r="BG680" s="308"/>
      <c r="BH680" s="309"/>
    </row>
    <row r="681" spans="1:60" s="310" customFormat="1" ht="16.5" customHeight="1">
      <c r="A681" s="290">
        <v>661</v>
      </c>
      <c r="B681" s="291"/>
      <c r="C681" s="291"/>
      <c r="D681" s="292" t="s">
        <v>208</v>
      </c>
      <c r="E681" s="292" t="s">
        <v>1</v>
      </c>
      <c r="F681" s="293" t="s">
        <v>208</v>
      </c>
      <c r="G681" s="294" t="s">
        <v>702</v>
      </c>
      <c r="H681" s="311"/>
      <c r="I681" s="295"/>
      <c r="J681" s="296" t="s">
        <v>481</v>
      </c>
      <c r="K681" s="292"/>
      <c r="L681" s="292"/>
      <c r="M681" s="292">
        <v>4127</v>
      </c>
      <c r="N681" s="292" t="s">
        <v>44</v>
      </c>
      <c r="O681" s="292"/>
      <c r="P681" s="292"/>
      <c r="Q681" s="292" t="s">
        <v>30</v>
      </c>
      <c r="R681" s="292" t="s">
        <v>361</v>
      </c>
      <c r="S681" s="297" t="s">
        <v>361</v>
      </c>
      <c r="T681" s="298"/>
      <c r="U681" s="299"/>
      <c r="V681" s="299">
        <v>8800000</v>
      </c>
      <c r="W681" s="300">
        <v>3339000</v>
      </c>
      <c r="X681" s="301"/>
      <c r="Y681" s="292" t="s">
        <v>24</v>
      </c>
      <c r="Z681" s="302" t="s">
        <v>24</v>
      </c>
      <c r="AA681" s="317"/>
      <c r="AB681" s="317"/>
      <c r="AC681" s="303">
        <f t="shared" si="21"/>
        <v>0</v>
      </c>
      <c r="AD681" s="303">
        <v>0</v>
      </c>
      <c r="AE681" s="303">
        <f t="shared" si="22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0</v>
      </c>
      <c r="BF681" s="306"/>
      <c r="BG681" s="308"/>
      <c r="BH681" s="309"/>
    </row>
    <row r="682" spans="1:60" s="310" customFormat="1" ht="16.5" customHeight="1">
      <c r="A682" s="290">
        <v>662</v>
      </c>
      <c r="B682" s="291"/>
      <c r="C682" s="291"/>
      <c r="D682" s="292" t="s">
        <v>208</v>
      </c>
      <c r="E682" s="292" t="s">
        <v>1</v>
      </c>
      <c r="F682" s="293" t="s">
        <v>208</v>
      </c>
      <c r="G682" s="294" t="s">
        <v>702</v>
      </c>
      <c r="H682" s="311"/>
      <c r="I682" s="295"/>
      <c r="J682" s="296" t="s">
        <v>482</v>
      </c>
      <c r="K682" s="292"/>
      <c r="L682" s="292"/>
      <c r="M682" s="292">
        <v>4127</v>
      </c>
      <c r="N682" s="292" t="s">
        <v>44</v>
      </c>
      <c r="O682" s="292"/>
      <c r="P682" s="292"/>
      <c r="Q682" s="292" t="s">
        <v>46</v>
      </c>
      <c r="R682" s="292" t="s">
        <v>359</v>
      </c>
      <c r="S682" s="297" t="s">
        <v>690</v>
      </c>
      <c r="T682" s="298"/>
      <c r="U682" s="299"/>
      <c r="V682" s="299">
        <v>525000</v>
      </c>
      <c r="W682" s="300">
        <v>0</v>
      </c>
      <c r="X682" s="301"/>
      <c r="Y682" s="292" t="s">
        <v>24</v>
      </c>
      <c r="Z682" s="302" t="s">
        <v>24</v>
      </c>
      <c r="AA682" s="317"/>
      <c r="AB682" s="317"/>
      <c r="AC682" s="303">
        <f t="shared" si="21"/>
        <v>0</v>
      </c>
      <c r="AD682" s="303">
        <v>0</v>
      </c>
      <c r="AE682" s="303">
        <f t="shared" si="22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>
        <v>0</v>
      </c>
      <c r="BF682" s="306"/>
      <c r="BG682" s="308"/>
      <c r="BH682" s="309"/>
    </row>
    <row r="683" spans="1:60" s="310" customFormat="1" ht="16.5" customHeight="1">
      <c r="A683" s="290">
        <v>663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702</v>
      </c>
      <c r="H683" s="311"/>
      <c r="I683" s="295"/>
      <c r="J683" s="296" t="s">
        <v>264</v>
      </c>
      <c r="K683" s="292"/>
      <c r="L683" s="292"/>
      <c r="M683" s="292">
        <v>16135</v>
      </c>
      <c r="N683" s="292"/>
      <c r="O683" s="292"/>
      <c r="P683" s="292"/>
      <c r="Q683" s="292" t="s">
        <v>33</v>
      </c>
      <c r="R683" s="292" t="s">
        <v>34</v>
      </c>
      <c r="S683" s="297" t="s">
        <v>34</v>
      </c>
      <c r="T683" s="298"/>
      <c r="U683" s="299">
        <v>12280000</v>
      </c>
      <c r="V683" s="299">
        <v>0</v>
      </c>
      <c r="W683" s="300">
        <v>0</v>
      </c>
      <c r="X683" s="301"/>
      <c r="Y683" s="292" t="s">
        <v>29</v>
      </c>
      <c r="Z683" s="302" t="s">
        <v>29</v>
      </c>
      <c r="AA683" s="317"/>
      <c r="AB683" s="317"/>
      <c r="AC683" s="303">
        <f t="shared" si="21"/>
        <v>15000000</v>
      </c>
      <c r="AD683" s="303">
        <v>15000000</v>
      </c>
      <c r="AE683" s="303">
        <f t="shared" si="22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>
        <v>15000000</v>
      </c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/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customHeight="1">
      <c r="A684" s="290">
        <v>664</v>
      </c>
      <c r="B684" s="291"/>
      <c r="C684" s="291"/>
      <c r="D684" s="292" t="s">
        <v>208</v>
      </c>
      <c r="E684" s="292" t="s">
        <v>106</v>
      </c>
      <c r="F684" s="293" t="s">
        <v>208</v>
      </c>
      <c r="G684" s="294" t="s">
        <v>702</v>
      </c>
      <c r="H684" s="311"/>
      <c r="I684" s="295"/>
      <c r="J684" s="296" t="s">
        <v>526</v>
      </c>
      <c r="K684" s="292"/>
      <c r="L684" s="292"/>
      <c r="M684" s="292">
        <v>3817</v>
      </c>
      <c r="N684" s="292"/>
      <c r="O684" s="292"/>
      <c r="P684" s="292"/>
      <c r="Q684" s="292"/>
      <c r="R684" s="292" t="s">
        <v>361</v>
      </c>
      <c r="S684" s="297" t="s">
        <v>361</v>
      </c>
      <c r="T684" s="298"/>
      <c r="U684" s="299"/>
      <c r="V684" s="299">
        <v>0</v>
      </c>
      <c r="W684" s="300">
        <v>5000000</v>
      </c>
      <c r="X684" s="301"/>
      <c r="Y684" s="292" t="s">
        <v>31</v>
      </c>
      <c r="Z684" s="302" t="s">
        <v>28</v>
      </c>
      <c r="AA684" s="317"/>
      <c r="AB684" s="317"/>
      <c r="AC684" s="303">
        <f t="shared" si="21"/>
        <v>5000000</v>
      </c>
      <c r="AD684" s="303">
        <v>5000000</v>
      </c>
      <c r="AE684" s="303">
        <f t="shared" si="22"/>
        <v>0</v>
      </c>
      <c r="AF684" s="304"/>
      <c r="AG684" s="305"/>
      <c r="AH684" s="304"/>
      <c r="AI684" s="304"/>
      <c r="AJ684" s="305"/>
      <c r="AK684" s="304"/>
      <c r="AL684" s="306"/>
      <c r="AM684" s="318"/>
      <c r="AN684" s="306"/>
      <c r="AO684" s="307"/>
      <c r="AP684" s="306"/>
      <c r="AQ684" s="306"/>
      <c r="AR684" s="306"/>
      <c r="AS684" s="306">
        <v>5000000</v>
      </c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customHeight="1">
      <c r="A685" s="290">
        <v>665</v>
      </c>
      <c r="B685" s="291"/>
      <c r="C685" s="291"/>
      <c r="D685" s="292" t="s">
        <v>208</v>
      </c>
      <c r="E685" s="292" t="s">
        <v>4</v>
      </c>
      <c r="F685" s="293" t="s">
        <v>208</v>
      </c>
      <c r="G685" s="294" t="s">
        <v>702</v>
      </c>
      <c r="H685" s="311"/>
      <c r="I685" s="295"/>
      <c r="J685" s="296" t="s">
        <v>235</v>
      </c>
      <c r="K685" s="292"/>
      <c r="L685" s="292"/>
      <c r="M685" s="292">
        <v>44841</v>
      </c>
      <c r="N685" s="292" t="s">
        <v>35</v>
      </c>
      <c r="O685" s="292" t="s">
        <v>47</v>
      </c>
      <c r="P685" s="292" t="s">
        <v>48</v>
      </c>
      <c r="Q685" s="292" t="s">
        <v>33</v>
      </c>
      <c r="R685" s="292" t="s">
        <v>34</v>
      </c>
      <c r="S685" s="297" t="s">
        <v>34</v>
      </c>
      <c r="T685" s="298"/>
      <c r="U685" s="299" t="s">
        <v>188</v>
      </c>
      <c r="V685" s="299">
        <v>10000000</v>
      </c>
      <c r="W685" s="300">
        <v>21000000</v>
      </c>
      <c r="X685" s="301"/>
      <c r="Y685" s="292" t="s">
        <v>31</v>
      </c>
      <c r="Z685" s="302" t="s">
        <v>28</v>
      </c>
      <c r="AA685" s="317"/>
      <c r="AB685" s="317"/>
      <c r="AC685" s="303">
        <f t="shared" si="21"/>
        <v>10000000</v>
      </c>
      <c r="AD685" s="303">
        <v>10000000</v>
      </c>
      <c r="AE685" s="303">
        <f t="shared" si="22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10000000</v>
      </c>
      <c r="BF685" s="306"/>
      <c r="BG685" s="308"/>
      <c r="BH685" s="309"/>
    </row>
    <row r="686" spans="1:60" s="310" customFormat="1" ht="16.5" customHeight="1">
      <c r="A686" s="290">
        <v>666</v>
      </c>
      <c r="B686" s="291"/>
      <c r="C686" s="291"/>
      <c r="D686" s="292" t="s">
        <v>208</v>
      </c>
      <c r="E686" s="292" t="s">
        <v>4</v>
      </c>
      <c r="F686" s="293" t="s">
        <v>208</v>
      </c>
      <c r="G686" s="294" t="s">
        <v>702</v>
      </c>
      <c r="H686" s="311"/>
      <c r="I686" s="295"/>
      <c r="J686" s="296" t="s">
        <v>236</v>
      </c>
      <c r="K686" s="292"/>
      <c r="L686" s="292"/>
      <c r="M686" s="292">
        <v>15716</v>
      </c>
      <c r="N686" s="292" t="s">
        <v>35</v>
      </c>
      <c r="O686" s="292" t="s">
        <v>47</v>
      </c>
      <c r="P686" s="292" t="s">
        <v>48</v>
      </c>
      <c r="Q686" s="292" t="s">
        <v>33</v>
      </c>
      <c r="R686" s="292" t="s">
        <v>34</v>
      </c>
      <c r="S686" s="297" t="s">
        <v>34</v>
      </c>
      <c r="T686" s="298"/>
      <c r="U686" s="299">
        <v>7000000</v>
      </c>
      <c r="V686" s="299">
        <v>7000000</v>
      </c>
      <c r="W686" s="300">
        <v>7000000</v>
      </c>
      <c r="X686" s="301"/>
      <c r="Y686" s="292" t="s">
        <v>31</v>
      </c>
      <c r="Z686" s="302" t="s">
        <v>28</v>
      </c>
      <c r="AA686" s="317"/>
      <c r="AB686" s="317"/>
      <c r="AC686" s="303">
        <f t="shared" si="21"/>
        <v>70000000</v>
      </c>
      <c r="AD686" s="303">
        <v>70000000</v>
      </c>
      <c r="AE686" s="303">
        <f t="shared" si="22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/>
      <c r="AP686" s="306"/>
      <c r="AQ686" s="306"/>
      <c r="AR686" s="306"/>
      <c r="AS686" s="306"/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70000000</v>
      </c>
      <c r="BF686" s="306"/>
      <c r="BG686" s="308"/>
      <c r="BH686" s="309"/>
    </row>
    <row r="687" spans="1:60" s="310" customFormat="1" ht="16.5" customHeight="1">
      <c r="A687" s="290">
        <v>667</v>
      </c>
      <c r="B687" s="291"/>
      <c r="C687" s="291"/>
      <c r="D687" s="292" t="s">
        <v>208</v>
      </c>
      <c r="E687" s="292" t="s">
        <v>4</v>
      </c>
      <c r="F687" s="293" t="s">
        <v>208</v>
      </c>
      <c r="G687" s="294" t="s">
        <v>702</v>
      </c>
      <c r="H687" s="311"/>
      <c r="I687" s="295"/>
      <c r="J687" s="296" t="s">
        <v>237</v>
      </c>
      <c r="K687" s="292"/>
      <c r="L687" s="292"/>
      <c r="M687" s="292">
        <v>46146</v>
      </c>
      <c r="N687" s="292" t="s">
        <v>35</v>
      </c>
      <c r="O687" s="292" t="s">
        <v>47</v>
      </c>
      <c r="P687" s="292" t="s">
        <v>48</v>
      </c>
      <c r="Q687" s="292" t="s">
        <v>33</v>
      </c>
      <c r="R687" s="292" t="s">
        <v>34</v>
      </c>
      <c r="S687" s="297" t="s">
        <v>34</v>
      </c>
      <c r="T687" s="298"/>
      <c r="U687" s="299">
        <v>23250000</v>
      </c>
      <c r="V687" s="299">
        <v>10000000</v>
      </c>
      <c r="W687" s="300">
        <v>0</v>
      </c>
      <c r="X687" s="301"/>
      <c r="Y687" s="292" t="s">
        <v>31</v>
      </c>
      <c r="Z687" s="302" t="s">
        <v>28</v>
      </c>
      <c r="AA687" s="317"/>
      <c r="AB687" s="317"/>
      <c r="AC687" s="303">
        <f t="shared" si="21"/>
        <v>10000000</v>
      </c>
      <c r="AD687" s="303">
        <v>10000000</v>
      </c>
      <c r="AE687" s="303">
        <f t="shared" si="22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10000000</v>
      </c>
      <c r="BF687" s="306"/>
      <c r="BG687" s="308"/>
      <c r="BH687" s="309"/>
    </row>
    <row r="688" spans="1:60" s="310" customFormat="1" ht="16.5" customHeight="1">
      <c r="A688" s="290">
        <v>668</v>
      </c>
      <c r="B688" s="291"/>
      <c r="C688" s="291"/>
      <c r="D688" s="292" t="s">
        <v>184</v>
      </c>
      <c r="E688" s="292" t="s">
        <v>555</v>
      </c>
      <c r="F688" s="293" t="s">
        <v>208</v>
      </c>
      <c r="G688" s="294" t="s">
        <v>702</v>
      </c>
      <c r="H688" s="311"/>
      <c r="I688" s="295"/>
      <c r="J688" s="296" t="s">
        <v>643</v>
      </c>
      <c r="K688" s="292"/>
      <c r="L688" s="292"/>
      <c r="M688" s="292">
        <v>92</v>
      </c>
      <c r="N688" s="292" t="s">
        <v>35</v>
      </c>
      <c r="O688" s="292"/>
      <c r="P688" s="292"/>
      <c r="Q688" s="292" t="s">
        <v>27</v>
      </c>
      <c r="R688" s="292" t="s">
        <v>273</v>
      </c>
      <c r="S688" s="297" t="s">
        <v>683</v>
      </c>
      <c r="T688" s="298"/>
      <c r="U688" s="299"/>
      <c r="V688" s="299">
        <v>0</v>
      </c>
      <c r="W688" s="300">
        <v>0</v>
      </c>
      <c r="X688" s="301"/>
      <c r="Y688" s="292" t="s">
        <v>29</v>
      </c>
      <c r="Z688" s="302" t="s">
        <v>29</v>
      </c>
      <c r="AA688" s="317"/>
      <c r="AB688" s="317"/>
      <c r="AC688" s="303">
        <f t="shared" si="21"/>
        <v>820000000</v>
      </c>
      <c r="AD688" s="303">
        <v>820000000</v>
      </c>
      <c r="AE688" s="303">
        <f t="shared" si="22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>
        <v>820000000</v>
      </c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/>
      <c r="BF688" s="306"/>
      <c r="BG688" s="308"/>
      <c r="BH688" s="309"/>
    </row>
    <row r="689" spans="1:60" s="310" customFormat="1" ht="16.5" customHeight="1">
      <c r="A689" s="290">
        <v>669</v>
      </c>
      <c r="B689" s="291"/>
      <c r="C689" s="291"/>
      <c r="D689" s="292" t="s">
        <v>208</v>
      </c>
      <c r="E689" s="292" t="s">
        <v>5</v>
      </c>
      <c r="F689" s="293" t="s">
        <v>208</v>
      </c>
      <c r="G689" s="294" t="s">
        <v>702</v>
      </c>
      <c r="H689" s="311"/>
      <c r="I689" s="295"/>
      <c r="J689" s="296" t="s">
        <v>467</v>
      </c>
      <c r="K689" s="292"/>
      <c r="L689" s="292"/>
      <c r="M689" s="292">
        <v>4426</v>
      </c>
      <c r="N689" s="292" t="s">
        <v>44</v>
      </c>
      <c r="O689" s="292"/>
      <c r="P689" s="292"/>
      <c r="Q689" s="292" t="s">
        <v>22</v>
      </c>
      <c r="R689" s="292" t="s">
        <v>23</v>
      </c>
      <c r="S689" s="297" t="s">
        <v>23</v>
      </c>
      <c r="T689" s="298"/>
      <c r="U689" s="299">
        <v>41375900</v>
      </c>
      <c r="V689" s="299">
        <v>38254700</v>
      </c>
      <c r="W689" s="300">
        <v>44744000</v>
      </c>
      <c r="X689" s="301"/>
      <c r="Y689" s="292" t="s">
        <v>31</v>
      </c>
      <c r="Z689" s="302" t="s">
        <v>31</v>
      </c>
      <c r="AA689" s="317"/>
      <c r="AB689" s="317"/>
      <c r="AC689" s="303">
        <f t="shared" si="21"/>
        <v>37949000</v>
      </c>
      <c r="AD689" s="303">
        <v>37949000</v>
      </c>
      <c r="AE689" s="303">
        <f t="shared" si="22"/>
        <v>0</v>
      </c>
      <c r="AF689" s="304">
        <v>4000000</v>
      </c>
      <c r="AG689" s="305">
        <v>2940000</v>
      </c>
      <c r="AH689" s="304"/>
      <c r="AI689" s="304">
        <v>5000000</v>
      </c>
      <c r="AJ689" s="305">
        <v>3009000</v>
      </c>
      <c r="AK689" s="304"/>
      <c r="AL689" s="306">
        <v>4044000</v>
      </c>
      <c r="AM689" s="318">
        <v>4044000</v>
      </c>
      <c r="AN689" s="306"/>
      <c r="AO689" s="307">
        <v>4025000</v>
      </c>
      <c r="AP689" s="306"/>
      <c r="AQ689" s="306">
        <v>3000000</v>
      </c>
      <c r="AR689" s="306"/>
      <c r="AS689" s="306">
        <v>3000000</v>
      </c>
      <c r="AT689" s="306"/>
      <c r="AU689" s="306">
        <v>3000000</v>
      </c>
      <c r="AV689" s="306"/>
      <c r="AW689" s="306">
        <v>3000000</v>
      </c>
      <c r="AX689" s="306"/>
      <c r="AY689" s="306">
        <v>3000000</v>
      </c>
      <c r="AZ689" s="306"/>
      <c r="BA689" s="306">
        <v>3000000</v>
      </c>
      <c r="BB689" s="306"/>
      <c r="BC689" s="306">
        <v>3000000</v>
      </c>
      <c r="BD689" s="306"/>
      <c r="BE689" s="306">
        <v>2931000</v>
      </c>
      <c r="BF689" s="306"/>
      <c r="BG689" s="308"/>
      <c r="BH689" s="309"/>
    </row>
    <row r="690" spans="1:60" s="310" customFormat="1" ht="16.5" customHeight="1">
      <c r="A690" s="290">
        <v>670</v>
      </c>
      <c r="B690" s="291"/>
      <c r="C690" s="291"/>
      <c r="D690" s="292" t="s">
        <v>208</v>
      </c>
      <c r="E690" s="292" t="s">
        <v>5</v>
      </c>
      <c r="F690" s="293" t="s">
        <v>208</v>
      </c>
      <c r="G690" s="294" t="s">
        <v>702</v>
      </c>
      <c r="H690" s="311"/>
      <c r="I690" s="295"/>
      <c r="J690" s="296" t="s">
        <v>467</v>
      </c>
      <c r="K690" s="292"/>
      <c r="L690" s="292"/>
      <c r="M690" s="292">
        <v>4426</v>
      </c>
      <c r="N690" s="292" t="s">
        <v>44</v>
      </c>
      <c r="O690" s="292"/>
      <c r="P690" s="292"/>
      <c r="Q690" s="292" t="s">
        <v>33</v>
      </c>
      <c r="R690" s="292" t="s">
        <v>34</v>
      </c>
      <c r="S690" s="297" t="s">
        <v>34</v>
      </c>
      <c r="T690" s="298"/>
      <c r="U690" s="299">
        <v>4620000</v>
      </c>
      <c r="V690" s="299">
        <v>0</v>
      </c>
      <c r="W690" s="300">
        <v>0</v>
      </c>
      <c r="X690" s="301"/>
      <c r="Y690" s="292" t="s">
        <v>28</v>
      </c>
      <c r="Z690" s="302" t="s">
        <v>28</v>
      </c>
      <c r="AA690" s="317"/>
      <c r="AB690" s="317"/>
      <c r="AC690" s="303">
        <f t="shared" si="21"/>
        <v>4000000</v>
      </c>
      <c r="AD690" s="303">
        <v>4000000</v>
      </c>
      <c r="AE690" s="303">
        <f t="shared" si="22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/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>
        <v>4000000</v>
      </c>
      <c r="BD690" s="306"/>
      <c r="BE690" s="306"/>
      <c r="BF690" s="306"/>
      <c r="BG690" s="308"/>
      <c r="BH690" s="309"/>
    </row>
    <row r="691" spans="1:60" s="310" customFormat="1" ht="16.5" customHeight="1">
      <c r="A691" s="290">
        <v>671</v>
      </c>
      <c r="B691" s="291"/>
      <c r="C691" s="291"/>
      <c r="D691" s="292" t="s">
        <v>184</v>
      </c>
      <c r="E691" s="292" t="s">
        <v>555</v>
      </c>
      <c r="F691" s="293" t="s">
        <v>208</v>
      </c>
      <c r="G691" s="294" t="s">
        <v>702</v>
      </c>
      <c r="H691" s="311"/>
      <c r="I691" s="295"/>
      <c r="J691" s="296" t="s">
        <v>779</v>
      </c>
      <c r="K691" s="292"/>
      <c r="L691" s="292"/>
      <c r="M691" s="292">
        <v>21107</v>
      </c>
      <c r="N691" s="292" t="s">
        <v>35</v>
      </c>
      <c r="O691" s="292" t="s">
        <v>47</v>
      </c>
      <c r="P691" s="292" t="s">
        <v>186</v>
      </c>
      <c r="Q691" s="292" t="s">
        <v>22</v>
      </c>
      <c r="R691" s="292" t="s">
        <v>23</v>
      </c>
      <c r="S691" s="297" t="s">
        <v>23</v>
      </c>
      <c r="T691" s="298"/>
      <c r="U691" s="299">
        <v>19198000</v>
      </c>
      <c r="V691" s="299">
        <v>26637900</v>
      </c>
      <c r="W691" s="300">
        <v>18614400</v>
      </c>
      <c r="X691" s="301"/>
      <c r="Y691" s="292" t="s">
        <v>31</v>
      </c>
      <c r="Z691" s="302" t="s">
        <v>31</v>
      </c>
      <c r="AA691" s="317"/>
      <c r="AB691" s="317"/>
      <c r="AC691" s="303">
        <f t="shared" si="21"/>
        <v>5197500</v>
      </c>
      <c r="AD691" s="303">
        <v>5197500</v>
      </c>
      <c r="AE691" s="303">
        <f t="shared" si="22"/>
        <v>0</v>
      </c>
      <c r="AF691" s="304"/>
      <c r="AG691" s="305">
        <v>681000</v>
      </c>
      <c r="AH691" s="304"/>
      <c r="AI691" s="304"/>
      <c r="AJ691" s="305">
        <v>1366000</v>
      </c>
      <c r="AK691" s="304"/>
      <c r="AL691" s="306">
        <v>1597000</v>
      </c>
      <c r="AM691" s="318">
        <v>1597000</v>
      </c>
      <c r="AN691" s="306"/>
      <c r="AO691" s="307">
        <v>1553500</v>
      </c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/>
      <c r="BF691" s="306"/>
      <c r="BG691" s="308"/>
      <c r="BH691" s="309"/>
    </row>
    <row r="692" spans="1:60" s="310" customFormat="1" ht="16.5" customHeight="1">
      <c r="A692" s="290">
        <v>672</v>
      </c>
      <c r="B692" s="291"/>
      <c r="C692" s="291"/>
      <c r="D692" s="292" t="s">
        <v>184</v>
      </c>
      <c r="E692" s="292" t="s">
        <v>555</v>
      </c>
      <c r="F692" s="293" t="s">
        <v>208</v>
      </c>
      <c r="G692" s="294" t="s">
        <v>702</v>
      </c>
      <c r="H692" s="311"/>
      <c r="I692" s="295"/>
      <c r="J692" s="296" t="s">
        <v>645</v>
      </c>
      <c r="K692" s="292"/>
      <c r="L692" s="292"/>
      <c r="M692" s="292">
        <v>21107</v>
      </c>
      <c r="N692" s="292" t="s">
        <v>35</v>
      </c>
      <c r="O692" s="292"/>
      <c r="P692" s="292"/>
      <c r="Q692" s="292"/>
      <c r="R692" s="292" t="s">
        <v>354</v>
      </c>
      <c r="S692" s="297" t="s">
        <v>354</v>
      </c>
      <c r="T692" s="298"/>
      <c r="U692" s="299"/>
      <c r="V692" s="299">
        <v>0</v>
      </c>
      <c r="W692" s="300">
        <v>0</v>
      </c>
      <c r="X692" s="301"/>
      <c r="Y692" s="292" t="s">
        <v>28</v>
      </c>
      <c r="Z692" s="302"/>
      <c r="AA692" s="317"/>
      <c r="AB692" s="317"/>
      <c r="AC692" s="303">
        <f t="shared" si="21"/>
        <v>0</v>
      </c>
      <c r="AD692" s="303">
        <v>0</v>
      </c>
      <c r="AE692" s="303">
        <f t="shared" si="22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/>
      <c r="BF692" s="306"/>
      <c r="BG692" s="308"/>
      <c r="BH692" s="309"/>
    </row>
    <row r="693" spans="1:60" s="310" customFormat="1" ht="16.5" customHeight="1">
      <c r="A693" s="290">
        <v>673</v>
      </c>
      <c r="B693" s="291"/>
      <c r="C693" s="291"/>
      <c r="D693" s="292" t="s">
        <v>208</v>
      </c>
      <c r="E693" s="292" t="s">
        <v>246</v>
      </c>
      <c r="F693" s="293" t="s">
        <v>208</v>
      </c>
      <c r="G693" s="294" t="s">
        <v>702</v>
      </c>
      <c r="H693" s="311"/>
      <c r="I693" s="295"/>
      <c r="J693" s="296" t="s">
        <v>163</v>
      </c>
      <c r="K693" s="292"/>
      <c r="L693" s="292"/>
      <c r="M693" s="292">
        <v>9327</v>
      </c>
      <c r="N693" s="292" t="s">
        <v>35</v>
      </c>
      <c r="O693" s="292"/>
      <c r="P693" s="292"/>
      <c r="Q693" s="292" t="s">
        <v>22</v>
      </c>
      <c r="R693" s="292" t="s">
        <v>23</v>
      </c>
      <c r="S693" s="297" t="s">
        <v>23</v>
      </c>
      <c r="T693" s="298"/>
      <c r="U693" s="299">
        <v>7809000</v>
      </c>
      <c r="V693" s="299">
        <v>0</v>
      </c>
      <c r="W693" s="300">
        <v>0</v>
      </c>
      <c r="X693" s="301"/>
      <c r="Y693" s="292" t="s">
        <v>29</v>
      </c>
      <c r="Z693" s="302" t="s">
        <v>29</v>
      </c>
      <c r="AA693" s="317"/>
      <c r="AB693" s="317"/>
      <c r="AC693" s="303">
        <f t="shared" si="21"/>
        <v>0</v>
      </c>
      <c r="AD693" s="303">
        <v>0</v>
      </c>
      <c r="AE693" s="303">
        <f t="shared" si="22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/>
      <c r="BF693" s="306"/>
      <c r="BG693" s="308"/>
      <c r="BH693" s="309"/>
    </row>
    <row r="694" spans="1:60" s="310" customFormat="1" ht="16.5" customHeight="1">
      <c r="A694" s="290">
        <v>674</v>
      </c>
      <c r="B694" s="291"/>
      <c r="C694" s="291"/>
      <c r="D694" s="292" t="s">
        <v>208</v>
      </c>
      <c r="E694" s="292" t="s">
        <v>246</v>
      </c>
      <c r="F694" s="293" t="s">
        <v>208</v>
      </c>
      <c r="G694" s="294" t="s">
        <v>702</v>
      </c>
      <c r="H694" s="311"/>
      <c r="I694" s="295"/>
      <c r="J694" s="296" t="s">
        <v>163</v>
      </c>
      <c r="K694" s="292"/>
      <c r="L694" s="292"/>
      <c r="M694" s="292">
        <v>9327</v>
      </c>
      <c r="N694" s="292" t="s">
        <v>35</v>
      </c>
      <c r="O694" s="292"/>
      <c r="P694" s="292"/>
      <c r="Q694" s="292" t="s">
        <v>33</v>
      </c>
      <c r="R694" s="292" t="s">
        <v>34</v>
      </c>
      <c r="S694" s="297" t="s">
        <v>34</v>
      </c>
      <c r="T694" s="298"/>
      <c r="U694" s="299">
        <v>10408000</v>
      </c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1"/>
        <v>10000000</v>
      </c>
      <c r="AD694" s="303">
        <v>10000000</v>
      </c>
      <c r="AE694" s="303">
        <f t="shared" si="22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/>
      <c r="AR694" s="306"/>
      <c r="AS694" s="306"/>
      <c r="AT694" s="306"/>
      <c r="AU694" s="306"/>
      <c r="AV694" s="306"/>
      <c r="AW694" s="306"/>
      <c r="AX694" s="306"/>
      <c r="AY694" s="306">
        <v>10000000</v>
      </c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customHeight="1">
      <c r="A695" s="290">
        <v>675</v>
      </c>
      <c r="B695" s="291"/>
      <c r="C695" s="291"/>
      <c r="D695" s="292"/>
      <c r="E695" s="292"/>
      <c r="F695" s="293" t="s">
        <v>208</v>
      </c>
      <c r="G695" s="294" t="s">
        <v>702</v>
      </c>
      <c r="H695" s="311"/>
      <c r="I695" s="295"/>
      <c r="J695" s="296" t="s">
        <v>265</v>
      </c>
      <c r="K695" s="292"/>
      <c r="L695" s="292"/>
      <c r="M695" s="292">
        <v>19315</v>
      </c>
      <c r="N695" s="292"/>
      <c r="O695" s="292"/>
      <c r="P695" s="292"/>
      <c r="Q695" s="292"/>
      <c r="R695" s="292"/>
      <c r="S695" s="297" t="s">
        <v>23</v>
      </c>
      <c r="T695" s="298"/>
      <c r="U695" s="299"/>
      <c r="V695" s="299"/>
      <c r="W695" s="300">
        <v>3909091</v>
      </c>
      <c r="X695" s="301"/>
      <c r="Y695" s="292"/>
      <c r="Z695" s="302" t="s">
        <v>578</v>
      </c>
      <c r="AA695" s="317"/>
      <c r="AB695" s="317"/>
      <c r="AC695" s="303">
        <f t="shared" si="21"/>
        <v>0</v>
      </c>
      <c r="AD695" s="303">
        <v>0</v>
      </c>
      <c r="AE695" s="303">
        <f t="shared" si="22"/>
        <v>0</v>
      </c>
      <c r="AF695" s="304"/>
      <c r="AG695" s="305"/>
      <c r="AH695" s="304"/>
      <c r="AI695" s="304"/>
      <c r="AJ695" s="305"/>
      <c r="AK695" s="304"/>
      <c r="AL695" s="306"/>
      <c r="AM695" s="318"/>
      <c r="AN695" s="306"/>
      <c r="AO695" s="307"/>
      <c r="AP695" s="306"/>
      <c r="AQ695" s="306"/>
      <c r="AR695" s="306"/>
      <c r="AS695" s="306"/>
      <c r="AT695" s="306"/>
      <c r="AU695" s="306"/>
      <c r="AV695" s="306"/>
      <c r="AW695" s="306"/>
      <c r="AX695" s="306"/>
      <c r="AY695" s="306"/>
      <c r="AZ695" s="306"/>
      <c r="BA695" s="306"/>
      <c r="BB695" s="306"/>
      <c r="BC695" s="306"/>
      <c r="BD695" s="306"/>
      <c r="BE695" s="306"/>
      <c r="BF695" s="306"/>
      <c r="BG695" s="308"/>
      <c r="BH695" s="309"/>
    </row>
    <row r="696" spans="1:60" s="310" customFormat="1" ht="16.5" customHeight="1">
      <c r="A696" s="290">
        <v>676</v>
      </c>
      <c r="B696" s="291"/>
      <c r="C696" s="291"/>
      <c r="D696" s="292" t="s">
        <v>208</v>
      </c>
      <c r="E696" s="292" t="s">
        <v>246</v>
      </c>
      <c r="F696" s="293" t="s">
        <v>208</v>
      </c>
      <c r="G696" s="294" t="s">
        <v>702</v>
      </c>
      <c r="H696" s="311"/>
      <c r="I696" s="295"/>
      <c r="J696" s="296" t="s">
        <v>265</v>
      </c>
      <c r="K696" s="292"/>
      <c r="L696" s="292"/>
      <c r="M696" s="292">
        <v>19315</v>
      </c>
      <c r="N696" s="292" t="s">
        <v>35</v>
      </c>
      <c r="O696" s="292" t="s">
        <v>36</v>
      </c>
      <c r="P696" s="292" t="s">
        <v>189</v>
      </c>
      <c r="Q696" s="292" t="s">
        <v>22</v>
      </c>
      <c r="R696" s="292" t="s">
        <v>273</v>
      </c>
      <c r="S696" s="297" t="s">
        <v>683</v>
      </c>
      <c r="T696" s="298"/>
      <c r="U696" s="299"/>
      <c r="V696" s="299">
        <v>0</v>
      </c>
      <c r="W696" s="300">
        <v>0</v>
      </c>
      <c r="X696" s="301"/>
      <c r="Y696" s="292" t="s">
        <v>31</v>
      </c>
      <c r="Z696" s="302" t="s">
        <v>24</v>
      </c>
      <c r="AA696" s="317"/>
      <c r="AB696" s="317"/>
      <c r="AC696" s="303">
        <f t="shared" si="21"/>
        <v>0</v>
      </c>
      <c r="AD696" s="303">
        <v>0</v>
      </c>
      <c r="AE696" s="303">
        <f t="shared" si="22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/>
      <c r="BD696" s="306"/>
      <c r="BE696" s="306"/>
      <c r="BF696" s="306"/>
      <c r="BG696" s="308"/>
      <c r="BH696" s="309"/>
    </row>
    <row r="697" spans="1:60" s="310" customFormat="1" ht="16.5" customHeight="1">
      <c r="A697" s="290">
        <v>677</v>
      </c>
      <c r="B697" s="291"/>
      <c r="C697" s="291"/>
      <c r="D697" s="292" t="s">
        <v>208</v>
      </c>
      <c r="E697" s="292" t="s">
        <v>246</v>
      </c>
      <c r="F697" s="293" t="s">
        <v>208</v>
      </c>
      <c r="G697" s="294" t="s">
        <v>702</v>
      </c>
      <c r="H697" s="311"/>
      <c r="I697" s="295"/>
      <c r="J697" s="296" t="s">
        <v>265</v>
      </c>
      <c r="K697" s="292"/>
      <c r="L697" s="292"/>
      <c r="M697" s="292">
        <v>19315</v>
      </c>
      <c r="N697" s="292" t="s">
        <v>35</v>
      </c>
      <c r="O697" s="292" t="s">
        <v>36</v>
      </c>
      <c r="P697" s="292" t="s">
        <v>189</v>
      </c>
      <c r="Q697" s="292" t="s">
        <v>50</v>
      </c>
      <c r="R697" s="292" t="s">
        <v>360</v>
      </c>
      <c r="S697" s="297" t="s">
        <v>688</v>
      </c>
      <c r="T697" s="298"/>
      <c r="U697" s="299">
        <v>7020000</v>
      </c>
      <c r="V697" s="299">
        <v>7970000</v>
      </c>
      <c r="W697" s="300">
        <v>8320000</v>
      </c>
      <c r="X697" s="301"/>
      <c r="Y697" s="292" t="s">
        <v>29</v>
      </c>
      <c r="Z697" s="302" t="s">
        <v>29</v>
      </c>
      <c r="AA697" s="317"/>
      <c r="AB697" s="317"/>
      <c r="AC697" s="303">
        <f t="shared" si="21"/>
        <v>8000000</v>
      </c>
      <c r="AD697" s="303">
        <v>8000000</v>
      </c>
      <c r="AE697" s="303">
        <f t="shared" si="22"/>
        <v>0</v>
      </c>
      <c r="AF697" s="304"/>
      <c r="AG697" s="305"/>
      <c r="AH697" s="304"/>
      <c r="AI697" s="304"/>
      <c r="AJ697" s="305"/>
      <c r="AK697" s="304"/>
      <c r="AL697" s="306"/>
      <c r="AM697" s="318"/>
      <c r="AN697" s="306"/>
      <c r="AO697" s="307"/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>
        <v>8000000</v>
      </c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customHeight="1">
      <c r="A698" s="290">
        <v>678</v>
      </c>
      <c r="B698" s="291"/>
      <c r="C698" s="291"/>
      <c r="D698" s="292" t="s">
        <v>208</v>
      </c>
      <c r="E698" s="292" t="s">
        <v>246</v>
      </c>
      <c r="F698" s="293" t="s">
        <v>208</v>
      </c>
      <c r="G698" s="294" t="s">
        <v>702</v>
      </c>
      <c r="H698" s="311"/>
      <c r="I698" s="295"/>
      <c r="J698" s="296" t="s">
        <v>341</v>
      </c>
      <c r="K698" s="292"/>
      <c r="L698" s="292"/>
      <c r="M698" s="292">
        <v>3701</v>
      </c>
      <c r="N698" s="292"/>
      <c r="O698" s="292"/>
      <c r="P698" s="292"/>
      <c r="Q698" s="292" t="s">
        <v>33</v>
      </c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29</v>
      </c>
      <c r="Z698" s="302" t="s">
        <v>29</v>
      </c>
      <c r="AA698" s="317"/>
      <c r="AB698" s="317"/>
      <c r="AC698" s="303">
        <f t="shared" si="21"/>
        <v>0</v>
      </c>
      <c r="AD698" s="303">
        <v>0</v>
      </c>
      <c r="AE698" s="303">
        <f t="shared" si="22"/>
        <v>0</v>
      </c>
      <c r="AF698" s="304"/>
      <c r="AG698" s="305"/>
      <c r="AH698" s="304"/>
      <c r="AI698" s="304">
        <v>20000000</v>
      </c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customHeight="1">
      <c r="A699" s="290">
        <v>679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702</v>
      </c>
      <c r="H699" s="311"/>
      <c r="I699" s="295"/>
      <c r="J699" s="296" t="s">
        <v>164</v>
      </c>
      <c r="K699" s="292"/>
      <c r="L699" s="292"/>
      <c r="M699" s="292">
        <v>13531</v>
      </c>
      <c r="N699" s="292" t="s">
        <v>35</v>
      </c>
      <c r="O699" s="292"/>
      <c r="P699" s="292"/>
      <c r="Q699" s="292" t="s">
        <v>33</v>
      </c>
      <c r="R699" s="292" t="s">
        <v>34</v>
      </c>
      <c r="S699" s="297" t="s">
        <v>34</v>
      </c>
      <c r="T699" s="298"/>
      <c r="U699" s="299">
        <v>2742500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1"/>
        <v>0</v>
      </c>
      <c r="AD699" s="303">
        <v>0</v>
      </c>
      <c r="AE699" s="303">
        <f t="shared" si="22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customHeight="1">
      <c r="A700" s="290">
        <v>680</v>
      </c>
      <c r="B700" s="291"/>
      <c r="C700" s="291"/>
      <c r="D700" s="292" t="s">
        <v>208</v>
      </c>
      <c r="E700" s="292" t="s">
        <v>4</v>
      </c>
      <c r="F700" s="293" t="s">
        <v>208</v>
      </c>
      <c r="G700" s="294" t="s">
        <v>702</v>
      </c>
      <c r="H700" s="311"/>
      <c r="I700" s="295"/>
      <c r="J700" s="296" t="s">
        <v>239</v>
      </c>
      <c r="K700" s="292"/>
      <c r="L700" s="292"/>
      <c r="M700" s="292">
        <v>41239</v>
      </c>
      <c r="N700" s="292" t="s">
        <v>35</v>
      </c>
      <c r="O700" s="292" t="s">
        <v>47</v>
      </c>
      <c r="P700" s="292" t="s">
        <v>48</v>
      </c>
      <c r="Q700" s="292" t="s">
        <v>33</v>
      </c>
      <c r="R700" s="292" t="s">
        <v>34</v>
      </c>
      <c r="S700" s="297" t="s">
        <v>23</v>
      </c>
      <c r="T700" s="298"/>
      <c r="U700" s="299">
        <v>31818182</v>
      </c>
      <c r="V700" s="299">
        <v>31818182</v>
      </c>
      <c r="W700" s="300">
        <v>0</v>
      </c>
      <c r="X700" s="301"/>
      <c r="Y700" s="292" t="s">
        <v>31</v>
      </c>
      <c r="Z700" s="302" t="s">
        <v>28</v>
      </c>
      <c r="AA700" s="317"/>
      <c r="AB700" s="317"/>
      <c r="AC700" s="303">
        <f t="shared" si="21"/>
        <v>46000000</v>
      </c>
      <c r="AD700" s="303">
        <v>46000000</v>
      </c>
      <c r="AE700" s="303">
        <f t="shared" si="22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/>
      <c r="AZ700" s="306"/>
      <c r="BA700" s="306"/>
      <c r="BB700" s="306"/>
      <c r="BC700" s="306"/>
      <c r="BD700" s="306"/>
      <c r="BE700" s="306">
        <v>46000000</v>
      </c>
      <c r="BF700" s="306"/>
      <c r="BG700" s="308"/>
      <c r="BH700" s="309"/>
    </row>
    <row r="701" spans="1:60" s="310" customFormat="1" ht="16.5" customHeight="1">
      <c r="A701" s="290">
        <v>681</v>
      </c>
      <c r="B701" s="291"/>
      <c r="C701" s="291"/>
      <c r="D701" s="292" t="s">
        <v>208</v>
      </c>
      <c r="E701" s="292" t="s">
        <v>4</v>
      </c>
      <c r="F701" s="293" t="s">
        <v>208</v>
      </c>
      <c r="G701" s="294" t="s">
        <v>702</v>
      </c>
      <c r="H701" s="311"/>
      <c r="I701" s="295"/>
      <c r="J701" s="296" t="s">
        <v>239</v>
      </c>
      <c r="K701" s="292"/>
      <c r="L701" s="292"/>
      <c r="M701" s="292">
        <v>41239</v>
      </c>
      <c r="N701" s="292" t="s">
        <v>35</v>
      </c>
      <c r="O701" s="292" t="s">
        <v>47</v>
      </c>
      <c r="P701" s="292" t="s">
        <v>189</v>
      </c>
      <c r="Q701" s="292" t="s">
        <v>22</v>
      </c>
      <c r="R701" s="292" t="s">
        <v>23</v>
      </c>
      <c r="S701" s="297" t="s">
        <v>34</v>
      </c>
      <c r="T701" s="298"/>
      <c r="U701" s="299" t="s">
        <v>188</v>
      </c>
      <c r="V701" s="299">
        <v>8800000</v>
      </c>
      <c r="W701" s="300">
        <v>46680000</v>
      </c>
      <c r="X701" s="301"/>
      <c r="Y701" s="292" t="s">
        <v>28</v>
      </c>
      <c r="Z701" s="302" t="s">
        <v>31</v>
      </c>
      <c r="AA701" s="317"/>
      <c r="AB701" s="317"/>
      <c r="AC701" s="303">
        <f t="shared" si="21"/>
        <v>10000000</v>
      </c>
      <c r="AD701" s="303">
        <v>10000000</v>
      </c>
      <c r="AE701" s="303">
        <f t="shared" si="22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>
        <v>10000000</v>
      </c>
      <c r="BF701" s="306"/>
      <c r="BG701" s="308"/>
      <c r="BH701" s="309"/>
    </row>
    <row r="702" spans="1:60" s="310" customFormat="1" ht="16.5" customHeight="1">
      <c r="A702" s="290">
        <v>682</v>
      </c>
      <c r="B702" s="291"/>
      <c r="C702" s="291"/>
      <c r="D702" s="292" t="s">
        <v>208</v>
      </c>
      <c r="E702" s="292" t="s">
        <v>4</v>
      </c>
      <c r="F702" s="293" t="s">
        <v>208</v>
      </c>
      <c r="G702" s="294" t="s">
        <v>702</v>
      </c>
      <c r="H702" s="311"/>
      <c r="I702" s="295"/>
      <c r="J702" s="296" t="s">
        <v>240</v>
      </c>
      <c r="K702" s="292"/>
      <c r="L702" s="292"/>
      <c r="M702" s="292">
        <v>11457</v>
      </c>
      <c r="N702" s="292" t="s">
        <v>35</v>
      </c>
      <c r="O702" s="292" t="s">
        <v>47</v>
      </c>
      <c r="P702" s="292" t="s">
        <v>48</v>
      </c>
      <c r="Q702" s="292" t="s">
        <v>30</v>
      </c>
      <c r="R702" s="292" t="s">
        <v>353</v>
      </c>
      <c r="S702" s="297" t="s">
        <v>353</v>
      </c>
      <c r="T702" s="298"/>
      <c r="U702" s="299"/>
      <c r="V702" s="299"/>
      <c r="W702" s="300">
        <v>0</v>
      </c>
      <c r="X702" s="301"/>
      <c r="Y702" s="292" t="s">
        <v>29</v>
      </c>
      <c r="Z702" s="302" t="s">
        <v>29</v>
      </c>
      <c r="AA702" s="317"/>
      <c r="AB702" s="317"/>
      <c r="AC702" s="303">
        <f t="shared" si="21"/>
        <v>100000000</v>
      </c>
      <c r="AD702" s="303">
        <v>100000000</v>
      </c>
      <c r="AE702" s="303">
        <f t="shared" si="22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>
        <v>100000000</v>
      </c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customHeight="1">
      <c r="A703" s="290">
        <v>683</v>
      </c>
      <c r="B703" s="291"/>
      <c r="C703" s="291"/>
      <c r="D703" s="292" t="s">
        <v>208</v>
      </c>
      <c r="E703" s="292" t="s">
        <v>4</v>
      </c>
      <c r="F703" s="293" t="s">
        <v>208</v>
      </c>
      <c r="G703" s="294" t="s">
        <v>882</v>
      </c>
      <c r="H703" s="311" t="s">
        <v>881</v>
      </c>
      <c r="I703" s="295"/>
      <c r="J703" s="296" t="s">
        <v>136</v>
      </c>
      <c r="K703" s="292"/>
      <c r="L703" s="292"/>
      <c r="M703" s="292">
        <v>52864</v>
      </c>
      <c r="N703" s="292" t="s">
        <v>26</v>
      </c>
      <c r="O703" s="292"/>
      <c r="P703" s="292"/>
      <c r="Q703" s="292" t="s">
        <v>22</v>
      </c>
      <c r="R703" s="292" t="s">
        <v>23</v>
      </c>
      <c r="S703" s="297" t="s">
        <v>23</v>
      </c>
      <c r="T703" s="298"/>
      <c r="U703" s="299"/>
      <c r="V703" s="299">
        <v>2544000</v>
      </c>
      <c r="W703" s="300">
        <v>5033500</v>
      </c>
      <c r="X703" s="301"/>
      <c r="Y703" s="292" t="s">
        <v>31</v>
      </c>
      <c r="Z703" s="302" t="s">
        <v>31</v>
      </c>
      <c r="AA703" s="317"/>
      <c r="AB703" s="317"/>
      <c r="AC703" s="303">
        <f t="shared" si="21"/>
        <v>4500000</v>
      </c>
      <c r="AD703" s="303">
        <v>4500000</v>
      </c>
      <c r="AE703" s="303">
        <f t="shared" si="22"/>
        <v>0</v>
      </c>
      <c r="AF703" s="304"/>
      <c r="AG703" s="305"/>
      <c r="AH703" s="304"/>
      <c r="AI703" s="304"/>
      <c r="AJ703" s="305"/>
      <c r="AK703" s="304"/>
      <c r="AL703" s="306">
        <v>500000</v>
      </c>
      <c r="AM703" s="318"/>
      <c r="AN703" s="306"/>
      <c r="AO703" s="307">
        <v>500000</v>
      </c>
      <c r="AP703" s="306"/>
      <c r="AQ703" s="306">
        <v>500000</v>
      </c>
      <c r="AR703" s="306"/>
      <c r="AS703" s="306">
        <v>500000</v>
      </c>
      <c r="AT703" s="306"/>
      <c r="AU703" s="306">
        <v>500000</v>
      </c>
      <c r="AV703" s="306"/>
      <c r="AW703" s="306">
        <v>500000</v>
      </c>
      <c r="AX703" s="306"/>
      <c r="AY703" s="306">
        <v>500000</v>
      </c>
      <c r="AZ703" s="306"/>
      <c r="BA703" s="306">
        <v>500000</v>
      </c>
      <c r="BB703" s="306"/>
      <c r="BC703" s="306">
        <v>500000</v>
      </c>
      <c r="BD703" s="306"/>
      <c r="BE703" s="306">
        <v>500000</v>
      </c>
      <c r="BF703" s="306"/>
      <c r="BG703" s="308"/>
      <c r="BH703" s="309"/>
    </row>
    <row r="704" spans="1:60" s="310" customFormat="1" ht="16.5" customHeight="1">
      <c r="A704" s="290">
        <v>684</v>
      </c>
      <c r="B704" s="291"/>
      <c r="C704" s="291"/>
      <c r="D704" s="292" t="s">
        <v>208</v>
      </c>
      <c r="E704" s="292" t="s">
        <v>4</v>
      </c>
      <c r="F704" s="293" t="s">
        <v>208</v>
      </c>
      <c r="G704" s="294" t="s">
        <v>883</v>
      </c>
      <c r="H704" s="311" t="s">
        <v>864</v>
      </c>
      <c r="I704" s="295"/>
      <c r="J704" s="296" t="s">
        <v>136</v>
      </c>
      <c r="K704" s="292"/>
      <c r="L704" s="292"/>
      <c r="M704" s="292">
        <v>52864</v>
      </c>
      <c r="N704" s="292" t="s">
        <v>26</v>
      </c>
      <c r="O704" s="292"/>
      <c r="P704" s="292"/>
      <c r="Q704" s="292" t="s">
        <v>33</v>
      </c>
      <c r="R704" s="292" t="s">
        <v>34</v>
      </c>
      <c r="S704" s="297" t="s">
        <v>34</v>
      </c>
      <c r="T704" s="298"/>
      <c r="U704" s="299">
        <v>2927500</v>
      </c>
      <c r="V704" s="299">
        <v>9199500</v>
      </c>
      <c r="W704" s="300">
        <v>8426000</v>
      </c>
      <c r="X704" s="301"/>
      <c r="Y704" s="292" t="s">
        <v>31</v>
      </c>
      <c r="Z704" s="302" t="s">
        <v>31</v>
      </c>
      <c r="AA704" s="317"/>
      <c r="AB704" s="317"/>
      <c r="AC704" s="303">
        <f t="shared" si="21"/>
        <v>1000000</v>
      </c>
      <c r="AD704" s="303">
        <v>1000000</v>
      </c>
      <c r="AE704" s="303">
        <f t="shared" si="22"/>
        <v>0</v>
      </c>
      <c r="AF704" s="304"/>
      <c r="AG704" s="305"/>
      <c r="AH704" s="304"/>
      <c r="AI704" s="304"/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>
        <v>1000000</v>
      </c>
      <c r="BF704" s="306"/>
      <c r="BG704" s="308"/>
      <c r="BH704" s="309"/>
    </row>
    <row r="705" spans="1:60" s="310" customFormat="1" ht="16.5" customHeight="1">
      <c r="A705" s="290">
        <v>685</v>
      </c>
      <c r="B705" s="291"/>
      <c r="C705" s="291"/>
      <c r="D705" s="292" t="s">
        <v>208</v>
      </c>
      <c r="E705" s="292" t="s">
        <v>4</v>
      </c>
      <c r="F705" s="293" t="s">
        <v>208</v>
      </c>
      <c r="G705" s="294" t="s">
        <v>882</v>
      </c>
      <c r="H705" s="311" t="s">
        <v>881</v>
      </c>
      <c r="I705" s="295"/>
      <c r="J705" s="296" t="s">
        <v>136</v>
      </c>
      <c r="K705" s="292"/>
      <c r="L705" s="292"/>
      <c r="M705" s="292">
        <v>52864</v>
      </c>
      <c r="N705" s="292" t="s">
        <v>26</v>
      </c>
      <c r="O705" s="292"/>
      <c r="P705" s="292"/>
      <c r="Q705" s="292" t="s">
        <v>41</v>
      </c>
      <c r="R705" s="292" t="s">
        <v>42</v>
      </c>
      <c r="S705" s="297" t="s">
        <v>42</v>
      </c>
      <c r="T705" s="298"/>
      <c r="U705" s="299">
        <v>6000000</v>
      </c>
      <c r="V705" s="299">
        <v>6000000</v>
      </c>
      <c r="W705" s="300">
        <v>6000000</v>
      </c>
      <c r="X705" s="301"/>
      <c r="Y705" s="292" t="s">
        <v>31</v>
      </c>
      <c r="Z705" s="302" t="s">
        <v>31</v>
      </c>
      <c r="AA705" s="317"/>
      <c r="AB705" s="317"/>
      <c r="AC705" s="303">
        <f t="shared" si="21"/>
        <v>6000000</v>
      </c>
      <c r="AD705" s="303">
        <v>6000000</v>
      </c>
      <c r="AE705" s="303">
        <f t="shared" si="22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>
        <v>6000000</v>
      </c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customHeight="1">
      <c r="A706" s="290">
        <v>686</v>
      </c>
      <c r="B706" s="291"/>
      <c r="C706" s="291"/>
      <c r="D706" s="292" t="s">
        <v>208</v>
      </c>
      <c r="E706" s="292" t="s">
        <v>2</v>
      </c>
      <c r="F706" s="293" t="s">
        <v>208</v>
      </c>
      <c r="G706" s="294" t="s">
        <v>836</v>
      </c>
      <c r="H706" s="311" t="s">
        <v>844</v>
      </c>
      <c r="I706" s="295"/>
      <c r="J706" s="296" t="s">
        <v>480</v>
      </c>
      <c r="K706" s="292"/>
      <c r="L706" s="292"/>
      <c r="M706" s="292">
        <v>1030</v>
      </c>
      <c r="N706" s="292" t="s">
        <v>26</v>
      </c>
      <c r="O706" s="292"/>
      <c r="P706" s="292"/>
      <c r="Q706" s="292" t="s">
        <v>83</v>
      </c>
      <c r="R706" s="292" t="s">
        <v>32</v>
      </c>
      <c r="S706" s="297" t="s">
        <v>32</v>
      </c>
      <c r="T706" s="298"/>
      <c r="U706" s="299"/>
      <c r="V706" s="299">
        <v>45835200</v>
      </c>
      <c r="W706" s="300">
        <v>38984300</v>
      </c>
      <c r="X706" s="301"/>
      <c r="Y706" s="292" t="s">
        <v>31</v>
      </c>
      <c r="Z706" s="302" t="s">
        <v>31</v>
      </c>
      <c r="AA706" s="317"/>
      <c r="AB706" s="317"/>
      <c r="AC706" s="303">
        <f t="shared" si="21"/>
        <v>35729900</v>
      </c>
      <c r="AD706" s="303">
        <v>35729900</v>
      </c>
      <c r="AE706" s="303">
        <f t="shared" si="22"/>
        <v>0</v>
      </c>
      <c r="AF706" s="304"/>
      <c r="AG706" s="305">
        <v>1774900</v>
      </c>
      <c r="AH706" s="304"/>
      <c r="AI706" s="304">
        <v>10000000</v>
      </c>
      <c r="AJ706" s="305">
        <v>1955000</v>
      </c>
      <c r="AK706" s="304"/>
      <c r="AL706" s="306">
        <v>1950000</v>
      </c>
      <c r="AM706" s="318">
        <v>1950000</v>
      </c>
      <c r="AN706" s="306"/>
      <c r="AO706" s="307">
        <v>10000000</v>
      </c>
      <c r="AP706" s="306"/>
      <c r="AQ706" s="306">
        <v>10000000</v>
      </c>
      <c r="AR706" s="306"/>
      <c r="AS706" s="306">
        <v>10050000</v>
      </c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/>
      <c r="BF706" s="306"/>
      <c r="BG706" s="308"/>
      <c r="BH706" s="309"/>
    </row>
    <row r="707" spans="1:60" s="310" customFormat="1" ht="16.5" customHeight="1">
      <c r="A707" s="290">
        <v>687</v>
      </c>
      <c r="B707" s="291"/>
      <c r="C707" s="291"/>
      <c r="D707" s="292" t="s">
        <v>208</v>
      </c>
      <c r="E707" s="292" t="s">
        <v>2</v>
      </c>
      <c r="F707" s="293" t="s">
        <v>208</v>
      </c>
      <c r="G707" s="294" t="s">
        <v>849</v>
      </c>
      <c r="H707" s="311" t="s">
        <v>844</v>
      </c>
      <c r="I707" s="295"/>
      <c r="J707" s="296" t="s">
        <v>480</v>
      </c>
      <c r="K707" s="292"/>
      <c r="L707" s="292"/>
      <c r="M707" s="292">
        <v>1030</v>
      </c>
      <c r="N707" s="292" t="s">
        <v>26</v>
      </c>
      <c r="O707" s="292"/>
      <c r="P707" s="292"/>
      <c r="Q707" s="292" t="s">
        <v>33</v>
      </c>
      <c r="R707" s="292" t="s">
        <v>34</v>
      </c>
      <c r="S707" s="297" t="s">
        <v>34</v>
      </c>
      <c r="T707" s="298"/>
      <c r="U707" s="299"/>
      <c r="V707" s="299">
        <v>0</v>
      </c>
      <c r="W707" s="300">
        <v>6601500</v>
      </c>
      <c r="X707" s="301"/>
      <c r="Y707" s="292" t="s">
        <v>31</v>
      </c>
      <c r="Z707" s="302" t="s">
        <v>28</v>
      </c>
      <c r="AA707" s="317"/>
      <c r="AB707" s="317"/>
      <c r="AC707" s="303">
        <f t="shared" si="21"/>
        <v>8000000</v>
      </c>
      <c r="AD707" s="303">
        <v>8000000</v>
      </c>
      <c r="AE707" s="303">
        <f t="shared" si="22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>
        <v>8000000</v>
      </c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/>
      <c r="BF707" s="306"/>
      <c r="BG707" s="308"/>
      <c r="BH707" s="309"/>
    </row>
    <row r="708" spans="1:60" s="310" customFormat="1" ht="16.5" customHeight="1">
      <c r="A708" s="290">
        <v>688</v>
      </c>
      <c r="B708" s="291"/>
      <c r="C708" s="291"/>
      <c r="D708" s="292" t="s">
        <v>208</v>
      </c>
      <c r="E708" s="292" t="s">
        <v>2</v>
      </c>
      <c r="F708" s="293" t="s">
        <v>208</v>
      </c>
      <c r="G708" s="294" t="s">
        <v>849</v>
      </c>
      <c r="H708" s="311" t="s">
        <v>845</v>
      </c>
      <c r="I708" s="295"/>
      <c r="J708" s="296" t="s">
        <v>480</v>
      </c>
      <c r="K708" s="292"/>
      <c r="L708" s="292"/>
      <c r="M708" s="292">
        <v>1030</v>
      </c>
      <c r="N708" s="292" t="s">
        <v>26</v>
      </c>
      <c r="O708" s="292"/>
      <c r="P708" s="292"/>
      <c r="Q708" s="292" t="s">
        <v>30</v>
      </c>
      <c r="R708" s="292" t="s">
        <v>353</v>
      </c>
      <c r="S708" s="297" t="s">
        <v>353</v>
      </c>
      <c r="T708" s="298"/>
      <c r="U708" s="299">
        <v>13400000</v>
      </c>
      <c r="V708" s="299">
        <v>0</v>
      </c>
      <c r="W708" s="300">
        <v>0</v>
      </c>
      <c r="X708" s="301"/>
      <c r="Y708" s="292" t="s">
        <v>28</v>
      </c>
      <c r="Z708" s="302" t="s">
        <v>28</v>
      </c>
      <c r="AA708" s="317"/>
      <c r="AB708" s="317"/>
      <c r="AC708" s="303">
        <f t="shared" si="21"/>
        <v>10000000</v>
      </c>
      <c r="AD708" s="303">
        <v>10000000</v>
      </c>
      <c r="AE708" s="303">
        <f t="shared" si="22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/>
      <c r="AR708" s="306"/>
      <c r="AS708" s="306">
        <v>5000000</v>
      </c>
      <c r="AT708" s="306"/>
      <c r="AU708" s="306"/>
      <c r="AV708" s="306"/>
      <c r="AW708" s="306"/>
      <c r="AX708" s="306"/>
      <c r="AY708" s="306">
        <v>5000000</v>
      </c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customHeight="1">
      <c r="A709" s="290">
        <v>689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865</v>
      </c>
      <c r="H709" s="311" t="s">
        <v>702</v>
      </c>
      <c r="I709" s="295"/>
      <c r="J709" s="296" t="s">
        <v>81</v>
      </c>
      <c r="K709" s="292"/>
      <c r="L709" s="292"/>
      <c r="M709" s="292">
        <v>7631</v>
      </c>
      <c r="N709" s="292" t="s">
        <v>26</v>
      </c>
      <c r="O709" s="292"/>
      <c r="P709" s="292"/>
      <c r="Q709" s="292" t="s">
        <v>22</v>
      </c>
      <c r="R709" s="292" t="s">
        <v>23</v>
      </c>
      <c r="S709" s="297" t="s">
        <v>23</v>
      </c>
      <c r="T709" s="298"/>
      <c r="U709" s="299"/>
      <c r="V709" s="299">
        <v>0</v>
      </c>
      <c r="W709" s="300">
        <v>0</v>
      </c>
      <c r="X709" s="301"/>
      <c r="Y709" s="292" t="s">
        <v>29</v>
      </c>
      <c r="Z709" s="302" t="s">
        <v>29</v>
      </c>
      <c r="AA709" s="317"/>
      <c r="AB709" s="317"/>
      <c r="AC709" s="303">
        <f t="shared" si="21"/>
        <v>5000000</v>
      </c>
      <c r="AD709" s="303">
        <v>5000000</v>
      </c>
      <c r="AE709" s="303">
        <f t="shared" si="22"/>
        <v>0</v>
      </c>
      <c r="AF709" s="304"/>
      <c r="AG709" s="305"/>
      <c r="AH709" s="304"/>
      <c r="AI709" s="304"/>
      <c r="AJ709" s="305"/>
      <c r="AK709" s="304"/>
      <c r="AL709" s="306"/>
      <c r="AM709" s="318"/>
      <c r="AN709" s="306"/>
      <c r="AO709" s="307"/>
      <c r="AP709" s="306"/>
      <c r="AQ709" s="306"/>
      <c r="AR709" s="306"/>
      <c r="AS709" s="306">
        <v>5000000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customHeight="1">
      <c r="A710" s="290">
        <v>690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865</v>
      </c>
      <c r="H710" s="311" t="s">
        <v>702</v>
      </c>
      <c r="I710" s="295"/>
      <c r="J710" s="296" t="s">
        <v>81</v>
      </c>
      <c r="K710" s="292"/>
      <c r="L710" s="292"/>
      <c r="M710" s="292">
        <v>7631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>
        <v>3370000</v>
      </c>
      <c r="V710" s="299">
        <v>3480000</v>
      </c>
      <c r="W710" s="300">
        <v>5425000</v>
      </c>
      <c r="X710" s="301"/>
      <c r="Y710" s="292" t="s">
        <v>31</v>
      </c>
      <c r="Z710" s="302" t="s">
        <v>31</v>
      </c>
      <c r="AA710" s="317"/>
      <c r="AB710" s="317"/>
      <c r="AC710" s="303">
        <f t="shared" si="21"/>
        <v>3000000</v>
      </c>
      <c r="AD710" s="303">
        <v>3000000</v>
      </c>
      <c r="AE710" s="303">
        <f t="shared" si="22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3000000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customHeight="1">
      <c r="A711" s="290">
        <v>691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866</v>
      </c>
      <c r="H711" s="311" t="s">
        <v>702</v>
      </c>
      <c r="I711" s="295"/>
      <c r="J711" s="296" t="s">
        <v>81</v>
      </c>
      <c r="K711" s="292"/>
      <c r="L711" s="292"/>
      <c r="M711" s="292">
        <v>7631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/>
      <c r="V711" s="299">
        <v>0</v>
      </c>
      <c r="W711" s="300">
        <v>4100000</v>
      </c>
      <c r="X711" s="301"/>
      <c r="Y711" s="292" t="s">
        <v>31</v>
      </c>
      <c r="Z711" s="302" t="s">
        <v>28</v>
      </c>
      <c r="AA711" s="317"/>
      <c r="AB711" s="317"/>
      <c r="AC711" s="303">
        <f t="shared" si="21"/>
        <v>3000000</v>
      </c>
      <c r="AD711" s="303">
        <v>3000000</v>
      </c>
      <c r="AE711" s="303">
        <f t="shared" si="22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3000000</v>
      </c>
      <c r="AT711" s="306"/>
      <c r="AU711" s="306"/>
      <c r="AV711" s="306"/>
      <c r="AW711" s="306"/>
      <c r="AX711" s="306"/>
      <c r="AY711" s="306"/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customHeight="1">
      <c r="A712" s="290">
        <v>692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828</v>
      </c>
      <c r="H712" s="311" t="s">
        <v>798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1"/>
        <v>0</v>
      </c>
      <c r="AD712" s="303">
        <v>0</v>
      </c>
      <c r="AE712" s="303">
        <f t="shared" si="22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customHeight="1">
      <c r="A713" s="290">
        <v>693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829</v>
      </c>
      <c r="H713" s="311" t="s">
        <v>798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1"/>
        <v>86000000</v>
      </c>
      <c r="AD713" s="303">
        <v>86000000</v>
      </c>
      <c r="AE713" s="303">
        <f t="shared" si="22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customHeight="1">
      <c r="A714" s="290">
        <v>694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810</v>
      </c>
      <c r="H714" s="311" t="s">
        <v>798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1"/>
        <v>0</v>
      </c>
      <c r="AD714" s="303">
        <v>0</v>
      </c>
      <c r="AE714" s="303">
        <f t="shared" si="22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customHeight="1">
      <c r="A715" s="290">
        <v>695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828</v>
      </c>
      <c r="H715" s="311" t="s">
        <v>798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1"/>
        <v>75000000</v>
      </c>
      <c r="AD715" s="303">
        <v>75000000</v>
      </c>
      <c r="AE715" s="303">
        <f t="shared" si="22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customHeight="1">
      <c r="A716" s="290">
        <v>696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810</v>
      </c>
      <c r="H716" s="311" t="s">
        <v>798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683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1"/>
        <v>0</v>
      </c>
      <c r="AD716" s="303">
        <v>0</v>
      </c>
      <c r="AE716" s="303">
        <f t="shared" si="22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customHeight="1">
      <c r="A717" s="290">
        <v>697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810</v>
      </c>
      <c r="H717" s="311" t="s">
        <v>798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686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1"/>
        <v>0</v>
      </c>
      <c r="AD717" s="303">
        <v>0</v>
      </c>
      <c r="AE717" s="303">
        <f t="shared" si="22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customHeight="1">
      <c r="A718" s="290">
        <v>698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829</v>
      </c>
      <c r="H718" s="311" t="s">
        <v>798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691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1"/>
        <v>0</v>
      </c>
      <c r="AD718" s="303">
        <v>0</v>
      </c>
      <c r="AE718" s="303">
        <f t="shared" si="22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customHeight="1">
      <c r="A719" s="290">
        <v>699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1"/>
        <v>0</v>
      </c>
      <c r="AD719" s="303">
        <v>0</v>
      </c>
      <c r="AE719" s="303">
        <f t="shared" si="22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customHeight="1">
      <c r="A720" s="290">
        <v>700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1"/>
        <v>150000000</v>
      </c>
      <c r="AD720" s="303">
        <v>150000000</v>
      </c>
      <c r="AE720" s="303">
        <f t="shared" si="22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customHeight="1">
      <c r="A721" s="290">
        <v>701</v>
      </c>
      <c r="B721" s="291"/>
      <c r="C721" s="291"/>
      <c r="D721" s="292"/>
      <c r="E721" s="292"/>
      <c r="F721" s="293" t="s">
        <v>208</v>
      </c>
      <c r="G721" s="294" t="s">
        <v>555</v>
      </c>
      <c r="H721" s="311"/>
      <c r="I721" s="295"/>
      <c r="J721" s="296" t="s">
        <v>713</v>
      </c>
      <c r="K721" s="292"/>
      <c r="L721" s="292"/>
      <c r="M721" s="292">
        <v>61311</v>
      </c>
      <c r="N721" s="292"/>
      <c r="O721" s="292"/>
      <c r="P721" s="292"/>
      <c r="Q721" s="292"/>
      <c r="R721" s="292"/>
      <c r="S721" s="297" t="s">
        <v>353</v>
      </c>
      <c r="T721" s="298"/>
      <c r="U721" s="299"/>
      <c r="V721" s="299"/>
      <c r="W721" s="300">
        <v>1500000</v>
      </c>
      <c r="X721" s="301"/>
      <c r="Y721" s="292"/>
      <c r="Z721" s="302" t="s">
        <v>578</v>
      </c>
      <c r="AA721" s="317"/>
      <c r="AB721" s="317"/>
      <c r="AC721" s="303">
        <f t="shared" si="21"/>
        <v>0</v>
      </c>
      <c r="AD721" s="303">
        <v>0</v>
      </c>
      <c r="AE721" s="303">
        <f t="shared" si="22"/>
        <v>0</v>
      </c>
      <c r="AF721" s="304"/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customHeight="1">
      <c r="A722" s="290">
        <v>702</v>
      </c>
      <c r="B722" s="291"/>
      <c r="C722" s="291"/>
      <c r="D722" s="292" t="s">
        <v>184</v>
      </c>
      <c r="E722" s="292" t="s">
        <v>555</v>
      </c>
      <c r="F722" s="293" t="s">
        <v>208</v>
      </c>
      <c r="G722" s="294" t="s">
        <v>555</v>
      </c>
      <c r="H722" s="311"/>
      <c r="I722" s="295"/>
      <c r="J722" s="296" t="s">
        <v>615</v>
      </c>
      <c r="K722" s="292"/>
      <c r="L722" s="292"/>
      <c r="M722" s="292">
        <v>22355</v>
      </c>
      <c r="N722" s="292"/>
      <c r="O722" s="292"/>
      <c r="P722" s="292"/>
      <c r="Q722" s="292"/>
      <c r="R722" s="292" t="s">
        <v>353</v>
      </c>
      <c r="S722" s="297" t="s">
        <v>353</v>
      </c>
      <c r="T722" s="298"/>
      <c r="U722" s="299"/>
      <c r="V722" s="299"/>
      <c r="W722" s="300">
        <v>17230000</v>
      </c>
      <c r="X722" s="301"/>
      <c r="Y722" s="292" t="s">
        <v>31</v>
      </c>
      <c r="Z722" s="302" t="s">
        <v>28</v>
      </c>
      <c r="AA722" s="317"/>
      <c r="AB722" s="317"/>
      <c r="AC722" s="303">
        <f t="shared" si="21"/>
        <v>18000000</v>
      </c>
      <c r="AD722" s="303">
        <v>18000000</v>
      </c>
      <c r="AE722" s="303">
        <f t="shared" si="22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>
        <v>18000000</v>
      </c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customHeight="1">
      <c r="A723" s="290">
        <v>703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619</v>
      </c>
      <c r="K723" s="292"/>
      <c r="L723" s="292"/>
      <c r="M723" s="292">
        <v>55866</v>
      </c>
      <c r="N723" s="292"/>
      <c r="O723" s="292"/>
      <c r="P723" s="292"/>
      <c r="Q723" s="292"/>
      <c r="R723" s="292" t="s">
        <v>34</v>
      </c>
      <c r="S723" s="297" t="s">
        <v>34</v>
      </c>
      <c r="T723" s="298"/>
      <c r="U723" s="299"/>
      <c r="V723" s="299"/>
      <c r="W723" s="300">
        <v>12967000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1"/>
        <v>7000000</v>
      </c>
      <c r="AD723" s="303">
        <v>7000000</v>
      </c>
      <c r="AE723" s="303">
        <f t="shared" si="22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/>
      <c r="AR723" s="306"/>
      <c r="AS723" s="306">
        <v>0</v>
      </c>
      <c r="AT723" s="306"/>
      <c r="AU723" s="306"/>
      <c r="AV723" s="306"/>
      <c r="AW723" s="306"/>
      <c r="AX723" s="306"/>
      <c r="AY723" s="306"/>
      <c r="AZ723" s="306"/>
      <c r="BA723" s="306">
        <v>7000000</v>
      </c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customHeight="1">
      <c r="A724" s="290">
        <v>704</v>
      </c>
      <c r="B724" s="291"/>
      <c r="C724" s="291"/>
      <c r="D724" s="292" t="s">
        <v>184</v>
      </c>
      <c r="E724" s="292" t="s">
        <v>569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>
        <v>0</v>
      </c>
      <c r="W724" s="300">
        <v>0</v>
      </c>
      <c r="X724" s="301"/>
      <c r="Y724" s="292" t="s">
        <v>31</v>
      </c>
      <c r="Z724" s="302"/>
      <c r="AA724" s="317"/>
      <c r="AB724" s="317"/>
      <c r="AC724" s="303">
        <f t="shared" si="21"/>
        <v>0</v>
      </c>
      <c r="AD724" s="303">
        <v>0</v>
      </c>
      <c r="AE724" s="303">
        <f t="shared" si="22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/>
      <c r="AT724" s="306"/>
      <c r="AU724" s="306"/>
      <c r="AV724" s="306"/>
      <c r="AW724" s="306"/>
      <c r="AX724" s="306"/>
      <c r="AY724" s="306"/>
      <c r="AZ724" s="306"/>
      <c r="BA724" s="306"/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customHeight="1">
      <c r="A725" s="290">
        <v>705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ref="AC725:AC753" si="23">AG725+AJ725+AM725+AO725+AQ725+AS725+AU725+AW725+AY725+BA725+BC725+BE725</f>
        <v>0</v>
      </c>
      <c r="AD725" s="303">
        <v>0</v>
      </c>
      <c r="AE725" s="303">
        <f t="shared" ref="AE725:AE788" si="24">AC725-AD725</f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customHeight="1">
      <c r="A726" s="290">
        <v>706</v>
      </c>
      <c r="B726" s="291"/>
      <c r="C726" s="291"/>
      <c r="D726" s="292" t="s">
        <v>184</v>
      </c>
      <c r="E726" s="292" t="s">
        <v>557</v>
      </c>
      <c r="F726" s="293" t="s">
        <v>208</v>
      </c>
      <c r="G726" s="294" t="s">
        <v>555</v>
      </c>
      <c r="H726" s="311"/>
      <c r="I726" s="295"/>
      <c r="J726" s="296" t="s">
        <v>624</v>
      </c>
      <c r="K726" s="292"/>
      <c r="L726" s="292"/>
      <c r="M726" s="292">
        <v>21107</v>
      </c>
      <c r="N726" s="292"/>
      <c r="O726" s="292"/>
      <c r="P726" s="292"/>
      <c r="Q726" s="292"/>
      <c r="R726" s="292" t="s">
        <v>354</v>
      </c>
      <c r="S726" s="297" t="s">
        <v>354</v>
      </c>
      <c r="T726" s="298"/>
      <c r="U726" s="299"/>
      <c r="V726" s="299"/>
      <c r="W726" s="300">
        <v>0</v>
      </c>
      <c r="X726" s="301"/>
      <c r="Y726" s="292"/>
      <c r="Z726" s="302" t="s">
        <v>29</v>
      </c>
      <c r="AA726" s="317"/>
      <c r="AB726" s="317"/>
      <c r="AC726" s="303">
        <f t="shared" si="23"/>
        <v>320000000</v>
      </c>
      <c r="AD726" s="303">
        <v>360000000</v>
      </c>
      <c r="AE726" s="303">
        <f t="shared" si="24"/>
        <v>-40000000</v>
      </c>
      <c r="AF726" s="304"/>
      <c r="AG726" s="305"/>
      <c r="AH726" s="304"/>
      <c r="AI726" s="304">
        <v>80000000</v>
      </c>
      <c r="AJ726" s="305"/>
      <c r="AK726" s="304"/>
      <c r="AL726" s="306"/>
      <c r="AM726" s="318"/>
      <c r="AN726" s="306"/>
      <c r="AO726" s="307"/>
      <c r="AP726" s="306"/>
      <c r="AQ726" s="306">
        <v>40000000</v>
      </c>
      <c r="AR726" s="306"/>
      <c r="AS726" s="306">
        <v>40000000</v>
      </c>
      <c r="AT726" s="306"/>
      <c r="AU726" s="306">
        <v>40000000</v>
      </c>
      <c r="AV726" s="306"/>
      <c r="AW726" s="306">
        <v>40000000</v>
      </c>
      <c r="AX726" s="306"/>
      <c r="AY726" s="306">
        <v>40000000</v>
      </c>
      <c r="AZ726" s="306"/>
      <c r="BA726" s="306">
        <v>40000000</v>
      </c>
      <c r="BB726" s="306"/>
      <c r="BC726" s="306">
        <v>40000000</v>
      </c>
      <c r="BD726" s="306"/>
      <c r="BE726" s="306">
        <v>40000000</v>
      </c>
      <c r="BF726" s="306"/>
      <c r="BG726" s="308"/>
      <c r="BH726" s="309"/>
    </row>
    <row r="727" spans="1:60" s="310" customFormat="1" ht="16.5" customHeight="1">
      <c r="A727" s="290">
        <v>707</v>
      </c>
      <c r="B727" s="291"/>
      <c r="C727" s="291"/>
      <c r="D727" s="292" t="s">
        <v>184</v>
      </c>
      <c r="E727" s="292" t="s">
        <v>555</v>
      </c>
      <c r="F727" s="293" t="s">
        <v>208</v>
      </c>
      <c r="G727" s="294" t="s">
        <v>555</v>
      </c>
      <c r="H727" s="311"/>
      <c r="I727" s="295"/>
      <c r="J727" s="296" t="s">
        <v>625</v>
      </c>
      <c r="K727" s="292"/>
      <c r="L727" s="292"/>
      <c r="M727" s="292">
        <v>3764</v>
      </c>
      <c r="N727" s="292" t="s">
        <v>26</v>
      </c>
      <c r="O727" s="292"/>
      <c r="P727" s="292"/>
      <c r="Q727" s="292" t="s">
        <v>22</v>
      </c>
      <c r="R727" s="292" t="s">
        <v>23</v>
      </c>
      <c r="S727" s="297" t="s">
        <v>23</v>
      </c>
      <c r="T727" s="298"/>
      <c r="U727" s="299"/>
      <c r="V727" s="299">
        <v>0</v>
      </c>
      <c r="W727" s="300">
        <v>0</v>
      </c>
      <c r="X727" s="301"/>
      <c r="Y727" s="292" t="s">
        <v>29</v>
      </c>
      <c r="Z727" s="302" t="s">
        <v>29</v>
      </c>
      <c r="AA727" s="317"/>
      <c r="AB727" s="317"/>
      <c r="AC727" s="303">
        <f t="shared" si="23"/>
        <v>0</v>
      </c>
      <c r="AD727" s="303">
        <v>0</v>
      </c>
      <c r="AE727" s="303">
        <f t="shared" si="24"/>
        <v>0</v>
      </c>
      <c r="AF727" s="304"/>
      <c r="AG727" s="305"/>
      <c r="AH727" s="304"/>
      <c r="AI727" s="304"/>
      <c r="AJ727" s="305"/>
      <c r="AK727" s="304"/>
      <c r="AL727" s="306"/>
      <c r="AM727" s="318"/>
      <c r="AN727" s="306"/>
      <c r="AO727" s="307"/>
      <c r="AP727" s="306"/>
      <c r="AQ727" s="306"/>
      <c r="AR727" s="306"/>
      <c r="AS727" s="306"/>
      <c r="AT727" s="306"/>
      <c r="AU727" s="306"/>
      <c r="AV727" s="306"/>
      <c r="AW727" s="306"/>
      <c r="AX727" s="306"/>
      <c r="AY727" s="306"/>
      <c r="AZ727" s="306"/>
      <c r="BA727" s="306"/>
      <c r="BB727" s="306"/>
      <c r="BC727" s="306"/>
      <c r="BD727" s="306"/>
      <c r="BE727" s="306"/>
      <c r="BF727" s="306"/>
      <c r="BG727" s="308"/>
      <c r="BH727" s="309"/>
    </row>
    <row r="728" spans="1:60" s="310" customFormat="1" ht="16.5" customHeight="1">
      <c r="A728" s="290">
        <v>708</v>
      </c>
      <c r="B728" s="291"/>
      <c r="C728" s="291"/>
      <c r="D728" s="292" t="s">
        <v>184</v>
      </c>
      <c r="E728" s="292" t="s">
        <v>557</v>
      </c>
      <c r="F728" s="293" t="s">
        <v>208</v>
      </c>
      <c r="G728" s="294" t="s">
        <v>555</v>
      </c>
      <c r="H728" s="311"/>
      <c r="I728" s="295"/>
      <c r="J728" s="296" t="s">
        <v>626</v>
      </c>
      <c r="K728" s="292"/>
      <c r="L728" s="292"/>
      <c r="M728" s="292">
        <v>314</v>
      </c>
      <c r="N728" s="292" t="s">
        <v>26</v>
      </c>
      <c r="O728" s="292" t="s">
        <v>36</v>
      </c>
      <c r="P728" s="292" t="s">
        <v>36</v>
      </c>
      <c r="Q728" s="292" t="s">
        <v>40</v>
      </c>
      <c r="R728" s="292" t="s">
        <v>354</v>
      </c>
      <c r="S728" s="297" t="s">
        <v>354</v>
      </c>
      <c r="T728" s="298"/>
      <c r="U728" s="299">
        <v>10000000</v>
      </c>
      <c r="V728" s="299"/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3"/>
        <v>10000000</v>
      </c>
      <c r="AD728" s="303">
        <v>10000000</v>
      </c>
      <c r="AE728" s="303">
        <f t="shared" si="24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>
        <v>10000000</v>
      </c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customHeight="1">
      <c r="A729" s="290">
        <v>709</v>
      </c>
      <c r="B729" s="291"/>
      <c r="C729" s="291"/>
      <c r="D729" s="292" t="s">
        <v>184</v>
      </c>
      <c r="E729" s="292" t="s">
        <v>555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/>
      <c r="V729" s="299"/>
      <c r="W729" s="300">
        <v>0</v>
      </c>
      <c r="X729" s="301"/>
      <c r="Y729" s="292" t="s">
        <v>29</v>
      </c>
      <c r="Z729" s="302"/>
      <c r="AA729" s="317"/>
      <c r="AB729" s="317"/>
      <c r="AC729" s="303">
        <f t="shared" si="23"/>
        <v>0</v>
      </c>
      <c r="AD729" s="303">
        <v>0</v>
      </c>
      <c r="AE729" s="303">
        <f t="shared" si="24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06"/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customHeight="1">
      <c r="A730" s="290">
        <v>710</v>
      </c>
      <c r="B730" s="291"/>
      <c r="C730" s="291"/>
      <c r="D730" s="292" t="s">
        <v>184</v>
      </c>
      <c r="E730" s="292" t="s">
        <v>557</v>
      </c>
      <c r="F730" s="293" t="s">
        <v>208</v>
      </c>
      <c r="G730" s="294" t="s">
        <v>555</v>
      </c>
      <c r="H730" s="311"/>
      <c r="I730" s="295"/>
      <c r="J730" s="296" t="s">
        <v>632</v>
      </c>
      <c r="K730" s="292"/>
      <c r="L730" s="292"/>
      <c r="M730" s="292">
        <v>5123</v>
      </c>
      <c r="N730" s="292" t="s">
        <v>26</v>
      </c>
      <c r="O730" s="292" t="s">
        <v>36</v>
      </c>
      <c r="P730" s="292"/>
      <c r="Q730" s="292"/>
      <c r="R730" s="292" t="s">
        <v>23</v>
      </c>
      <c r="S730" s="297" t="s">
        <v>23</v>
      </c>
      <c r="T730" s="298"/>
      <c r="U730" s="299"/>
      <c r="V730" s="299">
        <v>0</v>
      </c>
      <c r="W730" s="300">
        <v>0</v>
      </c>
      <c r="X730" s="301"/>
      <c r="Y730" s="292" t="s">
        <v>29</v>
      </c>
      <c r="Z730" s="302" t="s">
        <v>29</v>
      </c>
      <c r="AA730" s="317"/>
      <c r="AB730" s="317"/>
      <c r="AC730" s="303">
        <f t="shared" si="23"/>
        <v>5000000</v>
      </c>
      <c r="AD730" s="303">
        <v>5000000</v>
      </c>
      <c r="AE730" s="303">
        <f t="shared" si="24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>
        <v>5000000</v>
      </c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customHeight="1">
      <c r="A731" s="290">
        <v>711</v>
      </c>
      <c r="B731" s="291"/>
      <c r="C731" s="291"/>
      <c r="D731" s="292" t="s">
        <v>184</v>
      </c>
      <c r="E731" s="292" t="s">
        <v>555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/>
      <c r="W731" s="300">
        <v>0</v>
      </c>
      <c r="X731" s="301"/>
      <c r="Y731" s="292" t="s">
        <v>29</v>
      </c>
      <c r="Z731" s="302"/>
      <c r="AA731" s="317"/>
      <c r="AB731" s="317"/>
      <c r="AC731" s="303">
        <f t="shared" si="23"/>
        <v>0</v>
      </c>
      <c r="AD731" s="303">
        <v>0</v>
      </c>
      <c r="AE731" s="303">
        <f t="shared" si="24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/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customHeight="1">
      <c r="A732" s="290">
        <v>712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636</v>
      </c>
      <c r="K732" s="292"/>
      <c r="L732" s="292"/>
      <c r="M732" s="292">
        <v>6928</v>
      </c>
      <c r="N732" s="292"/>
      <c r="O732" s="292"/>
      <c r="P732" s="292"/>
      <c r="Q732" s="292" t="s">
        <v>83</v>
      </c>
      <c r="R732" s="292" t="s">
        <v>32</v>
      </c>
      <c r="S732" s="297" t="s">
        <v>32</v>
      </c>
      <c r="T732" s="298"/>
      <c r="U732" s="299" t="s">
        <v>188</v>
      </c>
      <c r="V732" s="299">
        <v>0</v>
      </c>
      <c r="W732" s="300">
        <v>0</v>
      </c>
      <c r="X732" s="301"/>
      <c r="Y732" s="292" t="s">
        <v>29</v>
      </c>
      <c r="Z732" s="302" t="s">
        <v>29</v>
      </c>
      <c r="AA732" s="317"/>
      <c r="AB732" s="317"/>
      <c r="AC732" s="303">
        <f t="shared" si="23"/>
        <v>100000000</v>
      </c>
      <c r="AD732" s="303">
        <v>100000000</v>
      </c>
      <c r="AE732" s="303">
        <f t="shared" si="24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>
        <v>100000000</v>
      </c>
      <c r="BF732" s="306"/>
      <c r="BG732" s="308"/>
      <c r="BH732" s="309"/>
    </row>
    <row r="733" spans="1:60" s="310" customFormat="1" ht="16.5" customHeight="1">
      <c r="A733" s="290">
        <v>713</v>
      </c>
      <c r="B733" s="291"/>
      <c r="C733" s="291"/>
      <c r="D733" s="292" t="s">
        <v>208</v>
      </c>
      <c r="E733" s="292" t="s">
        <v>5</v>
      </c>
      <c r="F733" s="293" t="s">
        <v>208</v>
      </c>
      <c r="G733" s="294" t="s">
        <v>555</v>
      </c>
      <c r="H733" s="311"/>
      <c r="I733" s="295"/>
      <c r="J733" s="296" t="s">
        <v>171</v>
      </c>
      <c r="K733" s="292"/>
      <c r="L733" s="292"/>
      <c r="M733" s="292">
        <v>16197</v>
      </c>
      <c r="N733" s="292" t="s">
        <v>26</v>
      </c>
      <c r="O733" s="292"/>
      <c r="P733" s="292"/>
      <c r="Q733" s="292" t="s">
        <v>22</v>
      </c>
      <c r="R733" s="292" t="s">
        <v>23</v>
      </c>
      <c r="S733" s="297" t="s">
        <v>23</v>
      </c>
      <c r="T733" s="298"/>
      <c r="U733" s="299">
        <v>2321000</v>
      </c>
      <c r="V733" s="299">
        <v>275000</v>
      </c>
      <c r="W733" s="300">
        <v>1110000</v>
      </c>
      <c r="X733" s="301"/>
      <c r="Y733" s="292" t="s">
        <v>31</v>
      </c>
      <c r="Z733" s="302" t="s">
        <v>28</v>
      </c>
      <c r="AA733" s="317"/>
      <c r="AB733" s="317"/>
      <c r="AC733" s="303">
        <f t="shared" si="23"/>
        <v>1000000</v>
      </c>
      <c r="AD733" s="303">
        <v>1000000</v>
      </c>
      <c r="AE733" s="303">
        <f t="shared" si="24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>
        <v>1000000</v>
      </c>
      <c r="AZ733" s="306"/>
      <c r="BA733" s="306"/>
      <c r="BB733" s="306"/>
      <c r="BC733" s="306"/>
      <c r="BD733" s="306"/>
      <c r="BE733" s="306"/>
      <c r="BF733" s="306"/>
      <c r="BG733" s="308"/>
      <c r="BH733" s="309"/>
    </row>
    <row r="734" spans="1:60" s="310" customFormat="1" ht="16.5" customHeight="1">
      <c r="A734" s="290">
        <v>714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/>
      <c r="O734" s="292"/>
      <c r="P734" s="292"/>
      <c r="Q734" s="292"/>
      <c r="R734" s="292" t="s">
        <v>23</v>
      </c>
      <c r="S734" s="297" t="s">
        <v>23</v>
      </c>
      <c r="T734" s="298"/>
      <c r="U734" s="299"/>
      <c r="V734" s="299"/>
      <c r="W734" s="300">
        <v>0</v>
      </c>
      <c r="X734" s="301"/>
      <c r="Y734" s="292" t="s">
        <v>28</v>
      </c>
      <c r="Z734" s="302" t="s">
        <v>578</v>
      </c>
      <c r="AA734" s="317"/>
      <c r="AB734" s="317"/>
      <c r="AC734" s="303">
        <f t="shared" si="23"/>
        <v>0</v>
      </c>
      <c r="AD734" s="303">
        <v>0</v>
      </c>
      <c r="AE734" s="303">
        <f t="shared" si="24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/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customHeight="1">
      <c r="A735" s="290">
        <v>715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 t="s">
        <v>26</v>
      </c>
      <c r="O735" s="292"/>
      <c r="P735" s="292"/>
      <c r="Q735" s="292" t="s">
        <v>30</v>
      </c>
      <c r="R735" s="292" t="s">
        <v>353</v>
      </c>
      <c r="S735" s="297" t="s">
        <v>353</v>
      </c>
      <c r="T735" s="298"/>
      <c r="U735" s="299">
        <v>7935000</v>
      </c>
      <c r="V735" s="299">
        <v>31990909</v>
      </c>
      <c r="W735" s="300">
        <v>0</v>
      </c>
      <c r="X735" s="301"/>
      <c r="Y735" s="292" t="s">
        <v>29</v>
      </c>
      <c r="Z735" s="302" t="s">
        <v>29</v>
      </c>
      <c r="AA735" s="317"/>
      <c r="AB735" s="317"/>
      <c r="AC735" s="303">
        <f t="shared" si="23"/>
        <v>20000000</v>
      </c>
      <c r="AD735" s="303">
        <v>20000000</v>
      </c>
      <c r="AE735" s="303">
        <f t="shared" si="24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>
        <v>20000000</v>
      </c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customHeight="1">
      <c r="A736" s="290">
        <v>716</v>
      </c>
      <c r="B736" s="291"/>
      <c r="C736" s="291"/>
      <c r="D736" s="292" t="s">
        <v>184</v>
      </c>
      <c r="E736" s="292" t="s">
        <v>555</v>
      </c>
      <c r="F736" s="293" t="s">
        <v>208</v>
      </c>
      <c r="G736" s="294" t="s">
        <v>555</v>
      </c>
      <c r="H736" s="311"/>
      <c r="I736" s="295"/>
      <c r="J736" s="296" t="s">
        <v>637</v>
      </c>
      <c r="K736" s="292"/>
      <c r="L736" s="292"/>
      <c r="M736" s="292">
        <v>46286</v>
      </c>
      <c r="N736" s="292" t="s">
        <v>26</v>
      </c>
      <c r="O736" s="292"/>
      <c r="P736" s="292"/>
      <c r="Q736" s="292" t="s">
        <v>33</v>
      </c>
      <c r="R736" s="292" t="s">
        <v>34</v>
      </c>
      <c r="S736" s="297" t="s">
        <v>34</v>
      </c>
      <c r="T736" s="298"/>
      <c r="U736" s="299"/>
      <c r="V736" s="299">
        <v>0</v>
      </c>
      <c r="W736" s="300">
        <v>0</v>
      </c>
      <c r="X736" s="301"/>
      <c r="Y736" s="292" t="s">
        <v>29</v>
      </c>
      <c r="Z736" s="302"/>
      <c r="AA736" s="317"/>
      <c r="AB736" s="317"/>
      <c r="AC736" s="303">
        <f t="shared" si="23"/>
        <v>0</v>
      </c>
      <c r="AD736" s="303">
        <v>0</v>
      </c>
      <c r="AE736" s="303">
        <f t="shared" si="24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/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customHeight="1">
      <c r="A737" s="290">
        <v>717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40</v>
      </c>
      <c r="R737" s="292" t="s">
        <v>354</v>
      </c>
      <c r="S737" s="297" t="s">
        <v>354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 t="s">
        <v>29</v>
      </c>
      <c r="AA737" s="317"/>
      <c r="AB737" s="317"/>
      <c r="AC737" s="303">
        <f t="shared" si="23"/>
        <v>10000000</v>
      </c>
      <c r="AD737" s="303">
        <v>10000000</v>
      </c>
      <c r="AE737" s="303">
        <f t="shared" si="24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>
        <v>10000000</v>
      </c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customHeight="1">
      <c r="A738" s="290">
        <v>718</v>
      </c>
      <c r="B738" s="291"/>
      <c r="C738" s="291"/>
      <c r="D738" s="292"/>
      <c r="E738" s="292"/>
      <c r="F738" s="293" t="s">
        <v>208</v>
      </c>
      <c r="G738" s="294" t="s">
        <v>555</v>
      </c>
      <c r="H738" s="311"/>
      <c r="I738" s="295"/>
      <c r="J738" s="296" t="s">
        <v>712</v>
      </c>
      <c r="K738" s="292"/>
      <c r="L738" s="292"/>
      <c r="M738" s="292">
        <v>58434</v>
      </c>
      <c r="N738" s="292"/>
      <c r="O738" s="292"/>
      <c r="P738" s="292"/>
      <c r="Q738" s="292"/>
      <c r="R738" s="292"/>
      <c r="S738" s="297" t="s">
        <v>34</v>
      </c>
      <c r="T738" s="298"/>
      <c r="U738" s="299"/>
      <c r="V738" s="299"/>
      <c r="W738" s="300">
        <v>920000</v>
      </c>
      <c r="X738" s="301"/>
      <c r="Y738" s="292"/>
      <c r="Z738" s="302" t="s">
        <v>578</v>
      </c>
      <c r="AA738" s="317"/>
      <c r="AB738" s="317"/>
      <c r="AC738" s="303">
        <f t="shared" si="23"/>
        <v>0</v>
      </c>
      <c r="AD738" s="303">
        <v>0</v>
      </c>
      <c r="AE738" s="303">
        <f t="shared" si="24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/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customHeight="1">
      <c r="A739" s="290">
        <v>719</v>
      </c>
      <c r="B739" s="291"/>
      <c r="C739" s="291"/>
      <c r="D739" s="292" t="s">
        <v>208</v>
      </c>
      <c r="E739" s="292" t="s">
        <v>246</v>
      </c>
      <c r="F739" s="293" t="s">
        <v>208</v>
      </c>
      <c r="G739" s="294" t="s">
        <v>555</v>
      </c>
      <c r="H739" s="311"/>
      <c r="I739" s="295"/>
      <c r="J739" s="296" t="s">
        <v>233</v>
      </c>
      <c r="K739" s="292"/>
      <c r="L739" s="292"/>
      <c r="M739" s="292">
        <v>21113</v>
      </c>
      <c r="N739" s="292" t="s">
        <v>35</v>
      </c>
      <c r="O739" s="292" t="s">
        <v>193</v>
      </c>
      <c r="P739" s="292" t="s">
        <v>48</v>
      </c>
      <c r="Q739" s="292" t="s">
        <v>83</v>
      </c>
      <c r="R739" s="292" t="s">
        <v>32</v>
      </c>
      <c r="S739" s="297" t="s">
        <v>32</v>
      </c>
      <c r="T739" s="298"/>
      <c r="U739" s="299">
        <v>138269000</v>
      </c>
      <c r="V739" s="299">
        <v>87147824</v>
      </c>
      <c r="W739" s="300">
        <v>81253912</v>
      </c>
      <c r="X739" s="301"/>
      <c r="Y739" s="292" t="s">
        <v>31</v>
      </c>
      <c r="Z739" s="302" t="s">
        <v>107</v>
      </c>
      <c r="AA739" s="317"/>
      <c r="AB739" s="317"/>
      <c r="AC739" s="303">
        <f t="shared" si="23"/>
        <v>0</v>
      </c>
      <c r="AD739" s="303">
        <v>100000000</v>
      </c>
      <c r="AE739" s="303">
        <f t="shared" si="24"/>
        <v>-100000000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customHeight="1">
      <c r="A740" s="290">
        <v>720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/>
      <c r="P740" s="292"/>
      <c r="Q740" s="292" t="s">
        <v>30</v>
      </c>
      <c r="R740" s="292" t="s">
        <v>353</v>
      </c>
      <c r="S740" s="297" t="s">
        <v>353</v>
      </c>
      <c r="T740" s="298"/>
      <c r="U740" s="299" t="s">
        <v>188</v>
      </c>
      <c r="V740" s="299">
        <v>5820000</v>
      </c>
      <c r="W740" s="300">
        <v>0</v>
      </c>
      <c r="X740" s="301"/>
      <c r="Y740" s="292" t="s">
        <v>29</v>
      </c>
      <c r="Z740" s="302" t="s">
        <v>29</v>
      </c>
      <c r="AA740" s="317"/>
      <c r="AB740" s="317"/>
      <c r="AC740" s="303">
        <f t="shared" si="23"/>
        <v>3000000</v>
      </c>
      <c r="AD740" s="303">
        <v>3000000</v>
      </c>
      <c r="AE740" s="303">
        <f t="shared" si="24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>
        <v>3000000</v>
      </c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/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customHeight="1">
      <c r="A741" s="290">
        <v>721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187</v>
      </c>
      <c r="K741" s="292"/>
      <c r="L741" s="292"/>
      <c r="M741" s="292">
        <v>21113</v>
      </c>
      <c r="N741" s="292" t="s">
        <v>35</v>
      </c>
      <c r="O741" s="292" t="s">
        <v>47</v>
      </c>
      <c r="P741" s="292"/>
      <c r="Q741" s="292" t="s">
        <v>83</v>
      </c>
      <c r="R741" s="292" t="s">
        <v>32</v>
      </c>
      <c r="S741" s="297" t="s">
        <v>32</v>
      </c>
      <c r="T741" s="298"/>
      <c r="U741" s="299"/>
      <c r="V741" s="299">
        <v>0</v>
      </c>
      <c r="W741" s="300">
        <v>0</v>
      </c>
      <c r="X741" s="301"/>
      <c r="Y741" s="292" t="s">
        <v>24</v>
      </c>
      <c r="Z741" s="302" t="s">
        <v>24</v>
      </c>
      <c r="AA741" s="317"/>
      <c r="AB741" s="317"/>
      <c r="AC741" s="303">
        <f t="shared" si="23"/>
        <v>0</v>
      </c>
      <c r="AD741" s="303">
        <v>0</v>
      </c>
      <c r="AE741" s="303">
        <f t="shared" si="24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/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customHeight="1">
      <c r="A742" s="290">
        <v>722</v>
      </c>
      <c r="B742" s="291"/>
      <c r="C742" s="291"/>
      <c r="D742" s="292" t="s">
        <v>184</v>
      </c>
      <c r="E742" s="292" t="s">
        <v>555</v>
      </c>
      <c r="F742" s="293" t="s">
        <v>208</v>
      </c>
      <c r="G742" s="294" t="s">
        <v>555</v>
      </c>
      <c r="H742" s="311"/>
      <c r="I742" s="295"/>
      <c r="J742" s="296" t="s">
        <v>639</v>
      </c>
      <c r="K742" s="292"/>
      <c r="L742" s="292"/>
      <c r="M742" s="292">
        <v>40132</v>
      </c>
      <c r="N742" s="292"/>
      <c r="O742" s="292"/>
      <c r="P742" s="292"/>
      <c r="Q742" s="292" t="s">
        <v>33</v>
      </c>
      <c r="R742" s="292" t="s">
        <v>34</v>
      </c>
      <c r="S742" s="297" t="s">
        <v>34</v>
      </c>
      <c r="T742" s="298"/>
      <c r="U742" s="299">
        <v>8106000</v>
      </c>
      <c r="V742" s="299">
        <v>0</v>
      </c>
      <c r="W742" s="300">
        <v>0</v>
      </c>
      <c r="X742" s="301"/>
      <c r="Y742" s="292" t="s">
        <v>25</v>
      </c>
      <c r="Z742" s="302" t="s">
        <v>28</v>
      </c>
      <c r="AA742" s="317"/>
      <c r="AB742" s="317"/>
      <c r="AC742" s="303">
        <f t="shared" si="23"/>
        <v>8000000</v>
      </c>
      <c r="AD742" s="303">
        <v>8000000</v>
      </c>
      <c r="AE742" s="303">
        <f t="shared" si="24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>
        <v>8000000</v>
      </c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customHeight="1">
      <c r="A743" s="290">
        <v>723</v>
      </c>
      <c r="B743" s="291"/>
      <c r="C743" s="291"/>
      <c r="D743" s="292"/>
      <c r="E743" s="292"/>
      <c r="F743" s="293" t="s">
        <v>208</v>
      </c>
      <c r="G743" s="294" t="s">
        <v>555</v>
      </c>
      <c r="H743" s="311"/>
      <c r="I743" s="295"/>
      <c r="J743" s="296" t="s">
        <v>714</v>
      </c>
      <c r="K743" s="292"/>
      <c r="L743" s="292"/>
      <c r="M743" s="292">
        <v>12091</v>
      </c>
      <c r="N743" s="292"/>
      <c r="O743" s="292"/>
      <c r="P743" s="292"/>
      <c r="Q743" s="292"/>
      <c r="R743" s="292"/>
      <c r="S743" s="297" t="s">
        <v>361</v>
      </c>
      <c r="T743" s="298"/>
      <c r="U743" s="299"/>
      <c r="V743" s="299"/>
      <c r="W743" s="300">
        <v>2900000</v>
      </c>
      <c r="X743" s="301"/>
      <c r="Y743" s="292"/>
      <c r="Z743" s="302" t="s">
        <v>578</v>
      </c>
      <c r="AA743" s="317"/>
      <c r="AB743" s="317"/>
      <c r="AC743" s="303">
        <f t="shared" si="23"/>
        <v>0</v>
      </c>
      <c r="AD743" s="303">
        <v>0</v>
      </c>
      <c r="AE743" s="303">
        <f t="shared" si="24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/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customHeight="1">
      <c r="A744" s="290">
        <v>724</v>
      </c>
      <c r="B744" s="291"/>
      <c r="C744" s="291"/>
      <c r="D744" s="292" t="s">
        <v>208</v>
      </c>
      <c r="E744" s="292" t="s">
        <v>1</v>
      </c>
      <c r="F744" s="293" t="s">
        <v>208</v>
      </c>
      <c r="G744" s="294" t="s">
        <v>555</v>
      </c>
      <c r="H744" s="311"/>
      <c r="I744" s="295"/>
      <c r="J744" s="296" t="s">
        <v>70</v>
      </c>
      <c r="K744" s="292"/>
      <c r="L744" s="292"/>
      <c r="M744" s="292">
        <v>54103</v>
      </c>
      <c r="N744" s="292" t="s">
        <v>21</v>
      </c>
      <c r="O744" s="292"/>
      <c r="P744" s="292"/>
      <c r="Q744" s="292" t="s">
        <v>22</v>
      </c>
      <c r="R744" s="292" t="s">
        <v>23</v>
      </c>
      <c r="S744" s="297" t="s">
        <v>23</v>
      </c>
      <c r="T744" s="298"/>
      <c r="U744" s="299">
        <v>2078000</v>
      </c>
      <c r="V744" s="299">
        <v>0</v>
      </c>
      <c r="W744" s="300">
        <v>0</v>
      </c>
      <c r="X744" s="301"/>
      <c r="Y744" s="292" t="s">
        <v>29</v>
      </c>
      <c r="Z744" s="302" t="s">
        <v>29</v>
      </c>
      <c r="AA744" s="317"/>
      <c r="AB744" s="317"/>
      <c r="AC744" s="303">
        <f t="shared" si="23"/>
        <v>1000000</v>
      </c>
      <c r="AD744" s="303">
        <v>1000000</v>
      </c>
      <c r="AE744" s="303">
        <f t="shared" si="24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>
        <v>1000000</v>
      </c>
      <c r="BF744" s="306"/>
      <c r="BG744" s="308"/>
      <c r="BH744" s="309"/>
    </row>
    <row r="745" spans="1:60" s="310" customFormat="1" ht="16.5" customHeight="1">
      <c r="A745" s="290">
        <v>725</v>
      </c>
      <c r="B745" s="291"/>
      <c r="C745" s="291"/>
      <c r="D745" s="292" t="s">
        <v>184</v>
      </c>
      <c r="E745" s="292" t="s">
        <v>555</v>
      </c>
      <c r="F745" s="293" t="s">
        <v>208</v>
      </c>
      <c r="G745" s="294" t="s">
        <v>555</v>
      </c>
      <c r="H745" s="311"/>
      <c r="I745" s="295"/>
      <c r="J745" s="296" t="s">
        <v>642</v>
      </c>
      <c r="K745" s="292"/>
      <c r="L745" s="292"/>
      <c r="M745" s="292">
        <v>1202</v>
      </c>
      <c r="N745" s="292"/>
      <c r="O745" s="292"/>
      <c r="P745" s="292"/>
      <c r="Q745" s="292"/>
      <c r="R745" s="292" t="s">
        <v>355</v>
      </c>
      <c r="S745" s="297" t="s">
        <v>679</v>
      </c>
      <c r="T745" s="298"/>
      <c r="U745" s="299"/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3"/>
        <v>30000000</v>
      </c>
      <c r="AD745" s="303">
        <v>30000000</v>
      </c>
      <c r="AE745" s="303">
        <f t="shared" si="24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>
        <v>30000000</v>
      </c>
      <c r="AZ745" s="306"/>
      <c r="BA745" s="306"/>
      <c r="BB745" s="306"/>
      <c r="BC745" s="306"/>
      <c r="BD745" s="306"/>
      <c r="BE745" s="306"/>
      <c r="BF745" s="306"/>
      <c r="BG745" s="308"/>
      <c r="BH745" s="309"/>
    </row>
    <row r="746" spans="1:60" s="310" customFormat="1" ht="16.5" customHeight="1">
      <c r="A746" s="290">
        <v>726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 t="s">
        <v>176</v>
      </c>
      <c r="R746" s="292" t="s">
        <v>359</v>
      </c>
      <c r="S746" s="297" t="s">
        <v>690</v>
      </c>
      <c r="T746" s="298"/>
      <c r="U746" s="299"/>
      <c r="V746" s="299">
        <v>7000000</v>
      </c>
      <c r="W746" s="300">
        <v>0</v>
      </c>
      <c r="X746" s="301"/>
      <c r="Y746" s="292" t="s">
        <v>29</v>
      </c>
      <c r="Z746" s="302"/>
      <c r="AA746" s="317"/>
      <c r="AB746" s="317"/>
      <c r="AC746" s="303">
        <f t="shared" si="23"/>
        <v>0</v>
      </c>
      <c r="AD746" s="303">
        <v>0</v>
      </c>
      <c r="AE746" s="303">
        <f t="shared" si="24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/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customHeight="1">
      <c r="A747" s="290">
        <v>727</v>
      </c>
      <c r="B747" s="291"/>
      <c r="C747" s="291"/>
      <c r="D747" s="292" t="s">
        <v>208</v>
      </c>
      <c r="E747" s="292" t="s">
        <v>1</v>
      </c>
      <c r="F747" s="293" t="s">
        <v>208</v>
      </c>
      <c r="G747" s="294" t="s">
        <v>555</v>
      </c>
      <c r="H747" s="311"/>
      <c r="I747" s="295"/>
      <c r="J747" s="296" t="s">
        <v>443</v>
      </c>
      <c r="K747" s="292"/>
      <c r="L747" s="292"/>
      <c r="M747" s="292">
        <v>57312</v>
      </c>
      <c r="N747" s="292" t="s">
        <v>35</v>
      </c>
      <c r="O747" s="292"/>
      <c r="P747" s="292"/>
      <c r="Q747" s="292" t="s">
        <v>33</v>
      </c>
      <c r="R747" s="292" t="s">
        <v>34</v>
      </c>
      <c r="S747" s="297" t="s">
        <v>34</v>
      </c>
      <c r="T747" s="298"/>
      <c r="U747" s="299"/>
      <c r="V747" s="299">
        <v>0</v>
      </c>
      <c r="W747" s="300">
        <v>0</v>
      </c>
      <c r="X747" s="301"/>
      <c r="Y747" s="292" t="s">
        <v>29</v>
      </c>
      <c r="Z747" s="302" t="s">
        <v>29</v>
      </c>
      <c r="AA747" s="317"/>
      <c r="AB747" s="317"/>
      <c r="AC747" s="303">
        <f t="shared" si="23"/>
        <v>10000000</v>
      </c>
      <c r="AD747" s="303">
        <v>10000000</v>
      </c>
      <c r="AE747" s="303">
        <f t="shared" si="24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>
        <v>10000000</v>
      </c>
      <c r="BF747" s="306"/>
      <c r="BG747" s="308"/>
      <c r="BH747" s="309"/>
    </row>
    <row r="748" spans="1:60" s="310" customFormat="1" ht="16.5" customHeight="1">
      <c r="A748" s="290">
        <v>728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 t="s">
        <v>47</v>
      </c>
      <c r="P748" s="292" t="s">
        <v>48</v>
      </c>
      <c r="Q748" s="292" t="s">
        <v>37</v>
      </c>
      <c r="R748" s="292" t="s">
        <v>356</v>
      </c>
      <c r="S748" s="297" t="s">
        <v>686</v>
      </c>
      <c r="T748" s="298"/>
      <c r="U748" s="299"/>
      <c r="V748" s="299">
        <v>90631620</v>
      </c>
      <c r="W748" s="300">
        <v>0</v>
      </c>
      <c r="X748" s="301"/>
      <c r="Y748" s="292" t="s">
        <v>441</v>
      </c>
      <c r="Z748" s="302" t="s">
        <v>441</v>
      </c>
      <c r="AA748" s="317"/>
      <c r="AB748" s="317"/>
      <c r="AC748" s="303">
        <f t="shared" si="23"/>
        <v>0</v>
      </c>
      <c r="AD748" s="303">
        <v>0</v>
      </c>
      <c r="AE748" s="303">
        <f t="shared" si="24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0</v>
      </c>
      <c r="BF748" s="306"/>
      <c r="BG748" s="308"/>
      <c r="BH748" s="309"/>
    </row>
    <row r="749" spans="1:60" s="310" customFormat="1" ht="16.5" customHeight="1">
      <c r="A749" s="290">
        <v>729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/>
      <c r="P749" s="292"/>
      <c r="Q749" s="292" t="s">
        <v>50</v>
      </c>
      <c r="R749" s="292" t="s">
        <v>360</v>
      </c>
      <c r="S749" s="297" t="s">
        <v>688</v>
      </c>
      <c r="T749" s="298"/>
      <c r="U749" s="299">
        <v>107950000</v>
      </c>
      <c r="V749" s="299">
        <v>5060000</v>
      </c>
      <c r="W749" s="300">
        <v>0</v>
      </c>
      <c r="X749" s="301"/>
      <c r="Y749" s="292" t="s">
        <v>28</v>
      </c>
      <c r="Z749" s="302" t="s">
        <v>28</v>
      </c>
      <c r="AA749" s="317"/>
      <c r="AB749" s="317"/>
      <c r="AC749" s="303">
        <f t="shared" si="23"/>
        <v>0</v>
      </c>
      <c r="AD749" s="303">
        <v>0</v>
      </c>
      <c r="AE749" s="303">
        <f t="shared" si="24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customHeight="1">
      <c r="A750" s="290">
        <v>730</v>
      </c>
      <c r="B750" s="291"/>
      <c r="C750" s="291"/>
      <c r="D750" s="292" t="s">
        <v>184</v>
      </c>
      <c r="E750" s="292" t="s">
        <v>555</v>
      </c>
      <c r="F750" s="293" t="s">
        <v>208</v>
      </c>
      <c r="G750" s="294" t="s">
        <v>555</v>
      </c>
      <c r="H750" s="311"/>
      <c r="I750" s="295"/>
      <c r="J750" s="296" t="s">
        <v>644</v>
      </c>
      <c r="K750" s="292"/>
      <c r="L750" s="292"/>
      <c r="M750" s="292">
        <v>4513</v>
      </c>
      <c r="N750" s="292"/>
      <c r="O750" s="292"/>
      <c r="P750" s="292"/>
      <c r="Q750" s="292"/>
      <c r="R750" s="292" t="s">
        <v>32</v>
      </c>
      <c r="S750" s="297" t="s">
        <v>32</v>
      </c>
      <c r="T750" s="298"/>
      <c r="U750" s="299"/>
      <c r="V750" s="299"/>
      <c r="W750" s="300">
        <v>0</v>
      </c>
      <c r="X750" s="301"/>
      <c r="Y750" s="292" t="s">
        <v>29</v>
      </c>
      <c r="Z750" s="302" t="s">
        <v>29</v>
      </c>
      <c r="AA750" s="317"/>
      <c r="AB750" s="317"/>
      <c r="AC750" s="303">
        <f t="shared" si="23"/>
        <v>300000000</v>
      </c>
      <c r="AD750" s="303">
        <v>300000000</v>
      </c>
      <c r="AE750" s="303">
        <f t="shared" si="24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>
        <v>300000000</v>
      </c>
      <c r="BD750" s="306"/>
      <c r="BE750" s="306"/>
      <c r="BF750" s="306"/>
      <c r="BG750" s="308"/>
      <c r="BH750" s="309"/>
    </row>
    <row r="751" spans="1:60" s="310" customFormat="1" ht="16.5" customHeight="1">
      <c r="A751" s="290">
        <v>731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 t="s">
        <v>35</v>
      </c>
      <c r="O751" s="292"/>
      <c r="P751" s="292"/>
      <c r="Q751" s="292" t="s">
        <v>22</v>
      </c>
      <c r="R751" s="292" t="s">
        <v>23</v>
      </c>
      <c r="S751" s="297" t="s">
        <v>23</v>
      </c>
      <c r="T751" s="298"/>
      <c r="U751" s="299"/>
      <c r="V751" s="299">
        <v>0</v>
      </c>
      <c r="W751" s="300">
        <v>0</v>
      </c>
      <c r="X751" s="301"/>
      <c r="Y751" s="292" t="s">
        <v>29</v>
      </c>
      <c r="Z751" s="302"/>
      <c r="AA751" s="317"/>
      <c r="AB751" s="317"/>
      <c r="AC751" s="303">
        <f t="shared" si="23"/>
        <v>0</v>
      </c>
      <c r="AD751" s="303">
        <v>0</v>
      </c>
      <c r="AE751" s="303">
        <f t="shared" si="24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/>
      <c r="BD751" s="306"/>
      <c r="BE751" s="306"/>
      <c r="BF751" s="306"/>
      <c r="BG751" s="308"/>
      <c r="BH751" s="309"/>
    </row>
    <row r="752" spans="1:60" s="310" customFormat="1" ht="16.5" customHeight="1">
      <c r="A752" s="290">
        <v>732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646</v>
      </c>
      <c r="K752" s="292"/>
      <c r="L752" s="292"/>
      <c r="M752" s="292">
        <v>15747</v>
      </c>
      <c r="N752" s="292"/>
      <c r="O752" s="292"/>
      <c r="P752" s="292"/>
      <c r="Q752" s="292"/>
      <c r="R752" s="292" t="s">
        <v>361</v>
      </c>
      <c r="S752" s="297" t="s">
        <v>361</v>
      </c>
      <c r="T752" s="298"/>
      <c r="U752" s="299"/>
      <c r="V752" s="299"/>
      <c r="W752" s="300">
        <v>6550000</v>
      </c>
      <c r="X752" s="301"/>
      <c r="Y752" s="292" t="s">
        <v>31</v>
      </c>
      <c r="Z752" s="302" t="s">
        <v>578</v>
      </c>
      <c r="AA752" s="317"/>
      <c r="AB752" s="317"/>
      <c r="AC752" s="303">
        <f t="shared" si="23"/>
        <v>0</v>
      </c>
      <c r="AD752" s="303">
        <v>0</v>
      </c>
      <c r="AE752" s="303">
        <f t="shared" si="24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customHeight="1">
      <c r="A753" s="290">
        <v>733</v>
      </c>
      <c r="B753" s="291"/>
      <c r="C753" s="291"/>
      <c r="D753" s="292" t="s">
        <v>208</v>
      </c>
      <c r="E753" s="292" t="s">
        <v>3</v>
      </c>
      <c r="F753" s="293" t="s">
        <v>208</v>
      </c>
      <c r="G753" s="294" t="s">
        <v>555</v>
      </c>
      <c r="H753" s="311"/>
      <c r="I753" s="295"/>
      <c r="J753" s="296" t="s">
        <v>763</v>
      </c>
      <c r="K753" s="292"/>
      <c r="L753" s="292"/>
      <c r="M753" s="292">
        <v>43725</v>
      </c>
      <c r="N753" s="292" t="s">
        <v>35</v>
      </c>
      <c r="O753" s="292"/>
      <c r="P753" s="292"/>
      <c r="Q753" s="292" t="s">
        <v>45</v>
      </c>
      <c r="R753" s="292" t="s">
        <v>689</v>
      </c>
      <c r="S753" s="297" t="s">
        <v>689</v>
      </c>
      <c r="T753" s="298"/>
      <c r="U753" s="299">
        <v>813445299</v>
      </c>
      <c r="V753" s="299">
        <v>1017386980</v>
      </c>
      <c r="W753" s="300">
        <v>1151583600</v>
      </c>
      <c r="X753" s="301"/>
      <c r="Y753" s="292" t="s">
        <v>31</v>
      </c>
      <c r="Z753" s="302" t="s">
        <v>31</v>
      </c>
      <c r="AA753" s="317"/>
      <c r="AB753" s="317"/>
      <c r="AC753" s="303">
        <f t="shared" si="23"/>
        <v>1083678421</v>
      </c>
      <c r="AD753" s="303">
        <v>1083678421</v>
      </c>
      <c r="AE753" s="303">
        <f t="shared" si="24"/>
        <v>0</v>
      </c>
      <c r="AF753" s="304"/>
      <c r="AG753" s="305">
        <v>1035102520</v>
      </c>
      <c r="AH753" s="304"/>
      <c r="AI753" s="304"/>
      <c r="AJ753" s="305">
        <v>33297000</v>
      </c>
      <c r="AK753" s="304"/>
      <c r="AL753" s="306"/>
      <c r="AM753" s="318">
        <v>15278901</v>
      </c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</sheetData>
  <autoFilter ref="A21:BF753"/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4:A1048576">
    <cfRule type="containsText" dxfId="6" priority="80" operator="containsText" text="추가">
      <formula>NOT(ISERROR(SEARCH("추가",A1)))</formula>
    </cfRule>
  </conditionalFormatting>
  <conditionalFormatting sqref="BH479:BH480">
    <cfRule type="duplicateValues" dxfId="5" priority="4"/>
  </conditionalFormatting>
  <conditionalFormatting sqref="BH479:BH480">
    <cfRule type="duplicateValues" dxfId="4" priority="5"/>
  </conditionalFormatting>
  <conditionalFormatting sqref="BG280">
    <cfRule type="duplicateValues" dxfId="3" priority="1"/>
  </conditionalFormatting>
  <conditionalFormatting sqref="BG280">
    <cfRule type="duplicateValues" dxfId="2" priority="2"/>
  </conditionalFormatting>
  <conditionalFormatting sqref="BH280">
    <cfRule type="duplicateValues" dxfId="1" priority="3"/>
  </conditionalFormatting>
  <dataValidations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5 R113 N22:N28 N618:N751 R578 R617:R751 P733:P743 N602 N613 N615:N616 N223 N146 N153:N156 N162 N165:N166 N171 N173:N174 N177:N178 N180 N182 N184 N186 N188 N193:N195 N197:N199 N207 N209:N211 N243:N251 N139:N143 N190 N169 N216:N217 N219:N220 N313:N316 N225:N230 N238 N253 N257 N232:N236 N260:N269 N479:N480 N282:N289 N292:N299 P280 N301:N311 N133:N137 N103:N104 N122:N123 N127:N130 N125 N86:N88 N32:N33 N107:N112 N117 N119 N114:N115 N35 N40:N41 N51 N53 N55 N59 N64:N68 N76:N78 N82:N83 N90 N94:N95 N97:N99 N101 N356:N361 N365:N411 N535:N536 N456 N467:N469 N489 N495 N500 N504 N512:N519 N529 N415:N419 N441 N443:N444 N421:N438 P752:P1048576 N272:N279 R280 N547:N600 N318:N345">
      <formula1>#REF!</formula1>
    </dataValidation>
    <dataValidation type="list" allowBlank="1" showInputMessage="1" showErrorMessage="1" sqref="N617">
      <formula1>$G$3:$G$3</formula1>
    </dataValidation>
    <dataValidation type="list" allowBlank="1" showInputMessage="1" showErrorMessage="1" sqref="P617">
      <formula1>$Q$3:$Q$3</formula1>
    </dataValidation>
    <dataValidation type="list" allowBlank="1" showInputMessage="1" showErrorMessage="1" sqref="O617">
      <formula1>$M$3:$M$3</formula1>
    </dataValidation>
    <dataValidation type="list" allowBlank="1" showInputMessage="1" showErrorMessage="1" sqref="O744:O751 Q617 O693:O732 O479:O480">
      <formula1>$N$3:$N$3</formula1>
    </dataValidation>
    <dataValidation type="list" allowBlank="1" showInputMessage="1" showErrorMessage="1" sqref="P744:P751 P693:P732 P479:P480">
      <formula1>$R$3:$R$3</formula1>
    </dataValidation>
    <dataValidation type="list" allowBlank="1" showInputMessage="1" showErrorMessage="1" sqref="Q618:Q691 Q693:Q732 Q744:Q751">
      <formula1>$O$3:$O$3</formula1>
    </dataValidation>
    <dataValidation allowBlank="1" showInputMessage="1" showErrorMessage="1" promptTitle="수정금지!!!!" prompt="원본값, 수정하지 마세요." sqref="W21:W752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N752:O1048576 R752:R1048576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O733:O743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O618:P691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O692:Q692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Y346:Y408</xm:sqref>
        </x14:dataValidation>
        <x14:dataValidation type="list" allowBlank="1" showInputMessage="1" showErrorMessage="1">
          <x14:formula1>
            <xm:f>index!$L$3:$L$11</xm:f>
          </x14:formula1>
          <xm:sqref>Y754:AB1048576 AA22:AB279 AA570:AB752 AA481:AB568 Z22:Z753 AA281:AB478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Y409 Y535:Y753 Y281:Y345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Y410:Y478 Y481:Y534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AA753:AB753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AA479:AB480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Y479:Y480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Q479:R480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AA569:AB569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75" defaultRowHeight="16.5"/>
  <cols>
    <col min="1" max="1" width="8.75" style="2"/>
    <col min="2" max="2" width="11.87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1.375" style="2" bestFit="1" customWidth="1"/>
    <col min="8" max="8" width="20.75" style="4" customWidth="1"/>
    <col min="9" max="10" width="20.75" style="58" customWidth="1"/>
    <col min="11" max="11" width="20.75" style="98" customWidth="1"/>
    <col min="12" max="12" width="18.25" style="2" customWidth="1"/>
    <col min="13" max="13" width="17.75" customWidth="1"/>
    <col min="14" max="14" width="32.25" bestFit="1" customWidth="1"/>
    <col min="15" max="15" width="30.75" customWidth="1"/>
    <col min="16" max="16" width="16.125" style="2" customWidth="1"/>
    <col min="17" max="17" width="28.125" customWidth="1"/>
  </cols>
  <sheetData>
    <row r="1" spans="1:17">
      <c r="H1" s="3"/>
      <c r="K1" s="59"/>
      <c r="Q1" s="60"/>
    </row>
    <row r="2" spans="1:17" ht="34.5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6.899999999999999" customHeight="1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6.899999999999999" customHeight="1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6.899999999999999" customHeight="1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6.899999999999999" customHeight="1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6.899999999999999" customHeight="1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6.899999999999999" customHeight="1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6.899999999999999" customHeight="1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6.899999999999999" customHeight="1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6.899999999999999" customHeight="1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6.899999999999999" customHeight="1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6.899999999999999" customHeight="1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6.899999999999999" customHeight="1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6.899999999999999" customHeight="1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6.899999999999999" customHeight="1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6.899999999999999" customHeight="1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6.899999999999999" customHeight="1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6.899999999999999" customHeight="1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N18" sqref="N18"/>
    </sheetView>
  </sheetViews>
  <sheetFormatPr defaultRowHeight="16.5"/>
  <cols>
    <col min="2" max="2" width="12.875" customWidth="1"/>
    <col min="3" max="9" width="8.75" customWidth="1"/>
    <col min="10" max="10" width="11.25" bestFit="1" customWidth="1"/>
    <col min="14" max="14" width="56.375" customWidth="1"/>
    <col min="15" max="15" width="18.625" customWidth="1"/>
    <col min="18" max="18" width="13.125" bestFit="1" customWidth="1"/>
    <col min="19" max="20" width="15.375" customWidth="1"/>
  </cols>
  <sheetData>
    <row r="2" spans="2:20" ht="17.25" thickBot="1"/>
    <row r="3" spans="2:20" ht="17.45" customHeight="1">
      <c r="B3" s="341" t="s">
        <v>439</v>
      </c>
      <c r="C3" s="342" t="s">
        <v>663</v>
      </c>
      <c r="D3" s="345" t="s">
        <v>664</v>
      </c>
      <c r="E3" s="348" t="s">
        <v>665</v>
      </c>
      <c r="F3" s="349"/>
      <c r="G3" s="349"/>
      <c r="H3" s="349"/>
      <c r="I3" s="349"/>
      <c r="J3" s="349"/>
      <c r="K3" s="349"/>
      <c r="L3" s="350"/>
      <c r="M3" s="351" t="s">
        <v>396</v>
      </c>
      <c r="N3" s="332" t="s">
        <v>397</v>
      </c>
      <c r="O3" s="335" t="s">
        <v>398</v>
      </c>
    </row>
    <row r="4" spans="2:20" ht="18" customHeight="1" thickBot="1">
      <c r="B4" s="336"/>
      <c r="C4" s="343"/>
      <c r="D4" s="346"/>
      <c r="E4" s="338" t="s">
        <v>399</v>
      </c>
      <c r="F4" s="338"/>
      <c r="G4" s="338"/>
      <c r="H4" s="339"/>
      <c r="I4" s="340" t="s">
        <v>400</v>
      </c>
      <c r="J4" s="338"/>
      <c r="K4" s="338"/>
      <c r="L4" s="339"/>
      <c r="M4" s="333"/>
      <c r="N4" s="333"/>
      <c r="O4" s="336"/>
      <c r="Q4" s="202" t="s">
        <v>668</v>
      </c>
      <c r="R4" s="89"/>
      <c r="S4" s="201"/>
      <c r="T4" s="89"/>
    </row>
    <row r="5" spans="2:20">
      <c r="B5" s="337"/>
      <c r="C5" s="344"/>
      <c r="D5" s="347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4"/>
      <c r="N5" s="334"/>
      <c r="O5" s="337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" customHeight="1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5093275766</v>
      </c>
      <c r="J6" s="112">
        <v>3114875766</v>
      </c>
      <c r="K6" s="113">
        <v>275400000</v>
      </c>
      <c r="L6" s="114">
        <v>1703000000</v>
      </c>
      <c r="M6" s="115">
        <f>J6-F6</f>
        <v>214545330</v>
      </c>
      <c r="N6" s="116" t="str">
        <f>'26년 databook(취합)'!AD4</f>
        <v>국민체육진흥공단 2억, 대우건설 15백만 외 매출 변동</v>
      </c>
      <c r="O6" s="117" t="e">
        <f>J6/D6</f>
        <v>#DIV/0!</v>
      </c>
      <c r="Q6" s="261" t="s">
        <v>212</v>
      </c>
      <c r="R6" s="263"/>
      <c r="S6" s="263"/>
      <c r="T6" s="264">
        <f>SUM(R6:S6)</f>
        <v>0</v>
      </c>
    </row>
    <row r="7" spans="2:20" ht="31.15" customHeight="1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3331716650</v>
      </c>
      <c r="J7" s="112">
        <v>2775216650</v>
      </c>
      <c r="K7" s="113">
        <v>350500000</v>
      </c>
      <c r="L7" s="114">
        <v>206000000</v>
      </c>
      <c r="M7" s="115">
        <f t="shared" ref="M7:M13" si="1">J7-F7</f>
        <v>0</v>
      </c>
      <c r="N7" s="116" t="str">
        <f>'26년 databook(취합)'!AD5</f>
        <v>미회신</v>
      </c>
      <c r="O7" s="117" t="e">
        <f t="shared" ref="O7:O13" si="2">J7/D7</f>
        <v>#DIV/0!</v>
      </c>
      <c r="Q7" s="261" t="s">
        <v>246</v>
      </c>
      <c r="R7" s="263"/>
      <c r="S7" s="263"/>
      <c r="T7" s="264">
        <f t="shared" ref="T7:T12" si="3">SUM(R7:S7)</f>
        <v>0</v>
      </c>
    </row>
    <row r="8" spans="2:20" ht="31.15" customHeight="1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4934471238</v>
      </c>
      <c r="J8" s="112">
        <v>3369771238</v>
      </c>
      <c r="K8" s="113">
        <v>489000000</v>
      </c>
      <c r="L8" s="114">
        <v>1075700000</v>
      </c>
      <c r="M8" s="115">
        <f t="shared" si="1"/>
        <v>2000000</v>
      </c>
      <c r="N8" s="116" t="str">
        <f>'26년 databook(취합)'!AD6</f>
        <v>KB금융지주 2백만</v>
      </c>
      <c r="O8" s="117" t="e">
        <f t="shared" si="2"/>
        <v>#DIV/0!</v>
      </c>
      <c r="Q8" s="261" t="s">
        <v>2</v>
      </c>
      <c r="R8" s="263"/>
      <c r="S8" s="263"/>
      <c r="T8" s="264">
        <f t="shared" si="3"/>
        <v>0</v>
      </c>
    </row>
    <row r="9" spans="2:20" ht="31.15" customHeight="1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 t="str">
        <f>'26년 databook(취합)'!AD7</f>
        <v>변동 없음</v>
      </c>
      <c r="O9" s="117" t="e">
        <f t="shared" si="2"/>
        <v>#DIV/0!</v>
      </c>
      <c r="Q9" s="262" t="s">
        <v>4</v>
      </c>
      <c r="R9" s="263"/>
      <c r="S9" s="263"/>
      <c r="T9" s="264">
        <f t="shared" si="3"/>
        <v>0</v>
      </c>
    </row>
    <row r="10" spans="2:20" ht="31.15" customHeight="1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3197180045</v>
      </c>
      <c r="J10" s="119">
        <v>2354180045</v>
      </c>
      <c r="K10" s="120">
        <v>371000000</v>
      </c>
      <c r="L10" s="121">
        <v>472000000</v>
      </c>
      <c r="M10" s="115">
        <f t="shared" si="1"/>
        <v>0</v>
      </c>
      <c r="N10" s="116" t="str">
        <f>'26년 databook(취합)'!AD8</f>
        <v>변동 없음</v>
      </c>
      <c r="O10" s="117" t="e">
        <f t="shared" si="2"/>
        <v>#DIV/0!</v>
      </c>
      <c r="Q10" s="262" t="s">
        <v>285</v>
      </c>
      <c r="R10" s="263"/>
      <c r="S10" s="263"/>
      <c r="T10" s="264">
        <f t="shared" si="3"/>
        <v>0</v>
      </c>
    </row>
    <row r="11" spans="2:20" ht="31.15" customHeight="1">
      <c r="B11" s="236" t="s">
        <v>705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2299402400</v>
      </c>
      <c r="J11" s="112">
        <v>771402400</v>
      </c>
      <c r="K11" s="113">
        <v>325200000</v>
      </c>
      <c r="L11" s="114">
        <v>1202800000</v>
      </c>
      <c r="M11" s="115">
        <f t="shared" si="1"/>
        <v>-14500000</v>
      </c>
      <c r="N11" s="116" t="str">
        <f>'26년 databook(취합)'!AD9</f>
        <v>기업 이관 외 변동 없음</v>
      </c>
      <c r="O11" s="117" t="e">
        <f t="shared" si="2"/>
        <v>#DIV/0!</v>
      </c>
      <c r="Q11" s="262" t="s">
        <v>651</v>
      </c>
      <c r="R11" s="263"/>
      <c r="S11" s="263"/>
      <c r="T11" s="264">
        <f t="shared" si="3"/>
        <v>0</v>
      </c>
    </row>
    <row r="12" spans="2:20" ht="31.15" customHeight="1">
      <c r="B12" s="236" t="s">
        <v>832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237229900</v>
      </c>
      <c r="J12" s="112">
        <v>136229900</v>
      </c>
      <c r="K12" s="113">
        <v>21000000</v>
      </c>
      <c r="L12" s="114">
        <v>80000000</v>
      </c>
      <c r="M12" s="115">
        <f t="shared" si="1"/>
        <v>14500000</v>
      </c>
      <c r="N12" s="116" t="str">
        <f>'26년 databook(취합)'!AD10</f>
        <v>기업 이관 외 변동 없음</v>
      </c>
      <c r="O12" s="117" t="e">
        <f t="shared" si="2"/>
        <v>#DIV/0!</v>
      </c>
      <c r="Q12" t="s">
        <v>652</v>
      </c>
      <c r="R12" s="263"/>
      <c r="S12" s="263"/>
      <c r="T12" s="264">
        <f t="shared" si="3"/>
        <v>0</v>
      </c>
    </row>
    <row r="13" spans="2:20" ht="31.15" customHeight="1">
      <c r="B13" s="236" t="s">
        <v>831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2076678421</v>
      </c>
      <c r="J13" s="112">
        <v>1083678421</v>
      </c>
      <c r="K13" s="113">
        <v>34000000</v>
      </c>
      <c r="L13" s="114">
        <v>959000000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0</v>
      </c>
      <c r="S13" s="208">
        <f t="shared" ref="S13:T13" si="5">SUM(S6:S12)</f>
        <v>0</v>
      </c>
      <c r="T13" s="208">
        <f t="shared" si="5"/>
        <v>0</v>
      </c>
    </row>
    <row r="14" spans="2:20" ht="31.15" customHeight="1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15" customHeight="1" thickBot="1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25058609448</v>
      </c>
      <c r="J15" s="129">
        <f>SUM(J6:J14)</f>
        <v>16440309448</v>
      </c>
      <c r="K15" s="130">
        <f>SUM(K6:K14)</f>
        <v>2640800000</v>
      </c>
      <c r="L15" s="111">
        <f>SUM(L6:L14)</f>
        <v>5977500000</v>
      </c>
      <c r="M15" s="131">
        <f>J15-F15</f>
        <v>216545330</v>
      </c>
      <c r="N15" s="132"/>
      <c r="O15" s="117" t="e">
        <f>J15/D15</f>
        <v>#DIV/0!</v>
      </c>
    </row>
    <row r="16" spans="2:20" ht="31.15" customHeight="1">
      <c r="N16" s="118"/>
    </row>
    <row r="17" spans="5:14">
      <c r="J17" s="118"/>
      <c r="N17" s="118"/>
    </row>
    <row r="18" spans="5:14">
      <c r="F18" s="133"/>
      <c r="J18" s="133"/>
      <c r="M18" s="134"/>
      <c r="N18" s="118"/>
    </row>
    <row r="19" spans="5:14">
      <c r="K19" s="134"/>
      <c r="N19" s="118"/>
    </row>
    <row r="20" spans="5:14">
      <c r="E20" s="133"/>
      <c r="J20" s="133"/>
      <c r="M20" s="134"/>
      <c r="N20" s="118"/>
    </row>
    <row r="21" spans="5:14">
      <c r="N21" s="118"/>
    </row>
    <row r="22" spans="5:14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G16" sqref="G16"/>
    </sheetView>
  </sheetViews>
  <sheetFormatPr defaultRowHeight="16.5"/>
  <cols>
    <col min="1" max="1" width="2.625" customWidth="1"/>
    <col min="2" max="2" width="11.625" customWidth="1"/>
    <col min="3" max="3" width="16.75" customWidth="1"/>
    <col min="4" max="16" width="8.75" customWidth="1"/>
    <col min="19" max="19" width="12.625" bestFit="1" customWidth="1"/>
    <col min="20" max="20" width="13.875" bestFit="1" customWidth="1"/>
  </cols>
  <sheetData>
    <row r="2" spans="2:20">
      <c r="R2" s="39" t="s">
        <v>406</v>
      </c>
    </row>
    <row r="3" spans="2:20">
      <c r="B3" s="352" t="s">
        <v>407</v>
      </c>
      <c r="C3" s="353"/>
      <c r="D3" s="356" t="s">
        <v>662</v>
      </c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135"/>
      <c r="Q3" s="356" t="s">
        <v>408</v>
      </c>
      <c r="R3" s="358"/>
      <c r="T3" s="118"/>
    </row>
    <row r="4" spans="2:20">
      <c r="B4" s="354"/>
      <c r="C4" s="355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>
      <c r="B5" s="359" t="s">
        <v>660</v>
      </c>
      <c r="C5" s="360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>
      <c r="B6" s="361" t="s">
        <v>659</v>
      </c>
      <c r="C6" s="362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>
      <c r="B7" s="142" t="s">
        <v>661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1070216629</v>
      </c>
      <c r="H7" s="144">
        <f t="shared" si="1"/>
        <v>1909343091</v>
      </c>
      <c r="I7" s="144">
        <f t="shared" si="1"/>
        <v>1271413461</v>
      </c>
      <c r="J7" s="144">
        <f t="shared" si="1"/>
        <v>1200601091</v>
      </c>
      <c r="K7" s="144">
        <f t="shared" si="1"/>
        <v>1461383636</v>
      </c>
      <c r="L7" s="144">
        <f t="shared" si="1"/>
        <v>1385462091</v>
      </c>
      <c r="M7" s="144">
        <f t="shared" si="1"/>
        <v>1381519586</v>
      </c>
      <c r="N7" s="144">
        <f t="shared" si="1"/>
        <v>1420445188</v>
      </c>
      <c r="O7" s="144">
        <f t="shared" si="1"/>
        <v>4031074791</v>
      </c>
      <c r="P7" s="145">
        <f t="shared" si="0"/>
        <v>19081109448</v>
      </c>
      <c r="Q7" s="144">
        <v>18883572218</v>
      </c>
      <c r="R7" s="146">
        <f>P7-Q7</f>
        <v>197537230</v>
      </c>
    </row>
    <row r="8" spans="2:20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1070216629</v>
      </c>
      <c r="H8" s="148">
        <v>1379843091</v>
      </c>
      <c r="I8" s="148">
        <v>1130313461</v>
      </c>
      <c r="J8" s="148">
        <v>1055901091</v>
      </c>
      <c r="K8" s="148">
        <v>1190683636</v>
      </c>
      <c r="L8" s="148">
        <v>1127762091</v>
      </c>
      <c r="M8" s="148">
        <v>1220819586</v>
      </c>
      <c r="N8" s="148">
        <v>1270245188</v>
      </c>
      <c r="O8" s="148">
        <v>3044874791</v>
      </c>
      <c r="P8" s="149">
        <f t="shared" si="0"/>
        <v>16440309448</v>
      </c>
      <c r="Q8" s="256">
        <v>16223764118</v>
      </c>
      <c r="R8" s="146">
        <f>P8-Q8</f>
        <v>216545330</v>
      </c>
    </row>
    <row r="9" spans="2:20">
      <c r="B9" s="147"/>
      <c r="C9" s="104" t="s">
        <v>418</v>
      </c>
      <c r="D9" s="150"/>
      <c r="E9" s="150"/>
      <c r="F9" s="150"/>
      <c r="G9" s="150"/>
      <c r="H9" s="150">
        <v>529500000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2640800000</v>
      </c>
      <c r="Q9" s="257">
        <v>2659808100</v>
      </c>
      <c r="R9" s="146">
        <f>P9-Q9</f>
        <v>-19008100</v>
      </c>
    </row>
    <row r="10" spans="2:20">
      <c r="B10" s="147"/>
      <c r="C10" s="104" t="s">
        <v>419</v>
      </c>
      <c r="D10" s="150"/>
      <c r="E10" s="150"/>
      <c r="F10" s="150"/>
      <c r="G10" s="150"/>
      <c r="H10" s="150">
        <v>1680300000</v>
      </c>
      <c r="I10" s="150">
        <v>187700000</v>
      </c>
      <c r="J10" s="150">
        <v>970000000</v>
      </c>
      <c r="K10" s="150">
        <v>157000000</v>
      </c>
      <c r="L10" s="150">
        <v>364500000</v>
      </c>
      <c r="M10" s="150">
        <v>335000000</v>
      </c>
      <c r="N10" s="150">
        <v>1311000000</v>
      </c>
      <c r="O10" s="150">
        <v>972000000</v>
      </c>
      <c r="P10" s="151">
        <f t="shared" si="0"/>
        <v>5977500000</v>
      </c>
      <c r="Q10" s="257">
        <v>6462500000</v>
      </c>
      <c r="R10" s="146">
        <f>P10-Q10</f>
        <v>-485000000</v>
      </c>
    </row>
    <row r="11" spans="2:20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1070216629</v>
      </c>
      <c r="H11" s="154">
        <f t="shared" si="2"/>
        <v>3589643091</v>
      </c>
      <c r="I11" s="154">
        <f t="shared" si="2"/>
        <v>1459113461</v>
      </c>
      <c r="J11" s="154">
        <f t="shared" si="2"/>
        <v>2170601091</v>
      </c>
      <c r="K11" s="154">
        <f t="shared" si="2"/>
        <v>1618383636</v>
      </c>
      <c r="L11" s="154">
        <f t="shared" si="2"/>
        <v>1749962091</v>
      </c>
      <c r="M11" s="154">
        <f t="shared" si="2"/>
        <v>1716519586</v>
      </c>
      <c r="N11" s="154">
        <f t="shared" si="2"/>
        <v>2731445188</v>
      </c>
      <c r="O11" s="154">
        <f t="shared" si="2"/>
        <v>5003074791</v>
      </c>
      <c r="P11" s="155">
        <f t="shared" si="0"/>
        <v>25058609448</v>
      </c>
      <c r="Q11" s="258">
        <v>25346072218</v>
      </c>
      <c r="R11" s="156">
        <f>P11-Q11</f>
        <v>-287462770</v>
      </c>
    </row>
    <row r="12" spans="2:20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>
      <c r="E15" s="40"/>
      <c r="F15" s="40"/>
      <c r="G15" s="40"/>
      <c r="H15" s="40"/>
      <c r="I15" s="40"/>
      <c r="K15" s="40"/>
    </row>
    <row r="16" spans="2:20">
      <c r="I16" s="40"/>
    </row>
    <row r="17" spans="16:16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6.5" outlineLevelCol="1"/>
  <cols>
    <col min="1" max="1" width="3.75" customWidth="1"/>
    <col min="2" max="2" width="9.625" customWidth="1"/>
    <col min="3" max="5" width="15.75" hidden="1" customWidth="1" outlineLevel="1"/>
    <col min="6" max="6" width="10.125" hidden="1" customWidth="1" collapsed="1"/>
    <col min="7" max="9" width="15.75" hidden="1" customWidth="1" outlineLevel="1"/>
    <col min="10" max="10" width="10.125" hidden="1" customWidth="1"/>
    <col min="11" max="13" width="15.75" customWidth="1" outlineLevel="1"/>
    <col min="14" max="14" width="14.375" bestFit="1" customWidth="1"/>
    <col min="15" max="15" width="12.75" hidden="1" customWidth="1" outlineLevel="1"/>
    <col min="16" max="16" width="13.25" hidden="1" customWidth="1" outlineLevel="1"/>
    <col min="17" max="17" width="15.125" hidden="1" customWidth="1" outlineLevel="1"/>
    <col min="18" max="18" width="10.75" style="2" hidden="1" customWidth="1" outlineLevel="1"/>
    <col min="19" max="19" width="14.6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125" hidden="1" customWidth="1" outlineLevel="1"/>
    <col min="38" max="38" width="10.75" style="2" hidden="1" customWidth="1" outlineLevel="1"/>
    <col min="39" max="39" width="14.6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75" hidden="1" customWidth="1" outlineLevel="1"/>
    <col min="52" max="52" width="8.75" collapsed="1"/>
    <col min="53" max="53" width="13.875" bestFit="1" customWidth="1"/>
  </cols>
  <sheetData>
    <row r="2" spans="2:53">
      <c r="B2" s="162" t="s">
        <v>424</v>
      </c>
      <c r="C2" s="363" t="s">
        <v>437</v>
      </c>
      <c r="D2" s="363"/>
      <c r="E2" s="363"/>
      <c r="F2" s="363"/>
      <c r="G2" s="363" t="s">
        <v>488</v>
      </c>
      <c r="H2" s="363"/>
      <c r="I2" s="363"/>
      <c r="J2" s="363"/>
      <c r="K2" s="363" t="s">
        <v>534</v>
      </c>
      <c r="L2" s="363"/>
      <c r="M2" s="363"/>
      <c r="N2" s="363"/>
      <c r="O2" s="363" t="s">
        <v>391</v>
      </c>
      <c r="P2" s="363"/>
      <c r="Q2" s="363"/>
      <c r="R2" s="363"/>
      <c r="S2" s="363" t="s">
        <v>390</v>
      </c>
      <c r="T2" s="363"/>
      <c r="U2" s="363"/>
      <c r="V2" s="363"/>
      <c r="W2" s="363" t="s">
        <v>409</v>
      </c>
      <c r="X2" s="363"/>
      <c r="Y2" s="363"/>
      <c r="Z2" s="363"/>
      <c r="AA2" s="363" t="s">
        <v>410</v>
      </c>
      <c r="AB2" s="363"/>
      <c r="AC2" s="363"/>
      <c r="AD2" s="363"/>
      <c r="AE2" s="363" t="s">
        <v>425</v>
      </c>
      <c r="AF2" s="363"/>
      <c r="AG2" s="363"/>
      <c r="AH2" s="363"/>
      <c r="AI2" s="363" t="s">
        <v>426</v>
      </c>
      <c r="AJ2" s="363"/>
      <c r="AK2" s="363"/>
      <c r="AL2" s="363"/>
      <c r="AM2" s="363" t="s">
        <v>427</v>
      </c>
      <c r="AN2" s="363"/>
      <c r="AO2" s="363"/>
      <c r="AP2" s="363"/>
      <c r="AQ2" s="363" t="s">
        <v>428</v>
      </c>
      <c r="AR2" s="363"/>
      <c r="AS2" s="363"/>
      <c r="AT2" s="363"/>
      <c r="AU2" s="363" t="s">
        <v>429</v>
      </c>
      <c r="AV2" s="363"/>
      <c r="AW2" s="363"/>
      <c r="AX2" s="363"/>
    </row>
    <row r="3" spans="2:53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>
      <c r="B15" s="174"/>
      <c r="E15" s="175"/>
      <c r="I15" s="175"/>
      <c r="M15" s="175"/>
    </row>
    <row r="16" spans="2:53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I23" sqref="I23"/>
    </sheetView>
  </sheetViews>
  <sheetFormatPr defaultColWidth="8" defaultRowHeight="16.5"/>
  <cols>
    <col min="1" max="1" width="3.5" style="20" customWidth="1"/>
    <col min="2" max="3" width="12.75" style="20" customWidth="1"/>
    <col min="4" max="4" width="12.75" style="21" customWidth="1"/>
    <col min="5" max="6" width="8" style="20"/>
    <col min="7" max="7" width="14.625" style="20" bestFit="1" customWidth="1"/>
    <col min="8" max="8" width="14.375" style="20" bestFit="1" customWidth="1"/>
    <col min="9" max="9" width="8.25" style="20" bestFit="1" customWidth="1"/>
    <col min="10" max="10" width="32" style="20" bestFit="1" customWidth="1"/>
    <col min="11" max="11" width="34.125" style="20" bestFit="1" customWidth="1"/>
    <col min="12" max="12" width="13.375" style="20" bestFit="1" customWidth="1"/>
    <col min="13" max="13" width="13" style="20" bestFit="1" customWidth="1"/>
    <col min="14" max="14" width="25.625" style="20" bestFit="1" customWidth="1"/>
    <col min="15" max="16384" width="8" style="20"/>
  </cols>
  <sheetData>
    <row r="1" spans="2:14">
      <c r="B1" s="19">
        <f>SUBTOTAL(3,B3:B41)</f>
        <v>39</v>
      </c>
    </row>
    <row r="2" spans="2:14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693</v>
      </c>
      <c r="L2" s="30" t="s">
        <v>291</v>
      </c>
      <c r="M2" s="30" t="s">
        <v>15</v>
      </c>
      <c r="N2" s="30" t="s">
        <v>292</v>
      </c>
    </row>
    <row r="3" spans="2:14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677</v>
      </c>
      <c r="L8" s="31" t="s">
        <v>312</v>
      </c>
      <c r="M8" s="33"/>
      <c r="N8" s="33" t="s">
        <v>313</v>
      </c>
    </row>
    <row r="9" spans="2:14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678</v>
      </c>
      <c r="L12" s="31"/>
      <c r="M12" s="33"/>
      <c r="N12" s="33"/>
    </row>
    <row r="13" spans="2:14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679</v>
      </c>
      <c r="L13" s="31"/>
      <c r="M13" s="33"/>
      <c r="N13" s="33"/>
    </row>
    <row r="14" spans="2:14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680</v>
      </c>
      <c r="L14" s="31"/>
      <c r="M14" s="33"/>
      <c r="N14" s="33"/>
    </row>
    <row r="15" spans="2:14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681</v>
      </c>
      <c r="L15" s="31"/>
      <c r="M15" s="33"/>
      <c r="N15" s="33"/>
    </row>
    <row r="16" spans="2:14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682</v>
      </c>
      <c r="L16" s="31"/>
      <c r="M16" s="33"/>
      <c r="N16" s="33"/>
    </row>
    <row r="17" spans="2:14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683</v>
      </c>
      <c r="L17" s="31"/>
      <c r="M17" s="33"/>
      <c r="N17" s="33"/>
    </row>
    <row r="18" spans="2:14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684</v>
      </c>
      <c r="L18" s="31"/>
      <c r="M18" s="33"/>
      <c r="N18" s="33"/>
    </row>
    <row r="19" spans="2:14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685</v>
      </c>
      <c r="L19" s="31"/>
      <c r="M19" s="33"/>
      <c r="N19" s="33"/>
    </row>
    <row r="20" spans="2:14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686</v>
      </c>
      <c r="L20" s="31"/>
      <c r="M20" s="33"/>
      <c r="N20" s="33"/>
    </row>
    <row r="21" spans="2:14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687</v>
      </c>
      <c r="L21" s="31"/>
      <c r="M21" s="33"/>
      <c r="N21" s="33"/>
    </row>
    <row r="22" spans="2:14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688</v>
      </c>
      <c r="L22" s="31"/>
      <c r="M22" s="33"/>
      <c r="N22" s="33"/>
    </row>
    <row r="23" spans="2:14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689</v>
      </c>
      <c r="L23" s="31"/>
      <c r="M23" s="33"/>
      <c r="N23" s="33"/>
    </row>
    <row r="24" spans="2:14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690</v>
      </c>
      <c r="L25" s="33"/>
      <c r="M25" s="33"/>
      <c r="N25" s="33"/>
    </row>
    <row r="26" spans="2:14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691</v>
      </c>
      <c r="L26" s="33"/>
      <c r="M26" s="33"/>
      <c r="N26" s="33"/>
    </row>
    <row r="27" spans="2:14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692</v>
      </c>
      <c r="L27" s="33"/>
      <c r="M27" s="33"/>
      <c r="N27" s="33"/>
    </row>
    <row r="28" spans="2:14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>
      <c r="B39" s="24" t="s">
        <v>281</v>
      </c>
      <c r="C39" s="24" t="s">
        <v>565</v>
      </c>
      <c r="D39" s="25"/>
    </row>
    <row r="40" spans="2:14">
      <c r="B40" s="24" t="s">
        <v>285</v>
      </c>
      <c r="C40" s="24" t="s">
        <v>565</v>
      </c>
      <c r="D40" s="25"/>
    </row>
    <row r="41" spans="2:14">
      <c r="B41" s="24" t="s">
        <v>566</v>
      </c>
      <c r="C41" s="24" t="s">
        <v>565</v>
      </c>
      <c r="D41" s="25"/>
    </row>
    <row r="42" spans="2:14">
      <c r="B42" s="24" t="s">
        <v>567</v>
      </c>
      <c r="C42" s="24" t="s">
        <v>565</v>
      </c>
      <c r="D42" s="25"/>
    </row>
    <row r="43" spans="2:14">
      <c r="B43" s="24" t="s">
        <v>568</v>
      </c>
      <c r="C43" s="24" t="s">
        <v>568</v>
      </c>
      <c r="D43" s="25"/>
    </row>
    <row r="44" spans="2:14">
      <c r="B44" s="24" t="s">
        <v>209</v>
      </c>
      <c r="C44" s="24" t="s">
        <v>208</v>
      </c>
      <c r="D44" s="25"/>
    </row>
    <row r="45" spans="2:14">
      <c r="B45" s="24" t="s">
        <v>569</v>
      </c>
      <c r="C45" s="24" t="s">
        <v>184</v>
      </c>
      <c r="D45" s="25"/>
    </row>
    <row r="46" spans="2:14">
      <c r="B46" s="24" t="s">
        <v>570</v>
      </c>
      <c r="C46" s="24" t="s">
        <v>20</v>
      </c>
      <c r="D46" s="25"/>
    </row>
    <row r="47" spans="2:14">
      <c r="B47" s="24" t="s">
        <v>571</v>
      </c>
      <c r="C47" s="24" t="s">
        <v>182</v>
      </c>
      <c r="D47" s="25"/>
    </row>
    <row r="48" spans="2:14">
      <c r="B48" s="24" t="s">
        <v>572</v>
      </c>
      <c r="C48" s="24" t="s">
        <v>182</v>
      </c>
      <c r="D48" s="25"/>
    </row>
    <row r="49" spans="2:4">
      <c r="B49" s="24"/>
      <c r="C49" s="24"/>
      <c r="D49" s="25"/>
    </row>
    <row r="50" spans="2:4">
      <c r="B50" s="24"/>
      <c r="C50" s="24"/>
      <c r="D50" s="25"/>
    </row>
    <row r="51" spans="2:4">
      <c r="B51" s="24"/>
      <c r="C51" s="24"/>
      <c r="D51" s="25"/>
    </row>
    <row r="52" spans="2:4">
      <c r="B52" s="24"/>
      <c r="C52" s="24"/>
      <c r="D52" s="25"/>
    </row>
    <row r="53" spans="2:4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B1" zoomScaleNormal="100" workbookViewId="0">
      <selection activeCell="B15" sqref="B15:D22"/>
    </sheetView>
  </sheetViews>
  <sheetFormatPr defaultRowHeight="16.5"/>
  <cols>
    <col min="1" max="1" width="24.625" customWidth="1"/>
    <col min="2" max="2" width="17.625" style="3" customWidth="1"/>
    <col min="3" max="4" width="16.375" style="3" customWidth="1"/>
    <col min="5" max="5" width="17.625" style="3" customWidth="1"/>
    <col min="6" max="13" width="16.625" style="3" customWidth="1"/>
    <col min="14" max="14" width="24.625" style="3" customWidth="1"/>
  </cols>
  <sheetData>
    <row r="3" spans="1:14">
      <c r="A3" s="246" t="s">
        <v>330</v>
      </c>
      <c r="B3" t="s">
        <v>704</v>
      </c>
      <c r="C3" t="s">
        <v>732</v>
      </c>
      <c r="D3" t="s">
        <v>830</v>
      </c>
      <c r="E3" t="s">
        <v>654</v>
      </c>
      <c r="F3" t="s">
        <v>655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1070216629</v>
      </c>
      <c r="F4" s="265">
        <v>1379843091</v>
      </c>
      <c r="G4" s="265">
        <v>1130313461</v>
      </c>
      <c r="H4" s="265">
        <v>1055901091</v>
      </c>
      <c r="I4" s="265">
        <v>1190683636</v>
      </c>
      <c r="J4" s="265">
        <v>1127762091</v>
      </c>
      <c r="K4" s="265">
        <v>1220819586</v>
      </c>
      <c r="L4" s="265">
        <v>1270245188</v>
      </c>
      <c r="M4" s="265">
        <v>3044874791</v>
      </c>
      <c r="N4" s="265">
        <v>16440309448</v>
      </c>
    </row>
    <row r="5" spans="1:14">
      <c r="A5" s="247" t="s">
        <v>28</v>
      </c>
      <c r="B5" s="265"/>
      <c r="C5" s="265"/>
      <c r="D5" s="265"/>
      <c r="E5" s="265"/>
      <c r="F5" s="265">
        <v>529500000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2640800000</v>
      </c>
    </row>
    <row r="6" spans="1:14">
      <c r="A6" s="247" t="s">
        <v>29</v>
      </c>
      <c r="B6" s="265"/>
      <c r="C6" s="265"/>
      <c r="D6" s="265"/>
      <c r="E6" s="265"/>
      <c r="F6" s="265">
        <v>1680300000</v>
      </c>
      <c r="G6" s="265">
        <v>187700000</v>
      </c>
      <c r="H6" s="265">
        <v>970000000</v>
      </c>
      <c r="I6" s="265">
        <v>157000000</v>
      </c>
      <c r="J6" s="265">
        <v>364500000</v>
      </c>
      <c r="K6" s="265">
        <v>335000000</v>
      </c>
      <c r="L6" s="265">
        <v>1311000000</v>
      </c>
      <c r="M6" s="265">
        <v>972000000</v>
      </c>
      <c r="N6" s="265">
        <v>5977500000</v>
      </c>
    </row>
    <row r="7" spans="1:14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1070216629</v>
      </c>
      <c r="F7" s="265">
        <v>3589643091</v>
      </c>
      <c r="G7" s="265">
        <v>1459113461</v>
      </c>
      <c r="H7" s="265">
        <v>2170601091</v>
      </c>
      <c r="I7" s="265">
        <v>1618383636</v>
      </c>
      <c r="J7" s="265">
        <v>1749962091</v>
      </c>
      <c r="K7" s="265">
        <v>1716519586</v>
      </c>
      <c r="L7" s="265">
        <v>2731445188</v>
      </c>
      <c r="M7" s="265">
        <v>5003074791</v>
      </c>
      <c r="N7" s="265">
        <v>25058609448</v>
      </c>
    </row>
    <row r="8" spans="1:14">
      <c r="A8" s="247"/>
    </row>
    <row r="9" spans="1:14">
      <c r="A9" s="247"/>
    </row>
    <row r="10" spans="1:14">
      <c r="A10" s="247"/>
    </row>
    <row r="11" spans="1:14">
      <c r="B11"/>
    </row>
    <row r="13" spans="1:14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>
      <c r="A15" s="247" t="s">
        <v>212</v>
      </c>
      <c r="B15" s="254">
        <v>3114875766</v>
      </c>
      <c r="C15" s="254">
        <v>275400000</v>
      </c>
      <c r="D15" s="254">
        <v>1703000000</v>
      </c>
      <c r="E15" s="254">
        <v>5093275766</v>
      </c>
      <c r="F15"/>
      <c r="G15"/>
      <c r="H15"/>
      <c r="I15"/>
      <c r="J15"/>
      <c r="K15"/>
      <c r="L15"/>
      <c r="M15"/>
      <c r="N15"/>
    </row>
    <row r="16" spans="1:14">
      <c r="A16" s="247" t="s">
        <v>246</v>
      </c>
      <c r="B16" s="254">
        <v>2775216650</v>
      </c>
      <c r="C16" s="254">
        <v>350500000</v>
      </c>
      <c r="D16" s="254">
        <v>206000000</v>
      </c>
      <c r="E16" s="254">
        <v>3331716650</v>
      </c>
      <c r="F16"/>
      <c r="G16"/>
      <c r="H16"/>
      <c r="I16"/>
      <c r="J16"/>
      <c r="K16"/>
      <c r="L16"/>
      <c r="M16"/>
      <c r="N16"/>
    </row>
    <row r="17" spans="1:14">
      <c r="A17" s="247" t="s">
        <v>2</v>
      </c>
      <c r="B17" s="254">
        <v>3369771238</v>
      </c>
      <c r="C17" s="254">
        <v>489000000</v>
      </c>
      <c r="D17" s="254">
        <v>1075700000</v>
      </c>
      <c r="E17" s="254">
        <v>4934471238</v>
      </c>
      <c r="F17"/>
      <c r="G17"/>
      <c r="H17"/>
      <c r="I17"/>
      <c r="J17"/>
      <c r="K17"/>
      <c r="L17"/>
      <c r="M17"/>
      <c r="N17"/>
    </row>
    <row r="18" spans="1:14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>
      <c r="A19" s="247" t="s">
        <v>285</v>
      </c>
      <c r="B19" s="254">
        <v>2354180045</v>
      </c>
      <c r="C19" s="254">
        <v>371000000</v>
      </c>
      <c r="D19" s="254">
        <v>472000000</v>
      </c>
      <c r="E19" s="254">
        <v>3197180045</v>
      </c>
      <c r="F19"/>
      <c r="G19"/>
      <c r="H19"/>
      <c r="I19"/>
      <c r="J19"/>
      <c r="K19"/>
      <c r="L19"/>
      <c r="M19"/>
      <c r="N19"/>
    </row>
    <row r="20" spans="1:14">
      <c r="A20" s="247" t="s">
        <v>702</v>
      </c>
      <c r="B20" s="254">
        <v>771402400</v>
      </c>
      <c r="C20" s="254">
        <v>325200000</v>
      </c>
      <c r="D20" s="254">
        <v>1202800000</v>
      </c>
      <c r="E20" s="254">
        <v>2299402400</v>
      </c>
      <c r="F20"/>
      <c r="G20"/>
      <c r="H20"/>
      <c r="I20"/>
      <c r="J20"/>
      <c r="K20"/>
      <c r="L20"/>
      <c r="M20"/>
      <c r="N20"/>
    </row>
    <row r="21" spans="1:14">
      <c r="A21" s="247" t="s">
        <v>827</v>
      </c>
      <c r="B21" s="254">
        <v>136229900</v>
      </c>
      <c r="C21" s="254">
        <v>21000000</v>
      </c>
      <c r="D21" s="254">
        <v>80000000</v>
      </c>
      <c r="E21" s="254">
        <v>237229900</v>
      </c>
      <c r="F21"/>
      <c r="G21"/>
      <c r="H21"/>
      <c r="I21"/>
      <c r="J21"/>
      <c r="K21"/>
      <c r="L21"/>
      <c r="M21"/>
      <c r="N21"/>
    </row>
    <row r="22" spans="1:14">
      <c r="A22" s="247" t="s">
        <v>555</v>
      </c>
      <c r="B22" s="254">
        <v>1083678421</v>
      </c>
      <c r="C22" s="254">
        <v>34000000</v>
      </c>
      <c r="D22" s="254">
        <v>959000000</v>
      </c>
      <c r="E22" s="254">
        <v>2076678421</v>
      </c>
      <c r="F22"/>
      <c r="G22"/>
      <c r="H22"/>
      <c r="I22"/>
      <c r="J22"/>
      <c r="K22"/>
      <c r="L22"/>
      <c r="M22"/>
      <c r="N22"/>
    </row>
    <row r="23" spans="1:14">
      <c r="A23" s="247" t="s">
        <v>331</v>
      </c>
      <c r="B23" s="254">
        <v>16440309448</v>
      </c>
      <c r="C23" s="254">
        <v>2640800000</v>
      </c>
      <c r="D23" s="254">
        <v>5977500000</v>
      </c>
      <c r="E23" s="254">
        <v>25058609448</v>
      </c>
      <c r="F23"/>
      <c r="G23"/>
      <c r="H23"/>
      <c r="I23"/>
      <c r="J23"/>
      <c r="K23"/>
      <c r="L23"/>
      <c r="M23"/>
      <c r="N23"/>
    </row>
    <row r="24" spans="1:14">
      <c r="B24"/>
      <c r="C24"/>
      <c r="D24"/>
      <c r="E24"/>
    </row>
    <row r="25" spans="1:14">
      <c r="B25"/>
      <c r="C25"/>
      <c r="D25"/>
      <c r="E25"/>
    </row>
    <row r="29" spans="1:14">
      <c r="D29" s="3" t="s">
        <v>850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A3" workbookViewId="0">
      <selection activeCell="G27" sqref="G27"/>
    </sheetView>
  </sheetViews>
  <sheetFormatPr defaultRowHeight="16.5"/>
  <cols>
    <col min="1" max="1" width="2.75" customWidth="1"/>
    <col min="5" max="5" width="2.75" customWidth="1"/>
    <col min="6" max="8" width="27.875" customWidth="1"/>
    <col min="9" max="9" width="1.875" customWidth="1"/>
    <col min="10" max="12" width="27.875" customWidth="1"/>
  </cols>
  <sheetData>
    <row r="1" spans="2:12" s="2" customFormat="1">
      <c r="B1" s="276" t="s">
        <v>733</v>
      </c>
      <c r="F1" s="277"/>
      <c r="G1" s="278" t="s">
        <v>734</v>
      </c>
      <c r="H1" s="277"/>
      <c r="I1"/>
      <c r="J1" s="279"/>
      <c r="K1" s="280" t="s">
        <v>735</v>
      </c>
      <c r="L1" s="279"/>
    </row>
    <row r="2" spans="2:12">
      <c r="B2" s="281"/>
      <c r="C2" s="282" t="s">
        <v>736</v>
      </c>
      <c r="D2" s="281"/>
      <c r="E2" s="2"/>
      <c r="F2" s="283" t="s">
        <v>737</v>
      </c>
      <c r="G2" s="283" t="s">
        <v>738</v>
      </c>
      <c r="H2" s="284" t="s">
        <v>739</v>
      </c>
      <c r="J2" s="283" t="s">
        <v>737</v>
      </c>
      <c r="K2" s="283" t="s">
        <v>738</v>
      </c>
      <c r="L2" s="284" t="s">
        <v>739</v>
      </c>
    </row>
    <row r="3" spans="2:12" s="2" customFormat="1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hunetuser</cp:lastModifiedBy>
  <dcterms:created xsi:type="dcterms:W3CDTF">2024-10-29T06:57:50Z</dcterms:created>
  <dcterms:modified xsi:type="dcterms:W3CDTF">2026-05-04T03:18:21Z</dcterms:modified>
</cp:coreProperties>
</file>