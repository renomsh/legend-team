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hdh\Desktop\"/>
    </mc:Choice>
  </mc:AlternateContent>
  <bookViews>
    <workbookView xWindow="0" yWindow="0" windowWidth="26083" windowHeight="10080" tabRatio="805"/>
  </bookViews>
  <sheets>
    <sheet name="26년 databook(취합)" sheetId="15" r:id="rId1"/>
    <sheet name="25Pivot" sheetId="16" state="hidden" r:id="rId2"/>
    <sheet name="수주리스트" sheetId="17" state="hidden" r:id="rId3"/>
    <sheet name="영업대표별" sheetId="18" r:id="rId4"/>
    <sheet name="HSM비교" sheetId="20" state="hidden" r:id="rId5"/>
    <sheet name="팀연간" sheetId="19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D" localSheetId="0" hidden="1">[1]FAB별!#REF!</definedName>
    <definedName name="__123Graph_D" localSheetId="4" hidden="1">[1]FAB별!#REF!</definedName>
    <definedName name="__123Graph_D" localSheetId="3" hidden="1">[1]FAB별!#REF!</definedName>
    <definedName name="__123Graph_D" localSheetId="5" hidden="1">[1]FAB별!#REF!</definedName>
    <definedName name="__123Graph_D" hidden="1">[1]FAB별!#REF!</definedName>
    <definedName name="_xlnm._FilterDatabase" localSheetId="0" hidden="1">'26년 databook(취합)'!$A$22:$BH$1072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영업대표별!$B$5:$U$20</definedName>
    <definedName name="_Key1" localSheetId="0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Key2" localSheetId="0" hidden="1">#REF!</definedName>
    <definedName name="_Key2" localSheetId="4" hidden="1">#REF!</definedName>
    <definedName name="_Key2" localSheetId="3" hidden="1">#REF!</definedName>
    <definedName name="_Key2" localSheetId="5" hidden="1">#REF!</definedName>
    <definedName name="_Key2" hidden="1">#REF!</definedName>
    <definedName name="_Sort" localSheetId="0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B" localSheetId="0">'[2]2006상반기'!#REF!</definedName>
    <definedName name="B" localSheetId="4">'[2]2006상반기'!#REF!</definedName>
    <definedName name="B" localSheetId="3">'[2]2006상반기'!#REF!</definedName>
    <definedName name="B" localSheetId="5">'[2]2006상반기'!#REF!</definedName>
    <definedName name="B">'[2]2006상반기'!#REF!</definedName>
    <definedName name="M" localSheetId="0">'[2]2006상반기'!#REF!</definedName>
    <definedName name="M" localSheetId="4">'[2]2006상반기'!#REF!</definedName>
    <definedName name="M" localSheetId="3">'[2]2006상반기'!#REF!</definedName>
    <definedName name="M" localSheetId="5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수주리스트!$A$2:$P$181</definedName>
    <definedName name="Z_09AA4736_135D_44B6_86A1_02C12891717F_.wvu.FilterData" localSheetId="2" hidden="1">수주리스트!$A$2:$P$177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수주리스트!$A$2:$Q$169</definedName>
    <definedName name="Z_24A8D3B4_3B3F_4558_A16B_F9394B998777_.wvu.FilterData" localSheetId="2" hidden="1">수주리스트!$A$2:$P$177</definedName>
    <definedName name="Z_2955675C_B699_4D6D_9C70_2B97BB671231_.wvu.FilterData" localSheetId="2" hidden="1">수주리스트!$A$2:$P$231</definedName>
    <definedName name="Z_3327F503_DDCE_4133_8A6A_679EF464C687_.wvu.FilterData" localSheetId="2" hidden="1">수주리스트!$A$2:$Q$207</definedName>
    <definedName name="Z_3C1F3C34_3F0E_4A69_9286_5B59D2236301_.wvu.FilterData" localSheetId="2" hidden="1">수주리스트!$A$2:$P$177</definedName>
    <definedName name="Z_3FA97EEF_14AC_4845_9EFD_1D6A532E2E56_.wvu.FilterData" localSheetId="2" hidden="1">수주리스트!$A$2:$P$231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수주리스트!$A$2:$P$231</definedName>
    <definedName name="Z_49FF05CC_677F_446B_A36C_DC03BFFF6C80_.wvu.FilterData" localSheetId="2" hidden="1">수주리스트!$A$2:$P$231</definedName>
    <definedName name="Z_532EBFBA_2E15_4DAC_ACFD_DD7BD552C967_.wvu.FilterData" localSheetId="2" hidden="1">수주리스트!$A$2:$P$231</definedName>
    <definedName name="Z_5EFE4827_A7D2_4BB1_A204_8F4861272F63_.wvu.FilterData" localSheetId="2" hidden="1">수주리스트!$A$2:$Q$200</definedName>
    <definedName name="Z_5F370A8F_6802_4ADF_9879_FDC5D5E72F9F_.wvu.FilterData" localSheetId="2" hidden="1">수주리스트!$A$2:$P$231</definedName>
    <definedName name="Z_6933E255_3D7E_480C_9E62_A807B032B028_.wvu.FilterData" localSheetId="2" hidden="1">수주리스트!$A$2:$Q$200</definedName>
    <definedName name="Z_6BDC4621_6094_4D3A_9766_691CC1F71A1A_.wvu.FilterData" localSheetId="2" hidden="1">수주리스트!$A$2:$P$231</definedName>
    <definedName name="Z_6D743646_AA2C_4069_B3D9_60B7960EE434_.wvu.FilterData" localSheetId="2" hidden="1">수주리스트!$A$2:$Q$226</definedName>
    <definedName name="Z_727DA35F_5151_4827_AA35_50C4B78C721E_.wvu.FilterData" localSheetId="2" hidden="1">수주리스트!$A$2:$P$231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수주리스트!$A$2:$P$231</definedName>
    <definedName name="Z_8A00F7CF_7B88_47A1_9EC5_FA32B3F897C1_.wvu.FilterData" localSheetId="2" hidden="1">수주리스트!$A$2:$P$231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수주리스트!$A$2:$Q$162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수주리스트!$A$2:$Q$162</definedName>
    <definedName name="Z_9B235D82_C5FA_491C_BA76_50E437197E34_.wvu.FilterData" localSheetId="2" hidden="1">수주리스트!$A$2:$P$231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수주리스트!$A$2:$Q$169</definedName>
    <definedName name="Z_9D86325C_FD45_4F3E_9BC5_FA3D1F21D1B6_.wvu.FilterData" localSheetId="2" hidden="1">수주리스트!$A$2:$Q$92</definedName>
    <definedName name="Z_9FD17CE6_6F2C_4139_A4B4_4C736B16BB2D_.wvu.FilterData" localSheetId="2" hidden="1">수주리스트!$A$2:$Q$200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수주리스트!$A$2:$Q$200</definedName>
    <definedName name="Z_BC7A0F4A_8E4B_422F_9CFC_1C02AC098A9C_.wvu.FilterData" localSheetId="2" hidden="1">수주리스트!$A$2:$P$231</definedName>
    <definedName name="Z_BF960FA2_CA24_4531_B95E_945487CF49A3_.wvu.FilterData" localSheetId="2" hidden="1">수주리스트!$A$2:$P$231</definedName>
    <definedName name="Z_C3D80D2B_887C_42A0_927E_9D7C609BA81D_.wvu.FilterData" localSheetId="2" hidden="1">수주리스트!$A$2:$Q$200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수주리스트!$A$2:$Q$226</definedName>
    <definedName name="Z_CB0A190F_B942_4939_81D2_02122D97D301_.wvu.FilterData" localSheetId="2" hidden="1">수주리스트!$A$2:$P$177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수주리스트!$A$2:$Q$162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수주리스트!$A$2:$P$231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수주리스트!$A$2:$P$231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수주리스트!$A$2:$P$226</definedName>
    <definedName name="Z_EA16B2FE_F661_4DBD_B703_4BAA1B2383F5_.wvu.FilterData" localSheetId="2" hidden="1">수주리스트!$A$2:$P$162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수주리스트!$A$2:$P$185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수주리스트!$A$2:$Q$100</definedName>
    <definedName name="계약단위">[3]Index.!$G$2:$G$4</definedName>
    <definedName name="고객사" localSheetId="0">'[2]2006상반기'!#REF!</definedName>
    <definedName name="고객사" localSheetId="4">'[2]2006상반기'!#REF!</definedName>
    <definedName name="고객사" localSheetId="3">'[2]2006상반기'!#REF!</definedName>
    <definedName name="고객사" localSheetId="5">'[2]2006상반기'!#REF!</definedName>
    <definedName name="고객사">'[2]2006상반기'!#REF!</definedName>
    <definedName name="기업분류" localSheetId="0">'[2]2006상반기'!#REF!</definedName>
    <definedName name="기업분류" localSheetId="4">'[2]2006상반기'!#REF!</definedName>
    <definedName name="기업분류" localSheetId="3">'[2]2006상반기'!#REF!</definedName>
    <definedName name="기업분류" localSheetId="5">'[2]2006상반기'!#REF!</definedName>
    <definedName name="기업분류">'[2]2006상반기'!#REF!</definedName>
    <definedName name="기업순위" localSheetId="0">'[2]2006상반기'!#REF!</definedName>
    <definedName name="기업순위" localSheetId="4">'[2]2006상반기'!#REF!</definedName>
    <definedName name="기업순위" localSheetId="3">'[2]2006상반기'!#REF!</definedName>
    <definedName name="기업순위" localSheetId="5">'[2]2006상반기'!#REF!</definedName>
    <definedName name="기업순위">'[2]2006상반기'!#REF!</definedName>
    <definedName name="년도">[3]Index.!$E$2:$E$7</definedName>
    <definedName name="ㅁ" localSheetId="0">'[2]2006상반기'!#REF!</definedName>
    <definedName name="ㅁ" localSheetId="4">'[2]2006상반기'!#REF!</definedName>
    <definedName name="ㅁ" localSheetId="3">'[2]2006상반기'!#REF!</definedName>
    <definedName name="ㅁ" localSheetId="5">'[2]2006상반기'!#REF!</definedName>
    <definedName name="ㅁ">'[2]2006상반기'!#REF!</definedName>
    <definedName name="ㅁㄴㅇㄹㅇㅁㄴ" localSheetId="0" hidden="1">#REF!</definedName>
    <definedName name="ㅁㄴㅇㄹㅇㅁㄴ" localSheetId="4" hidden="1">#REF!</definedName>
    <definedName name="ㅁㄴㅇㄹㅇㅁㄴ" localSheetId="3" hidden="1">#REF!</definedName>
    <definedName name="ㅁㄴㅇㄹㅇㅁㄴ" localSheetId="5" hidden="1">#REF!</definedName>
    <definedName name="ㅁㄴㅇㄹㅇㅁㄴ" hidden="1">#REF!</definedName>
    <definedName name="매출" localSheetId="0">'[2]2006상반기'!#REF!</definedName>
    <definedName name="매출" localSheetId="4">'[2]2006상반기'!#REF!</definedName>
    <definedName name="매출" localSheetId="3">'[2]2006상반기'!#REF!</definedName>
    <definedName name="매출" localSheetId="5">'[2]2006상반기'!#REF!</definedName>
    <definedName name="매출">'[2]2006상반기'!#REF!</definedName>
    <definedName name="사전영업">[4]Index.!$M$2:$M$12</definedName>
    <definedName name="산업분류" localSheetId="0">'[2]2006상반기'!#REF!</definedName>
    <definedName name="산업분류" localSheetId="4">'[2]2006상반기'!#REF!</definedName>
    <definedName name="산업분류" localSheetId="3">'[2]2006상반기'!#REF!</definedName>
    <definedName name="산업분류" localSheetId="5">'[2]2006상반기'!#REF!</definedName>
    <definedName name="산업분류">'[2]2006상반기'!#REF!</definedName>
    <definedName name="상품유형">'[5]Index 매출유형신구분'!$D$48:$D$70</definedName>
    <definedName name="ㅇㄴㄹㅇㄴ" localSheetId="0" hidden="1">#REF!</definedName>
    <definedName name="ㅇㄴㄹㅇㄴ" localSheetId="4" hidden="1">#REF!</definedName>
    <definedName name="ㅇㄴㄹㅇㄴ" localSheetId="3" hidden="1">#REF!</definedName>
    <definedName name="ㅇㄴㄹㅇㄴ" localSheetId="5" hidden="1">#REF!</definedName>
    <definedName name="ㅇㄴㄹㅇㄴ" hidden="1">#REF!</definedName>
    <definedName name="ㅇㄹㄴㅇㅁ" localSheetId="0" hidden="1">#REF!</definedName>
    <definedName name="ㅇㄹㄴㅇㅁ" localSheetId="4" hidden="1">#REF!</definedName>
    <definedName name="ㅇㄹㄴㅇㅁ" localSheetId="3" hidden="1">#REF!</definedName>
    <definedName name="ㅇㄹㄴㅇㅁ" localSheetId="5" hidden="1">#REF!</definedName>
    <definedName name="ㅇㄹㄴㅇㅁ" hidden="1">#REF!</definedName>
    <definedName name="ㅇㅇ" localSheetId="0">#REF!</definedName>
    <definedName name="ㅇㅇ" localSheetId="4">#REF!</definedName>
    <definedName name="ㅇㅇ" localSheetId="3">#REF!</definedName>
    <definedName name="ㅇㅇ" localSheetId="5">#REF!</definedName>
    <definedName name="ㅇㅇ">#REF!</definedName>
    <definedName name="영업대표" localSheetId="0">'[2]2006상반기'!#REF!</definedName>
    <definedName name="영업대표" localSheetId="4">'[2]2006상반기'!#REF!</definedName>
    <definedName name="영업대표" localSheetId="3">'[2]2006상반기'!#REF!</definedName>
    <definedName name="영업대표" localSheetId="5">'[2]2006상반기'!#REF!</definedName>
    <definedName name="영업대표">'[2]2006상반기'!#REF!</definedName>
    <definedName name="월">[3]Index.!$F$2:$F$15</definedName>
    <definedName name="인아웃" localSheetId="0">'[2]2006상반기'!#REF!</definedName>
    <definedName name="인아웃" localSheetId="4">'[2]2006상반기'!#REF!</definedName>
    <definedName name="인아웃" localSheetId="3">'[2]2006상반기'!#REF!</definedName>
    <definedName name="인아웃" localSheetId="5">'[2]2006상반기'!#REF!</definedName>
    <definedName name="인아웃">'[2]2006상반기'!#REF!</definedName>
    <definedName name="ㅈ" localSheetId="0">'[2]2006상반기'!#REF!</definedName>
    <definedName name="ㅈ" localSheetId="4">'[2]2006상반기'!#REF!</definedName>
    <definedName name="ㅈ" localSheetId="3">'[2]2006상반기'!#REF!</definedName>
    <definedName name="ㅈ" localSheetId="5">'[2]2006상반기'!#REF!</definedName>
    <definedName name="ㅈ">'[2]2006상반기'!#REF!</definedName>
  </definedNames>
  <calcPr calcId="162913"/>
  <pivotCaches>
    <pivotCache cacheId="0" r:id="rId26"/>
    <pivotCache cacheId="1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4" i="15" l="1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755" i="15"/>
  <c r="AE755" i="15" s="1"/>
  <c r="AC756" i="15"/>
  <c r="AE756" i="15" s="1"/>
  <c r="AC757" i="15"/>
  <c r="AE757" i="15" s="1"/>
  <c r="AC758" i="15"/>
  <c r="AE758" i="15" s="1"/>
  <c r="AC759" i="15"/>
  <c r="AE759" i="15" s="1"/>
  <c r="AC760" i="15"/>
  <c r="AE760" i="15" s="1"/>
  <c r="AC761" i="15"/>
  <c r="AE761" i="15" s="1"/>
  <c r="AC762" i="15"/>
  <c r="AE762" i="15" s="1"/>
  <c r="AC763" i="15"/>
  <c r="AE763" i="15" s="1"/>
  <c r="AC764" i="15"/>
  <c r="AE764" i="15" s="1"/>
  <c r="AC765" i="15"/>
  <c r="AE765" i="15" s="1"/>
  <c r="AC766" i="15"/>
  <c r="AE766" i="15" s="1"/>
  <c r="AC767" i="15"/>
  <c r="AE767" i="15" s="1"/>
  <c r="AC768" i="15"/>
  <c r="AE768" i="15" s="1"/>
  <c r="AC769" i="15"/>
  <c r="AE769" i="15" s="1"/>
  <c r="AC770" i="15"/>
  <c r="AE770" i="15" s="1"/>
  <c r="AC771" i="15"/>
  <c r="AE771" i="15" s="1"/>
  <c r="AC772" i="15"/>
  <c r="AE772" i="15" s="1"/>
  <c r="AC773" i="15"/>
  <c r="AE773" i="15" s="1"/>
  <c r="AC774" i="15"/>
  <c r="AE774" i="15" s="1"/>
  <c r="AC775" i="15"/>
  <c r="AE775" i="15" s="1"/>
  <c r="AC776" i="15"/>
  <c r="AE776" i="15" s="1"/>
  <c r="AC777" i="15"/>
  <c r="AE777" i="15" s="1"/>
  <c r="AC778" i="15"/>
  <c r="AE778" i="15" s="1"/>
  <c r="AC779" i="15"/>
  <c r="AE779" i="15" s="1"/>
  <c r="AC780" i="15"/>
  <c r="AE780" i="15" s="1"/>
  <c r="AC781" i="15"/>
  <c r="AE781" i="15" s="1"/>
  <c r="AC782" i="15"/>
  <c r="AE782" i="15" s="1"/>
  <c r="AC783" i="15"/>
  <c r="AE783" i="15" s="1"/>
  <c r="AC784" i="15"/>
  <c r="AE784" i="15" s="1"/>
  <c r="AC785" i="15"/>
  <c r="AE785" i="15" s="1"/>
  <c r="AC786" i="15"/>
  <c r="AE786" i="15" s="1"/>
  <c r="AC787" i="15"/>
  <c r="AE787" i="15" s="1"/>
  <c r="AC788" i="15"/>
  <c r="AE788" i="15" s="1"/>
  <c r="AC789" i="15"/>
  <c r="AE789" i="15" s="1"/>
  <c r="AC790" i="15"/>
  <c r="AE790" i="15" s="1"/>
  <c r="AC791" i="15"/>
  <c r="AE791" i="15" s="1"/>
  <c r="AC792" i="15"/>
  <c r="AE792" i="15" s="1"/>
  <c r="AC793" i="15"/>
  <c r="AE793" i="15" s="1"/>
  <c r="AC794" i="15"/>
  <c r="AE794" i="15" s="1"/>
  <c r="AC795" i="15"/>
  <c r="AE795" i="15" s="1"/>
  <c r="AC796" i="15"/>
  <c r="AE796" i="15" s="1"/>
  <c r="AC797" i="15"/>
  <c r="AE797" i="15" s="1"/>
  <c r="AC798" i="15"/>
  <c r="AE798" i="15" s="1"/>
  <c r="AC799" i="15"/>
  <c r="AE799" i="15" s="1"/>
  <c r="AC800" i="15"/>
  <c r="AE800" i="15" s="1"/>
  <c r="AC801" i="15"/>
  <c r="AE801" i="15" s="1"/>
  <c r="AC802" i="15"/>
  <c r="AE802" i="15" s="1"/>
  <c r="AC803" i="15"/>
  <c r="AE803" i="15" s="1"/>
  <c r="AC804" i="15"/>
  <c r="AE804" i="15" s="1"/>
  <c r="AC805" i="15"/>
  <c r="AE805" i="15" s="1"/>
  <c r="AC806" i="15"/>
  <c r="AE806" i="15" s="1"/>
  <c r="AC807" i="15"/>
  <c r="AE807" i="15" s="1"/>
  <c r="AC808" i="15"/>
  <c r="AE808" i="15" s="1"/>
  <c r="AC809" i="15"/>
  <c r="AE809" i="15" s="1"/>
  <c r="AC810" i="15"/>
  <c r="AE810" i="15" s="1"/>
  <c r="AC811" i="15"/>
  <c r="AE811" i="15" s="1"/>
  <c r="AC812" i="15"/>
  <c r="AE812" i="15" s="1"/>
  <c r="AC813" i="15"/>
  <c r="AE813" i="15" s="1"/>
  <c r="AC814" i="15"/>
  <c r="AE814" i="15" s="1"/>
  <c r="AC815" i="15"/>
  <c r="AE815" i="15" s="1"/>
  <c r="AC816" i="15"/>
  <c r="AE816" i="15" s="1"/>
  <c r="AC817" i="15"/>
  <c r="AE817" i="15" s="1"/>
  <c r="AC818" i="15"/>
  <c r="AE818" i="15" s="1"/>
  <c r="AC819" i="15"/>
  <c r="AE819" i="15" s="1"/>
  <c r="AC820" i="15"/>
  <c r="AE820" i="15" s="1"/>
  <c r="AC821" i="15"/>
  <c r="AE821" i="15" s="1"/>
  <c r="AC822" i="15"/>
  <c r="AE822" i="15" s="1"/>
  <c r="AC823" i="15"/>
  <c r="AE823" i="15" s="1"/>
  <c r="AC824" i="15"/>
  <c r="AE824" i="15" s="1"/>
  <c r="AC825" i="15"/>
  <c r="AE825" i="15" s="1"/>
  <c r="AC826" i="15"/>
  <c r="AE826" i="15" s="1"/>
  <c r="AC827" i="15"/>
  <c r="AE827" i="15" s="1"/>
  <c r="AC828" i="15"/>
  <c r="AE828" i="15" s="1"/>
  <c r="AC829" i="15"/>
  <c r="AE829" i="15" s="1"/>
  <c r="AC830" i="15"/>
  <c r="AE830" i="15" s="1"/>
  <c r="AC831" i="15"/>
  <c r="AE831" i="15" s="1"/>
  <c r="AC832" i="15"/>
  <c r="AE832" i="15" s="1"/>
  <c r="AC833" i="15"/>
  <c r="AE833" i="15" s="1"/>
  <c r="AC834" i="15"/>
  <c r="AE834" i="15" s="1"/>
  <c r="AC835" i="15"/>
  <c r="AE835" i="15" s="1"/>
  <c r="AC836" i="15"/>
  <c r="AE836" i="15" s="1"/>
  <c r="AC837" i="15"/>
  <c r="AE837" i="15" s="1"/>
  <c r="AC838" i="15"/>
  <c r="AE838" i="15" s="1"/>
  <c r="AC839" i="15"/>
  <c r="AE839" i="15" s="1"/>
  <c r="AC840" i="15"/>
  <c r="AE840" i="15" s="1"/>
  <c r="AC841" i="15"/>
  <c r="AE841" i="15" s="1"/>
  <c r="AC842" i="15"/>
  <c r="AE842" i="15" s="1"/>
  <c r="AC843" i="15"/>
  <c r="AE843" i="15" s="1"/>
  <c r="AC844" i="15"/>
  <c r="AE844" i="15" s="1"/>
  <c r="AC845" i="15"/>
  <c r="AE845" i="15" s="1"/>
  <c r="AC846" i="15"/>
  <c r="AE846" i="15" s="1"/>
  <c r="AC847" i="15"/>
  <c r="AE847" i="15" s="1"/>
  <c r="AC848" i="15"/>
  <c r="AE848" i="15" s="1"/>
  <c r="AC849" i="15"/>
  <c r="AE849" i="15" s="1"/>
  <c r="AC850" i="15"/>
  <c r="AE850" i="15" s="1"/>
  <c r="AC851" i="15"/>
  <c r="AE851" i="15" s="1"/>
  <c r="AC852" i="15"/>
  <c r="AE852" i="15" s="1"/>
  <c r="AC853" i="15"/>
  <c r="AE853" i="15" s="1"/>
  <c r="AC854" i="15"/>
  <c r="AE854" i="15" s="1"/>
  <c r="AC855" i="15"/>
  <c r="AE855" i="15" s="1"/>
  <c r="AC856" i="15"/>
  <c r="AE856" i="15" s="1"/>
  <c r="AC857" i="15"/>
  <c r="AE857" i="15" s="1"/>
  <c r="AC858" i="15"/>
  <c r="AE858" i="15" s="1"/>
  <c r="AC859" i="15"/>
  <c r="AE859" i="15" s="1"/>
  <c r="AC860" i="15"/>
  <c r="AE860" i="15" s="1"/>
  <c r="AC861" i="15"/>
  <c r="AE861" i="15" s="1"/>
  <c r="AC862" i="15"/>
  <c r="AE862" i="15" s="1"/>
  <c r="AC863" i="15"/>
  <c r="AE863" i="15" s="1"/>
  <c r="AC864" i="15"/>
  <c r="AE864" i="15" s="1"/>
  <c r="AC865" i="15"/>
  <c r="AE865" i="15" s="1"/>
  <c r="AC866" i="15"/>
  <c r="AE866" i="15" s="1"/>
  <c r="AC867" i="15"/>
  <c r="AE867" i="15" s="1"/>
  <c r="AC868" i="15"/>
  <c r="AE868" i="15" s="1"/>
  <c r="AC869" i="15"/>
  <c r="AE869" i="15" s="1"/>
  <c r="AC870" i="15"/>
  <c r="AE870" i="15" s="1"/>
  <c r="AC871" i="15"/>
  <c r="AE871" i="15" s="1"/>
  <c r="AC872" i="15"/>
  <c r="AE872" i="15" s="1"/>
  <c r="AC873" i="15"/>
  <c r="AE873" i="15" s="1"/>
  <c r="AC874" i="15"/>
  <c r="AE874" i="15" s="1"/>
  <c r="AC875" i="15"/>
  <c r="AE875" i="15" s="1"/>
  <c r="AC876" i="15"/>
  <c r="AE876" i="15" s="1"/>
  <c r="AC877" i="15"/>
  <c r="AE877" i="15" s="1"/>
  <c r="AC878" i="15"/>
  <c r="AE878" i="15" s="1"/>
  <c r="AC879" i="15"/>
  <c r="AE879" i="15" s="1"/>
  <c r="AC880" i="15"/>
  <c r="AE880" i="15" s="1"/>
  <c r="AC881" i="15"/>
  <c r="AE881" i="15" s="1"/>
  <c r="AC882" i="15"/>
  <c r="AE882" i="15" s="1"/>
  <c r="AC883" i="15"/>
  <c r="AE883" i="15" s="1"/>
  <c r="AC884" i="15"/>
  <c r="AE884" i="15" s="1"/>
  <c r="AC885" i="15"/>
  <c r="AE885" i="15" s="1"/>
  <c r="AC886" i="15"/>
  <c r="AE886" i="15" s="1"/>
  <c r="AC887" i="15"/>
  <c r="AE887" i="15" s="1"/>
  <c r="AC888" i="15"/>
  <c r="AE888" i="15" s="1"/>
  <c r="AC889" i="15"/>
  <c r="AE889" i="15" s="1"/>
  <c r="AC890" i="15"/>
  <c r="AE890" i="15" s="1"/>
  <c r="AC891" i="15"/>
  <c r="AE891" i="15" s="1"/>
  <c r="AC892" i="15"/>
  <c r="AE892" i="15" s="1"/>
  <c r="AC893" i="15"/>
  <c r="AE893" i="15" s="1"/>
  <c r="AC894" i="15"/>
  <c r="AE894" i="15" s="1"/>
  <c r="AC895" i="15"/>
  <c r="AE895" i="15" s="1"/>
  <c r="AC896" i="15"/>
  <c r="AE896" i="15" s="1"/>
  <c r="AC897" i="15"/>
  <c r="AE897" i="15" s="1"/>
  <c r="AC898" i="15"/>
  <c r="AE898" i="15" s="1"/>
  <c r="AC899" i="15"/>
  <c r="AE899" i="15" s="1"/>
  <c r="AC900" i="15"/>
  <c r="AE900" i="15" s="1"/>
  <c r="AC901" i="15"/>
  <c r="AE901" i="15" s="1"/>
  <c r="AC902" i="15"/>
  <c r="AE902" i="15" s="1"/>
  <c r="AC903" i="15"/>
  <c r="AE903" i="15" s="1"/>
  <c r="AC904" i="15"/>
  <c r="AE904" i="15" s="1"/>
  <c r="AC905" i="15"/>
  <c r="AE905" i="15" s="1"/>
  <c r="AC906" i="15"/>
  <c r="AE906" i="15" s="1"/>
  <c r="AC907" i="15"/>
  <c r="AE907" i="15" s="1"/>
  <c r="AC908" i="15"/>
  <c r="AE908" i="15" s="1"/>
  <c r="AC909" i="15"/>
  <c r="AE909" i="15" s="1"/>
  <c r="AC910" i="15"/>
  <c r="AE910" i="15" s="1"/>
  <c r="AC911" i="15"/>
  <c r="AE911" i="15" s="1"/>
  <c r="AC912" i="15"/>
  <c r="AE912" i="15" s="1"/>
  <c r="AC913" i="15"/>
  <c r="AE913" i="15" s="1"/>
  <c r="AC914" i="15"/>
  <c r="AE914" i="15" s="1"/>
  <c r="AC915" i="15"/>
  <c r="AE915" i="15" s="1"/>
  <c r="AC916" i="15"/>
  <c r="AE916" i="15" s="1"/>
  <c r="AC917" i="15"/>
  <c r="AE917" i="15" s="1"/>
  <c r="AC918" i="15"/>
  <c r="AE918" i="15" s="1"/>
  <c r="AC919" i="15"/>
  <c r="AE919" i="15" s="1"/>
  <c r="AC920" i="15"/>
  <c r="AE920" i="15" s="1"/>
  <c r="AC921" i="15"/>
  <c r="AE921" i="15" s="1"/>
  <c r="AC922" i="15"/>
  <c r="AE922" i="15" s="1"/>
  <c r="AC923" i="15"/>
  <c r="AE923" i="15" s="1"/>
  <c r="AC924" i="15"/>
  <c r="AE924" i="15" s="1"/>
  <c r="AC925" i="15"/>
  <c r="AE925" i="15" s="1"/>
  <c r="AC926" i="15"/>
  <c r="AE926" i="15" s="1"/>
  <c r="AC927" i="15"/>
  <c r="AE927" i="15" s="1"/>
  <c r="AC928" i="15"/>
  <c r="AE928" i="15" s="1"/>
  <c r="AC929" i="15"/>
  <c r="AE929" i="15" s="1"/>
  <c r="AC930" i="15"/>
  <c r="AE930" i="15" s="1"/>
  <c r="AC931" i="15"/>
  <c r="AE931" i="15" s="1"/>
  <c r="AC932" i="15"/>
  <c r="AE932" i="15" s="1"/>
  <c r="AC933" i="15"/>
  <c r="AE933" i="15" s="1"/>
  <c r="AC934" i="15"/>
  <c r="AE934" i="15" s="1"/>
  <c r="AC935" i="15"/>
  <c r="AE935" i="15" s="1"/>
  <c r="AC936" i="15"/>
  <c r="AE936" i="15" s="1"/>
  <c r="AC937" i="15"/>
  <c r="AE937" i="15" s="1"/>
  <c r="AC938" i="15"/>
  <c r="AE938" i="15" s="1"/>
  <c r="AC939" i="15"/>
  <c r="AE939" i="15" s="1"/>
  <c r="AC940" i="15"/>
  <c r="AE940" i="15" s="1"/>
  <c r="AC941" i="15"/>
  <c r="AE941" i="15" s="1"/>
  <c r="AC942" i="15"/>
  <c r="AE942" i="15" s="1"/>
  <c r="AC943" i="15"/>
  <c r="AE943" i="15" s="1"/>
  <c r="AC944" i="15"/>
  <c r="AE944" i="15" s="1"/>
  <c r="AC945" i="15"/>
  <c r="AE945" i="15" s="1"/>
  <c r="AC946" i="15"/>
  <c r="AE946" i="15" s="1"/>
  <c r="AC947" i="15"/>
  <c r="AE947" i="15" s="1"/>
  <c r="AC948" i="15"/>
  <c r="AE948" i="15" s="1"/>
  <c r="AC949" i="15"/>
  <c r="AE949" i="15" s="1"/>
  <c r="AC950" i="15"/>
  <c r="AE950" i="15" s="1"/>
  <c r="AC951" i="15"/>
  <c r="AE951" i="15" s="1"/>
  <c r="AC952" i="15"/>
  <c r="AE952" i="15" s="1"/>
  <c r="AC953" i="15"/>
  <c r="AE953" i="15" s="1"/>
  <c r="AC954" i="15"/>
  <c r="AE954" i="15" s="1"/>
  <c r="AC955" i="15"/>
  <c r="AE955" i="15" s="1"/>
  <c r="AC956" i="15"/>
  <c r="AE956" i="15" s="1"/>
  <c r="AC957" i="15"/>
  <c r="AE957" i="15" s="1"/>
  <c r="AC958" i="15"/>
  <c r="AE958" i="15" s="1"/>
  <c r="AC959" i="15"/>
  <c r="AE959" i="15" s="1"/>
  <c r="AC960" i="15"/>
  <c r="AE960" i="15" s="1"/>
  <c r="AC961" i="15"/>
  <c r="AE961" i="15" s="1"/>
  <c r="AC962" i="15"/>
  <c r="AE962" i="15" s="1"/>
  <c r="AC963" i="15"/>
  <c r="AE963" i="15" s="1"/>
  <c r="AC964" i="15"/>
  <c r="AE964" i="15" s="1"/>
  <c r="AC965" i="15"/>
  <c r="AE965" i="15" s="1"/>
  <c r="AC966" i="15"/>
  <c r="AE966" i="15" s="1"/>
  <c r="AC967" i="15"/>
  <c r="AE967" i="15" s="1"/>
  <c r="AC968" i="15"/>
  <c r="AE968" i="15" s="1"/>
  <c r="AC969" i="15"/>
  <c r="AE969" i="15" s="1"/>
  <c r="AC970" i="15"/>
  <c r="AE970" i="15" s="1"/>
  <c r="AC971" i="15"/>
  <c r="AE971" i="15" s="1"/>
  <c r="AC972" i="15"/>
  <c r="AE972" i="15" s="1"/>
  <c r="AC973" i="15"/>
  <c r="AE973" i="15" s="1"/>
  <c r="AC974" i="15"/>
  <c r="AE974" i="15" s="1"/>
  <c r="AC975" i="15"/>
  <c r="AE975" i="15" s="1"/>
  <c r="AC976" i="15"/>
  <c r="AE976" i="15" s="1"/>
  <c r="AC977" i="15"/>
  <c r="AE977" i="15" s="1"/>
  <c r="AC978" i="15"/>
  <c r="AE978" i="15" s="1"/>
  <c r="AC979" i="15"/>
  <c r="AE979" i="15" s="1"/>
  <c r="AC980" i="15"/>
  <c r="AE980" i="15" s="1"/>
  <c r="AC981" i="15"/>
  <c r="AE981" i="15" s="1"/>
  <c r="AC982" i="15"/>
  <c r="AE982" i="15" s="1"/>
  <c r="AC983" i="15"/>
  <c r="AE983" i="15" s="1"/>
  <c r="AC984" i="15"/>
  <c r="AE984" i="15" s="1"/>
  <c r="AC985" i="15"/>
  <c r="AE985" i="15" s="1"/>
  <c r="AC986" i="15"/>
  <c r="AE986" i="15" s="1"/>
  <c r="AC987" i="15"/>
  <c r="AE987" i="15" s="1"/>
  <c r="AC988" i="15"/>
  <c r="AE988" i="15" s="1"/>
  <c r="AC989" i="15"/>
  <c r="AE989" i="15" s="1"/>
  <c r="AC990" i="15"/>
  <c r="AE990" i="15" s="1"/>
  <c r="AC991" i="15"/>
  <c r="AE991" i="15" s="1"/>
  <c r="AC992" i="15"/>
  <c r="AE992" i="15" s="1"/>
  <c r="AC993" i="15"/>
  <c r="AE993" i="15" s="1"/>
  <c r="AC994" i="15"/>
  <c r="AE994" i="15" s="1"/>
  <c r="AC995" i="15"/>
  <c r="AE995" i="15" s="1"/>
  <c r="AC996" i="15"/>
  <c r="AE996" i="15" s="1"/>
  <c r="AC997" i="15"/>
  <c r="AE997" i="15" s="1"/>
  <c r="AC998" i="15"/>
  <c r="AE998" i="15" s="1"/>
  <c r="AC999" i="15"/>
  <c r="AE999" i="15" s="1"/>
  <c r="AC1000" i="15"/>
  <c r="AE1000" i="15" s="1"/>
  <c r="AC1001" i="15"/>
  <c r="AE1001" i="15" s="1"/>
  <c r="AC1002" i="15"/>
  <c r="AE1002" i="15" s="1"/>
  <c r="AC1003" i="15"/>
  <c r="AE1003" i="15" s="1"/>
  <c r="AC1004" i="15"/>
  <c r="AE1004" i="15" s="1"/>
  <c r="AC1005" i="15"/>
  <c r="AE1005" i="15" s="1"/>
  <c r="AC1006" i="15"/>
  <c r="AE1006" i="15" s="1"/>
  <c r="AC1007" i="15"/>
  <c r="AE1007" i="15" s="1"/>
  <c r="AC1008" i="15"/>
  <c r="AE1008" i="15" s="1"/>
  <c r="AC1009" i="15"/>
  <c r="AE1009" i="15" s="1"/>
  <c r="AC1010" i="15"/>
  <c r="AE1010" i="15" s="1"/>
  <c r="AC1011" i="15"/>
  <c r="AE1011" i="15" s="1"/>
  <c r="AC1012" i="15"/>
  <c r="AE1012" i="15" s="1"/>
  <c r="AC1013" i="15"/>
  <c r="AE1013" i="15" s="1"/>
  <c r="AC1014" i="15"/>
  <c r="AE1014" i="15" s="1"/>
  <c r="AC1015" i="15"/>
  <c r="AE1015" i="15" s="1"/>
  <c r="AC1016" i="15"/>
  <c r="AE1016" i="15" s="1"/>
  <c r="AC1017" i="15"/>
  <c r="AE1017" i="15" s="1"/>
  <c r="AC1018" i="15"/>
  <c r="AE1018" i="15" s="1"/>
  <c r="AC1019" i="15"/>
  <c r="AE1019" i="15" s="1"/>
  <c r="AC1020" i="15"/>
  <c r="AE1020" i="15" s="1"/>
  <c r="AC1021" i="15"/>
  <c r="AE1021" i="15" s="1"/>
  <c r="AC1022" i="15"/>
  <c r="AE1022" i="15" s="1"/>
  <c r="AC1023" i="15"/>
  <c r="AE1023" i="15" s="1"/>
  <c r="AC1024" i="15"/>
  <c r="AE1024" i="15" s="1"/>
  <c r="AC1025" i="15"/>
  <c r="AE1025" i="15" s="1"/>
  <c r="AC1026" i="15"/>
  <c r="AE1026" i="15" s="1"/>
  <c r="AC1027" i="15"/>
  <c r="AE1027" i="15" s="1"/>
  <c r="AC1028" i="15"/>
  <c r="AE1028" i="15" s="1"/>
  <c r="AC1029" i="15"/>
  <c r="AE1029" i="15" s="1"/>
  <c r="AC1030" i="15"/>
  <c r="AE1030" i="15" s="1"/>
  <c r="AC1031" i="15"/>
  <c r="AE1031" i="15" s="1"/>
  <c r="AC1032" i="15"/>
  <c r="AE1032" i="15" s="1"/>
  <c r="AC1041" i="15"/>
  <c r="AE1041" i="15" s="1"/>
  <c r="AC1033" i="15"/>
  <c r="AE1033" i="15" s="1"/>
  <c r="AC1034" i="15"/>
  <c r="AE1034" i="15" s="1"/>
  <c r="AC1035" i="15"/>
  <c r="AE1035" i="15" s="1"/>
  <c r="AC1036" i="15"/>
  <c r="AE1036" i="15" s="1"/>
  <c r="AC1037" i="15"/>
  <c r="AE1037" i="15" s="1"/>
  <c r="AC1038" i="15"/>
  <c r="AE1038" i="15" s="1"/>
  <c r="AC1039" i="15"/>
  <c r="AE1039" i="15" s="1"/>
  <c r="AC1040" i="15"/>
  <c r="AE1040" i="15" s="1"/>
  <c r="AC1042" i="15"/>
  <c r="AE1042" i="15" s="1"/>
  <c r="AC1043" i="15"/>
  <c r="AE1043" i="15" s="1"/>
  <c r="AC1044" i="15"/>
  <c r="AE1044" i="15" s="1"/>
  <c r="AC1045" i="15"/>
  <c r="AE1045" i="15" s="1"/>
  <c r="AC1046" i="15"/>
  <c r="AE1046" i="15" s="1"/>
  <c r="AC1047" i="15"/>
  <c r="AE1047" i="15" s="1"/>
  <c r="AC1048" i="15"/>
  <c r="AE1048" i="15" s="1"/>
  <c r="AC1049" i="15"/>
  <c r="AE1049" i="15" s="1"/>
  <c r="AC1050" i="15"/>
  <c r="AE1050" i="15" s="1"/>
  <c r="AC1051" i="15"/>
  <c r="AE1051" i="15" s="1"/>
  <c r="AC1052" i="15"/>
  <c r="AE1052" i="15" s="1"/>
  <c r="AC1053" i="15"/>
  <c r="AE1053" i="15" s="1"/>
  <c r="AC1054" i="15"/>
  <c r="AE1054" i="15" s="1"/>
  <c r="AC1055" i="15"/>
  <c r="AE1055" i="15" s="1"/>
  <c r="AC1056" i="15"/>
  <c r="AE1056" i="15" s="1"/>
  <c r="AC1057" i="15"/>
  <c r="AE1057" i="15" s="1"/>
  <c r="AC1058" i="15"/>
  <c r="AE1058" i="15" s="1"/>
  <c r="AC1059" i="15"/>
  <c r="AE1059" i="15" s="1"/>
  <c r="AC1060" i="15"/>
  <c r="AE1060" i="15" s="1"/>
  <c r="AC1061" i="15"/>
  <c r="AE1061" i="15" s="1"/>
  <c r="AC1062" i="15"/>
  <c r="AE1062" i="15" s="1"/>
  <c r="AC1063" i="15"/>
  <c r="AE1063" i="15" s="1"/>
  <c r="AC1064" i="15"/>
  <c r="AE1064" i="15" s="1"/>
  <c r="AC1065" i="15"/>
  <c r="AE1065" i="15" s="1"/>
  <c r="AC1066" i="15"/>
  <c r="AE1066" i="15" s="1"/>
  <c r="AC1067" i="15"/>
  <c r="AE1067" i="15" s="1"/>
  <c r="AC1068" i="15"/>
  <c r="AE1068" i="15" s="1"/>
  <c r="AC1069" i="15"/>
  <c r="AE1069" i="15" s="1"/>
  <c r="AC1070" i="15"/>
  <c r="AE1070" i="15" s="1"/>
  <c r="AC1071" i="15"/>
  <c r="AE1071" i="15" s="1"/>
  <c r="AC1072" i="15"/>
  <c r="AE1072" i="15" s="1"/>
  <c r="AC23" i="15"/>
  <c r="AE23" i="15" s="1"/>
  <c r="AM21" i="15" l="1"/>
  <c r="AC3" i="15" l="1"/>
  <c r="AC13" i="15" l="1"/>
  <c r="A21" i="15"/>
  <c r="AC6" i="15" l="1"/>
  <c r="AC5" i="15"/>
  <c r="AC12" i="15"/>
  <c r="AC11" i="15"/>
  <c r="AC9" i="15"/>
  <c r="AC7" i="15"/>
  <c r="AC8" i="15"/>
  <c r="AC10" i="15"/>
  <c r="AC4" i="15"/>
  <c r="X21" i="15"/>
  <c r="W21" i="15"/>
  <c r="V21" i="15" l="1"/>
  <c r="U21" i="15"/>
  <c r="AC21" i="15" l="1"/>
  <c r="B5" i="22"/>
  <c r="L3" i="22"/>
  <c r="K3" i="22"/>
  <c r="J3" i="22"/>
  <c r="G3" i="22"/>
  <c r="H3" i="22"/>
  <c r="F3" i="22"/>
  <c r="AE21" i="15" l="1"/>
  <c r="B90" i="22"/>
  <c r="C90" i="22"/>
  <c r="D90" i="22"/>
  <c r="B91" i="22"/>
  <c r="C91" i="22"/>
  <c r="D91" i="22"/>
  <c r="B92" i="22"/>
  <c r="C92" i="22"/>
  <c r="D92" i="22"/>
  <c r="B93" i="22"/>
  <c r="C93" i="22"/>
  <c r="D93" i="22"/>
  <c r="B94" i="22"/>
  <c r="C94" i="22"/>
  <c r="D94" i="22"/>
  <c r="B95" i="22"/>
  <c r="C95" i="22"/>
  <c r="D95" i="22"/>
  <c r="B96" i="22"/>
  <c r="C96" i="22"/>
  <c r="D96" i="22"/>
  <c r="B97" i="22"/>
  <c r="C97" i="22"/>
  <c r="D97" i="22"/>
  <c r="B98" i="22"/>
  <c r="C98" i="22"/>
  <c r="D98" i="22"/>
  <c r="B99" i="22"/>
  <c r="C99" i="22"/>
  <c r="D99" i="22"/>
  <c r="B100" i="22"/>
  <c r="C100" i="22"/>
  <c r="D100" i="22"/>
  <c r="B101" i="22"/>
  <c r="C101" i="22"/>
  <c r="D101" i="22"/>
  <c r="B102" i="22"/>
  <c r="C102" i="22"/>
  <c r="D102" i="22"/>
  <c r="B103" i="22"/>
  <c r="C103" i="22"/>
  <c r="D103" i="22"/>
  <c r="B104" i="22"/>
  <c r="C104" i="22"/>
  <c r="D104" i="22"/>
  <c r="B105" i="22"/>
  <c r="C105" i="22"/>
  <c r="D105" i="22"/>
  <c r="B106" i="22"/>
  <c r="C106" i="22"/>
  <c r="D106" i="22"/>
  <c r="B107" i="22"/>
  <c r="C107" i="22"/>
  <c r="D107" i="22"/>
  <c r="B108" i="22"/>
  <c r="C108" i="22"/>
  <c r="D108" i="22"/>
  <c r="B109" i="22"/>
  <c r="C109" i="22"/>
  <c r="D109" i="22"/>
  <c r="B110" i="22"/>
  <c r="C110" i="22"/>
  <c r="D110" i="22"/>
  <c r="B111" i="22"/>
  <c r="C111" i="22"/>
  <c r="D111" i="22"/>
  <c r="B112" i="22"/>
  <c r="C112" i="22"/>
  <c r="D112" i="22"/>
  <c r="B113" i="22"/>
  <c r="C113" i="22"/>
  <c r="D113" i="22"/>
  <c r="B114" i="22"/>
  <c r="C114" i="22"/>
  <c r="D114" i="22"/>
  <c r="B115" i="22"/>
  <c r="C115" i="22"/>
  <c r="D115" i="22"/>
  <c r="B116" i="22"/>
  <c r="C116" i="22"/>
  <c r="D116" i="22"/>
  <c r="B117" i="22"/>
  <c r="C117" i="22"/>
  <c r="D117" i="22"/>
  <c r="B118" i="22"/>
  <c r="C118" i="22"/>
  <c r="D118" i="22"/>
  <c r="B119" i="22"/>
  <c r="C119" i="22"/>
  <c r="D119" i="22"/>
  <c r="B120" i="22"/>
  <c r="C120" i="22"/>
  <c r="D120" i="22"/>
  <c r="B121" i="22"/>
  <c r="C121" i="22"/>
  <c r="D121" i="22"/>
  <c r="B122" i="22"/>
  <c r="C122" i="22"/>
  <c r="D122" i="22"/>
  <c r="B123" i="22"/>
  <c r="C123" i="22"/>
  <c r="D123" i="22"/>
  <c r="B124" i="22"/>
  <c r="C124" i="22"/>
  <c r="D124" i="22"/>
  <c r="B125" i="22"/>
  <c r="C125" i="22"/>
  <c r="D125" i="22"/>
  <c r="B126" i="22"/>
  <c r="C126" i="22"/>
  <c r="D126" i="22"/>
  <c r="B127" i="22"/>
  <c r="C127" i="22"/>
  <c r="D127" i="22"/>
  <c r="B128" i="22"/>
  <c r="C128" i="22"/>
  <c r="D128" i="22"/>
  <c r="B129" i="22"/>
  <c r="C129" i="22"/>
  <c r="D129" i="22"/>
  <c r="B130" i="22"/>
  <c r="C130" i="22"/>
  <c r="D130" i="22"/>
  <c r="B131" i="22"/>
  <c r="C131" i="22"/>
  <c r="D131" i="22"/>
  <c r="B132" i="22"/>
  <c r="C132" i="22"/>
  <c r="D132" i="22"/>
  <c r="B133" i="22"/>
  <c r="C133" i="22"/>
  <c r="D133" i="22"/>
  <c r="B134" i="22"/>
  <c r="C134" i="22"/>
  <c r="D134" i="22"/>
  <c r="B135" i="22"/>
  <c r="C135" i="22"/>
  <c r="D135" i="22"/>
  <c r="B136" i="22"/>
  <c r="C136" i="22"/>
  <c r="D136" i="22"/>
  <c r="B137" i="22"/>
  <c r="C137" i="22"/>
  <c r="D137" i="22"/>
  <c r="B138" i="22"/>
  <c r="C138" i="22"/>
  <c r="D138" i="22"/>
  <c r="B139" i="22"/>
  <c r="C139" i="22"/>
  <c r="D139" i="22"/>
  <c r="B140" i="22"/>
  <c r="C140" i="22"/>
  <c r="D140" i="22"/>
  <c r="B141" i="22"/>
  <c r="C141" i="22"/>
  <c r="D141" i="22"/>
  <c r="B142" i="22"/>
  <c r="C142" i="22"/>
  <c r="D142" i="22"/>
  <c r="B143" i="22"/>
  <c r="C143" i="22"/>
  <c r="D143" i="22"/>
  <c r="B144" i="22"/>
  <c r="C144" i="22"/>
  <c r="D144" i="22"/>
  <c r="B145" i="22"/>
  <c r="C145" i="22"/>
  <c r="D145" i="22"/>
  <c r="B146" i="22"/>
  <c r="C146" i="22"/>
  <c r="D146" i="22"/>
  <c r="B147" i="22"/>
  <c r="C147" i="22"/>
  <c r="D147" i="22"/>
  <c r="B148" i="22"/>
  <c r="C148" i="22"/>
  <c r="D148" i="22"/>
  <c r="B149" i="22"/>
  <c r="C149" i="22"/>
  <c r="D149" i="22"/>
  <c r="B150" i="22"/>
  <c r="C150" i="22"/>
  <c r="D150" i="22"/>
  <c r="B151" i="22"/>
  <c r="C151" i="22"/>
  <c r="D151" i="22"/>
  <c r="B152" i="22"/>
  <c r="C152" i="22"/>
  <c r="D152" i="22"/>
  <c r="B153" i="22"/>
  <c r="C153" i="22"/>
  <c r="D153" i="22"/>
  <c r="B154" i="22"/>
  <c r="C154" i="22"/>
  <c r="D154" i="22"/>
  <c r="B155" i="22"/>
  <c r="C155" i="22"/>
  <c r="D155" i="22"/>
  <c r="B156" i="22"/>
  <c r="C156" i="22"/>
  <c r="D156" i="22"/>
  <c r="B157" i="22"/>
  <c r="C157" i="22"/>
  <c r="D157" i="22"/>
  <c r="B158" i="22"/>
  <c r="C158" i="22"/>
  <c r="D158" i="22"/>
  <c r="B159" i="22"/>
  <c r="C159" i="22"/>
  <c r="D159" i="22"/>
  <c r="B160" i="22"/>
  <c r="C160" i="22"/>
  <c r="D160" i="22"/>
  <c r="B161" i="22"/>
  <c r="C161" i="22"/>
  <c r="D161" i="22"/>
  <c r="B162" i="22"/>
  <c r="C162" i="22"/>
  <c r="D162" i="22"/>
  <c r="B163" i="22"/>
  <c r="C163" i="22"/>
  <c r="D163" i="22"/>
  <c r="B164" i="22"/>
  <c r="C164" i="22"/>
  <c r="D164" i="22"/>
  <c r="B165" i="22"/>
  <c r="C165" i="22"/>
  <c r="D165" i="22"/>
  <c r="B166" i="22"/>
  <c r="C166" i="22"/>
  <c r="D166" i="22"/>
  <c r="B167" i="22"/>
  <c r="C167" i="22"/>
  <c r="D167" i="22"/>
  <c r="B168" i="22"/>
  <c r="C168" i="22"/>
  <c r="D168" i="22"/>
  <c r="B169" i="22"/>
  <c r="C169" i="22"/>
  <c r="D169" i="22"/>
  <c r="B170" i="22"/>
  <c r="C170" i="22"/>
  <c r="D170" i="22"/>
  <c r="B171" i="22"/>
  <c r="C171" i="22"/>
  <c r="D171" i="22"/>
  <c r="B172" i="22"/>
  <c r="C172" i="22"/>
  <c r="D172" i="22"/>
  <c r="B173" i="22"/>
  <c r="C173" i="22"/>
  <c r="D173" i="22"/>
  <c r="B174" i="22"/>
  <c r="C174" i="22"/>
  <c r="D174" i="22"/>
  <c r="B175" i="22"/>
  <c r="C175" i="22"/>
  <c r="D175" i="22"/>
  <c r="B176" i="22"/>
  <c r="C176" i="22"/>
  <c r="D176" i="22"/>
  <c r="B177" i="22"/>
  <c r="C177" i="22"/>
  <c r="D177" i="22"/>
  <c r="B178" i="22"/>
  <c r="C178" i="22"/>
  <c r="D178" i="22"/>
  <c r="B179" i="22"/>
  <c r="C179" i="22"/>
  <c r="D179" i="22"/>
  <c r="B180" i="22"/>
  <c r="C180" i="22"/>
  <c r="D180" i="22"/>
  <c r="B181" i="22"/>
  <c r="C181" i="22"/>
  <c r="D181" i="22"/>
  <c r="B182" i="22"/>
  <c r="C182" i="22"/>
  <c r="D182" i="22"/>
  <c r="B183" i="22"/>
  <c r="C183" i="22"/>
  <c r="D183" i="22"/>
  <c r="B184" i="22"/>
  <c r="C184" i="22"/>
  <c r="D184" i="22"/>
  <c r="B185" i="22"/>
  <c r="C185" i="22"/>
  <c r="D185" i="22"/>
  <c r="B186" i="22"/>
  <c r="C186" i="22"/>
  <c r="D186" i="22"/>
  <c r="B187" i="22"/>
  <c r="C187" i="22"/>
  <c r="D187" i="22"/>
  <c r="B188" i="22"/>
  <c r="C188" i="22"/>
  <c r="D188" i="22"/>
  <c r="B189" i="22"/>
  <c r="C189" i="22"/>
  <c r="D189" i="22"/>
  <c r="B190" i="22"/>
  <c r="C190" i="22"/>
  <c r="D190" i="22"/>
  <c r="B191" i="22"/>
  <c r="C191" i="22"/>
  <c r="D191" i="22"/>
  <c r="B192" i="22"/>
  <c r="C192" i="22"/>
  <c r="D192" i="22"/>
  <c r="B193" i="22"/>
  <c r="C193" i="22"/>
  <c r="D193" i="22"/>
  <c r="B194" i="22"/>
  <c r="C194" i="22"/>
  <c r="D194" i="22"/>
  <c r="B195" i="22"/>
  <c r="C195" i="22"/>
  <c r="D195" i="22"/>
  <c r="B196" i="22"/>
  <c r="C196" i="22"/>
  <c r="D196" i="22"/>
  <c r="B197" i="22"/>
  <c r="C197" i="22"/>
  <c r="D197" i="22"/>
  <c r="B198" i="22"/>
  <c r="C198" i="22"/>
  <c r="D198" i="22"/>
  <c r="B199" i="22"/>
  <c r="C199" i="22"/>
  <c r="D199" i="22"/>
  <c r="B200" i="22"/>
  <c r="C200" i="22"/>
  <c r="D200" i="22"/>
  <c r="B201" i="22"/>
  <c r="C201" i="22"/>
  <c r="D201" i="22"/>
  <c r="B202" i="22"/>
  <c r="C202" i="22"/>
  <c r="D202" i="22"/>
  <c r="B203" i="22"/>
  <c r="C203" i="22"/>
  <c r="D203" i="22"/>
  <c r="B204" i="22"/>
  <c r="C204" i="22"/>
  <c r="D204" i="22"/>
  <c r="B205" i="22"/>
  <c r="C205" i="22"/>
  <c r="D205" i="22"/>
  <c r="B206" i="22"/>
  <c r="C206" i="22"/>
  <c r="D206" i="22"/>
  <c r="B207" i="22"/>
  <c r="C207" i="22"/>
  <c r="D207" i="22"/>
  <c r="B208" i="22"/>
  <c r="C208" i="22"/>
  <c r="D208" i="22"/>
  <c r="B209" i="22"/>
  <c r="C209" i="22"/>
  <c r="D209" i="22"/>
  <c r="B210" i="22"/>
  <c r="C210" i="22"/>
  <c r="D210" i="22"/>
  <c r="B211" i="22"/>
  <c r="C211" i="22"/>
  <c r="D211" i="22"/>
  <c r="B212" i="22"/>
  <c r="C212" i="22"/>
  <c r="D212" i="22"/>
  <c r="B213" i="22"/>
  <c r="C213" i="22"/>
  <c r="D213" i="22"/>
  <c r="B214" i="22"/>
  <c r="C214" i="22"/>
  <c r="D214" i="22"/>
  <c r="B215" i="22"/>
  <c r="C215" i="22"/>
  <c r="D215" i="22"/>
  <c r="B216" i="22"/>
  <c r="C216" i="22"/>
  <c r="D216" i="22"/>
  <c r="B217" i="22"/>
  <c r="C217" i="22"/>
  <c r="D217" i="22"/>
  <c r="B218" i="22"/>
  <c r="C218" i="22"/>
  <c r="D218" i="22"/>
  <c r="B219" i="22"/>
  <c r="C219" i="22"/>
  <c r="D219" i="22"/>
  <c r="B220" i="22"/>
  <c r="C220" i="22"/>
  <c r="D220" i="22"/>
  <c r="B221" i="22"/>
  <c r="C221" i="22"/>
  <c r="D221" i="22"/>
  <c r="B222" i="22"/>
  <c r="C222" i="22"/>
  <c r="D222" i="22"/>
  <c r="B223" i="22"/>
  <c r="C223" i="22"/>
  <c r="D223" i="22"/>
  <c r="B224" i="22"/>
  <c r="C224" i="22"/>
  <c r="D224" i="22"/>
  <c r="B225" i="22"/>
  <c r="C225" i="22"/>
  <c r="D225" i="22"/>
  <c r="B226" i="22"/>
  <c r="C226" i="22"/>
  <c r="D226" i="22"/>
  <c r="B227" i="22"/>
  <c r="C227" i="22"/>
  <c r="D227" i="22"/>
  <c r="B228" i="22"/>
  <c r="C228" i="22"/>
  <c r="D228" i="22"/>
  <c r="B229" i="22"/>
  <c r="C229" i="22"/>
  <c r="D229" i="22"/>
  <c r="B230" i="22"/>
  <c r="C230" i="22"/>
  <c r="D230" i="22"/>
  <c r="B231" i="22"/>
  <c r="C231" i="22"/>
  <c r="D231" i="22"/>
  <c r="B232" i="22"/>
  <c r="C232" i="22"/>
  <c r="D232" i="22"/>
  <c r="B233" i="22"/>
  <c r="C233" i="22"/>
  <c r="D233" i="22"/>
  <c r="B234" i="22"/>
  <c r="C234" i="22"/>
  <c r="D234" i="22"/>
  <c r="B235" i="22"/>
  <c r="C235" i="22"/>
  <c r="D235" i="22"/>
  <c r="B236" i="22"/>
  <c r="C236" i="22"/>
  <c r="D236" i="22"/>
  <c r="B237" i="22"/>
  <c r="C237" i="22"/>
  <c r="D237" i="22"/>
  <c r="B238" i="22"/>
  <c r="C238" i="22"/>
  <c r="D238" i="22"/>
  <c r="B239" i="22"/>
  <c r="C239" i="22"/>
  <c r="D239" i="22"/>
  <c r="B240" i="22"/>
  <c r="C240" i="22"/>
  <c r="D240" i="22"/>
  <c r="B241" i="22"/>
  <c r="C241" i="22"/>
  <c r="D241" i="22"/>
  <c r="B242" i="22"/>
  <c r="C242" i="22"/>
  <c r="D242" i="22"/>
  <c r="B243" i="22"/>
  <c r="C243" i="22"/>
  <c r="D243" i="22"/>
  <c r="B244" i="22"/>
  <c r="C244" i="22"/>
  <c r="D244" i="22"/>
  <c r="B245" i="22"/>
  <c r="C245" i="22"/>
  <c r="D245" i="22"/>
  <c r="B246" i="22"/>
  <c r="C246" i="22"/>
  <c r="D246" i="22"/>
  <c r="B247" i="22"/>
  <c r="C247" i="22"/>
  <c r="D247" i="22"/>
  <c r="B248" i="22"/>
  <c r="C248" i="22"/>
  <c r="D248" i="22"/>
  <c r="B249" i="22"/>
  <c r="C249" i="22"/>
  <c r="D249" i="22"/>
  <c r="B250" i="22"/>
  <c r="C250" i="22"/>
  <c r="D250" i="22"/>
  <c r="B251" i="22"/>
  <c r="C251" i="22"/>
  <c r="D251" i="22"/>
  <c r="B252" i="22"/>
  <c r="C252" i="22"/>
  <c r="D252" i="22"/>
  <c r="B253" i="22"/>
  <c r="C253" i="22"/>
  <c r="D253" i="22"/>
  <c r="B254" i="22"/>
  <c r="C254" i="22"/>
  <c r="D254" i="22"/>
  <c r="B255" i="22"/>
  <c r="C255" i="22"/>
  <c r="D255" i="22"/>
  <c r="B256" i="22"/>
  <c r="C256" i="22"/>
  <c r="D256" i="22"/>
  <c r="B257" i="22"/>
  <c r="C257" i="22"/>
  <c r="D257" i="22"/>
  <c r="B258" i="22"/>
  <c r="C258" i="22"/>
  <c r="D258" i="22"/>
  <c r="B259" i="22"/>
  <c r="C259" i="22"/>
  <c r="D259" i="22"/>
  <c r="B260" i="22"/>
  <c r="C260" i="22"/>
  <c r="D260" i="22"/>
  <c r="B261" i="22"/>
  <c r="C261" i="22"/>
  <c r="D261" i="22"/>
  <c r="B262" i="22"/>
  <c r="C262" i="22"/>
  <c r="D262" i="22"/>
  <c r="B263" i="22"/>
  <c r="C263" i="22"/>
  <c r="D263" i="22"/>
  <c r="B264" i="22"/>
  <c r="C264" i="22"/>
  <c r="D264" i="22"/>
  <c r="B265" i="22"/>
  <c r="C265" i="22"/>
  <c r="D265" i="22"/>
  <c r="B266" i="22"/>
  <c r="C266" i="22"/>
  <c r="D266" i="22"/>
  <c r="B267" i="22"/>
  <c r="C267" i="22"/>
  <c r="D267" i="22"/>
  <c r="B268" i="22"/>
  <c r="C268" i="22"/>
  <c r="D268" i="22"/>
  <c r="B269" i="22"/>
  <c r="C269" i="22"/>
  <c r="D269" i="22"/>
  <c r="B270" i="22"/>
  <c r="C270" i="22"/>
  <c r="D270" i="22"/>
  <c r="B271" i="22"/>
  <c r="C271" i="22"/>
  <c r="D271" i="22"/>
  <c r="B272" i="22"/>
  <c r="C272" i="22"/>
  <c r="D272" i="22"/>
  <c r="B273" i="22"/>
  <c r="C273" i="22"/>
  <c r="D273" i="22"/>
  <c r="B274" i="22"/>
  <c r="C274" i="22"/>
  <c r="D274" i="22"/>
  <c r="B275" i="22"/>
  <c r="C275" i="22"/>
  <c r="D275" i="22"/>
  <c r="B276" i="22"/>
  <c r="C276" i="22"/>
  <c r="D276" i="22"/>
  <c r="B277" i="22"/>
  <c r="C277" i="22"/>
  <c r="D277" i="22"/>
  <c r="B278" i="22"/>
  <c r="C278" i="22"/>
  <c r="D278" i="22"/>
  <c r="B279" i="22"/>
  <c r="C279" i="22"/>
  <c r="D279" i="22"/>
  <c r="B280" i="22"/>
  <c r="C280" i="22"/>
  <c r="D280" i="22"/>
  <c r="B281" i="22"/>
  <c r="C281" i="22"/>
  <c r="D281" i="22"/>
  <c r="B6" i="22"/>
  <c r="B7" i="22"/>
  <c r="B8" i="22"/>
  <c r="C6" i="22" l="1"/>
  <c r="D6" i="22"/>
  <c r="C7" i="22"/>
  <c r="D7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B38" i="22"/>
  <c r="C38" i="22"/>
  <c r="D38" i="22"/>
  <c r="B39" i="22"/>
  <c r="C39" i="22"/>
  <c r="D39" i="22"/>
  <c r="B40" i="22"/>
  <c r="C40" i="22"/>
  <c r="D40" i="22"/>
  <c r="B41" i="22"/>
  <c r="C41" i="22"/>
  <c r="D41" i="22"/>
  <c r="B42" i="22"/>
  <c r="C42" i="22"/>
  <c r="D42" i="22"/>
  <c r="B43" i="22"/>
  <c r="C43" i="22"/>
  <c r="D43" i="22"/>
  <c r="B44" i="22"/>
  <c r="C44" i="22"/>
  <c r="D44" i="22"/>
  <c r="B45" i="22"/>
  <c r="C45" i="22"/>
  <c r="D45" i="22"/>
  <c r="B46" i="22"/>
  <c r="C46" i="22"/>
  <c r="D46" i="22"/>
  <c r="B47" i="22"/>
  <c r="C47" i="22"/>
  <c r="D47" i="22"/>
  <c r="B48" i="22"/>
  <c r="C48" i="22"/>
  <c r="D48" i="22"/>
  <c r="B49" i="22"/>
  <c r="C49" i="22"/>
  <c r="D49" i="22"/>
  <c r="B50" i="22"/>
  <c r="C50" i="22"/>
  <c r="D50" i="22"/>
  <c r="B51" i="22"/>
  <c r="C51" i="22"/>
  <c r="D51" i="22"/>
  <c r="B52" i="22"/>
  <c r="C52" i="22"/>
  <c r="D52" i="22"/>
  <c r="B53" i="22"/>
  <c r="C53" i="22"/>
  <c r="D53" i="22"/>
  <c r="B54" i="22"/>
  <c r="C54" i="22"/>
  <c r="D54" i="22"/>
  <c r="B55" i="22"/>
  <c r="C55" i="22"/>
  <c r="D55" i="22"/>
  <c r="B56" i="22"/>
  <c r="C56" i="22"/>
  <c r="D56" i="22"/>
  <c r="B57" i="22"/>
  <c r="C57" i="22"/>
  <c r="D57" i="22"/>
  <c r="B58" i="22"/>
  <c r="C58" i="22"/>
  <c r="D58" i="22"/>
  <c r="B59" i="22"/>
  <c r="C59" i="22"/>
  <c r="D59" i="22"/>
  <c r="B60" i="22"/>
  <c r="C60" i="22"/>
  <c r="D60" i="22"/>
  <c r="B61" i="22"/>
  <c r="C61" i="22"/>
  <c r="D61" i="22"/>
  <c r="B62" i="22"/>
  <c r="C62" i="22"/>
  <c r="D62" i="22"/>
  <c r="B63" i="22"/>
  <c r="C63" i="22"/>
  <c r="D63" i="22"/>
  <c r="B64" i="22"/>
  <c r="C64" i="22"/>
  <c r="D64" i="22"/>
  <c r="B65" i="22"/>
  <c r="C65" i="22"/>
  <c r="D65" i="22"/>
  <c r="B66" i="22"/>
  <c r="C66" i="22"/>
  <c r="D66" i="22"/>
  <c r="B67" i="22"/>
  <c r="C67" i="22"/>
  <c r="D67" i="22"/>
  <c r="B68" i="22"/>
  <c r="C68" i="22"/>
  <c r="D68" i="22"/>
  <c r="B69" i="22"/>
  <c r="C69" i="22"/>
  <c r="D69" i="22"/>
  <c r="B70" i="22"/>
  <c r="C70" i="22"/>
  <c r="D70" i="22"/>
  <c r="B71" i="22"/>
  <c r="C71" i="22"/>
  <c r="D71" i="22"/>
  <c r="B72" i="22"/>
  <c r="C72" i="22"/>
  <c r="D72" i="22"/>
  <c r="B73" i="22"/>
  <c r="C73" i="22"/>
  <c r="D73" i="22"/>
  <c r="B74" i="22"/>
  <c r="C74" i="22"/>
  <c r="D74" i="22"/>
  <c r="B75" i="22"/>
  <c r="C75" i="22"/>
  <c r="D75" i="22"/>
  <c r="B76" i="22"/>
  <c r="C76" i="22"/>
  <c r="D76" i="22"/>
  <c r="B77" i="22"/>
  <c r="C77" i="22"/>
  <c r="D77" i="22"/>
  <c r="B78" i="22"/>
  <c r="C78" i="22"/>
  <c r="D78" i="22"/>
  <c r="B79" i="22"/>
  <c r="C79" i="22"/>
  <c r="D79" i="22"/>
  <c r="B80" i="22"/>
  <c r="C80" i="22"/>
  <c r="D80" i="22"/>
  <c r="B81" i="22"/>
  <c r="C81" i="22"/>
  <c r="D81" i="22"/>
  <c r="B82" i="22"/>
  <c r="C82" i="22"/>
  <c r="D82" i="22"/>
  <c r="B83" i="22"/>
  <c r="C83" i="22"/>
  <c r="D83" i="22"/>
  <c r="B84" i="22"/>
  <c r="C84" i="22"/>
  <c r="D84" i="22"/>
  <c r="B85" i="22"/>
  <c r="C85" i="22"/>
  <c r="D85" i="22"/>
  <c r="B86" i="22"/>
  <c r="C86" i="22"/>
  <c r="D86" i="22"/>
  <c r="B87" i="22"/>
  <c r="C87" i="22"/>
  <c r="D87" i="22"/>
  <c r="B88" i="22"/>
  <c r="C88" i="22"/>
  <c r="D88" i="22"/>
  <c r="B89" i="22"/>
  <c r="C89" i="22"/>
  <c r="D89" i="22"/>
  <c r="C5" i="22"/>
  <c r="D5" i="22"/>
  <c r="I6" i="18" l="1"/>
  <c r="E11" i="19" l="1"/>
  <c r="F11" i="19"/>
  <c r="G11" i="19"/>
  <c r="H11" i="19"/>
  <c r="I11" i="19"/>
  <c r="J11" i="19"/>
  <c r="K11" i="19"/>
  <c r="L11" i="19"/>
  <c r="M11" i="19"/>
  <c r="N11" i="19"/>
  <c r="O11" i="19"/>
  <c r="D12" i="19"/>
  <c r="D11" i="19"/>
  <c r="E7" i="19"/>
  <c r="F7" i="19"/>
  <c r="G7" i="19"/>
  <c r="H7" i="19"/>
  <c r="I7" i="19"/>
  <c r="J7" i="19"/>
  <c r="K7" i="19"/>
  <c r="L7" i="19"/>
  <c r="M7" i="19"/>
  <c r="N7" i="19"/>
  <c r="O7" i="19"/>
  <c r="AJ21" i="15" l="1"/>
  <c r="M6" i="18" l="1"/>
  <c r="P11" i="19" l="1"/>
  <c r="R11" i="19" s="1"/>
  <c r="P10" i="19"/>
  <c r="P9" i="19"/>
  <c r="P8" i="19"/>
  <c r="BE21" i="15" l="1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L21" i="15"/>
  <c r="AK21" i="15"/>
  <c r="AI21" i="15"/>
  <c r="AH21" i="15"/>
  <c r="AG21" i="15"/>
  <c r="AF21" i="15"/>
  <c r="AD21" i="15"/>
  <c r="B1" i="3" l="1"/>
  <c r="AW14" i="20"/>
  <c r="AV14" i="20"/>
  <c r="AU14" i="20"/>
  <c r="AS14" i="20"/>
  <c r="AR14" i="20"/>
  <c r="AQ14" i="20"/>
  <c r="AO14" i="20"/>
  <c r="AN14" i="20"/>
  <c r="AM14" i="20"/>
  <c r="AK14" i="20"/>
  <c r="AJ14" i="20"/>
  <c r="AI14" i="20"/>
  <c r="AG14" i="20"/>
  <c r="AF14" i="20"/>
  <c r="AE14" i="20"/>
  <c r="AC14" i="20"/>
  <c r="AB14" i="20"/>
  <c r="AA14" i="20"/>
  <c r="Y14" i="20"/>
  <c r="X14" i="20"/>
  <c r="W14" i="20"/>
  <c r="U14" i="20"/>
  <c r="T14" i="20"/>
  <c r="S14" i="20"/>
  <c r="Q14" i="20"/>
  <c r="P14" i="20"/>
  <c r="O14" i="20"/>
  <c r="M14" i="20"/>
  <c r="L14" i="20"/>
  <c r="K14" i="20"/>
  <c r="I14" i="20"/>
  <c r="H14" i="20"/>
  <c r="G14" i="20"/>
  <c r="E14" i="20"/>
  <c r="D14" i="20"/>
  <c r="C14" i="20"/>
  <c r="AW13" i="20"/>
  <c r="AS13" i="20"/>
  <c r="AO13" i="20"/>
  <c r="AK13" i="20"/>
  <c r="AG13" i="20"/>
  <c r="AC13" i="20"/>
  <c r="Y13" i="20"/>
  <c r="U13" i="20"/>
  <c r="Q13" i="20"/>
  <c r="M13" i="20"/>
  <c r="I13" i="20"/>
  <c r="E13" i="20"/>
  <c r="AW12" i="20"/>
  <c r="AS12" i="20"/>
  <c r="AO12" i="20"/>
  <c r="AK12" i="20"/>
  <c r="AG12" i="20"/>
  <c r="AC12" i="20"/>
  <c r="Y12" i="20"/>
  <c r="U12" i="20"/>
  <c r="Q12" i="20"/>
  <c r="M12" i="20"/>
  <c r="I12" i="20"/>
  <c r="E12" i="20"/>
  <c r="AW11" i="20"/>
  <c r="AS11" i="20"/>
  <c r="AO11" i="20"/>
  <c r="AK11" i="20"/>
  <c r="AG11" i="20"/>
  <c r="AC11" i="20"/>
  <c r="Y11" i="20"/>
  <c r="U11" i="20"/>
  <c r="Q11" i="20"/>
  <c r="M11" i="20"/>
  <c r="I11" i="20"/>
  <c r="E11" i="20"/>
  <c r="AW10" i="20"/>
  <c r="AS10" i="20"/>
  <c r="AO10" i="20"/>
  <c r="AK10" i="20"/>
  <c r="AG10" i="20"/>
  <c r="AC10" i="20"/>
  <c r="Y10" i="20"/>
  <c r="U10" i="20"/>
  <c r="Q10" i="20"/>
  <c r="M10" i="20"/>
  <c r="I10" i="20"/>
  <c r="E10" i="20"/>
  <c r="AW9" i="20"/>
  <c r="AS9" i="20"/>
  <c r="AO9" i="20"/>
  <c r="AK9" i="20"/>
  <c r="AG9" i="20"/>
  <c r="AC9" i="20"/>
  <c r="Y9" i="20"/>
  <c r="U9" i="20"/>
  <c r="Q9" i="20"/>
  <c r="M9" i="20"/>
  <c r="I9" i="20"/>
  <c r="E9" i="20"/>
  <c r="AW8" i="20"/>
  <c r="AS8" i="20"/>
  <c r="AO8" i="20"/>
  <c r="AK8" i="20"/>
  <c r="AG8" i="20"/>
  <c r="AC8" i="20"/>
  <c r="Y8" i="20"/>
  <c r="U8" i="20"/>
  <c r="Q8" i="20"/>
  <c r="M8" i="20"/>
  <c r="I8" i="20"/>
  <c r="E8" i="20"/>
  <c r="AW7" i="20"/>
  <c r="AS7" i="20"/>
  <c r="AO7" i="20"/>
  <c r="AK7" i="20"/>
  <c r="AG7" i="20"/>
  <c r="AC7" i="20"/>
  <c r="Y7" i="20"/>
  <c r="U7" i="20"/>
  <c r="Q7" i="20"/>
  <c r="M7" i="20"/>
  <c r="I7" i="20"/>
  <c r="E7" i="20"/>
  <c r="AW6" i="20"/>
  <c r="AS6" i="20"/>
  <c r="AO6" i="20"/>
  <c r="AK6" i="20"/>
  <c r="AG6" i="20"/>
  <c r="AC6" i="20"/>
  <c r="Y6" i="20"/>
  <c r="U6" i="20"/>
  <c r="Q6" i="20"/>
  <c r="M6" i="20"/>
  <c r="I6" i="20"/>
  <c r="E6" i="20"/>
  <c r="AW5" i="20"/>
  <c r="AS5" i="20"/>
  <c r="AO5" i="20"/>
  <c r="AK5" i="20"/>
  <c r="AG5" i="20"/>
  <c r="AC5" i="20"/>
  <c r="Y5" i="20"/>
  <c r="U5" i="20"/>
  <c r="Q5" i="20"/>
  <c r="M5" i="20"/>
  <c r="I5" i="20"/>
  <c r="E5" i="20"/>
  <c r="AW4" i="20"/>
  <c r="AS4" i="20"/>
  <c r="AO4" i="20"/>
  <c r="AK4" i="20"/>
  <c r="AG4" i="20"/>
  <c r="AC4" i="20"/>
  <c r="Y4" i="20"/>
  <c r="U4" i="20"/>
  <c r="Q4" i="20"/>
  <c r="M4" i="20"/>
  <c r="I4" i="20"/>
  <c r="E4" i="20"/>
  <c r="L18" i="18"/>
  <c r="K18" i="18"/>
  <c r="J18" i="18"/>
  <c r="O18" i="18" s="1"/>
  <c r="D18" i="18"/>
  <c r="C18" i="18"/>
  <c r="O17" i="18"/>
  <c r="M17" i="18"/>
  <c r="I17" i="18"/>
  <c r="I16" i="18"/>
  <c r="N15" i="18"/>
  <c r="M15" i="18"/>
  <c r="I15" i="18"/>
  <c r="O14" i="18"/>
  <c r="N14" i="18"/>
  <c r="M14" i="18"/>
  <c r="I14" i="18"/>
  <c r="O13" i="18"/>
  <c r="N13" i="18"/>
  <c r="M13" i="18"/>
  <c r="I13" i="18"/>
  <c r="O12" i="18"/>
  <c r="N12" i="18"/>
  <c r="M12" i="18"/>
  <c r="I12" i="18"/>
  <c r="O11" i="18"/>
  <c r="N11" i="18"/>
  <c r="M11" i="18"/>
  <c r="I11" i="18"/>
  <c r="O10" i="18"/>
  <c r="N10" i="18"/>
  <c r="M10" i="18"/>
  <c r="I10" i="18"/>
  <c r="O9" i="18"/>
  <c r="N9" i="18"/>
  <c r="M9" i="18"/>
  <c r="I9" i="18"/>
  <c r="O8" i="18"/>
  <c r="N8" i="18"/>
  <c r="M8" i="18"/>
  <c r="I8" i="18"/>
  <c r="O7" i="18"/>
  <c r="N7" i="18"/>
  <c r="M7" i="18"/>
  <c r="I7" i="18"/>
  <c r="O6" i="18"/>
  <c r="N6" i="18"/>
  <c r="P12" i="19"/>
  <c r="O12" i="19"/>
  <c r="N12" i="19"/>
  <c r="M12" i="19"/>
  <c r="L12" i="19"/>
  <c r="K12" i="19"/>
  <c r="J12" i="19"/>
  <c r="I12" i="19"/>
  <c r="H12" i="19"/>
  <c r="G12" i="19"/>
  <c r="F12" i="19"/>
  <c r="E12" i="19"/>
  <c r="R10" i="19"/>
  <c r="R9" i="19"/>
  <c r="R8" i="19"/>
  <c r="D7" i="19"/>
  <c r="R6" i="19"/>
  <c r="P6" i="19"/>
  <c r="L178" i="17"/>
  <c r="L177" i="17"/>
  <c r="L176" i="17"/>
  <c r="L175" i="17"/>
  <c r="L174" i="17"/>
  <c r="L173" i="17"/>
  <c r="L172" i="17"/>
  <c r="L171" i="17"/>
  <c r="L170" i="17"/>
  <c r="L169" i="17"/>
  <c r="L168" i="17"/>
  <c r="L167" i="17"/>
  <c r="L166" i="17"/>
  <c r="L165" i="17"/>
  <c r="L164" i="17"/>
  <c r="L163" i="17"/>
  <c r="L162" i="17"/>
  <c r="L161" i="17"/>
  <c r="L160" i="17"/>
  <c r="L159" i="17"/>
  <c r="L158" i="17"/>
  <c r="L157" i="17"/>
  <c r="L156" i="17"/>
  <c r="L155" i="17"/>
  <c r="L154" i="17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I18" i="18" l="1"/>
  <c r="P7" i="19"/>
  <c r="R7" i="19" s="1"/>
  <c r="M18" i="18"/>
  <c r="AD12" i="15"/>
  <c r="AD11" i="15"/>
  <c r="AD4" i="15"/>
  <c r="AD5" i="15"/>
  <c r="AD3" i="15"/>
  <c r="AD6" i="15"/>
  <c r="AD7" i="15"/>
  <c r="AD8" i="15"/>
  <c r="AD9" i="15"/>
  <c r="AD10" i="15"/>
  <c r="AD15" i="15" l="1"/>
  <c r="AC15" i="15"/>
</calcChain>
</file>

<file path=xl/comments1.xml><?xml version="1.0" encoding="utf-8"?>
<comments xmlns="http://schemas.openxmlformats.org/spreadsheetml/2006/main">
  <authors>
    <author>hunetuser</author>
    <author>황동현</author>
  </authors>
  <commentList>
    <comment ref="X271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76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99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343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V424" authorId="1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</commentList>
</comments>
</file>

<file path=xl/sharedStrings.xml><?xml version="1.0" encoding="utf-8"?>
<sst xmlns="http://schemas.openxmlformats.org/spreadsheetml/2006/main" count="13383" uniqueCount="1040">
  <si>
    <t>이재성</t>
  </si>
  <si>
    <t>최영기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</si>
  <si>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</si>
  <si>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</si>
  <si>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</si>
  <si>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</si>
  <si>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</si>
  <si>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</si>
  <si>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</si>
  <si>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</si>
  <si>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</si>
  <si>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</si>
  <si>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</si>
  <si>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</si>
  <si>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</si>
  <si>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</si>
  <si>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공통 DB</t>
    <phoneticPr fontId="2" type="noConversion"/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</si>
  <si>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</si>
  <si>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</si>
  <si>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</si>
  <si>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</si>
  <si>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</si>
  <si>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</si>
  <si>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</si>
  <si>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</si>
  <si>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</si>
  <si>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</si>
  <si>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</si>
  <si>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</si>
  <si>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가온종합건설</t>
  </si>
  <si>
    <t>2. 온라인 - 법정</t>
  </si>
  <si>
    <t>03. 이러닝 - 법정</t>
  </si>
  <si>
    <t>05 공공</t>
  </si>
  <si>
    <t>국립암센터</t>
  </si>
  <si>
    <t>삼성디스플레이</t>
  </si>
  <si>
    <t>03 신규</t>
  </si>
  <si>
    <t>삼성전기</t>
  </si>
  <si>
    <t>서울아산병원</t>
  </si>
  <si>
    <t>서울아산병원 임상연구보호센터</t>
  </si>
  <si>
    <t>18. 솔루션 - 라이브클래스</t>
  </si>
  <si>
    <t>스마일게이트</t>
  </si>
  <si>
    <t>에스케이티엔에스</t>
  </si>
  <si>
    <t>03 2001~3000대</t>
  </si>
  <si>
    <t>재이스타일</t>
  </si>
  <si>
    <t>11. 컨텐츠 - 컨텐츠 임대/판매</t>
  </si>
  <si>
    <t>지에스건설</t>
  </si>
  <si>
    <t>3. 온라인 - 마이크로러닝</t>
  </si>
  <si>
    <t>04. 이러닝 - 마이크로러닝</t>
  </si>
  <si>
    <t>지에스건설(계열사)</t>
  </si>
  <si>
    <t>12. 컨텐츠 - 컨설팅</t>
  </si>
  <si>
    <t>포스코아이에이치</t>
  </si>
  <si>
    <t>포스코인재창조원</t>
  </si>
  <si>
    <t>하임랩 주식회사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</si>
  <si>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</si>
  <si>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</si>
  <si>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</si>
  <si>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</si>
  <si>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</si>
  <si>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</si>
  <si>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</si>
  <si>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LX인터내셔널</t>
  </si>
  <si>
    <t>4. 하이브리드러닝 - 플립형</t>
  </si>
  <si>
    <t>26. 정부지원사업 - HRDFLEX</t>
  </si>
  <si>
    <t>통합위탁</t>
  </si>
  <si>
    <t>SK브로드밴드(유통망)</t>
  </si>
  <si>
    <t>SK하이닉스</t>
  </si>
  <si>
    <t>국립공원공단</t>
  </si>
  <si>
    <t>글래드호텔</t>
  </si>
  <si>
    <t>선진FS</t>
  </si>
  <si>
    <t>팜스코</t>
  </si>
  <si>
    <t>포스에스엠</t>
  </si>
  <si>
    <t>포스코인터내셔널</t>
  </si>
  <si>
    <t>하림지주</t>
  </si>
  <si>
    <t>5. 하이브리드러닝 - 러닝저니</t>
  </si>
  <si>
    <t>04 실주</t>
  </si>
  <si>
    <t>22. 솔루션 - 그로우포웍스</t>
  </si>
  <si>
    <t>34. 기타 - 전화외국어</t>
  </si>
  <si>
    <t>8. 리더스아카데미 - 리더스아카데미</t>
  </si>
  <si>
    <t>KT alpha</t>
  </si>
  <si>
    <t>국가보안기술연구소</t>
  </si>
  <si>
    <t>디케이테크인</t>
  </si>
  <si>
    <t>삼성SDI</t>
  </si>
  <si>
    <t>삼양씨앤씨</t>
  </si>
  <si>
    <t>셀트리온</t>
  </si>
  <si>
    <t>어플라이드머티어리얼즈코리아</t>
  </si>
  <si>
    <t>이태원</t>
    <phoneticPr fontId="2" type="noConversion"/>
  </si>
  <si>
    <t>에스엠컬처앤콘텐츠</t>
  </si>
  <si>
    <t>에스케이텔레콤</t>
  </si>
  <si>
    <t>육군본부 공보정훈실</t>
  </si>
  <si>
    <t>충청남도 공무원교육원</t>
  </si>
  <si>
    <t>카카오</t>
  </si>
  <si>
    <t>카카오게임즈</t>
  </si>
  <si>
    <t>카카오모빌리티</t>
  </si>
  <si>
    <t>카카오뱅크</t>
  </si>
  <si>
    <t>카카오엔터테인먼트</t>
  </si>
  <si>
    <t>카카오엔터프라이즈</t>
  </si>
  <si>
    <t>카카오창작재단</t>
  </si>
  <si>
    <t>카카오페이</t>
  </si>
  <si>
    <t>카카오페이증권</t>
  </si>
  <si>
    <t>캐논코리아비즈니스솔루션</t>
  </si>
  <si>
    <t>케이앤웍스(DK 비즈니스&amp;서비스 합병)</t>
  </si>
  <si>
    <t>케이티알파_FLEX24</t>
  </si>
  <si>
    <t>한국자동차환경협회_FLEX24</t>
  </si>
  <si>
    <t>한성글로벌_Flex</t>
  </si>
  <si>
    <t>한성글로벌_FLEX24</t>
  </si>
  <si>
    <t>한성에프아이_Flex</t>
  </si>
  <si>
    <t>한성에프아이_FLEX24</t>
  </si>
  <si>
    <t>한성지에스_Flex</t>
  </si>
  <si>
    <t>서울교통공사</t>
  </si>
  <si>
    <t>국방전직교육원</t>
  </si>
  <si>
    <t>기업교육4팀</t>
  </si>
  <si>
    <t>23. 운영 - BPO</t>
  </si>
  <si>
    <t>기업교육2팀</t>
  </si>
  <si>
    <t>박정규</t>
  </si>
  <si>
    <t>E1</t>
  </si>
  <si>
    <t>LS EV Korea</t>
  </si>
  <si>
    <t>LS ITC</t>
  </si>
  <si>
    <t>LS MnM</t>
  </si>
  <si>
    <t>LS메탈</t>
  </si>
  <si>
    <t>LS엠트론</t>
  </si>
  <si>
    <t>LS일렉트릭</t>
  </si>
  <si>
    <t>LS전선</t>
  </si>
  <si>
    <t>가온전선</t>
  </si>
  <si>
    <t>경기도인재개발원</t>
  </si>
  <si>
    <t>01 자체 LMS</t>
  </si>
  <si>
    <t>국민건강보험공단</t>
  </si>
  <si>
    <t>디와이 그룹</t>
  </si>
  <si>
    <t>보훈교육연구원</t>
  </si>
  <si>
    <t>비알코리아</t>
  </si>
  <si>
    <t>삼정회계법인(NEW)</t>
  </si>
  <si>
    <t>삼정회계법인(고객서비스)</t>
  </si>
  <si>
    <t>신한금융지주</t>
  </si>
  <si>
    <t>신한금융플러스</t>
  </si>
  <si>
    <t>신한금융희망재단</t>
  </si>
  <si>
    <t>신한라이프</t>
  </si>
  <si>
    <t>신한라이프(임직원)</t>
  </si>
  <si>
    <t>신한카드</t>
  </si>
  <si>
    <t>신한카드(SM)</t>
  </si>
  <si>
    <t>신한투자증권</t>
  </si>
  <si>
    <t>신한펀드파트너스</t>
  </si>
  <si>
    <t>에스피씨 삼립</t>
  </si>
  <si>
    <t>에스피씨캠퍼스</t>
  </si>
  <si>
    <t>에스피씨팩</t>
  </si>
  <si>
    <t>예스코</t>
  </si>
  <si>
    <t>이수건설</t>
  </si>
  <si>
    <t>이수그룹</t>
  </si>
  <si>
    <t xml:space="preserve">인천e배움캠퍼스 </t>
  </si>
  <si>
    <t>파리크라상</t>
  </si>
  <si>
    <t>한국건설엔지니어링협회</t>
  </si>
  <si>
    <t>한국보훈복지의료공단</t>
  </si>
  <si>
    <t>한국의학연구소</t>
  </si>
  <si>
    <t>한라엔컴</t>
  </si>
  <si>
    <t>한라인재개발원</t>
  </si>
  <si>
    <t>김도엽</t>
  </si>
  <si>
    <t/>
  </si>
  <si>
    <t>LH(한국토지주택공사)</t>
  </si>
  <si>
    <t>02 경쟁사 LMS</t>
  </si>
  <si>
    <t>LH분쟁조정위원회</t>
  </si>
  <si>
    <t>LH주거복지정보</t>
  </si>
  <si>
    <t>LH중앙공동주택관리지원센터 (23년 과업)</t>
  </si>
  <si>
    <t>31. B2C - 일반과정</t>
  </si>
  <si>
    <t>LH중앙공동주택관리지원센터 (24년 과업)</t>
  </si>
  <si>
    <t>LH중앙공동주택관리지원센터 (25년 과업)</t>
  </si>
  <si>
    <t>LS ELECTRIC (안전보건교육)</t>
  </si>
  <si>
    <t>귀농귀촌 아카데미(농림수산식품교육문화정보원)</t>
  </si>
  <si>
    <t>기아(뉴노멀 MBA)</t>
  </si>
  <si>
    <t>기아(위험성평가 게임러닝)</t>
  </si>
  <si>
    <t>대영전자</t>
  </si>
  <si>
    <t>두산연수원</t>
  </si>
  <si>
    <t>엘에스일렉트릭</t>
  </si>
  <si>
    <t>엘에스전선</t>
  </si>
  <si>
    <t>엘에스전선 (LS-tuber)</t>
  </si>
  <si>
    <t>엘에스전선 (글로벌연수원)</t>
  </si>
  <si>
    <t>주택관리공단</t>
  </si>
  <si>
    <t>켑코솔라</t>
  </si>
  <si>
    <t>황동현</t>
  </si>
  <si>
    <t>한국전력 중소기업지원</t>
  </si>
  <si>
    <t>한국전력공사(KEMPUS+)</t>
  </si>
  <si>
    <t>02 윈백</t>
  </si>
  <si>
    <t>현대엔지니어링 (게임러닝ARGO)</t>
  </si>
  <si>
    <t>현대엔지니어링 (법정 임대)</t>
  </si>
  <si>
    <t>현대오토에버 주식회사 (법정 임대)</t>
  </si>
  <si>
    <t>현대위아 (위아다움 집합교육)</t>
  </si>
  <si>
    <t>현대자동차 (서울/보안팀/비상대피, 보안의식캠페인)</t>
  </si>
  <si>
    <t>현대자동차 (안전경영기획팀_안전정책)</t>
  </si>
  <si>
    <t>현대자동차 (울산/보건팀/체스운동)</t>
  </si>
  <si>
    <t>김나리</t>
  </si>
  <si>
    <t>DHL코리아</t>
  </si>
  <si>
    <t>광동생활건강</t>
  </si>
  <si>
    <t>광동제약</t>
  </si>
  <si>
    <t>농촌진흥청</t>
  </si>
  <si>
    <t>농촌진흥청 농촌인적자원개발센터</t>
  </si>
  <si>
    <t>삼성전자</t>
  </si>
  <si>
    <t>19. 솔루션 - 퀴즈앤</t>
  </si>
  <si>
    <t>삼천리</t>
  </si>
  <si>
    <t>삼천리이엔지</t>
  </si>
  <si>
    <t>쌍용건설</t>
  </si>
  <si>
    <t>창신INC</t>
  </si>
  <si>
    <t>창신INC(EX-MBA)</t>
  </si>
  <si>
    <t>창신INC(주재원)</t>
  </si>
  <si>
    <t>한화오션</t>
  </si>
  <si>
    <t>한화오션디지털</t>
  </si>
  <si>
    <t>행정안전부 지방자치인재개발원</t>
  </si>
  <si>
    <t>홈앤쇼핑</t>
  </si>
  <si>
    <t>KCC글라스</t>
  </si>
  <si>
    <t>POMA경비(우체국시설관리단)</t>
  </si>
  <si>
    <t>가톨릭관동대학교 국제성모병원</t>
  </si>
  <si>
    <t>가톨릭관동대학교 의료기술협력단</t>
  </si>
  <si>
    <t>가톨릭대학교서울성모병원</t>
  </si>
  <si>
    <t>가톨릭대학교인천성모병원</t>
  </si>
  <si>
    <t>국가철도공단</t>
  </si>
  <si>
    <t>그랜드코리아레저(GKL)</t>
  </si>
  <si>
    <t>04 연장</t>
  </si>
  <si>
    <t>그레이터스(한전KPS프로젝트)</t>
  </si>
  <si>
    <t>삼우통상</t>
  </si>
  <si>
    <t>시사점(시민사이버학습센터)</t>
  </si>
  <si>
    <t>시청자미디어재단</t>
  </si>
  <si>
    <t>우체국물류지원단</t>
  </si>
  <si>
    <t>전남대학교병원</t>
  </si>
  <si>
    <t>제이디씨파트너스</t>
  </si>
  <si>
    <t>코레일유통</t>
  </si>
  <si>
    <t>포항성모병원</t>
  </si>
  <si>
    <t>하이브</t>
  </si>
  <si>
    <t>한국기상산업기술원</t>
  </si>
  <si>
    <t>13. 솔루션 - 표준형 LABS</t>
  </si>
  <si>
    <t>한국마사회</t>
  </si>
  <si>
    <t>한국전력거래소</t>
  </si>
  <si>
    <t>한전CSC</t>
  </si>
  <si>
    <t>한전FMS</t>
  </si>
  <si>
    <t>한전KDN</t>
  </si>
  <si>
    <t>한전KDN(마일리지)</t>
  </si>
  <si>
    <t>한전KPS</t>
  </si>
  <si>
    <t>한전KPS 협력사</t>
  </si>
  <si>
    <t>한전MCS</t>
  </si>
  <si>
    <t>한전산업개발</t>
  </si>
  <si>
    <t>한전씨에스씨_FLEX23</t>
  </si>
  <si>
    <t>58428/58489</t>
  </si>
  <si>
    <t>강건모</t>
  </si>
  <si>
    <t>강건모</t>
    <phoneticPr fontId="2" type="noConversion"/>
  </si>
  <si>
    <t>LG AI연구원</t>
  </si>
  <si>
    <t>LG CNS</t>
  </si>
  <si>
    <t>LG CNS (자회사)</t>
  </si>
  <si>
    <t>LG경영연구원</t>
  </si>
  <si>
    <t>LG생활건강(ATD24)</t>
  </si>
  <si>
    <t>LG생활건강(엘레몬)</t>
  </si>
  <si>
    <t>LG생활건강(임직원)</t>
  </si>
  <si>
    <t>LG인화원 (HR칼리지)</t>
  </si>
  <si>
    <t>LG인화원 (마이크로러닝)</t>
  </si>
  <si>
    <t>LG인화원 (법정)</t>
  </si>
  <si>
    <t>LG인화원(MLP)</t>
  </si>
  <si>
    <t>LG전자(러닝센터)</t>
  </si>
  <si>
    <t>LG전자(한국영업본부)</t>
  </si>
  <si>
    <t>SECO</t>
  </si>
  <si>
    <t>STX엔진주식회사</t>
  </si>
  <si>
    <t>TS사료(이관)</t>
  </si>
  <si>
    <t>경상남도평생교육진흥원</t>
  </si>
  <si>
    <t>남양유업</t>
  </si>
  <si>
    <t>넥슨스페이스</t>
  </si>
  <si>
    <t>넥슨코리아</t>
  </si>
  <si>
    <t>대원씨티에스</t>
  </si>
  <si>
    <t>동우화인켐</t>
  </si>
  <si>
    <t>20. 솔루션 - AI교강사</t>
  </si>
  <si>
    <t>라인게임즈</t>
  </si>
  <si>
    <t>엘지복지재단</t>
  </si>
  <si>
    <t>엘지생활건강(임직원)</t>
  </si>
  <si>
    <t>엘지전자(VS) (23년 미정산)</t>
  </si>
  <si>
    <t>인천국제공항보안</t>
  </si>
  <si>
    <t>주식회사 STX</t>
  </si>
  <si>
    <t>지식공간</t>
  </si>
  <si>
    <t>케이엘에이텐코코리아</t>
  </si>
  <si>
    <t>팬오션 주식회사</t>
  </si>
  <si>
    <t>한국공항공사</t>
  </si>
  <si>
    <t>한국공항보안</t>
  </si>
  <si>
    <t>한국공항보안_flex23</t>
  </si>
  <si>
    <t>한양이엔지</t>
  </si>
  <si>
    <t>한진</t>
  </si>
  <si>
    <t>현대로템(의왕연구소)</t>
  </si>
  <si>
    <t>조미희</t>
  </si>
  <si>
    <t xml:space="preserve"> 현대경제연구원(atd정산) </t>
  </si>
  <si>
    <t>조미희</t>
    <phoneticPr fontId="2" type="noConversion"/>
  </si>
  <si>
    <t>H+양지병원</t>
  </si>
  <si>
    <t>H+양지병원(승진자 대상)</t>
  </si>
  <si>
    <t>경기도의료원</t>
  </si>
  <si>
    <t>대한유화</t>
  </si>
  <si>
    <t>대한적십자사혈액관리본부</t>
  </si>
  <si>
    <t>도로교통공단</t>
  </si>
  <si>
    <t>디에스단석</t>
  </si>
  <si>
    <t>롯데정밀화학</t>
  </si>
  <si>
    <t>삼성웰스토리</t>
  </si>
  <si>
    <t>서울의료원</t>
  </si>
  <si>
    <t>선거연수원</t>
  </si>
  <si>
    <t>아성다이소</t>
  </si>
  <si>
    <t>에스디바이오센서</t>
  </si>
  <si>
    <t>에스엠엔터테이먼트</t>
  </si>
  <si>
    <t>에코프로파트너스</t>
  </si>
  <si>
    <t>이원커뮤니케이션</t>
  </si>
  <si>
    <t>일산병원</t>
  </si>
  <si>
    <t>질병관리청</t>
  </si>
  <si>
    <t>쿠팡</t>
  </si>
  <si>
    <t>쿠팡 스마트러닝</t>
  </si>
  <si>
    <t>쿠팡페이</t>
  </si>
  <si>
    <t>쿠팡풀필먼트서비스</t>
  </si>
  <si>
    <t>크래프톤</t>
  </si>
  <si>
    <t>키스코홀딩스그룹</t>
  </si>
  <si>
    <t>한국생명공학연구원</t>
  </si>
  <si>
    <t>한국지능정보사회진흥원</t>
  </si>
  <si>
    <t>한국타이어앤테크놀로지</t>
  </si>
  <si>
    <t>한세실업</t>
  </si>
  <si>
    <t>한전원자력연료</t>
  </si>
  <si>
    <t>현대건설</t>
  </si>
  <si>
    <t>현대그룹</t>
  </si>
  <si>
    <t>현대엘리베이터</t>
  </si>
  <si>
    <t>현대엘리베이터서비스</t>
  </si>
  <si>
    <t>현대제철</t>
  </si>
  <si>
    <t>김도엽</t>
    <phoneticPr fontId="2" type="noConversion"/>
  </si>
  <si>
    <t>대한민국법원</t>
  </si>
  <si>
    <t>사법연수원</t>
  </si>
  <si>
    <t>애경그룹</t>
  </si>
  <si>
    <t>애경케미칼</t>
  </si>
  <si>
    <t>한솔홀딩스</t>
  </si>
  <si>
    <t>장현아</t>
    <phoneticPr fontId="2" type="noConversion"/>
  </si>
  <si>
    <t>광주정보문화산업진흥원</t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</si>
  <si>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</si>
  <si>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</si>
  <si>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</si>
  <si>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</si>
  <si>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</si>
  <si>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</si>
  <si>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</si>
  <si>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</si>
  <si>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</si>
  <si>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</si>
  <si>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기업교육3팀</t>
    <phoneticPr fontId="2" type="noConversion"/>
  </si>
  <si>
    <t>05. 이러닝 - 북러닝</t>
  </si>
  <si>
    <t>황동현</t>
    <phoneticPr fontId="2" type="noConversion"/>
  </si>
  <si>
    <t>HMM</t>
  </si>
  <si>
    <t>KOSMES 청년창업사관학교</t>
  </si>
  <si>
    <t>고려대학교의료원</t>
  </si>
  <si>
    <t>고려대학교의료원 산학협력단</t>
  </si>
  <si>
    <t>국방기술품질원</t>
  </si>
  <si>
    <t>글락소스미스클라인</t>
  </si>
  <si>
    <t>두산모트롤</t>
  </si>
  <si>
    <t>비씨카드</t>
  </si>
  <si>
    <t>신한은행</t>
  </si>
  <si>
    <t>오리온 상생아카데미</t>
  </si>
  <si>
    <t>이어드림스쿨</t>
  </si>
  <si>
    <t>중진공 (기업연수처)_이러닝 임대판매</t>
  </si>
  <si>
    <t>케이씨 그룹</t>
  </si>
  <si>
    <t>케이씨에이손해사정</t>
  </si>
  <si>
    <t>케이씨파츠텍</t>
  </si>
  <si>
    <t>한국콘텐츠진흥원</t>
  </si>
  <si>
    <t>한국토요타자동차</t>
  </si>
  <si>
    <t>한림제약</t>
  </si>
  <si>
    <t>한성자동차</t>
  </si>
  <si>
    <t>한온시스템</t>
  </si>
  <si>
    <t>한화/글로벌</t>
  </si>
  <si>
    <t>한화건설</t>
  </si>
  <si>
    <t>한화솔루션</t>
  </si>
  <si>
    <t>한화솔루션 큐셀</t>
  </si>
  <si>
    <t>한화인재경영원(CH.HPlus)</t>
  </si>
  <si>
    <t>한화정밀기계</t>
  </si>
  <si>
    <t>한화첨단소재</t>
  </si>
  <si>
    <t>해태제과식품</t>
  </si>
  <si>
    <t>홈플러스</t>
  </si>
  <si>
    <t>장지웅</t>
  </si>
  <si>
    <t>경기도시장상권진흥원</t>
  </si>
  <si>
    <t>경기신용보증재단</t>
  </si>
  <si>
    <t>경기신용보증재단(성장지원부)</t>
  </si>
  <si>
    <t>경남신용보증재단</t>
  </si>
  <si>
    <t>고려저축은행</t>
  </si>
  <si>
    <t>고려제강</t>
  </si>
  <si>
    <t>대구광역시 공무원교육원</t>
  </si>
  <si>
    <t>25. 운영 - 대관</t>
  </si>
  <si>
    <t>디지비금융지주</t>
  </si>
  <si>
    <t>롯데카드</t>
  </si>
  <si>
    <t>서울신용보증재단</t>
  </si>
  <si>
    <t>세메스</t>
  </si>
  <si>
    <t>송현홀딩스</t>
  </si>
  <si>
    <t>신용보증재단중앙회</t>
  </si>
  <si>
    <t>아이엠뱅크</t>
  </si>
  <si>
    <t>아이엠유페이</t>
  </si>
  <si>
    <t>아이엠캐피탈</t>
  </si>
  <si>
    <t>에스비에스</t>
  </si>
  <si>
    <t>에큐온저축은행</t>
  </si>
  <si>
    <t>오케이저축은행</t>
  </si>
  <si>
    <t>우미건설</t>
  </si>
  <si>
    <t>제주신용보증재단</t>
  </si>
  <si>
    <t>쥴릭파마코리아</t>
  </si>
  <si>
    <t>하나금융티아이</t>
  </si>
  <si>
    <t>하이엠솔루텍</t>
  </si>
  <si>
    <t>하이케어솔루션</t>
  </si>
  <si>
    <t>한국암웨이</t>
  </si>
  <si>
    <t>한화손해보험</t>
  </si>
  <si>
    <t>한화솔루션 인사이트</t>
  </si>
  <si>
    <t>한화투자증권</t>
  </si>
  <si>
    <t>한화호텔앤드리조트</t>
  </si>
  <si>
    <t>35. 기타 - 북러닝</t>
  </si>
  <si>
    <t>14. 컨텐츠 - 컨텐츠 개발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</si>
  <si>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</si>
  <si>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</si>
  <si>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</si>
  <si>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</si>
  <si>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</si>
  <si>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</si>
  <si>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김성경</t>
  </si>
  <si>
    <t>하예진</t>
  </si>
  <si>
    <t>최수진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</si>
  <si>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</si>
  <si>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</si>
  <si>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</si>
  <si>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</si>
  <si>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</si>
  <si>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</si>
  <si>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</si>
  <si>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</si>
  <si>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</si>
  <si>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</si>
  <si>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</si>
  <si>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</si>
  <si>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</si>
  <si>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</si>
  <si>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</si>
  <si>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</si>
  <si>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</si>
  <si>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</si>
  <si>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</si>
  <si>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</si>
  <si>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</si>
  <si>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</si>
  <si>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</si>
  <si>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</si>
  <si>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</si>
  <si>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</si>
  <si>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</si>
  <si>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</si>
  <si>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</si>
  <si>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</si>
  <si>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</si>
  <si>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</si>
  <si>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</si>
  <si>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</si>
  <si>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</si>
  <si>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</si>
  <si>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</si>
  <si>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</si>
  <si>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</si>
  <si>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기업교육1팀</t>
    <phoneticPr fontId="2" type="noConversion"/>
  </si>
  <si>
    <t>양은희</t>
    <phoneticPr fontId="2" type="noConversion"/>
  </si>
  <si>
    <t>기업교육4팀</t>
    <phoneticPr fontId="2" type="noConversion"/>
  </si>
  <si>
    <t>제휴</t>
    <phoneticPr fontId="2" type="noConversion"/>
  </si>
  <si>
    <t>확정</t>
    <phoneticPr fontId="2" type="noConversion"/>
  </si>
  <si>
    <t>행 레이블</t>
  </si>
  <si>
    <t>총합계</t>
  </si>
  <si>
    <t>신우섭</t>
    <phoneticPr fontId="22" type="noConversion"/>
  </si>
  <si>
    <t>기업교육2팀</t>
    <phoneticPr fontId="22" type="noConversion"/>
  </si>
  <si>
    <t>FS팀</t>
    <phoneticPr fontId="22" type="noConversion"/>
  </si>
  <si>
    <t>김신정</t>
  </si>
  <si>
    <t>경기도청</t>
  </si>
  <si>
    <t>심수민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</si>
  <si>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</si>
  <si>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</si>
  <si>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</si>
  <si>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</si>
  <si>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</si>
  <si>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</si>
  <si>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</si>
  <si>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</si>
  <si>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</si>
  <si>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</si>
  <si>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</si>
  <si>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</si>
  <si>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</si>
  <si>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</si>
  <si>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</si>
  <si>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06. 이러닝 - 휴넷FLEX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</si>
  <si>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</si>
  <si>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</si>
  <si>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</si>
  <si>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</si>
  <si>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</si>
  <si>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</si>
  <si>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LX판토스</t>
  </si>
  <si>
    <t>기업교육1팀 데이터북</t>
    <phoneticPr fontId="2" type="noConversion"/>
  </si>
  <si>
    <t>구   분</t>
    <phoneticPr fontId="20" type="noConversion"/>
  </si>
  <si>
    <t>차이</t>
    <phoneticPr fontId="20" type="noConversion"/>
  </si>
  <si>
    <t>25년
영업대표</t>
    <phoneticPr fontId="2" type="noConversion"/>
  </si>
  <si>
    <t>25년
담당팀</t>
    <phoneticPr fontId="2" type="noConversion"/>
  </si>
  <si>
    <t>장지웅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</si>
  <si>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</si>
  <si>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</si>
  <si>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</si>
  <si>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</si>
  <si>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</si>
  <si>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</si>
  <si>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</si>
  <si>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</si>
  <si>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</si>
  <si>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</si>
  <si>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</si>
  <si>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</si>
  <si>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</si>
  <si>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</si>
  <si>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</si>
  <si>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</si>
  <si>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</si>
  <si>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</si>
  <si>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</si>
  <si>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</si>
  <si>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</si>
  <si>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</si>
  <si>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</si>
  <si>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</si>
  <si>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</si>
  <si>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</si>
  <si>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</si>
  <si>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1팀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</si>
  <si>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</si>
  <si>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</si>
  <si>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</si>
  <si>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</si>
  <si>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</si>
  <si>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</si>
  <si>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</si>
  <si>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</si>
  <si>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</si>
  <si>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</si>
  <si>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</si>
  <si>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</si>
  <si>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</si>
  <si>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</si>
  <si>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</si>
  <si>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</si>
  <si>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</si>
  <si>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</si>
  <si>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</si>
  <si>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</si>
  <si>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</si>
  <si>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</si>
  <si>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</si>
  <si>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</si>
  <si>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</si>
  <si>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</si>
  <si>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</si>
  <si>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</si>
  <si>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</si>
  <si>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</si>
  <si>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</si>
  <si>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</si>
  <si>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</si>
  <si>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</si>
  <si>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</si>
  <si>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</si>
  <si>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</si>
  <si>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</si>
  <si>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</si>
  <si>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</si>
  <si>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</si>
  <si>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</si>
  <si>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</si>
  <si>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농식품공무원교육원</t>
  </si>
  <si>
    <t>(주)아모레퍼시픽 (미래역량스쿨)</t>
  </si>
  <si>
    <t>비씨카드(1~6월)</t>
  </si>
  <si>
    <t>06 사업취소</t>
  </si>
  <si>
    <t>전남신용보증재단</t>
  </si>
  <si>
    <t>티시스아이티</t>
  </si>
  <si>
    <t>28329</t>
  </si>
  <si>
    <t>에이에스엠엘코리아(ASML)</t>
  </si>
  <si>
    <t>한국남동발전(전사 리더십 교육)</t>
  </si>
  <si>
    <t>벽산</t>
  </si>
  <si>
    <t>선진</t>
  </si>
  <si>
    <t>에코프로</t>
  </si>
  <si>
    <t>엔씨소프트</t>
  </si>
  <si>
    <t>케어맥스</t>
  </si>
  <si>
    <t>동양생명보험</t>
  </si>
  <si>
    <t>에스케이브로드밴드</t>
  </si>
  <si>
    <t>한국남동발전</t>
  </si>
  <si>
    <t>현대오일뱅크서울지점 (생산전문직 과정개발)</t>
  </si>
  <si>
    <t>현대오일뱅크서울지점 (신규입사자)</t>
  </si>
  <si>
    <t>아데카코리아</t>
  </si>
  <si>
    <t>피아이첨단소재</t>
  </si>
  <si>
    <t>한솔섬유</t>
  </si>
  <si>
    <t>파나소닉디바이스세일즈코리아</t>
  </si>
  <si>
    <t>세방전지</t>
  </si>
  <si>
    <t>피비파트너즈</t>
  </si>
  <si>
    <t>세방</t>
  </si>
  <si>
    <t>세방 (승진자 오프라인)</t>
  </si>
  <si>
    <t>세방 (온보딩)</t>
  </si>
  <si>
    <t>삼우</t>
  </si>
  <si>
    <t>수산업협동조합중앙회</t>
  </si>
  <si>
    <t>수산업협동조합중앙회 (금융권 정보보호교육)</t>
  </si>
  <si>
    <t>한국자동차환경협회</t>
  </si>
  <si>
    <t>삼우_FLEX</t>
  </si>
  <si>
    <t>한국자동차환경협회(BPO 사업용)</t>
  </si>
  <si>
    <t>LS</t>
  </si>
  <si>
    <t>한화생명보험</t>
  </si>
  <si>
    <t>글로벌알앤씨(한전KPS정산용)</t>
  </si>
  <si>
    <t>SK</t>
  </si>
  <si>
    <t>에스케이엠앤서비스</t>
  </si>
  <si>
    <t>에스케이엠앤서비스_마이써니</t>
  </si>
  <si>
    <t>05 Drop</t>
  </si>
  <si>
    <t>한화에어로스페이스</t>
  </si>
  <si>
    <t>1월</t>
    <phoneticPr fontId="2" type="noConversion"/>
  </si>
  <si>
    <t>삼성전자_DS(신입사원_마리플)</t>
  </si>
  <si>
    <t>2월</t>
    <phoneticPr fontId="2" type="noConversion"/>
  </si>
  <si>
    <t>한전KDN (25년)</t>
  </si>
  <si>
    <t>화승코퍼레이션</t>
  </si>
  <si>
    <t>장현아</t>
  </si>
  <si>
    <t>에스케이브로드밴드(it다)</t>
  </si>
  <si>
    <t>김신정</t>
    <phoneticPr fontId="2" type="noConversion"/>
  </si>
  <si>
    <t>전남대학교병원(23년 미정산)</t>
  </si>
  <si>
    <t>-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</si>
  <si>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</si>
  <si>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</si>
  <si>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</si>
  <si>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</si>
  <si>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</si>
  <si>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</si>
  <si>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대한제당</t>
  </si>
  <si>
    <t>자이가이스트</t>
  </si>
  <si>
    <t>케이피에스파트너스</t>
  </si>
  <si>
    <t>가톨릭중앙의료원</t>
  </si>
  <si>
    <t>쿠팡이츠</t>
  </si>
  <si>
    <t>중진공(스마트러닝)</t>
  </si>
  <si>
    <t>변경필요</t>
    <phoneticPr fontId="2" type="noConversion"/>
  </si>
  <si>
    <t>3월</t>
    <phoneticPr fontId="2" type="noConversion"/>
  </si>
  <si>
    <t>동아대학교 bk사업단(임차)</t>
  </si>
  <si>
    <t>EA Korea</t>
  </si>
  <si>
    <t>관세인재개발원</t>
  </si>
  <si>
    <t>신한라이프케어</t>
  </si>
  <si>
    <t>신한신용정보</t>
  </si>
  <si>
    <t>에스케이비앤티</t>
  </si>
  <si>
    <t>주식회사 피유엠피</t>
  </si>
  <si>
    <t>한화에스테이트서비스</t>
  </si>
  <si>
    <t>26. 이러닝 - 정부지원사업</t>
  </si>
  <si>
    <t>한국항공우주산업주식회사</t>
  </si>
  <si>
    <t>한전KDN(마일리지_24년)</t>
  </si>
  <si>
    <t>케이씨씨 중앙연구소</t>
  </si>
  <si>
    <t>안혜연</t>
  </si>
  <si>
    <t>2월</t>
    <phoneticPr fontId="2" type="noConversion"/>
  </si>
  <si>
    <t>데이터북(매출란)</t>
    <phoneticPr fontId="2" type="noConversion"/>
  </si>
  <si>
    <t>ERP 마감</t>
    <phoneticPr fontId="2" type="noConversion"/>
  </si>
  <si>
    <t>LH 바이패스 매출 확인필요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</si>
  <si>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</si>
  <si>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</si>
  <si>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</si>
  <si>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</si>
  <si>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</si>
  <si>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한국동서발전</t>
  </si>
  <si>
    <t>한성에프아이</t>
  </si>
  <si>
    <t>삼성물산 건설부문</t>
  </si>
  <si>
    <t>동양생명금융서비스</t>
  </si>
  <si>
    <t>SK매직</t>
  </si>
  <si>
    <t>에스원</t>
  </si>
  <si>
    <t>아이엠증권</t>
  </si>
  <si>
    <t>4월</t>
    <phoneticPr fontId="2" type="noConversion"/>
  </si>
  <si>
    <t>가톨릭대학교 산학협력단(안전보건)</t>
  </si>
  <si>
    <t>삼성전자로지텍</t>
  </si>
  <si>
    <t>중진공_마이크로러닝 임차</t>
  </si>
  <si>
    <t>데이터북(매출란)</t>
    <phoneticPr fontId="2" type="noConversion"/>
  </si>
  <si>
    <t>ERP 마감</t>
    <phoneticPr fontId="2" type="noConversion"/>
  </si>
  <si>
    <t>삼일PWC</t>
  </si>
  <si>
    <t>신한저축은행</t>
  </si>
  <si>
    <t>국제</t>
  </si>
  <si>
    <t>굿네이버스</t>
  </si>
  <si>
    <t>신규</t>
    <phoneticPr fontId="2" type="noConversion"/>
  </si>
  <si>
    <t>현대자동차 (저성과자코칭)</t>
  </si>
  <si>
    <t>5월</t>
    <phoneticPr fontId="2" type="noConversion"/>
  </si>
  <si>
    <t>한국원자력연료</t>
  </si>
  <si>
    <t>한국남부발전</t>
  </si>
  <si>
    <t>현대오일뱅크서울지점</t>
  </si>
  <si>
    <t>전북신용보증재단</t>
  </si>
  <si>
    <t>바이패스 포함</t>
    <phoneticPr fontId="2" type="noConversion"/>
  </si>
  <si>
    <t>아이엠금융지주</t>
  </si>
  <si>
    <t>두산건설</t>
  </si>
  <si>
    <t>한화_협력사</t>
  </si>
  <si>
    <t>한화솔루션_협력사</t>
  </si>
  <si>
    <t>한화시스템_협력사</t>
  </si>
  <si>
    <t>6월</t>
    <phoneticPr fontId="2" type="noConversion"/>
  </si>
  <si>
    <t>28.구독 - 휴넷FLEX</t>
  </si>
  <si>
    <t>대한조선(HRD아카이브)</t>
  </si>
  <si>
    <t>에이치엔씨네트워크</t>
  </si>
  <si>
    <t>27194</t>
  </si>
  <si>
    <t>유니스트(울산과학기술원)</t>
  </si>
  <si>
    <t>5월</t>
    <phoneticPr fontId="2" type="noConversion"/>
  </si>
  <si>
    <t>아이엠데이터시스템</t>
  </si>
  <si>
    <t>7월</t>
    <phoneticPr fontId="2" type="noConversion"/>
  </si>
  <si>
    <t>LG전자(SW역량강화팀)</t>
  </si>
  <si>
    <t>현대오씨아이</t>
  </si>
  <si>
    <t>26년
담당팀</t>
    <phoneticPr fontId="2" type="noConversion"/>
  </si>
  <si>
    <t>6월 예상</t>
    <phoneticPr fontId="2" type="noConversion"/>
  </si>
  <si>
    <t>7월 예상</t>
    <phoneticPr fontId="2" type="noConversion"/>
  </si>
  <si>
    <t>1월 예상</t>
    <phoneticPr fontId="2" type="noConversion"/>
  </si>
  <si>
    <t xml:space="preserve">25년
확정/가망/기회 </t>
    <phoneticPr fontId="2" type="noConversion"/>
  </si>
  <si>
    <t>26년 예상매출합계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</si>
  <si>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</si>
  <si>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차이</t>
    <phoneticPr fontId="2" type="noConversion"/>
  </si>
  <si>
    <t>서대원</t>
    <phoneticPr fontId="22" type="noConversion"/>
  </si>
  <si>
    <t>전보람</t>
    <phoneticPr fontId="22" type="noConversion"/>
  </si>
  <si>
    <t>최상근</t>
    <phoneticPr fontId="22" type="noConversion"/>
  </si>
  <si>
    <t>김묘정</t>
  </si>
  <si>
    <t>서동윤</t>
  </si>
  <si>
    <t>장윤오</t>
  </si>
  <si>
    <t>황재연</t>
  </si>
  <si>
    <t>이종혁</t>
  </si>
  <si>
    <t>고예서</t>
  </si>
  <si>
    <t>박혜원</t>
  </si>
  <si>
    <t>우희란</t>
    <phoneticPr fontId="22" type="noConversion"/>
  </si>
  <si>
    <t>서정용</t>
  </si>
  <si>
    <t>방인혜</t>
  </si>
  <si>
    <t>송승희</t>
  </si>
  <si>
    <t>김지훈</t>
  </si>
  <si>
    <t>이지송</t>
  </si>
  <si>
    <t>송민지</t>
  </si>
  <si>
    <t>박민우</t>
    <phoneticPr fontId="2" type="noConversion"/>
  </si>
  <si>
    <t>남만기</t>
    <phoneticPr fontId="22" type="noConversion"/>
  </si>
  <si>
    <t>유형석</t>
    <phoneticPr fontId="22" type="noConversion"/>
  </si>
  <si>
    <t>김지선</t>
    <phoneticPr fontId="22" type="noConversion"/>
  </si>
  <si>
    <t>황중목</t>
    <phoneticPr fontId="22" type="noConversion"/>
  </si>
  <si>
    <t>09 2025년 매출</t>
  </si>
  <si>
    <t>넥슨코리아(노션TF)</t>
  </si>
  <si>
    <t>국민건강보험공단(건강생활실천온라인교육)</t>
  </si>
  <si>
    <t>울산시청</t>
  </si>
  <si>
    <t>한국전력공사</t>
  </si>
  <si>
    <t>두산밥캣</t>
  </si>
  <si>
    <t>에스비아이저축은행</t>
  </si>
  <si>
    <t>LH중앙공동주택관리지원센터 (26년 과업)</t>
  </si>
  <si>
    <t>카카오엔터테인먼트(자회사)</t>
  </si>
  <si>
    <t>삼성에스디에스</t>
  </si>
  <si>
    <t>에스케이바이오사이언스</t>
  </si>
  <si>
    <t>합계 : 4월 예상</t>
  </si>
  <si>
    <t>합계 : 5월 예상</t>
  </si>
  <si>
    <t>합계 : 26년 예상매출합계</t>
  </si>
  <si>
    <t>(비어 있음)</t>
  </si>
  <si>
    <t>전주</t>
    <phoneticPr fontId="2" type="noConversion"/>
  </si>
  <si>
    <t>26년 영업대표
(To_be)</t>
    <phoneticPr fontId="2" type="noConversion"/>
  </si>
  <si>
    <t>26년 영업대표
(as_is)</t>
    <phoneticPr fontId="2" type="noConversion"/>
  </si>
  <si>
    <t>hl만도</t>
  </si>
  <si>
    <t>LS그룹공통연수원</t>
  </si>
  <si>
    <t>LS이모빌리티솔루션</t>
  </si>
  <si>
    <t>그랜드코리아레저</t>
  </si>
  <si>
    <t>신한아이타스</t>
  </si>
  <si>
    <t>이수화학</t>
  </si>
  <si>
    <t>한국미래소재</t>
  </si>
  <si>
    <t>청주성모병원</t>
  </si>
  <si>
    <t>한국경비협회</t>
  </si>
  <si>
    <t>한전KDN (24년)</t>
  </si>
  <si>
    <t>비씨카드(7~12월)</t>
  </si>
  <si>
    <t>삼성물산 건설부문(안전)</t>
  </si>
  <si>
    <t>삼성물산 건설부문(윤리)</t>
  </si>
  <si>
    <t>오리온(1~6월)</t>
  </si>
  <si>
    <t>오리온(7~12월)</t>
  </si>
  <si>
    <t>중진공(리더십및직무)</t>
  </si>
  <si>
    <t>한화세미텍</t>
  </si>
  <si>
    <t>한화오션(상반기)</t>
  </si>
  <si>
    <t>한화오션(하반기)</t>
  </si>
  <si>
    <t>한화파워시스템</t>
  </si>
  <si>
    <t>국립중앙박물관</t>
  </si>
  <si>
    <t>국토안전관리원</t>
  </si>
  <si>
    <t>에스케이이노베이션</t>
  </si>
  <si>
    <t>엔씨소프트서비스</t>
  </si>
  <si>
    <t>전남대학교병원(24년 미정산)</t>
  </si>
  <si>
    <t>카라이프서비스</t>
  </si>
  <si>
    <t>한국부동산원</t>
  </si>
  <si>
    <t>LG CNS(경영교육팀)</t>
  </si>
  <si>
    <t>LG CNS(리더십TF)</t>
  </si>
  <si>
    <t>LG생활건강</t>
  </si>
  <si>
    <t>LG인화원 (경영교육센터)</t>
  </si>
  <si>
    <t>LG인화원 (직무칼리지)</t>
  </si>
  <si>
    <t>LG전자</t>
  </si>
  <si>
    <t>LG전자(ES본부)</t>
  </si>
  <si>
    <t>LG전자(MS본부)</t>
  </si>
  <si>
    <t>LG전자(리더육성팀)</t>
  </si>
  <si>
    <t>LX인터내셔널(그룹 HR칼리지)</t>
  </si>
  <si>
    <t>경상남도 인재개발원</t>
  </si>
  <si>
    <t>모티프(24년 미정산)</t>
  </si>
  <si>
    <t>쌍용건설(핵심인재)</t>
  </si>
  <si>
    <t>의성스마트농업사업단</t>
  </si>
  <si>
    <t>인천국제공항보안(노사협력팀)</t>
  </si>
  <si>
    <t>현대로템(본사)</t>
  </si>
  <si>
    <t>현대로템(창원_세대소통)</t>
  </si>
  <si>
    <t>현대로템(창원_현장신입)</t>
  </si>
  <si>
    <t>희성촉매</t>
  </si>
  <si>
    <t>현대아이에스씨</t>
  </si>
  <si>
    <t>현대코퍼레이션</t>
  </si>
  <si>
    <t>공감이엔에스(구.삼천리이엔에스경인)</t>
  </si>
  <si>
    <t>글래드 호텔앤리조트(주) 메종 글래드 제주</t>
  </si>
  <si>
    <t>농촌진흥청 농촌인적자원개발센터(ATD)</t>
  </si>
  <si>
    <t>에스이엔에스(구.삼천리이엔에스경기)</t>
  </si>
  <si>
    <t>인아오리엔탈모터</t>
  </si>
  <si>
    <t>한전KDN(마일리지_바이패스)</t>
  </si>
  <si>
    <t>배정필요</t>
  </si>
  <si>
    <t>(중진공 창업처)청년장병교육</t>
  </si>
  <si>
    <t>대한조선</t>
  </si>
  <si>
    <t>시흥시청(평생교육원)</t>
  </si>
  <si>
    <t>엘지</t>
  </si>
  <si>
    <t>엘에스증권</t>
  </si>
  <si>
    <t>포스코건설(이앤씨)</t>
  </si>
  <si>
    <t>바텍이우홀딩스</t>
  </si>
  <si>
    <t>양은희</t>
  </si>
  <si>
    <t>한국병원약사회</t>
  </si>
  <si>
    <t>금주</t>
    <phoneticPr fontId="2" type="noConversion"/>
  </si>
  <si>
    <t>전주</t>
    <phoneticPr fontId="2" type="noConversion"/>
  </si>
  <si>
    <t>박정규</t>
    <phoneticPr fontId="2" type="noConversion"/>
  </si>
  <si>
    <t>이재성</t>
    <phoneticPr fontId="2" type="noConversion"/>
  </si>
  <si>
    <t>배정필요</t>
    <phoneticPr fontId="2" type="noConversion"/>
  </si>
  <si>
    <t>'26년 (1~12월)</t>
    <phoneticPr fontId="2" type="noConversion"/>
  </si>
  <si>
    <t>비고</t>
    <phoneticPr fontId="20" type="noConversion"/>
  </si>
  <si>
    <t>매출변동 사유</t>
    <phoneticPr fontId="2" type="noConversion"/>
  </si>
  <si>
    <t>12월 교육비 12월 발행</t>
  </si>
  <si>
    <t>2월 통합발행</t>
  </si>
  <si>
    <t>INVENI</t>
  </si>
  <si>
    <t>평택ENP</t>
  </si>
  <si>
    <t>LS마린솔루션</t>
  </si>
  <si>
    <t>LS머트리얼즈</t>
  </si>
  <si>
    <t>LS빌드윈</t>
  </si>
  <si>
    <t>LS알스코</t>
  </si>
  <si>
    <t>HAIMK</t>
  </si>
  <si>
    <t>LS에코에너지</t>
  </si>
  <si>
    <t>LS에코첨단소재</t>
  </si>
  <si>
    <t>지앤피</t>
  </si>
  <si>
    <t>확정전환</t>
  </si>
  <si>
    <t>장현아</t>
    <phoneticPr fontId="2" type="noConversion"/>
  </si>
  <si>
    <t>11. 구독 - 휴넷CEO멤버십</t>
  </si>
  <si>
    <t>15. 컨텐츠 - 컨텐츠 개발</t>
  </si>
  <si>
    <t>19. 운영 - BPO</t>
  </si>
  <si>
    <t>20. 운영 - 운영매출</t>
  </si>
  <si>
    <t>16. 솔루션 - LABS</t>
  </si>
  <si>
    <t>빗썸</t>
  </si>
  <si>
    <t>12. 구독 - 휴넷 리더십저니</t>
  </si>
  <si>
    <t>24. 기타 - 기타</t>
  </si>
  <si>
    <t>23. 기타 - 포럼</t>
  </si>
  <si>
    <t>18. 솔루션 - 기타</t>
  </si>
  <si>
    <t>13. 구독 - 휴넷FLEX</t>
  </si>
  <si>
    <t>06. 이러닝 - 정부지원사업</t>
  </si>
  <si>
    <t>14. 구독 - 기타</t>
  </si>
  <si>
    <t>17. 솔루션 - 러닝메이커</t>
  </si>
  <si>
    <t>한화엔진</t>
  </si>
  <si>
    <t>10. 하이브리드러닝 - 특강</t>
  </si>
  <si>
    <t>21. 운영 - 바이패스</t>
  </si>
  <si>
    <t>25. HU(B2C) - HU(B2C)</t>
  </si>
  <si>
    <t>26년 사업유형</t>
    <phoneticPr fontId="2" type="noConversion"/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</si>
  <si>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</si>
  <si>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</si>
  <si>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</si>
  <si>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</si>
  <si>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</si>
  <si>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</si>
  <si>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이태영</t>
  </si>
  <si>
    <t>고객사 요청으로 정산 주기 변경</t>
  </si>
  <si>
    <t>계열사 분리 정산에 대한 내부 협의로 2월 발행 요청</t>
  </si>
  <si>
    <t>공단 매출 익월 발행</t>
  </si>
  <si>
    <t>계산서 취소 및 2월 재발행 요청</t>
  </si>
  <si>
    <t>12월 교육비 활성화비로 차감</t>
  </si>
  <si>
    <t>AI Ready Leadership 온라인</t>
  </si>
  <si>
    <t>핵심 Target R/S 기업</t>
  </si>
  <si>
    <t>"O"로 표기해주세요.</t>
  </si>
  <si>
    <t>DL</t>
  </si>
  <si>
    <t>DL건설</t>
  </si>
  <si>
    <t>DL이앤씨</t>
  </si>
  <si>
    <t>DL케미칼</t>
  </si>
  <si>
    <t>기아 (안전보건 콘텐츠개발)</t>
  </si>
  <si>
    <t>기아(DEI과정개발,운영)</t>
  </si>
  <si>
    <t>기아(HR아카데미)</t>
  </si>
  <si>
    <t>기아(국내사업인재교육팀)</t>
  </si>
  <si>
    <t>기아(마이크로러닝)</t>
  </si>
  <si>
    <t>기아(안전보건콘텐츠)</t>
  </si>
  <si>
    <t>기아(오토랜드광명/보직과장)</t>
  </si>
  <si>
    <t>기아(터닝포인트리더십)</t>
  </si>
  <si>
    <t>기아(특별안전보건)</t>
  </si>
  <si>
    <t>기아(팀내재화워크숍)</t>
  </si>
  <si>
    <t>기아(포사이트포럼)</t>
  </si>
  <si>
    <t>대한상공회의소</t>
  </si>
  <si>
    <t>무림페이퍼</t>
  </si>
  <si>
    <t>아모레퍼시픽</t>
  </si>
  <si>
    <t>아모레퍼시픽 (미래역량스쿨)</t>
  </si>
  <si>
    <t>애경케미칼(24년 미정산)</t>
  </si>
  <si>
    <t>엘지유플러스</t>
  </si>
  <si>
    <t>엘지헬로비전</t>
  </si>
  <si>
    <t>유한킴벌리</t>
  </si>
  <si>
    <t>사업비 감소</t>
  </si>
  <si>
    <t>유한킴벌리(포사이트포럼)</t>
  </si>
  <si>
    <t>피아이첨단소재(24년 미정산)</t>
  </si>
  <si>
    <t>한국동서발전 (22-23년 과업)</t>
  </si>
  <si>
    <t>한국동서발전 (임피교육)</t>
  </si>
  <si>
    <t>한국법무보호복지공단 (25년 과업)</t>
  </si>
  <si>
    <t>한국지역정보개발원</t>
  </si>
  <si>
    <t>현대모비스</t>
  </si>
  <si>
    <t>현대모비스 (안전보건교육)</t>
  </si>
  <si>
    <t>현대엔지니어링 (임대/탄소중립)</t>
  </si>
  <si>
    <t>현대오일터미널</t>
  </si>
  <si>
    <t>현대오토에버 주식회사</t>
  </si>
  <si>
    <t>현대오토에버 주식회사 (마이크로러닝 임대)</t>
  </si>
  <si>
    <t>현대오토에버 주식회사 (마이크로러닝 임대, DX아카데미)</t>
  </si>
  <si>
    <t>현대오토에버 주식회사 (임대: 자금세탁방지)</t>
  </si>
  <si>
    <t>현대오토에버 주식회사 (자체LMS 운영)</t>
  </si>
  <si>
    <t>현대자동차 (HR지원팀/법정)</t>
  </si>
  <si>
    <t>현대자동차 (국내사업인재육성팀)</t>
  </si>
  <si>
    <t>현대자동차 (울산/화학물질 안전콘텐츠)</t>
  </si>
  <si>
    <t>현대자동차 (피플앤육성팀) (ATD)</t>
  </si>
  <si>
    <t>현대자동차 (피플앤육성팀) (HRD교육체계)</t>
  </si>
  <si>
    <t>현대자동차 (피플앤육성팀) (HRD칼리지)</t>
  </si>
  <si>
    <t>현대자동차 남양연구소</t>
  </si>
  <si>
    <t>현대자동차(남양연구소/주생시험안전교육)</t>
  </si>
  <si>
    <t>현대자동차(보안진단개선팀/물리보안가이드북(출판디자인))</t>
  </si>
  <si>
    <t>현대자동차(소방팀(울산)/PSM콘텐츠개발)</t>
  </si>
  <si>
    <t>현대자동차그룹 (노사기획팀/울산/PPT스킬업)</t>
  </si>
  <si>
    <t>현대자동차그룹 (안전팀/울산/영상편집특강)</t>
  </si>
  <si>
    <t>현대자동차그룹 (울산/정기안전보건교육)</t>
  </si>
  <si>
    <t>현대자동차그룹 글로벌상생협력센터 (법정 임대)</t>
  </si>
  <si>
    <t>현대자동차그룹 인재개발원(HRD아카데미)</t>
  </si>
  <si>
    <t>현대자동차그룹(서울/안전경영기획팀/정기안전보건교육)</t>
  </si>
  <si>
    <t>현대트랜시스</t>
  </si>
  <si>
    <t>현대트랜시스(팀장리더십)</t>
  </si>
  <si>
    <t>수협 법정은 이걸로 일괄관리</t>
  </si>
  <si>
    <t>경기도미래세대재단 청년본부</t>
  </si>
  <si>
    <t>중소벤처기업진흥공단</t>
  </si>
  <si>
    <t>중진공파트너스</t>
  </si>
  <si>
    <t>주식회사 아이엠에셋자산운용</t>
  </si>
  <si>
    <t>카카오페이손해보험</t>
  </si>
  <si>
    <t>기아(스텝업저니 임차)</t>
  </si>
  <si>
    <t>두산에너빌리티</t>
  </si>
  <si>
    <t>웃는땅콩어린이재단</t>
  </si>
  <si>
    <t>주식회사 테크타카</t>
  </si>
  <si>
    <t>한올바이오파마</t>
  </si>
  <si>
    <t>MNC솔루션</t>
  </si>
  <si>
    <t>디알비오토메이션</t>
  </si>
  <si>
    <t>한화63시티</t>
  </si>
  <si>
    <t>태극제약(25년 안전보건교육 정산)</t>
  </si>
  <si>
    <t>RS 매출 감소</t>
  </si>
  <si>
    <t>어학 턴키 3월 발행 / RS 매출 감소</t>
  </si>
  <si>
    <t>3월자 발행 완료</t>
  </si>
  <si>
    <t>개발비만 발행 / 운영비 3월 발행</t>
  </si>
  <si>
    <t>분기 종료 후 발행</t>
  </si>
  <si>
    <t>턴키 과정 3월 오픈으로 3월 발행</t>
  </si>
  <si>
    <t>입과 인원 감소</t>
  </si>
  <si>
    <t>최종금액</t>
  </si>
  <si>
    <t>농식품인재개발원</t>
  </si>
  <si>
    <t>기업명 (HSM 기준)</t>
    <phoneticPr fontId="2" type="noConversion"/>
  </si>
  <si>
    <t>기업명 (HSM 기준)</t>
    <phoneticPr fontId="2" type="noConversion"/>
  </si>
  <si>
    <t>26년 사업유형</t>
    <phoneticPr fontId="2" type="noConversion"/>
  </si>
  <si>
    <t>26년 사업유형</t>
    <phoneticPr fontId="2" type="noConversion"/>
  </si>
  <si>
    <t xml:space="preserve">26년
확정/가망/기회 </t>
    <phoneticPr fontId="2" type="noConversion"/>
  </si>
  <si>
    <t>개인작성</t>
    <phoneticPr fontId="2" type="noConversion"/>
  </si>
  <si>
    <t>팀 취합본</t>
    <phoneticPr fontId="2" type="noConversion"/>
  </si>
  <si>
    <t>검증구간</t>
    <phoneticPr fontId="2" type="noConversion"/>
  </si>
  <si>
    <t xml:space="preserve">26년 확정/가망/기회 </t>
    <phoneticPr fontId="2" type="noConversion"/>
  </si>
  <si>
    <t xml:space="preserve">26년 확정/가망/기회 </t>
    <phoneticPr fontId="2" type="noConversion"/>
  </si>
  <si>
    <t>사업전략팀 용 시트</t>
    <phoneticPr fontId="2" type="noConversion"/>
  </si>
  <si>
    <t>2월 미발행</t>
  </si>
  <si>
    <t>코원에너지서비스</t>
  </si>
  <si>
    <t>영업기회코드</t>
    <phoneticPr fontId="2" type="noConversion"/>
  </si>
  <si>
    <t>O</t>
  </si>
  <si>
    <t>라이브온보훈</t>
  </si>
  <si>
    <t>에스피씨 gfs</t>
  </si>
  <si>
    <t>신규등록</t>
  </si>
  <si>
    <t>신한자산운용</t>
  </si>
  <si>
    <t>LS티라유텍 플렉스</t>
  </si>
  <si>
    <t>한전KDN(AI아카데미)</t>
  </si>
  <si>
    <t>서울아산병원 내과</t>
  </si>
  <si>
    <t>한국남동발전(힐링프로그램)</t>
  </si>
  <si>
    <t>광주교통공사</t>
  </si>
  <si>
    <t>아이엠라이프생명</t>
  </si>
  <si>
    <t>(주)이건창호</t>
  </si>
  <si>
    <t>한화에너지㈜</t>
  </si>
  <si>
    <t>한국승강기안전공단</t>
  </si>
  <si>
    <t>현대경제연구원(국방전직교육원 정산)</t>
  </si>
  <si>
    <t>SK에코플랜트</t>
  </si>
  <si>
    <t>LG생활건강(ESG팀)</t>
  </si>
  <si>
    <t>LG전자(주재원)</t>
  </si>
  <si>
    <t>현대로템(창원_신임조장)</t>
  </si>
  <si>
    <t>동우화인켐(업무혁신팀)</t>
  </si>
  <si>
    <t>선금 금액 변경</t>
  </si>
  <si>
    <t>매출감소</t>
  </si>
  <si>
    <t>매출증가</t>
  </si>
  <si>
    <t>26년 1월로 비용청구 변경</t>
  </si>
  <si>
    <t>매출 감소</t>
  </si>
  <si>
    <t>현대모비스(플렉스)</t>
  </si>
  <si>
    <t>하이트진로</t>
  </si>
  <si>
    <t>25년 12월로 매출 당겨짐</t>
  </si>
  <si>
    <t>기아(KVO)</t>
  </si>
  <si>
    <t>현대자동차</t>
  </si>
  <si>
    <t>중외제약</t>
  </si>
  <si>
    <t>병원약학교육연구원_A25</t>
  </si>
  <si>
    <t>한국병원약사회_A25</t>
  </si>
  <si>
    <t>★수정금지★</t>
    <phoneticPr fontId="2" type="noConversion"/>
  </si>
  <si>
    <t xml:space="preserve">25년 매출
수정금액 작성 </t>
    <phoneticPr fontId="2" type="noConversion"/>
  </si>
  <si>
    <t>25년 매출
(원본/수정금지)</t>
    <phoneticPr fontId="2" type="noConversion"/>
  </si>
  <si>
    <t>↓수정 금액 작성</t>
    <phoneticPr fontId="2" type="noConversion"/>
  </si>
  <si>
    <t>수료 확인 후 4월 발행</t>
  </si>
  <si>
    <t>25년 오발행 건</t>
  </si>
  <si>
    <t>교육일정연기</t>
  </si>
  <si>
    <t>한화시스템</t>
    <phoneticPr fontId="2" type="noConversion"/>
  </si>
  <si>
    <t>삼천리이엔지</t>
    <phoneticPr fontId="2" type="noConversion"/>
  </si>
  <si>
    <t>고유번호</t>
    <phoneticPr fontId="2" type="noConversion"/>
  </si>
  <si>
    <t>한국전력공사(KEMPUS+)</t>
    <phoneticPr fontId="2" type="noConversion"/>
  </si>
  <si>
    <t>21. 운영 - 바이패스</t>
    <phoneticPr fontId="2" type="noConversion"/>
  </si>
  <si>
    <t>케이씨씨 중앙연구소</t>
    <phoneticPr fontId="2" type="noConversion"/>
  </si>
  <si>
    <t>LG생활건강(지식공간)</t>
    <phoneticPr fontId="2" type="noConversion"/>
  </si>
  <si>
    <t>LG전자(러닝센터)</t>
    <phoneticPr fontId="2" type="noConversion"/>
  </si>
  <si>
    <t>현대모비스(특강)</t>
    <phoneticPr fontId="2" type="noConversion"/>
  </si>
  <si>
    <t>계열사별 턴키 금액 분할 검토로 4월 발행 예정</t>
  </si>
  <si>
    <t>턴키, RS 활용 예산 금액 변경으로 4월 발행 예정</t>
  </si>
  <si>
    <t>잔금 일시 변경</t>
  </si>
  <si>
    <t>rs 매출 변동</t>
  </si>
  <si>
    <t>KT alpha</t>
    <phoneticPr fontId="2" type="noConversion"/>
  </si>
  <si>
    <t>한국능률협회(포사이트포럼)</t>
    <phoneticPr fontId="2" type="noConversion"/>
  </si>
  <si>
    <t>건강보험공단 계산서 발행 이월</t>
  </si>
  <si>
    <t>건생실지 계산서 발행 이월</t>
  </si>
  <si>
    <t>아이엠금융지주 계산서 발행 이월</t>
  </si>
  <si>
    <t>아이엠뱅크 3월 계산서 이월 발행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</si>
  <si>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</si>
  <si>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</si>
  <si>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</si>
  <si>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</si>
  <si>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</si>
  <si>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</si>
  <si>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현대위아 (특강)</t>
    <phoneticPr fontId="2" type="noConversion"/>
  </si>
  <si>
    <t>수산업협동조합중앙회 (금융권 정보보호교육)</t>
    <phoneticPr fontId="2" type="noConversion"/>
  </si>
  <si>
    <t>한국건설엔지니어링협회</t>
    <phoneticPr fontId="2" type="noConversion"/>
  </si>
  <si>
    <t>12월 일괄발행 협의</t>
  </si>
  <si>
    <t>4월발행</t>
  </si>
  <si>
    <t>25년 선발행금 처리 중</t>
  </si>
  <si>
    <t>신청월 익월 발행</t>
  </si>
  <si>
    <t>10월 이월</t>
  </si>
  <si>
    <t>4월 이월</t>
  </si>
  <si>
    <t>금액오기</t>
  </si>
  <si>
    <t>에스케이엠앤서비스_마이써니</t>
    <phoneticPr fontId="2" type="noConversion"/>
  </si>
  <si>
    <t>한국생명공학연구원</t>
    <phoneticPr fontId="2" type="noConversion"/>
  </si>
  <si>
    <t>한국기상산업기술원(외부교육)</t>
    <phoneticPr fontId="2" type="noConversion"/>
  </si>
  <si>
    <t>글락소스미스클라인</t>
    <phoneticPr fontId="2" type="noConversion"/>
  </si>
  <si>
    <t>07. 이러닝 - 컨텐츠 임대/판매</t>
    <phoneticPr fontId="2" type="noConversion"/>
  </si>
  <si>
    <t>2월 매출</t>
    <phoneticPr fontId="2" type="noConversion"/>
  </si>
  <si>
    <t>1월 매출</t>
    <phoneticPr fontId="2" type="noConversion"/>
  </si>
  <si>
    <t>3월 매출</t>
    <phoneticPr fontId="2" type="noConversion"/>
  </si>
  <si>
    <t>합계 : 1월 매출</t>
  </si>
  <si>
    <t>합계 : 2월 매출</t>
  </si>
  <si>
    <t>합계 : 3월 매출</t>
  </si>
  <si>
    <t>LS엠트론</t>
    <phoneticPr fontId="2" type="noConversion"/>
  </si>
  <si>
    <t>k</t>
    <phoneticPr fontId="2" type="noConversion"/>
  </si>
  <si>
    <t>01 확정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</si>
</sst>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0" tint="-0.249977111117893"/>
      <name val="맑은 고딕"/>
      <family val="2"/>
      <charset val="129"/>
      <scheme val="minor"/>
    </font>
    <font>
      <b/>
      <sz val="10"/>
      <color theme="0" tint="-0.49998474074526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name val="맑은 고딕"/>
      <family val="2"/>
      <charset val="129"/>
      <scheme val="minor"/>
    </font>
    <font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0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8" fillId="0" borderId="0"/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4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176" fontId="0" fillId="0" borderId="2" xfId="1" applyFont="1" applyFill="1" applyBorder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0" fillId="0" borderId="3" xfId="0" applyBorder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Fill="1" applyBorder="1" applyAlignment="1">
      <alignment horizontal="center" vertical="center" shrinkToFit="1"/>
    </xf>
    <xf numFmtId="0" fontId="0" fillId="0" borderId="2" xfId="0" applyFill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 applyAlignment="1">
      <alignment horizontal="center" vertical="top"/>
    </xf>
    <xf numFmtId="14" fontId="0" fillId="0" borderId="2" xfId="0" applyNumberFormat="1" applyFill="1" applyBorder="1">
      <alignment vertical="center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0" fontId="30" fillId="0" borderId="2" xfId="0" applyFont="1" applyBorder="1" applyAlignment="1">
      <alignment horizontal="center" vertical="center"/>
    </xf>
    <xf numFmtId="14" fontId="29" fillId="0" borderId="15" xfId="0" applyNumberFormat="1" applyFont="1" applyBorder="1">
      <alignment vertic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5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80" fontId="5" fillId="3" borderId="31" xfId="0" applyNumberFormat="1" applyFont="1" applyFill="1" applyBorder="1" applyAlignment="1">
      <alignment horizontal="right" vertical="center"/>
    </xf>
    <xf numFmtId="180" fontId="15" fillId="3" borderId="2" xfId="0" applyNumberFormat="1" applyFont="1" applyFill="1" applyBorder="1">
      <alignment vertical="center"/>
    </xf>
    <xf numFmtId="180" fontId="10" fillId="0" borderId="2" xfId="0" applyNumberFormat="1" applyFont="1" applyBorder="1">
      <alignment vertical="center"/>
    </xf>
    <xf numFmtId="180" fontId="15" fillId="3" borderId="3" xfId="0" applyNumberFormat="1" applyFont="1" applyFill="1" applyBorder="1">
      <alignment vertical="center"/>
    </xf>
    <xf numFmtId="180" fontId="15" fillId="3" borderId="4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178" fontId="0" fillId="0" borderId="0" xfId="0" applyNumberFormat="1" applyFill="1">
      <alignment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5" fillId="18" borderId="25" xfId="0" applyNumberFormat="1" applyFont="1" applyFill="1" applyBorder="1" applyAlignment="1">
      <alignment horizontal="right" vertical="center"/>
    </xf>
    <xf numFmtId="180" fontId="8" fillId="18" borderId="4" xfId="0" applyNumberFormat="1" applyFont="1" applyFill="1" applyBorder="1">
      <alignment vertical="center"/>
    </xf>
    <xf numFmtId="180" fontId="8" fillId="18" borderId="26" xfId="0" applyNumberFormat="1" applyFont="1" applyFill="1" applyBorder="1">
      <alignment vertical="center"/>
    </xf>
    <xf numFmtId="180" fontId="8" fillId="18" borderId="27" xfId="0" applyNumberFormat="1" applyFont="1" applyFill="1" applyBorder="1">
      <alignment vertical="center"/>
    </xf>
    <xf numFmtId="180" fontId="8" fillId="18" borderId="28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178" fontId="0" fillId="19" borderId="2" xfId="0" applyNumberFormat="1" applyFill="1" applyBorder="1" applyAlignment="1">
      <alignment horizontal="center" vertical="center" shrinkToFit="1"/>
    </xf>
    <xf numFmtId="14" fontId="0" fillId="19" borderId="2" xfId="0" applyNumberFormat="1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176" fontId="0" fillId="19" borderId="2" xfId="1" applyFont="1" applyFill="1" applyBorder="1">
      <alignment vertical="center"/>
    </xf>
    <xf numFmtId="176" fontId="0" fillId="19" borderId="2" xfId="1" applyFont="1" applyFill="1" applyBorder="1" applyAlignment="1">
      <alignment horizontal="center" vertical="center"/>
    </xf>
    <xf numFmtId="0" fontId="0" fillId="19" borderId="2" xfId="0" applyFill="1" applyBorder="1">
      <alignment vertical="center"/>
    </xf>
    <xf numFmtId="14" fontId="0" fillId="19" borderId="2" xfId="0" applyNumberFormat="1" applyFill="1" applyBorder="1">
      <alignment vertical="center"/>
    </xf>
    <xf numFmtId="0" fontId="0" fillId="19" borderId="0" xfId="0" applyFill="1">
      <alignment vertical="center"/>
    </xf>
    <xf numFmtId="177" fontId="0" fillId="19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0" fillId="0" borderId="2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41" fontId="0" fillId="0" borderId="2" xfId="3" applyFont="1" applyBorder="1">
      <alignment vertical="center"/>
    </xf>
    <xf numFmtId="0" fontId="9" fillId="0" borderId="0" xfId="0" pivotButton="1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3" fontId="9" fillId="0" borderId="0" xfId="0" pivotButton="1" applyNumberFormat="1" applyFont="1">
      <alignment vertical="center"/>
    </xf>
    <xf numFmtId="0" fontId="9" fillId="0" borderId="0" xfId="0" applyFont="1">
      <alignment vertical="center"/>
    </xf>
    <xf numFmtId="176" fontId="0" fillId="0" borderId="2" xfId="1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/>
    </xf>
    <xf numFmtId="176" fontId="41" fillId="0" borderId="0" xfId="1" applyFont="1">
      <alignment vertical="center"/>
    </xf>
    <xf numFmtId="176" fontId="41" fillId="0" borderId="0" xfId="1" applyFont="1" applyAlignment="1">
      <alignment horizontal="left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5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41" fontId="42" fillId="0" borderId="0" xfId="0" applyNumberFormat="1" applyFont="1">
      <alignment vertical="center"/>
    </xf>
    <xf numFmtId="41" fontId="23" fillId="0" borderId="0" xfId="0" applyNumberFormat="1" applyFont="1">
      <alignment vertical="center"/>
    </xf>
    <xf numFmtId="0" fontId="42" fillId="0" borderId="0" xfId="0" pivotButton="1" applyFont="1">
      <alignment vertical="center"/>
    </xf>
    <xf numFmtId="0" fontId="42" fillId="0" borderId="0" xfId="0" applyFont="1" applyAlignment="1">
      <alignment horizontal="left" vertical="center"/>
    </xf>
    <xf numFmtId="0" fontId="42" fillId="0" borderId="0" xfId="0" applyFont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76" fontId="3" fillId="0" borderId="0" xfId="1" applyFont="1" applyProtection="1">
      <alignment vertical="center"/>
      <protection locked="0"/>
    </xf>
    <xf numFmtId="14" fontId="3" fillId="0" borderId="0" xfId="1" applyNumberFormat="1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176" fontId="0" fillId="0" borderId="0" xfId="1" applyFont="1" applyFill="1" applyProtection="1">
      <alignment vertical="center"/>
      <protection locked="0"/>
    </xf>
    <xf numFmtId="176" fontId="3" fillId="0" borderId="0" xfId="1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25" fillId="12" borderId="2" xfId="0" applyFont="1" applyFill="1" applyBorder="1" applyAlignment="1" applyProtection="1">
      <alignment horizontal="center" vertical="center"/>
      <protection locked="0"/>
    </xf>
    <xf numFmtId="0" fontId="43" fillId="12" borderId="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0" fontId="11" fillId="6" borderId="2" xfId="0" applyFont="1" applyFill="1" applyBorder="1" applyAlignment="1" applyProtection="1">
      <alignment horizontal="center" vertical="center"/>
      <protection locked="0"/>
    </xf>
    <xf numFmtId="176" fontId="3" fillId="0" borderId="2" xfId="1" applyFont="1" applyFill="1" applyBorder="1" applyAlignment="1" applyProtection="1">
      <alignment vertical="center" shrinkToFit="1"/>
      <protection locked="0"/>
    </xf>
    <xf numFmtId="176" fontId="0" fillId="0" borderId="2" xfId="1" applyFont="1" applyBorder="1" applyAlignment="1" applyProtection="1">
      <alignment horizontal="center" vertical="center" shrinkToFit="1"/>
      <protection locked="0"/>
    </xf>
    <xf numFmtId="176" fontId="3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44" fillId="0" borderId="2" xfId="0" applyNumberFormat="1" applyFont="1" applyBorder="1" applyAlignment="1" applyProtection="1">
      <alignment vertical="center" shrinkToFit="1"/>
      <protection locked="0"/>
    </xf>
    <xf numFmtId="0" fontId="44" fillId="0" borderId="0" xfId="0" applyNumberFormat="1" applyFont="1" applyFill="1" applyBorder="1" applyAlignment="1" applyProtection="1">
      <alignment vertical="center" shrinkToFit="1"/>
      <protection locked="0"/>
    </xf>
    <xf numFmtId="0" fontId="11" fillId="20" borderId="2" xfId="0" applyFont="1" applyFill="1" applyBorder="1" applyAlignment="1" applyProtection="1">
      <alignment horizontal="center" vertical="center"/>
      <protection locked="0"/>
    </xf>
    <xf numFmtId="176" fontId="3" fillId="20" borderId="2" xfId="1" applyFont="1" applyFill="1" applyBorder="1" applyAlignment="1" applyProtection="1">
      <alignment vertical="center" shrinkToFit="1"/>
      <protection locked="0"/>
    </xf>
    <xf numFmtId="176" fontId="3" fillId="20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20" borderId="2" xfId="0" applyFont="1" applyFill="1" applyBorder="1" applyAlignment="1" applyProtection="1">
      <alignment vertical="center" shrinkToFit="1"/>
      <protection locked="0"/>
    </xf>
    <xf numFmtId="0" fontId="43" fillId="0" borderId="0" xfId="0" applyFont="1" applyFill="1" applyBorder="1" applyAlignment="1" applyProtection="1">
      <alignment vertical="center" shrinkToFit="1"/>
      <protection locked="0"/>
    </xf>
    <xf numFmtId="0" fontId="25" fillId="11" borderId="2" xfId="0" applyFont="1" applyFill="1" applyBorder="1" applyAlignment="1" applyProtection="1">
      <alignment horizontal="center" vertical="center" shrinkToFit="1"/>
      <protection locked="0"/>
    </xf>
    <xf numFmtId="176" fontId="25" fillId="14" borderId="2" xfId="1" applyFont="1" applyFill="1" applyBorder="1" applyAlignment="1" applyProtection="1">
      <alignment vertical="center" shrinkToFit="1"/>
      <protection locked="0"/>
    </xf>
    <xf numFmtId="176" fontId="25" fillId="14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14" borderId="2" xfId="0" applyFont="1" applyFill="1" applyBorder="1" applyAlignment="1" applyProtection="1">
      <alignment vertical="center" shrinkToFi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176" fontId="39" fillId="0" borderId="0" xfId="1" applyFont="1" applyProtection="1">
      <alignment vertical="center"/>
      <protection locked="0"/>
    </xf>
    <xf numFmtId="176" fontId="40" fillId="0" borderId="0" xfId="1" applyFont="1" applyFill="1" applyAlignment="1" applyProtection="1">
      <alignment horizontal="center" vertical="center" wrapTex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center" vertical="center" shrinkToFit="1"/>
      <protection locked="0"/>
    </xf>
    <xf numFmtId="0" fontId="28" fillId="0" borderId="0" xfId="0" applyFont="1" applyAlignment="1" applyProtection="1">
      <alignment horizontal="center" vertical="center" shrinkToFit="1"/>
      <protection locked="0"/>
    </xf>
    <xf numFmtId="176" fontId="10" fillId="0" borderId="2" xfId="1" applyFont="1" applyFill="1" applyBorder="1" applyAlignment="1" applyProtection="1">
      <alignment vertical="center" shrinkToFit="1"/>
      <protection locked="0"/>
    </xf>
    <xf numFmtId="177" fontId="10" fillId="0" borderId="2" xfId="0" applyNumberFormat="1" applyFont="1" applyFill="1" applyBorder="1" applyAlignment="1" applyProtection="1">
      <alignment horizontal="center" vertical="center" shrinkToFit="1"/>
      <protection locked="0"/>
    </xf>
    <xf numFmtId="177" fontId="10" fillId="3" borderId="2" xfId="0" applyNumberFormat="1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vertical="center" shrinkToFit="1"/>
      <protection locked="0"/>
    </xf>
    <xf numFmtId="177" fontId="11" fillId="2" borderId="2" xfId="0" applyNumberFormat="1" applyFont="1" applyFill="1" applyBorder="1" applyAlignment="1" applyProtection="1">
      <alignment vertical="center" shrinkToFit="1"/>
      <protection locked="0"/>
    </xf>
    <xf numFmtId="176" fontId="9" fillId="0" borderId="2" xfId="1" applyFont="1" applyFill="1" applyBorder="1" applyAlignment="1" applyProtection="1">
      <alignment vertical="center" shrinkToFit="1"/>
      <protection locked="0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8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25" fillId="5" borderId="2" xfId="0" applyFont="1" applyFill="1" applyBorder="1" applyAlignment="1" applyProtection="1">
      <alignment horizontal="center" vertical="center" wrapText="1" shrinkToFit="1"/>
      <protection locked="0"/>
    </xf>
    <xf numFmtId="0" fontId="25" fillId="2" borderId="4" xfId="0" applyFont="1" applyFill="1" applyBorder="1" applyAlignment="1" applyProtection="1">
      <alignment horizontal="center" vertical="center" wrapText="1" shrinkToFit="1"/>
      <protection locked="0"/>
    </xf>
    <xf numFmtId="0" fontId="15" fillId="2" borderId="33" xfId="0" applyFont="1" applyFill="1" applyBorder="1" applyAlignment="1" applyProtection="1">
      <alignment horizontal="center" vertical="center" wrapText="1" shrinkToFit="1"/>
      <protection locked="0"/>
    </xf>
    <xf numFmtId="0" fontId="15" fillId="21" borderId="32" xfId="0" applyFont="1" applyFill="1" applyBorder="1" applyAlignment="1" applyProtection="1">
      <alignment horizontal="center" vertical="center" wrapText="1" shrinkToFit="1"/>
      <protection locked="0"/>
    </xf>
    <xf numFmtId="0" fontId="13" fillId="5" borderId="3" xfId="0" applyFont="1" applyFill="1" applyBorder="1" applyAlignment="1" applyProtection="1">
      <alignment horizontal="center" vertical="center" shrinkToFit="1"/>
      <protection locked="0"/>
    </xf>
    <xf numFmtId="0" fontId="25" fillId="5" borderId="2" xfId="0" applyFont="1" applyFill="1" applyBorder="1" applyAlignment="1" applyProtection="1">
      <alignment horizontal="center" vertical="center" shrinkToFit="1"/>
      <protection locked="0"/>
    </xf>
    <xf numFmtId="0" fontId="13" fillId="5" borderId="2" xfId="0" applyFont="1" applyFill="1" applyBorder="1" applyAlignment="1" applyProtection="1">
      <alignment horizontal="center" vertical="center" wrapText="1" shrinkToFit="1"/>
      <protection locked="0"/>
    </xf>
    <xf numFmtId="0" fontId="13" fillId="5" borderId="2" xfId="0" applyFont="1" applyFill="1" applyBorder="1" applyAlignment="1" applyProtection="1">
      <alignment horizontal="center" vertical="center" shrinkToFit="1"/>
      <protection locked="0"/>
    </xf>
    <xf numFmtId="0" fontId="13" fillId="2" borderId="2" xfId="0" applyFont="1" applyFill="1" applyBorder="1" applyAlignment="1" applyProtection="1">
      <alignment horizontal="center" vertical="center" shrinkToFit="1"/>
      <protection locked="0"/>
    </xf>
    <xf numFmtId="0" fontId="13" fillId="9" borderId="2" xfId="0" applyFont="1" applyFill="1" applyBorder="1" applyAlignment="1" applyProtection="1">
      <alignment horizontal="center" vertical="center" shrinkToFit="1"/>
      <protection locked="0"/>
    </xf>
    <xf numFmtId="176" fontId="13" fillId="6" borderId="2" xfId="1" applyFont="1" applyFill="1" applyBorder="1" applyAlignment="1" applyProtection="1">
      <alignment horizontal="center" vertical="center" shrinkToFit="1"/>
      <protection locked="0"/>
    </xf>
    <xf numFmtId="176" fontId="13" fillId="22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0" fontId="13" fillId="0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13" fillId="3" borderId="2" xfId="0" quotePrefix="1" applyFont="1" applyFill="1" applyBorder="1" applyAlignment="1" applyProtection="1">
      <alignment horizontal="center" vertical="center" wrapText="1" shrinkToFit="1"/>
      <protection locked="0"/>
    </xf>
    <xf numFmtId="177" fontId="13" fillId="3" borderId="2" xfId="0" applyNumberFormat="1" applyFont="1" applyFill="1" applyBorder="1" applyAlignment="1" applyProtection="1">
      <alignment horizontal="center" vertical="center" shrinkToFit="1"/>
      <protection locked="0"/>
    </xf>
    <xf numFmtId="176" fontId="12" fillId="3" borderId="2" xfId="1" applyFont="1" applyFill="1" applyBorder="1" applyAlignment="1" applyProtection="1">
      <alignment horizontal="center" vertical="center" shrinkToFit="1"/>
      <protection locked="0"/>
    </xf>
    <xf numFmtId="176" fontId="12" fillId="2" borderId="2" xfId="1" applyFont="1" applyFill="1" applyBorder="1" applyAlignment="1" applyProtection="1">
      <alignment horizontal="center" vertical="center" shrinkToFit="1"/>
      <protection locked="0"/>
    </xf>
    <xf numFmtId="176" fontId="13" fillId="3" borderId="2" xfId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Fill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4" xfId="0" applyFont="1" applyFill="1" applyBorder="1" applyAlignment="1" applyProtection="1">
      <alignment horizontal="center" vertical="center" shrinkToFit="1"/>
      <protection locked="0"/>
    </xf>
    <xf numFmtId="0" fontId="11" fillId="13" borderId="35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5" fillId="0" borderId="0" xfId="0" applyFont="1" applyFill="1" applyProtection="1">
      <alignment vertical="center"/>
      <protection locked="0"/>
    </xf>
    <xf numFmtId="41" fontId="11" fillId="22" borderId="2" xfId="3" applyFont="1" applyFill="1" applyBorder="1" applyAlignment="1" applyProtection="1">
      <alignment horizontal="right" vertical="center" shrinkToFit="1"/>
    </xf>
    <xf numFmtId="0" fontId="3" fillId="0" borderId="0" xfId="0" applyFont="1" applyFill="1" applyAlignment="1" applyProtection="1">
      <alignment horizontal="center" vertical="center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20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20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0" fillId="2" borderId="2" xfId="1" applyFont="1" applyFill="1" applyBorder="1" applyAlignment="1" applyProtection="1">
      <alignment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37" fillId="10" borderId="7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 applyProtection="1">
      <alignment horizontal="center" vertical="top" wrapText="1" shrinkToFit="1"/>
      <protection locked="0"/>
    </xf>
    <xf numFmtId="0" fontId="26" fillId="0" borderId="1" xfId="0" applyFont="1" applyFill="1" applyBorder="1" applyAlignment="1" applyProtection="1">
      <alignment horizontal="center" vertical="top" wrapText="1" shrinkToFit="1"/>
      <protection locked="0"/>
    </xf>
    <xf numFmtId="0" fontId="26" fillId="0" borderId="10" xfId="0" applyFont="1" applyFill="1" applyBorder="1" applyAlignment="1" applyProtection="1">
      <alignment horizontal="center" vertical="top" wrapText="1" shrinkToFit="1"/>
      <protection locked="0"/>
    </xf>
    <xf numFmtId="0" fontId="26" fillId="0" borderId="11" xfId="0" applyFont="1" applyFill="1" applyBorder="1" applyAlignment="1" applyProtection="1">
      <alignment horizontal="center" vertical="top" wrapText="1" shrinkToFit="1"/>
      <protection locked="0"/>
    </xf>
    <xf numFmtId="0" fontId="26" fillId="0" borderId="0" xfId="0" applyFont="1" applyFill="1" applyBorder="1" applyAlignment="1" applyProtection="1">
      <alignment horizontal="center" vertical="top" wrapText="1" shrinkToFit="1"/>
      <protection locked="0"/>
    </xf>
    <xf numFmtId="0" fontId="26" fillId="0" borderId="12" xfId="0" applyFont="1" applyFill="1" applyBorder="1" applyAlignment="1" applyProtection="1">
      <alignment horizontal="center" vertical="top" wrapText="1" shrinkToFit="1"/>
      <protection locked="0"/>
    </xf>
    <xf numFmtId="0" fontId="26" fillId="0" borderId="13" xfId="0" applyFont="1" applyFill="1" applyBorder="1" applyAlignment="1" applyProtection="1">
      <alignment horizontal="center" vertical="top" wrapText="1" shrinkToFit="1"/>
      <protection locked="0"/>
    </xf>
    <xf numFmtId="0" fontId="26" fillId="0" borderId="7" xfId="0" applyFont="1" applyFill="1" applyBorder="1" applyAlignment="1" applyProtection="1">
      <alignment horizontal="center" vertical="top" wrapText="1" shrinkToFit="1"/>
      <protection locked="0"/>
    </xf>
    <xf numFmtId="0" fontId="26" fillId="0" borderId="14" xfId="0" applyFont="1" applyFill="1" applyBorder="1" applyAlignment="1" applyProtection="1">
      <alignment horizontal="center" vertical="top" wrapText="1" shrinkToFit="1"/>
      <protection locked="0"/>
    </xf>
    <xf numFmtId="176" fontId="15" fillId="0" borderId="0" xfId="1" applyFont="1" applyFill="1" applyAlignment="1" applyProtection="1">
      <alignment horizontal="center" vertical="center" wrapText="1"/>
      <protection locked="0"/>
    </xf>
    <xf numFmtId="176" fontId="15" fillId="0" borderId="7" xfId="1" applyFont="1" applyFill="1" applyBorder="1" applyAlignment="1" applyProtection="1">
      <alignment horizontal="center" vertical="center" wrapText="1"/>
      <protection locked="0"/>
    </xf>
    <xf numFmtId="0" fontId="25" fillId="13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1" fillId="13" borderId="2" xfId="0" applyFont="1" applyFill="1" applyBorder="1" applyAlignment="1" applyProtection="1">
      <alignment horizontal="center" vertical="center" shrinkToFit="1"/>
      <protection locked="0"/>
    </xf>
  </cellXfs>
  <cellStyles count="60">
    <cellStyle name="백분율" xfId="2" builtinId="5"/>
    <cellStyle name="쉼표 [0]" xfId="1" builtinId="6"/>
    <cellStyle name="쉼표 [0] 10" xfId="3"/>
    <cellStyle name="쉼표 [0] 10 2" xfId="4"/>
    <cellStyle name="쉼표 [0] 10 2 2" xfId="10"/>
    <cellStyle name="쉼표 [0] 10 2 2 2" xfId="24"/>
    <cellStyle name="쉼표 [0] 10 2 2 2 2" xfId="50"/>
    <cellStyle name="쉼표 [0] 10 2 2 3" xfId="37"/>
    <cellStyle name="쉼표 [0] 10 2 3" xfId="16"/>
    <cellStyle name="쉼표 [0] 10 2 3 2" xfId="29"/>
    <cellStyle name="쉼표 [0] 10 2 3 2 2" xfId="55"/>
    <cellStyle name="쉼표 [0] 10 2 3 3" xfId="42"/>
    <cellStyle name="쉼표 [0] 10 2 4" xfId="22"/>
    <cellStyle name="쉼표 [0] 10 2 4 2" xfId="48"/>
    <cellStyle name="쉼표 [0] 10 2 5" xfId="35"/>
    <cellStyle name="쉼표 [0] 10 3" xfId="9"/>
    <cellStyle name="쉼표 [0] 10 3 2" xfId="23"/>
    <cellStyle name="쉼표 [0] 10 3 2 2" xfId="49"/>
    <cellStyle name="쉼표 [0] 10 3 3" xfId="36"/>
    <cellStyle name="쉼표 [0] 10 4" xfId="15"/>
    <cellStyle name="쉼표 [0] 10 4 2" xfId="28"/>
    <cellStyle name="쉼표 [0] 10 4 2 2" xfId="54"/>
    <cellStyle name="쉼표 [0] 10 4 3" xfId="41"/>
    <cellStyle name="쉼표 [0] 10 5" xfId="21"/>
    <cellStyle name="쉼표 [0] 10 5 2" xfId="47"/>
    <cellStyle name="쉼표 [0] 10 6" xfId="34"/>
    <cellStyle name="쉼표 [0] 2" xfId="7"/>
    <cellStyle name="쉼표 [0] 2 2" xfId="8"/>
    <cellStyle name="쉼표 [0] 2 2 2" xfId="12"/>
    <cellStyle name="쉼표 [0] 2 2 2 2" xfId="20"/>
    <cellStyle name="쉼표 [0] 2 2 2 2 2" xfId="33"/>
    <cellStyle name="쉼표 [0] 2 2 2 2 2 2" xfId="59"/>
    <cellStyle name="쉼표 [0] 2 2 2 2 3" xfId="46"/>
    <cellStyle name="쉼표 [0] 2 2 2 3" xfId="26"/>
    <cellStyle name="쉼표 [0] 2 2 2 3 2" xfId="52"/>
    <cellStyle name="쉼표 [0] 2 2 2 4" xfId="39"/>
    <cellStyle name="쉼표 [0] 2 2 3" xfId="18"/>
    <cellStyle name="쉼표 [0] 2 2 3 2" xfId="31"/>
    <cellStyle name="쉼표 [0] 2 2 3 2 2" xfId="57"/>
    <cellStyle name="쉼표 [0] 2 2 3 3" xfId="44"/>
    <cellStyle name="쉼표 [0] 2 3" xfId="11"/>
    <cellStyle name="쉼표 [0] 2 3 2" xfId="19"/>
    <cellStyle name="쉼표 [0] 2 3 2 2" xfId="32"/>
    <cellStyle name="쉼표 [0] 2 3 2 2 2" xfId="58"/>
    <cellStyle name="쉼표 [0] 2 3 2 3" xfId="45"/>
    <cellStyle name="쉼표 [0] 2 3 3" xfId="25"/>
    <cellStyle name="쉼표 [0] 2 3 3 2" xfId="51"/>
    <cellStyle name="쉼표 [0] 2 3 4" xfId="38"/>
    <cellStyle name="쉼표 [0] 2 4" xfId="17"/>
    <cellStyle name="쉼표 [0] 2 4 2" xfId="30"/>
    <cellStyle name="쉼표 [0] 2 4 2 2" xfId="56"/>
    <cellStyle name="쉼표 [0] 2 4 3" xfId="43"/>
    <cellStyle name="쉼표 [0] 3" xfId="14"/>
    <cellStyle name="쉼표 [0] 3 2" xfId="27"/>
    <cellStyle name="쉼표 [0] 3 2 2" xfId="53"/>
    <cellStyle name="쉼표 [0] 3 3" xfId="40"/>
    <cellStyle name="표준" xfId="0" builtinId="0"/>
    <cellStyle name="표준 2" xfId="6"/>
    <cellStyle name="표준 3" xfId="5"/>
    <cellStyle name="표준 4" xfId="13"/>
  </cellStyles>
  <dxfs count="79"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numFmt numFmtId="176" formatCode="_(* #,##0_);_(* \(#,##0\);_(* &quot;-&quot;_);_(@_)"/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76" formatCode="_(* #,##0_);_(* \(#,##0\);_(* &quot;-&quot;_);_(@_)"/>
    </dxf>
    <dxf>
      <numFmt numFmtId="33" formatCode="_-* #,##0_-;\-* #,##0_-;_-* &quot;-&quot;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2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881062</xdr:colOff>
      <xdr:row>16</xdr:row>
      <xdr:rowOff>142875</xdr:rowOff>
    </xdr:from>
    <xdr:to>
      <xdr:col>18</xdr:col>
      <xdr:colOff>2285999</xdr:colOff>
      <xdr:row>20</xdr:row>
      <xdr:rowOff>71437</xdr:rowOff>
    </xdr:to>
    <xdr:sp macro="" textlink="">
      <xdr:nvSpPr>
        <xdr:cNvPr id="3" name="TextBox 2"/>
        <xdr:cNvSpPr txBox="1"/>
      </xdr:nvSpPr>
      <xdr:spPr>
        <a:xfrm>
          <a:off x="2583656" y="142875"/>
          <a:ext cx="6298406" cy="83343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0260108_&#45936;&#51060;&#53552;&#48513;\26&#45380;%20&#54016;&#48324;&#52712;&#54633;\FS2&#54016;\&#9733;2026&#45380;_databook_FS2&#54016;_260108_&#51060;&#46041;&#54840;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5&#45380;%20&#47560;&#44048;&#9733;\&#9827;2025&#45380;_databook_&#52712;&#54633;_260122_25&#45380;&#47560;&#44048;%20&#50756;&#47308;_&#49688;&#51221;&#9733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su0228/Downloads/&#9733;2026&#45380;_databook_&#44592;&#44368;3&#54016;_260122_&#50756;&#47308;_my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esktop\25&#45380;%20&#45936;&#51060;&#53552;&#48513;\&#9733;2025&#45380;_databook_&#44592;&#50629;&#44368;&#50977;1&#54016;_241029_&#50976;&#54805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ownloads\&#9733;2025&#45380;_databook_&#44592;&#44368;4&#54016;_241230(&#44608;&#46160;&#55148;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ckal2648\Desktop\&#9733;&#50689;&#50629;&#51204;&#47029;&#54016;&#9733;\&#9733;&#45936;&#51060;&#53552;&#48513;&#9733;\20251204\26&#45380;%20&#54016;&#48324;&#52712;&#54633;\&#44592;&#44368;4&#54016;\&#9733;2026&#45380;_databook_&#44592;&#44368;4&#54016;_251204_&#48149;&#55148;&#46976;.xlsb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hwangjm\Desktop\&#9733;2026&#45380;_databook_FS1&#54016;_260105%20ver2(&#44608;&#46160;&#55148;).xlsb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FS2&#54016;\&#9733;2026&#45380;_databook_FS2&#54016;_260326_&#50976;&#54805;&#49437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1&#54016;\&#9733;2026&#45380;_databook_&#44592;&#44368;1&#54016;_260423_&#44608;&#46020;&#50685;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장_ver2.0"/>
      <sheetName val="25팀별+상품별"/>
      <sheetName val="25년 databook(취합)"/>
      <sheetName val="FS팀 이관(24년 1만대)"/>
      <sheetName val="개인별(이관후)"/>
      <sheetName val="DB개수_피벗(이관후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요약"/>
      <sheetName val="26년 databook(취합)"/>
      <sheetName val="수주리스트"/>
      <sheetName val="영업대표별"/>
      <sheetName val="팀연간"/>
      <sheetName val="HSM비교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Sheet1"/>
      <sheetName val="Sheet2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년 databook(취합)"/>
      <sheetName val="25Pivot"/>
      <sheetName val="수주리스트"/>
      <sheetName val="영업대표별"/>
      <sheetName val="HSM비교"/>
      <sheetName val="팀연간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장현아" refreshedDate="45876.76768877315" createdVersion="6" refreshedVersion="6" minRefreshableVersion="3" recordCount="1074">
  <cacheSource type="worksheet">
    <worksheetSource ref="D22:BE22" sheet="26년 databook(취합)"/>
  </cacheSource>
  <cacheFields count="31">
    <cacheField name="25년_x000a_담당팀" numFmtId="0">
      <sharedItems/>
    </cacheField>
    <cacheField name="25년_x000a_영업대표" numFmtId="0">
      <sharedItems count="13">
        <s v="박정규"/>
        <s v="이재성"/>
        <s v="김신정"/>
        <s v="황동현"/>
        <s v="장지웅"/>
        <s v="이태원"/>
        <s v="강건모"/>
        <s v="조미희"/>
        <s v="김도엽"/>
        <s v="공통 DB"/>
        <s v="장현아"/>
        <s v="심수민(퇴사)" u="1"/>
        <s v="심수민" u="1"/>
      </sharedItems>
    </cacheField>
    <cacheField name="26년_x000a_담당팀" numFmtId="0">
      <sharedItems containsBlank="1"/>
    </cacheField>
    <cacheField name="26년_x000a_영업대표" numFmtId="0">
      <sharedItems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51" maxValue="63780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3">
        <s v="01. 이러닝 - 통합위탁"/>
        <s v="02. 이러닝 - 단과"/>
        <s v="14. 컨텐츠 - 컨텐츠 개발"/>
        <s v="07. 이러닝 - 컨텐츠 임대/판매"/>
        <s v="18. 운영 - BPO"/>
        <s v="25. 기타 - 기타"/>
        <s v="19. 운영 - 운영매출"/>
        <s v="10. 구독 - 휴넷CEO멤버십"/>
        <s v="15. 솔루션 - LABS"/>
        <s v="08. 하이브리드러닝 - 하이브리드형 러닝"/>
        <s v="28.구독 - 휴넷FLEX"/>
        <s v="03. 이러닝 - 법정"/>
        <s v="09. 하이브리드러닝 - 순수 오프라인"/>
        <m/>
        <s v="04. 이러닝 - 마이크로러닝"/>
        <s v="17. 솔루션 - 기타"/>
        <s v="26. 이러닝 - 정부지원사업"/>
        <s v="23. 기타 - 플레이북"/>
        <s v="11. 구독 - 휴넷 리더십저니"/>
        <s v="13. 구독 - Wisdom spring"/>
        <s v="22. 기타 - 컨설팅"/>
        <s v="24. 기타 - 포럼"/>
        <s v="06. 이러닝 - 휴넷FLEX" u="1"/>
      </sharedItems>
    </cacheField>
    <cacheField name="26년 사업유형" numFmtId="0">
      <sharedItems/>
    </cacheField>
    <cacheField name="23년 매출" numFmtId="0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166764891"/>
    </cacheField>
    <cacheField name="25년 매출" numFmtId="176">
      <sharedItems containsString="0" containsBlank="1" containsNumber="1" minValue="0" maxValue="2005955915"/>
    </cacheField>
    <cacheField name="25년_x000a_확정/가망/기회 " numFmtId="0">
      <sharedItems containsBlank="1" count="9">
        <s v="01 확정"/>
        <s v="02 가망"/>
        <s v="03 기회"/>
        <s v="06 사업취소"/>
        <s v="07 2023년 매출"/>
        <m/>
        <s v="08 2024년 매출"/>
        <s v="04 실주"/>
        <s v="05 Drop"/>
      </sharedItems>
    </cacheField>
    <cacheField name="26년_x000a_확정/가망/기회 " numFmtId="0">
      <sharedItems containsBlank="1"/>
    </cacheField>
    <cacheField name="26년 예상매출합계" numFmtId="177">
      <sharedItems containsString="0" containsBlank="1" containsNumber="1" containsInteger="1" minValue="0" maxValue="2160000000"/>
    </cacheField>
    <cacheField name="차이" numFmtId="0">
      <sharedItems containsNonDate="0" containsString="0" containsBlank="1"/>
    </cacheField>
    <cacheField name="1월 예상" numFmtId="0">
      <sharedItems containsString="0" containsBlank="1" containsNumber="1" containsInteger="1" minValue="100000" maxValue="180000000"/>
    </cacheField>
    <cacheField name="2월 예상" numFmtId="0">
      <sharedItems containsString="0" containsBlank="1" containsNumber="1" containsInteger="1" minValue="100000" maxValue="400000000"/>
    </cacheField>
    <cacheField name="3월 예상" numFmtId="0">
      <sharedItems containsString="0" containsBlank="1" containsNumber="1" containsInteger="1" minValue="100000" maxValue="490000000"/>
    </cacheField>
    <cacheField name="4월 예상" numFmtId="0">
      <sharedItems containsString="0" containsBlank="1" containsNumber="1" containsInteger="1" minValue="100000" maxValue="200000000"/>
    </cacheField>
    <cacheField name="5월 예상" numFmtId="0">
      <sharedItems containsString="0" containsBlank="1" containsNumber="1" containsInteger="1" minValue="100000" maxValue="300000000"/>
    </cacheField>
    <cacheField name="6월 예상" numFmtId="0">
      <sharedItems containsString="0" containsBlank="1" containsNumber="1" containsInteger="1" minValue="100000" maxValue="180000000"/>
    </cacheField>
    <cacheField name="7월 예상" numFmtId="0">
      <sharedItems containsString="0" containsBlank="1" containsNumber="1" containsInteger="1" minValue="100000" maxValue="600000000"/>
    </cacheField>
    <cacheField name="8월 예상" numFmtId="0">
      <sharedItems containsString="0" containsBlank="1" containsNumber="1" containsInteger="1" minValue="0" maxValue="180000000"/>
    </cacheField>
    <cacheField name="9월 예상" numFmtId="0">
      <sharedItems containsString="0" containsBlank="1" containsNumber="1" containsInteger="1" minValue="0" maxValue="180000000"/>
    </cacheField>
    <cacheField name="10월 예상" numFmtId="0">
      <sharedItems containsString="0" containsBlank="1" containsNumber="1" containsInteger="1" minValue="100000" maxValue="250000000"/>
    </cacheField>
    <cacheField name="11월 예상" numFmtId="0">
      <sharedItems containsString="0" containsBlank="1" containsNumber="1" containsInteger="1" minValue="300000" maxValue="300000000"/>
    </cacheField>
    <cacheField name="12월 예상" numFmtId="0">
      <sharedItems containsString="0" containsBlank="1" containsNumber="1" containsInteger="1" minValue="0" maxValue="3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419143749998" createdVersion="6" refreshedVersion="6" minRefreshableVersion="3" recordCount="1051">
  <cacheSource type="worksheet">
    <worksheetSource ref="A22:BF10001" sheet="26년 databook(취합)"/>
  </cacheSource>
  <cacheFields count="58">
    <cacheField name="고유번호" numFmtId="0">
      <sharedItems containsString="0" containsBlank="1" containsNumber="1" containsInteger="1" minValue="1" maxValue="1050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박정규"/>
        <s v="이재성"/>
        <s v="황동현"/>
        <s v="장지웅"/>
        <s v="이태원"/>
        <s v="김신정"/>
        <s v="강건모"/>
        <s v="조미희"/>
        <s v="김도엽"/>
        <s v="장현아"/>
        <m/>
      </sharedItems>
    </cacheField>
    <cacheField name="26년 영업대표_x000a_(변경 전)" numFmtId="0">
      <sharedItems containsNonDate="0" containsString="0"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51" maxValue="6676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268755196"/>
    </cacheField>
    <cacheField name="25년 매출_x000a_(원본/수정금지)" numFmtId="0">
      <sharedItems containsString="0" containsBlank="1" containsNumber="1" containsInteger="1" minValue="-32000" maxValue="1643165008"/>
    </cacheField>
    <cacheField name="25년 매출_x000a_수정금액 작성 " numFmtId="0">
      <sharedItems containsString="0" containsBlank="1" containsNumber="1" containsInteger="1" minValue="0" maxValue="1646346825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3 기회"/>
        <s v="09 2025년 매출"/>
        <s v="06 사업취소"/>
        <s v="02 가망"/>
        <s v="04 실주"/>
        <s v="07 2023년 매출"/>
        <s v="08 2024년 매출"/>
        <s v="05 Drop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18000000" maxValue="2346456364"/>
    </cacheField>
    <cacheField name="전주" numFmtId="0">
      <sharedItems containsString="0" containsBlank="1" containsNumber="1" minValue="-18000000" maxValue="2346456364"/>
    </cacheField>
    <cacheField name="차이" numFmtId="0">
      <sharedItems containsString="0" containsBlank="1" containsNumber="1" containsInteger="1" minValue="-10000000" maxValue="17000000"/>
    </cacheField>
    <cacheField name="1월 예상" numFmtId="176">
      <sharedItems containsString="0" containsBlank="1" containsNumber="1" minValue="0" maxValue="130000000"/>
    </cacheField>
    <cacheField name="1월 매출" numFmtId="176">
      <sharedItems containsString="0" containsBlank="1" containsNumber="1" containsInteger="1" minValue="-126000" maxValue="276027273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200000" maxValue="400000000"/>
    </cacheField>
    <cacheField name="2월 매출" numFmtId="176">
      <sharedItems containsString="0" containsBlank="1" containsNumber="1" containsInteger="1" minValue="15000" maxValue="322000000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-18000000" maxValue="400000000"/>
    </cacheField>
    <cacheField name="3월 매출" numFmtId="176">
      <sharedItems containsString="0" containsBlank="1" containsNumber="1" containsInteger="1" minValue="-18000000" maxValue="24920000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0" maxValue="18900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0" maxValue="19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7049000"/>
    </cacheField>
    <cacheField name="매출변동 사유6" numFmtId="176">
      <sharedItems containsBlank="1"/>
    </cacheField>
    <cacheField name="7월 예상" numFmtId="176">
      <sharedItems containsString="0" containsBlank="1" containsNumber="1" containsInteger="1" minValue="0" maxValue="6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0" maxValue="180000000"/>
    </cacheField>
    <cacheField name="매출변동 사유8" numFmtId="176">
      <sharedItems containsNonDate="0" containsString="0" containsBlank="1"/>
    </cacheField>
    <cacheField name="9월 예상" numFmtId="176">
      <sharedItems containsString="0" containsBlank="1" containsNumber="1" containsInteger="1" minValue="0" maxValue="18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200000" maxValue="267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2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minValue="0" maxValue="30122909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4">
  <r>
    <s v="기업교육1팀"/>
    <x v="0"/>
    <s v="기업교육1팀"/>
    <s v="박정규"/>
    <s v="E1"/>
    <n v="3743"/>
    <s v="01 1~1000대"/>
    <s v="03 신규"/>
    <s v="03 휴넷 LMS"/>
    <s v="통합위탁"/>
    <x v="0"/>
    <s v="01. 이러닝 - 통합위탁"/>
    <m/>
    <n v="0"/>
    <n v="16000000"/>
    <x v="0"/>
    <s v="01 확정"/>
    <n v="33000000"/>
    <m/>
    <m/>
    <n v="2000000"/>
    <n v="3000000"/>
    <n v="3000000"/>
    <n v="3000000"/>
    <n v="3000000"/>
    <n v="2000000"/>
    <n v="3000000"/>
    <n v="3000000"/>
    <n v="3000000"/>
    <n v="3000000"/>
    <n v="5000000"/>
  </r>
  <r>
    <s v="기업교육1팀"/>
    <x v="0"/>
    <s v="기업교육1팀"/>
    <s v="박정규"/>
    <s v="LS그룹공통연수원"/>
    <n v="62031"/>
    <m/>
    <s v="04 연장"/>
    <s v="03 휴넷 LMS"/>
    <m/>
    <x v="1"/>
    <s v="02. 이러닝 - 단과"/>
    <m/>
    <m/>
    <m/>
    <x v="0"/>
    <s v="01 확정"/>
    <n v="6000000"/>
    <m/>
    <m/>
    <m/>
    <m/>
    <n v="2000000"/>
    <m/>
    <m/>
    <m/>
    <n v="2000000"/>
    <m/>
    <m/>
    <n v="2000000"/>
    <m/>
  </r>
  <r>
    <s v="기업교육1팀"/>
    <x v="0"/>
    <s v="기업교육1팀"/>
    <s v="박정규"/>
    <s v="LS"/>
    <n v="17138"/>
    <s v="01 1~1000대"/>
    <s v="03 신규"/>
    <s v="03 휴넷 LMS"/>
    <s v="통합위탁"/>
    <x v="0"/>
    <s v="01. 이러닝 - 통합위탁"/>
    <m/>
    <n v="0"/>
    <n v="17000000"/>
    <x v="0"/>
    <s v="01 확정"/>
    <n v="35000000"/>
    <m/>
    <m/>
    <n v="3000000"/>
    <n v="3000000"/>
    <n v="3000000"/>
    <n v="3000000"/>
    <n v="3000000"/>
    <n v="3000000"/>
    <n v="3000000"/>
    <n v="3000000"/>
    <n v="3000000"/>
    <n v="3000000"/>
    <n v="5000000"/>
  </r>
  <r>
    <s v="기업교육1팀"/>
    <x v="0"/>
    <s v="기업교육1팀"/>
    <s v="박정규"/>
    <s v="LS ELECTRIC (안전보건교육)"/>
    <n v="3436"/>
    <s v="01 1~1000대"/>
    <s v="01 수성"/>
    <s v="03 휴넷 LMS"/>
    <s v="1. 온라인 - 단과"/>
    <x v="1"/>
    <s v="02. 이러닝 - 단과"/>
    <m/>
    <n v="675000"/>
    <n v="1000000"/>
    <x v="1"/>
    <s v="01 확정"/>
    <n v="9000000"/>
    <m/>
    <m/>
    <m/>
    <m/>
    <n v="3000000"/>
    <m/>
    <m/>
    <n v="3000000"/>
    <m/>
    <m/>
    <n v="3000000"/>
    <m/>
    <m/>
  </r>
  <r>
    <s v="기업교육1팀"/>
    <x v="0"/>
    <s v="기업교육1팀"/>
    <s v="박정규"/>
    <s v="LS e-Mobility Solutions"/>
    <s v="없음"/>
    <s v="01 1~1000대"/>
    <s v="03 신규"/>
    <s v="03 휴넷 LMS"/>
    <s v="통합위탁"/>
    <x v="0"/>
    <s v="01. 이러닝 - 통합위탁"/>
    <m/>
    <n v="0"/>
    <n v="18000000"/>
    <x v="0"/>
    <s v="01 확정"/>
    <n v="24000000"/>
    <m/>
    <m/>
    <n v="2000000"/>
    <n v="2000000"/>
    <n v="2000000"/>
    <n v="2000000"/>
    <n v="2000000"/>
    <n v="2000000"/>
    <n v="2000000"/>
    <n v="2000000"/>
    <n v="2000000"/>
    <n v="2000000"/>
    <n v="4000000"/>
  </r>
  <r>
    <s v="기업교육1팀"/>
    <x v="0"/>
    <s v="기업교육1팀"/>
    <s v="박정규"/>
    <s v="LS EV Korea"/>
    <s v="없음"/>
    <s v="01 1~1000대"/>
    <s v="03 신규"/>
    <s v="03 휴넷 LMS"/>
    <s v="통합위탁"/>
    <x v="0"/>
    <s v="01. 이러닝 - 통합위탁"/>
    <m/>
    <n v="0"/>
    <n v="9000000"/>
    <x v="0"/>
    <s v="01 확정"/>
    <n v="12000000"/>
    <m/>
    <m/>
    <n v="1000000"/>
    <n v="1000000"/>
    <n v="1000000"/>
    <n v="1000000"/>
    <n v="1000000"/>
    <n v="1000000"/>
    <n v="1000000"/>
    <n v="1000000"/>
    <n v="1000000"/>
    <n v="1000000"/>
    <n v="2000000"/>
  </r>
  <r>
    <s v="기업교육1팀"/>
    <x v="0"/>
    <s v="기업교육1팀"/>
    <s v="박정규"/>
    <s v="LS ITC"/>
    <s v="없음"/>
    <s v="01 1~1000대"/>
    <s v="03 신규"/>
    <s v="03 휴넷 LMS"/>
    <s v="통합위탁"/>
    <x v="0"/>
    <s v="01. 이러닝 - 통합위탁"/>
    <m/>
    <n v="0"/>
    <n v="600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LS MnM"/>
    <s v="없음"/>
    <s v="01 1~1000대"/>
    <s v="03 신규"/>
    <s v="03 휴넷 LMS"/>
    <s v="통합위탁"/>
    <x v="0"/>
    <s v="01. 이러닝 - 통합위탁"/>
    <m/>
    <n v="0"/>
    <n v="36000000"/>
    <x v="0"/>
    <s v="01 확정"/>
    <n v="64000000"/>
    <m/>
    <m/>
    <n v="5000000"/>
    <n v="7000000"/>
    <n v="5000000"/>
    <n v="5000000"/>
    <n v="5000000"/>
    <n v="5000000"/>
    <n v="5000000"/>
    <n v="7000000"/>
    <n v="5000000"/>
    <n v="5000000"/>
    <n v="10000000"/>
  </r>
  <r>
    <s v="기업교육1팀"/>
    <x v="0"/>
    <s v="기업교육1팀"/>
    <s v="박정규"/>
    <s v="LS메탈"/>
    <n v="13199"/>
    <s v="01 1~1000대"/>
    <s v="03 신규"/>
    <s v="03 휴넷 LMS"/>
    <s v="통합위탁"/>
    <x v="0"/>
    <s v="01. 이러닝 - 통합위탁"/>
    <m/>
    <n v="0"/>
    <n v="18000000"/>
    <x v="0"/>
    <s v="01 확정"/>
    <n v="33000000"/>
    <m/>
    <m/>
    <m/>
    <n v="3000000"/>
    <n v="3000000"/>
    <n v="3000000"/>
    <n v="3000000"/>
    <n v="3000000"/>
    <n v="3000000"/>
    <n v="3000000"/>
    <n v="3000000"/>
    <n v="3000000"/>
    <n v="6000000"/>
  </r>
  <r>
    <s v="기업교육1팀"/>
    <x v="0"/>
    <s v="기업교육1팀"/>
    <s v="박정규"/>
    <s v="LS엠트론"/>
    <n v="8899"/>
    <s v="01 1~1000대"/>
    <s v="03 신규"/>
    <s v="03 휴넷 LMS"/>
    <s v="통합위탁"/>
    <x v="0"/>
    <s v="01. 이러닝 - 통합위탁"/>
    <m/>
    <n v="0"/>
    <n v="60294000"/>
    <x v="0"/>
    <s v="01 확정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0"/>
    <s v="기업교육1팀"/>
    <s v="박정규"/>
    <s v="LS엠트론"/>
    <n v="8899"/>
    <s v="01 1~1000대"/>
    <s v="03 신규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일렉트릭"/>
    <n v="3436"/>
    <s v="01 1~1000대"/>
    <s v="03 신규"/>
    <s v="03 휴넷 LMS"/>
    <s v="통합위탁"/>
    <x v="0"/>
    <s v="01. 이러닝 - 통합위탁"/>
    <m/>
    <n v="0"/>
    <n v="310000000"/>
    <x v="0"/>
    <s v="01 확정"/>
    <n v="540000000"/>
    <m/>
    <n v="40000000"/>
    <n v="50000000"/>
    <n v="40000000"/>
    <n v="50000000"/>
    <n v="40000000"/>
    <n v="50000000"/>
    <n v="40000000"/>
    <n v="50000000"/>
    <n v="40000000"/>
    <n v="50000000"/>
    <n v="40000000"/>
    <n v="50000000"/>
  </r>
  <r>
    <s v="기업교육1팀"/>
    <x v="0"/>
    <s v="기업교육1팀"/>
    <s v="박정규"/>
    <s v="LS일렉트릭"/>
    <n v="3436"/>
    <s v="01 1~1000대"/>
    <s v="01 수성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전선"/>
    <n v="2156"/>
    <s v="01 1~1000대"/>
    <s v="03 신규"/>
    <s v="03 휴넷 LMS"/>
    <s v="통합위탁"/>
    <x v="0"/>
    <s v="01. 이러닝 - 통합위탁"/>
    <m/>
    <n v="0"/>
    <n v="195406300"/>
    <x v="0"/>
    <s v="01 확정"/>
    <n v="420000000"/>
    <m/>
    <m/>
    <n v="30000000"/>
    <n v="40000000"/>
    <n v="30000000"/>
    <n v="40000000"/>
    <n v="30000000"/>
    <n v="40000000"/>
    <n v="30000000"/>
    <n v="40000000"/>
    <n v="30000000"/>
    <n v="40000000"/>
    <n v="70000000"/>
  </r>
  <r>
    <s v="기업교육1팀"/>
    <x v="0"/>
    <s v="기업교육1팀"/>
    <s v="박정규"/>
    <s v="LS전선"/>
    <n v="2156"/>
    <s v="01 1~1000대"/>
    <s v="03 신규"/>
    <s v="03 휴넷 LMS"/>
    <m/>
    <x v="2"/>
    <s v="14. 컨텐츠 - 컨텐츠 개발"/>
    <m/>
    <m/>
    <n v="15000000"/>
    <x v="0"/>
    <s v="01 확정"/>
    <n v="10000000"/>
    <m/>
    <m/>
    <m/>
    <m/>
    <n v="5000000"/>
    <m/>
    <m/>
    <m/>
    <m/>
    <n v="5000000"/>
    <m/>
    <m/>
    <m/>
  </r>
  <r>
    <s v="기업교육1팀"/>
    <x v="0"/>
    <s v="기업교육1팀"/>
    <s v="박정규"/>
    <s v="가온전선"/>
    <n v="3893"/>
    <s v="01 1~1000대"/>
    <s v="03 신규"/>
    <s v="03 휴넷 LMS"/>
    <s v="통합위탁"/>
    <x v="0"/>
    <s v="01. 이러닝 - 통합위탁"/>
    <m/>
    <n v="0"/>
    <n v="36000000"/>
    <x v="0"/>
    <s v="01 확정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0"/>
    <s v="기업교육1팀"/>
    <s v="박정규"/>
    <s v="경기도인재개발원"/>
    <n v="9242"/>
    <s v="05 공공"/>
    <s v="01 수성"/>
    <s v="01 자체 LMS"/>
    <s v="11. 컨텐츠 - 컨텐츠 임대/판매"/>
    <x v="3"/>
    <s v="07. 이러닝 - 컨텐츠 임대/판매"/>
    <n v="350000000"/>
    <n v="357000000"/>
    <n v="356400000"/>
    <x v="0"/>
    <s v="02 가망"/>
    <n v="350000000"/>
    <m/>
    <m/>
    <n v="245000000"/>
    <m/>
    <m/>
    <m/>
    <m/>
    <m/>
    <m/>
    <m/>
    <m/>
    <m/>
    <n v="105000000"/>
  </r>
  <r>
    <s v="기업교육1팀"/>
    <x v="0"/>
    <s v="기업교육1팀"/>
    <s v="박정규"/>
    <s v="경기도인재개발원"/>
    <n v="9242"/>
    <s v="05 공공"/>
    <s v="01 수성"/>
    <s v="01 자체 LMS"/>
    <s v="10. 컨텐츠 - 컨텐츠 개발"/>
    <x v="2"/>
    <s v="14. 컨텐츠 - 컨텐츠 개발"/>
    <m/>
    <n v="0"/>
    <n v="0"/>
    <x v="2"/>
    <s v="03 기회"/>
    <n v="270000000"/>
    <m/>
    <m/>
    <m/>
    <m/>
    <n v="189000000"/>
    <m/>
    <m/>
    <m/>
    <m/>
    <m/>
    <m/>
    <m/>
    <n v="81000000"/>
  </r>
  <r>
    <s v="기업교육1팀"/>
    <x v="0"/>
    <s v="기업교육1팀"/>
    <s v="박정규"/>
    <s v="경기도인재개발원"/>
    <n v="9242"/>
    <s v="05 공공"/>
    <s v="01 수성"/>
    <s v="01 자체 LMS"/>
    <s v="23. 운영 - BPO"/>
    <x v="4"/>
    <s v="18. 운영 - BPO"/>
    <n v="679000000"/>
    <n v="714060000"/>
    <n v="756000000"/>
    <x v="0"/>
    <s v="01 확정"/>
    <n v="756000000"/>
    <m/>
    <m/>
    <m/>
    <m/>
    <n v="189000000"/>
    <m/>
    <m/>
    <n v="189000000"/>
    <m/>
    <m/>
    <n v="189000000"/>
    <m/>
    <n v="189000000"/>
  </r>
  <r>
    <s v="기업교육1팀"/>
    <x v="0"/>
    <m/>
    <m/>
    <s v="국민건강보험공단"/>
    <n v="4257"/>
    <s v="05 공공"/>
    <s v="02 윈백"/>
    <s v="03 휴넷 LMS"/>
    <s v="통합위탁"/>
    <x v="0"/>
    <s v="01. 이러닝 - 통합위탁"/>
    <n v="1032718000"/>
    <n v="0"/>
    <n v="883208390"/>
    <x v="0"/>
    <s v="07 2023년 매출"/>
    <n v="0"/>
    <m/>
    <m/>
    <m/>
    <m/>
    <m/>
    <m/>
    <m/>
    <m/>
    <m/>
    <m/>
    <m/>
    <m/>
    <m/>
  </r>
  <r>
    <s v="기업교육1팀"/>
    <x v="0"/>
    <m/>
    <m/>
    <s v="국민건강보험공단"/>
    <n v="4257"/>
    <s v="05 공공"/>
    <s v="01 수성"/>
    <m/>
    <s v="36. 기타 - 기타"/>
    <x v="5"/>
    <s v="25. 기타 - 기타"/>
    <m/>
    <n v="8818182"/>
    <n v="0"/>
    <x v="3"/>
    <s v="08 2024년 매출"/>
    <n v="0"/>
    <m/>
    <m/>
    <m/>
    <m/>
    <m/>
    <m/>
    <m/>
    <m/>
    <m/>
    <m/>
    <m/>
    <m/>
    <m/>
  </r>
  <r>
    <s v="기업교육1팀"/>
    <x v="0"/>
    <m/>
    <m/>
    <s v="국민건강보험공단(건강생활실천온라인교육)"/>
    <n v="52333"/>
    <s v="05 공공"/>
    <s v="01 수성"/>
    <s v="03 휴넷 LMS"/>
    <s v="24. 운영 - 운영매출"/>
    <x v="6"/>
    <s v="19. 운영 - 운영매출"/>
    <n v="155999998"/>
    <n v="63960000"/>
    <n v="94920000"/>
    <x v="0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디와이 그룹"/>
    <n v="2969"/>
    <s v="01 1~1000대"/>
    <s v="04 연장"/>
    <s v="03 휴넷 LMS"/>
    <s v="통합위탁"/>
    <x v="0"/>
    <s v="01. 이러닝 - 통합위탁"/>
    <n v="48672490"/>
    <n v="69127840"/>
    <n v="622485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디와이 그룹"/>
    <n v="2969"/>
    <s v="01 1~1000대"/>
    <s v="03 신규"/>
    <s v="03 휴넷 LMS"/>
    <m/>
    <x v="7"/>
    <s v="10. 구독 - 휴넷CEO멤버십"/>
    <m/>
    <n v="0"/>
    <n v="8000000"/>
    <x v="0"/>
    <s v="02 가망"/>
    <n v="9000000"/>
    <m/>
    <m/>
    <n v="9000000"/>
    <m/>
    <m/>
    <m/>
    <m/>
    <m/>
    <m/>
    <m/>
    <m/>
    <m/>
    <m/>
  </r>
  <r>
    <s v="기업교육1팀"/>
    <x v="0"/>
    <s v="기업교육1팀"/>
    <s v="박정규"/>
    <s v="보훈교육연구원"/>
    <n v="3829"/>
    <s v="05 공공"/>
    <s v="01 수성"/>
    <s v="03 휴넷 LMS"/>
    <s v="10. 컨텐츠 - 컨텐츠 개발"/>
    <x v="2"/>
    <s v="14. 컨텐츠 - 컨텐츠 개발"/>
    <m/>
    <n v="290000000"/>
    <n v="150000000"/>
    <x v="1"/>
    <s v="02 가망"/>
    <n v="120000000"/>
    <m/>
    <m/>
    <m/>
    <m/>
    <m/>
    <m/>
    <m/>
    <m/>
    <m/>
    <m/>
    <n v="120000000"/>
    <m/>
    <m/>
  </r>
  <r>
    <s v="기업교육1팀"/>
    <x v="0"/>
    <s v="기업교육1팀"/>
    <s v="박정규"/>
    <s v="보훈교육연구원"/>
    <n v="3829"/>
    <s v="05 공공"/>
    <s v="01 수성"/>
    <s v="03 휴넷 LMS"/>
    <m/>
    <x v="6"/>
    <s v="19. 운영 - 운영매출"/>
    <m/>
    <n v="0"/>
    <n v="100000000"/>
    <x v="1"/>
    <s v="02 가망"/>
    <n v="40000000"/>
    <m/>
    <m/>
    <m/>
    <m/>
    <m/>
    <m/>
    <m/>
    <m/>
    <m/>
    <n v="40000000"/>
    <m/>
    <m/>
    <m/>
  </r>
  <r>
    <s v="기업교육1팀"/>
    <x v="0"/>
    <s v="기업교육1팀"/>
    <s v="박정규"/>
    <s v="비알코리아"/>
    <n v="2176"/>
    <s v="01 1~1000대"/>
    <s v="04 연장"/>
    <s v="03 휴넷 LMS"/>
    <s v="통합위탁"/>
    <x v="0"/>
    <s v="01. 이러닝 - 통합위탁"/>
    <n v="66878280"/>
    <n v="68167760"/>
    <n v="81154400"/>
    <x v="0"/>
    <s v="01 확정"/>
    <n v="84000000"/>
    <m/>
    <n v="6000000"/>
    <n v="6000000"/>
    <n v="6000000"/>
    <n v="6000000"/>
    <n v="6000000"/>
    <n v="6000000"/>
    <n v="6000000"/>
    <n v="6000000"/>
    <n v="6000000"/>
    <n v="6000000"/>
    <n v="6000000"/>
    <n v="18000000"/>
  </r>
  <r>
    <s v="기업교육1팀"/>
    <x v="0"/>
    <s v="기업교육1팀"/>
    <s v="박정규"/>
    <s v="비알코리아"/>
    <n v="2176"/>
    <s v="01 1~1000대"/>
    <s v="01 수성"/>
    <m/>
    <m/>
    <x v="8"/>
    <s v="15. 솔루션 - LABS"/>
    <m/>
    <n v="0"/>
    <n v="55000000"/>
    <x v="1"/>
    <s v="03 기회"/>
    <n v="54000000"/>
    <m/>
    <m/>
    <m/>
    <m/>
    <n v="30000000"/>
    <n v="3000000"/>
    <n v="3000000"/>
    <n v="3000000"/>
    <n v="3000000"/>
    <n v="3000000"/>
    <n v="3000000"/>
    <n v="3000000"/>
    <n v="3000000"/>
  </r>
  <r>
    <s v="기업교육1팀"/>
    <x v="0"/>
    <s v="기업교육1팀"/>
    <s v="박정규"/>
    <s v="빗썸코리아"/>
    <n v="40368"/>
    <s v="01 1~1000대"/>
    <s v="04 연장"/>
    <s v="03 휴넷 LMS"/>
    <s v="1. 온라인 - 단과"/>
    <x v="1"/>
    <s v="02. 이러닝 - 단과"/>
    <n v="15205000"/>
    <n v="37035000"/>
    <n v="21000000"/>
    <x v="0"/>
    <s v="01 확정"/>
    <n v="24000000"/>
    <m/>
    <m/>
    <m/>
    <m/>
    <m/>
    <m/>
    <n v="7000000"/>
    <m/>
    <m/>
    <n v="7000000"/>
    <m/>
    <n v="10000000"/>
    <m/>
  </r>
  <r>
    <s v="기업교육1팀"/>
    <x v="0"/>
    <s v="기업교육1팀"/>
    <s v="박정규"/>
    <s v="빗썸코리아"/>
    <n v="40368"/>
    <s v="01 1~1000대"/>
    <s v="01 수성"/>
    <m/>
    <s v="6. 하이브리드러닝 - 집합형"/>
    <x v="9"/>
    <s v="08. 하이브리드러닝 - 하이브리드형 러닝"/>
    <n v="1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삼일PWC"/>
    <n v="13505"/>
    <s v="02 1001~2000대"/>
    <s v="03 신규"/>
    <s v="01 자체 LMS"/>
    <m/>
    <x v="1"/>
    <s v="02. 이러닝 - 단과"/>
    <m/>
    <m/>
    <n v="27272727"/>
    <x v="0"/>
    <s v="02 가망"/>
    <n v="20000000"/>
    <m/>
    <m/>
    <m/>
    <m/>
    <n v="10000000"/>
    <m/>
    <m/>
    <m/>
    <n v="10000000"/>
    <m/>
    <m/>
    <m/>
    <m/>
  </r>
  <r>
    <s v="기업교육1팀"/>
    <x v="0"/>
    <s v="기업교육1팀"/>
    <s v="박정규"/>
    <s v="삼정회계법인(NEW)"/>
    <n v="57267"/>
    <s v="01 1~1000대"/>
    <s v="04 연장"/>
    <s v="03 휴넷 LMS"/>
    <s v="통합위탁"/>
    <x v="0"/>
    <s v="01. 이러닝 - 통합위탁"/>
    <n v="76269005"/>
    <n v="74875450"/>
    <n v="690907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삼정회계법인(NEW)"/>
    <n v="57267"/>
    <s v="01 1~1000대"/>
    <s v="01 수성"/>
    <m/>
    <s v="7. 휴넷CEO - 휴넷CEO"/>
    <x v="7"/>
    <s v="10. 구독 - 휴넷CEO멤버십"/>
    <m/>
    <n v="0"/>
    <n v="60000000"/>
    <x v="1"/>
    <s v="02 가망"/>
    <n v="40000000"/>
    <m/>
    <m/>
    <m/>
    <m/>
    <n v="40000000"/>
    <m/>
    <m/>
    <m/>
    <m/>
    <m/>
    <m/>
    <m/>
    <m/>
  </r>
  <r>
    <s v="기업교육1팀"/>
    <x v="0"/>
    <s v="기업교육1팀"/>
    <s v="박정규"/>
    <s v="삼정회계법인(NEW)"/>
    <n v="57267"/>
    <s v="01 1~1000대"/>
    <s v="01 수성"/>
    <m/>
    <s v="14. 솔루션 - 맞춤형 LABS"/>
    <x v="8"/>
    <s v="15. 솔루션 - LABS"/>
    <n v="35000000"/>
    <n v="0"/>
    <n v="0"/>
    <x v="4"/>
    <s v="07 2023년 매출"/>
    <n v="0"/>
    <m/>
    <m/>
    <m/>
    <m/>
    <m/>
    <m/>
    <m/>
    <m/>
    <m/>
    <m/>
    <m/>
    <m/>
    <m/>
  </r>
  <r>
    <s v="기업교육1팀"/>
    <x v="0"/>
    <s v="기업교육1팀"/>
    <s v="박정규"/>
    <s v="삼정회계법인(고객서비스)"/>
    <n v="45755"/>
    <s v="01 1~1000대"/>
    <s v="04 연장"/>
    <s v="03 휴넷 LMS"/>
    <s v="24. 운영 - 운영매출"/>
    <x v="6"/>
    <s v="19. 운영 - 운영매출"/>
    <m/>
    <n v="30000000"/>
    <n v="30000000"/>
    <x v="0"/>
    <s v="01 확정"/>
    <n v="30000000"/>
    <m/>
    <m/>
    <m/>
    <n v="15000000"/>
    <m/>
    <m/>
    <m/>
    <m/>
    <m/>
    <m/>
    <m/>
    <m/>
    <n v="15000000"/>
  </r>
  <r>
    <s v="기업교육1팀"/>
    <x v="0"/>
    <s v="기업교육1팀"/>
    <s v="박정규"/>
    <s v="섹타나인"/>
    <n v="54389"/>
    <s v="01 1~1000대"/>
    <m/>
    <m/>
    <s v="26. 정부지원사업 - HRDFLEX"/>
    <x v="10"/>
    <s v="28.구독 - 휴넷FLEX"/>
    <n v="1386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금융지주"/>
    <n v="3823"/>
    <s v="01 1~1000대"/>
    <s v="01 수성"/>
    <m/>
    <s v="11. 컨텐츠 - 컨텐츠 임대/판매"/>
    <x v="3"/>
    <s v="07. 이러닝 - 컨텐츠 임대/판매"/>
    <m/>
    <n v="24442433"/>
    <n v="30000000"/>
    <x v="1"/>
    <s v="03 기회"/>
    <n v="30000000"/>
    <m/>
    <m/>
    <m/>
    <m/>
    <m/>
    <m/>
    <n v="30000000"/>
    <m/>
    <m/>
    <m/>
    <m/>
    <m/>
    <m/>
  </r>
  <r>
    <s v="기업교육1팀"/>
    <x v="0"/>
    <s v="기업교육1팀"/>
    <s v="박정규"/>
    <s v="신한금융플러스"/>
    <n v="48998"/>
    <s v="01 1~1000대"/>
    <s v="04 연장"/>
    <s v="03 휴넷 LMS"/>
    <s v="14. 솔루션 - 맞춤형 LABS"/>
    <x v="8"/>
    <s v="15. 솔루션 - LABS"/>
    <n v="27818182"/>
    <n v="24000000"/>
    <n v="24000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0"/>
    <s v="기업교육1팀"/>
    <s v="박정규"/>
    <s v="신한금융희망재단"/>
    <n v="46945"/>
    <s v="01 1~1000대"/>
    <s v="02 윈백"/>
    <s v="03 휴넷 LMS"/>
    <s v="24. 운영 - 운영매출"/>
    <x v="6"/>
    <s v="19. 운영 - 운영매출"/>
    <n v="150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m/>
    <s v="1. 온라인 - 단과"/>
    <x v="1"/>
    <s v="02. 이러닝 - 단과"/>
    <n v="882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m/>
    <x v="11"/>
    <s v="03. 이러닝 - 법정"/>
    <m/>
    <m/>
    <n v="21000000"/>
    <x v="0"/>
    <s v="01 확정"/>
    <n v="21000000"/>
    <m/>
    <m/>
    <m/>
    <m/>
    <m/>
    <m/>
    <m/>
    <n v="21000000"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s v="11. 컨텐츠 - 컨텐츠 임대/판매"/>
    <x v="3"/>
    <s v="15. 솔루션 - LABS"/>
    <n v="59454545"/>
    <n v="54000000"/>
    <n v="540000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n v="370049200"/>
    <n v="421247370"/>
    <x v="0"/>
    <s v="01 확정"/>
    <n v="105000000"/>
    <m/>
    <n v="35000000"/>
    <n v="35000000"/>
    <n v="35000000"/>
    <m/>
    <m/>
    <m/>
    <m/>
    <m/>
    <m/>
    <m/>
    <m/>
    <m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m/>
    <m/>
    <x v="5"/>
    <s v="02 가망"/>
    <n v="315000000"/>
    <m/>
    <m/>
    <m/>
    <m/>
    <n v="35000000"/>
    <n v="35000000"/>
    <n v="35000000"/>
    <n v="35000000"/>
    <n v="35000000"/>
    <n v="35000000"/>
    <n v="35000000"/>
    <n v="35000000"/>
    <n v="35000000"/>
  </r>
  <r>
    <s v="기업교육1팀"/>
    <x v="0"/>
    <m/>
    <m/>
    <s v="신한라이프(임직원)"/>
    <n v="3745"/>
    <s v="01 1~1000대"/>
    <s v="01 수성"/>
    <m/>
    <s v="6. 하이브리드러닝 - 집합형"/>
    <x v="9"/>
    <s v="08. 하이브리드러닝 - 하이브리드형 러닝"/>
    <m/>
    <n v="5000000"/>
    <n v="0"/>
    <x v="6"/>
    <m/>
    <n v="0"/>
    <m/>
    <m/>
    <m/>
    <m/>
    <m/>
    <m/>
    <m/>
    <m/>
    <m/>
    <m/>
    <m/>
    <m/>
    <m/>
  </r>
  <r>
    <s v="기업교육1팀"/>
    <x v="0"/>
    <s v="기업교육1팀"/>
    <s v="박정규"/>
    <s v="신한라이프케어"/>
    <n v="61219"/>
    <s v="01 1~1000대"/>
    <s v="04 연장"/>
    <m/>
    <s v="1. 온라인 - 단과"/>
    <x v="1"/>
    <s v="02. 이러닝 - 단과"/>
    <m/>
    <n v="234000"/>
    <n v="0"/>
    <x v="6"/>
    <s v="02 가망"/>
    <n v="1000000"/>
    <m/>
    <m/>
    <m/>
    <m/>
    <m/>
    <m/>
    <n v="1000000"/>
    <m/>
    <m/>
    <m/>
    <m/>
    <m/>
    <m/>
  </r>
  <r>
    <s v="기업교육1팀"/>
    <x v="0"/>
    <s v="기업교육1팀"/>
    <s v="박정규"/>
    <s v="신한신용정보"/>
    <n v="3211"/>
    <s v="01 1~1000대"/>
    <s v="01 수성"/>
    <m/>
    <s v="1. 온라인 - 단과"/>
    <x v="1"/>
    <s v="02. 이러닝 - 단과"/>
    <n v="2760000"/>
    <n v="6707499"/>
    <n v="3000000"/>
    <x v="0"/>
    <s v="02 가망"/>
    <n v="3000000"/>
    <m/>
    <m/>
    <m/>
    <m/>
    <m/>
    <m/>
    <m/>
    <m/>
    <n v="3000000"/>
    <m/>
    <m/>
    <m/>
    <m/>
  </r>
  <r>
    <s v="기업교육1팀"/>
    <x v="0"/>
    <s v="기업교육1팀"/>
    <s v="박정규"/>
    <s v="신한신용정보"/>
    <n v="3211"/>
    <s v="01 1~1000대"/>
    <s v="01 수성"/>
    <m/>
    <s v="6. 하이브리드러닝 - 집합형"/>
    <x v="12"/>
    <s v="09. 하이브리드러닝 - 순수 오프라인"/>
    <m/>
    <n v="290000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아이타스"/>
    <n v="11180"/>
    <s v="01 1~1000대"/>
    <s v="01 수성"/>
    <m/>
    <s v="1. 온라인 - 단과"/>
    <x v="1"/>
    <s v="02. 이러닝 - 단과"/>
    <n v="95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은행"/>
    <n v="2095"/>
    <s v="01 1~1000대"/>
    <s v="03 신규"/>
    <m/>
    <s v="11. 컨텐츠 - 컨텐츠 임대/판매"/>
    <x v="3"/>
    <s v="07. 이러닝 - 컨텐츠 임대/판매"/>
    <n v="18181818"/>
    <n v="0"/>
    <n v="20000000"/>
    <x v="2"/>
    <s v="03 기회"/>
    <n v="40000000"/>
    <m/>
    <m/>
    <m/>
    <m/>
    <n v="20000000"/>
    <m/>
    <m/>
    <m/>
    <n v="20000000"/>
    <m/>
    <m/>
    <m/>
    <m/>
  </r>
  <r>
    <s v="기업교육1팀"/>
    <x v="0"/>
    <s v="기업교육1팀"/>
    <s v="박정규"/>
    <s v="신한은행"/>
    <n v="209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0"/>
    <s v="기업교육1팀"/>
    <s v="박정규"/>
    <s v="신한저축은행"/>
    <n v="24161"/>
    <s v="01 1~1000대"/>
    <s v="03 신규"/>
    <s v="03 휴넷 LMS"/>
    <m/>
    <x v="1"/>
    <s v="02. 이러닝 - 단과"/>
    <m/>
    <m/>
    <n v="2050000"/>
    <x v="0"/>
    <s v="02 가망"/>
    <n v="3000000"/>
    <m/>
    <m/>
    <m/>
    <m/>
    <m/>
    <m/>
    <n v="3000000"/>
    <m/>
    <m/>
    <m/>
    <m/>
    <m/>
    <m/>
  </r>
  <r>
    <s v="기업교육1팀"/>
    <x v="0"/>
    <s v="기업교육1팀"/>
    <s v="박정규"/>
    <s v="신한카드"/>
    <n v="3882"/>
    <s v="01 1~1000대"/>
    <s v="04 연장"/>
    <s v="03 휴넷 LMS"/>
    <s v="통합위탁"/>
    <x v="0"/>
    <s v="01. 이러닝 - 통합위탁"/>
    <n v="159931995"/>
    <n v="129256748"/>
    <n v="134073000"/>
    <x v="0"/>
    <s v="01 확정"/>
    <n v="32000000"/>
    <m/>
    <n v="8000000"/>
    <n v="8000000"/>
    <n v="8000000"/>
    <n v="8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2. 온라인 - 법정"/>
    <x v="11"/>
    <s v="03. 이러닝 - 법정"/>
    <n v="39307000"/>
    <n v="42582000"/>
    <n v="37200000"/>
    <x v="0"/>
    <s v="02 가망"/>
    <n v="40000000"/>
    <m/>
    <m/>
    <m/>
    <m/>
    <m/>
    <m/>
    <n v="15000000"/>
    <m/>
    <m/>
    <n v="15000000"/>
    <m/>
    <n v="10000000"/>
    <m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n v="60000000"/>
    <n v="60000000"/>
    <n v="60000000"/>
    <x v="0"/>
    <s v="01 확정"/>
    <n v="20000000"/>
    <m/>
    <n v="5000000"/>
    <n v="5000000"/>
    <n v="5000000"/>
    <n v="5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통합위탁"/>
    <x v="0"/>
    <s v="01. 이러닝 - 통합위탁"/>
    <m/>
    <m/>
    <m/>
    <x v="5"/>
    <s v="02 가망"/>
    <n v="72000000"/>
    <m/>
    <m/>
    <m/>
    <m/>
    <m/>
    <n v="8000000"/>
    <n v="10000000"/>
    <n v="8000000"/>
    <n v="10000000"/>
    <n v="8000000"/>
    <n v="10000000"/>
    <n v="8000000"/>
    <n v="10000000"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m/>
    <m/>
    <m/>
    <x v="5"/>
    <s v="02 가망"/>
    <n v="40000000"/>
    <m/>
    <m/>
    <m/>
    <m/>
    <m/>
    <n v="5000000"/>
    <n v="5000000"/>
    <n v="5000000"/>
    <n v="5000000"/>
    <n v="5000000"/>
    <n v="5000000"/>
    <n v="5000000"/>
    <n v="5000000"/>
  </r>
  <r>
    <s v="기업교육1팀"/>
    <x v="0"/>
    <s v="기업교육1팀"/>
    <s v="박정규"/>
    <s v="신한카드"/>
    <n v="3882"/>
    <s v="01 1~1000대"/>
    <s v="01 수성"/>
    <s v="03 휴넷 LMS"/>
    <s v="10. 컨텐츠 - 컨텐츠 개발"/>
    <x v="2"/>
    <s v="14. 컨텐츠 - 컨텐츠 개발"/>
    <m/>
    <n v="0"/>
    <n v="8000000"/>
    <x v="1"/>
    <s v="02 가망"/>
    <n v="6000000"/>
    <m/>
    <m/>
    <m/>
    <m/>
    <m/>
    <m/>
    <m/>
    <n v="6000000"/>
    <m/>
    <m/>
    <m/>
    <m/>
    <m/>
  </r>
  <r>
    <s v="기업교육1팀"/>
    <x v="0"/>
    <s v="기업교육1팀"/>
    <s v="박정규"/>
    <s v="신한카드(SM)"/>
    <n v="42782"/>
    <s v="01 1~1000대"/>
    <s v="04 연장"/>
    <s v="03 휴넷 LMS"/>
    <s v="14. 솔루션 - 맞춤형 LABS"/>
    <x v="8"/>
    <s v="15. 솔루션 - LABS"/>
    <n v="13311000"/>
    <n v="18641000"/>
    <n v="20000000"/>
    <x v="0"/>
    <s v="01 확정"/>
    <n v="24000000"/>
    <m/>
    <m/>
    <m/>
    <m/>
    <n v="12000000"/>
    <m/>
    <m/>
    <m/>
    <m/>
    <m/>
    <n v="12000000"/>
    <m/>
    <m/>
  </r>
  <r>
    <s v="기업교육1팀"/>
    <x v="0"/>
    <s v="기업교육1팀"/>
    <s v="박정규"/>
    <s v="신한투자증권"/>
    <n v="46076"/>
    <s v="01 1~1000대"/>
    <s v="04 연장"/>
    <s v="03 휴넷 LMS"/>
    <s v="통합위탁"/>
    <x v="0"/>
    <s v="01. 이러닝 - 통합위탁"/>
    <n v="200134396"/>
    <n v="195137580"/>
    <n v="210399312"/>
    <x v="0"/>
    <s v="01 확정"/>
    <n v="30000000"/>
    <m/>
    <m/>
    <n v="30000000"/>
    <m/>
    <m/>
    <m/>
    <m/>
    <m/>
    <m/>
    <m/>
    <m/>
    <m/>
    <m/>
  </r>
  <r>
    <s v="기업교육1팀"/>
    <x v="0"/>
    <s v="기업교육1팀"/>
    <s v="박정규"/>
    <s v="신한투자증권"/>
    <n v="46076"/>
    <s v="01 1~1000대"/>
    <s v="01 수성"/>
    <s v="03 휴넷 LMS"/>
    <s v="통합위탁"/>
    <x v="0"/>
    <s v="01. 이러닝 - 통합위탁"/>
    <m/>
    <n v="0"/>
    <n v="0"/>
    <x v="1"/>
    <s v="02 가망"/>
    <n v="165000000"/>
    <m/>
    <m/>
    <m/>
    <m/>
    <n v="15000000"/>
    <m/>
    <m/>
    <n v="50000000"/>
    <m/>
    <m/>
    <n v="50000000"/>
    <m/>
    <n v="50000000"/>
  </r>
  <r>
    <s v="기업교육1팀"/>
    <x v="0"/>
    <s v="기업교육1팀"/>
    <s v="박정규"/>
    <s v="신한투자증권"/>
    <n v="46076"/>
    <s v="01 1~1000대"/>
    <s v="01 수성"/>
    <s v="03 휴넷 LMS"/>
    <s v="10. 컨텐츠 - 컨텐츠 개발"/>
    <x v="2"/>
    <s v="14. 컨텐츠 - 컨텐츠 개발"/>
    <m/>
    <n v="6742500"/>
    <n v="0"/>
    <x v="0"/>
    <s v="02 가망"/>
    <n v="5000000"/>
    <m/>
    <m/>
    <m/>
    <m/>
    <m/>
    <n v="5000000"/>
    <m/>
    <m/>
    <m/>
    <m/>
    <m/>
    <m/>
    <m/>
  </r>
  <r>
    <s v="기업교육1팀"/>
    <x v="0"/>
    <s v="기업교육1팀"/>
    <s v="박정규"/>
    <s v="신한투자증권"/>
    <n v="46076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신한펀드파트너스"/>
    <n v="58628"/>
    <s v="01 1~1000대"/>
    <s v="04 연장"/>
    <s v="03 휴넷 LMS"/>
    <s v="통합위탁"/>
    <x v="0"/>
    <s v="01. 이러닝 - 통합위탁"/>
    <n v="3455820"/>
    <n v="0"/>
    <n v="7000000"/>
    <x v="0"/>
    <s v="01 확정"/>
    <n v="6000000"/>
    <m/>
    <n v="1000000"/>
    <m/>
    <n v="1000000"/>
    <m/>
    <n v="1000000"/>
    <m/>
    <n v="1000000"/>
    <m/>
    <n v="1000000"/>
    <m/>
    <n v="1000000"/>
    <m/>
  </r>
  <r>
    <s v="기업교육1팀"/>
    <x v="0"/>
    <s v="기업교육1팀"/>
    <s v="박정규"/>
    <s v="신한펀드파트너스"/>
    <n v="58628"/>
    <s v="01 1~1000대"/>
    <s v="04 연장"/>
    <m/>
    <s v="6. 하이브리드러닝 - 집합형"/>
    <x v="9"/>
    <s v="08. 하이브리드러닝 - 하이브리드형 러닝"/>
    <n v="7200000"/>
    <n v="0"/>
    <n v="6000000"/>
    <x v="1"/>
    <s v="02 가망"/>
    <n v="6000000"/>
    <m/>
    <m/>
    <m/>
    <m/>
    <n v="3000000"/>
    <m/>
    <m/>
    <m/>
    <m/>
    <n v="3000000"/>
    <m/>
    <m/>
    <m/>
  </r>
  <r>
    <s v="기업교육1팀"/>
    <x v="0"/>
    <s v="기업교육1팀"/>
    <s v="박정규"/>
    <s v="에스피씨 삼립"/>
    <n v="57803"/>
    <s v="01 1~1000대"/>
    <s v="04 연장"/>
    <s v="03 휴넷 LMS"/>
    <s v="1. 온라인 - 단과"/>
    <x v="0"/>
    <s v="01. 이러닝 - 통합위탁"/>
    <n v="34758092"/>
    <n v="97799622"/>
    <n v="93460190"/>
    <x v="0"/>
    <s v="01 확정"/>
    <n v="95000000"/>
    <m/>
    <n v="6000000"/>
    <n v="6000000"/>
    <n v="6000000"/>
    <n v="20000000"/>
    <n v="6000000"/>
    <n v="6000000"/>
    <n v="6000000"/>
    <n v="6000000"/>
    <n v="6000000"/>
    <n v="6000000"/>
    <n v="15000000"/>
    <n v="6000000"/>
  </r>
  <r>
    <s v="기업교육1팀"/>
    <x v="0"/>
    <s v="기업교육1팀"/>
    <s v="박정규"/>
    <s v="에스피씨 삼립"/>
    <n v="4654"/>
    <s v="01 1~1000대"/>
    <s v="04 연장"/>
    <m/>
    <s v="6. 하이브리드러닝 - 집합형"/>
    <x v="9"/>
    <s v="08. 하이브리드러닝 - 하이브리드형 러닝"/>
    <m/>
    <n v="0"/>
    <n v="0"/>
    <x v="1"/>
    <s v="03 기회"/>
    <n v="5000000"/>
    <m/>
    <m/>
    <m/>
    <m/>
    <n v="5000000"/>
    <m/>
    <m/>
    <m/>
    <m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통합위탁"/>
    <x v="1"/>
    <s v="02. 이러닝 - 단과"/>
    <n v="17248000"/>
    <n v="13000000"/>
    <n v="13460000"/>
    <x v="0"/>
    <s v="02 가망"/>
    <n v="10000000"/>
    <m/>
    <m/>
    <m/>
    <n v="5000000"/>
    <m/>
    <m/>
    <m/>
    <m/>
    <m/>
    <m/>
    <n v="5000000"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n v="50000000"/>
    <n v="37000000"/>
    <n v="49000000"/>
    <x v="0"/>
    <s v="01 확정"/>
    <n v="20000000"/>
    <m/>
    <n v="4000000"/>
    <n v="4000000"/>
    <n v="4000000"/>
    <n v="4000000"/>
    <n v="4000000"/>
    <m/>
    <m/>
    <m/>
    <m/>
    <m/>
    <m/>
    <m/>
  </r>
  <r>
    <s v="기업교육1팀"/>
    <x v="0"/>
    <s v="기업교육1팀"/>
    <s v="박정규"/>
    <s v="에스피씨캠퍼스"/>
    <n v="46253"/>
    <s v="01 1~1000대"/>
    <s v="04 연장"/>
    <s v="03 휴넷 LMS"/>
    <s v="11. 컨텐츠 - 컨텐츠 임대/판매"/>
    <x v="3"/>
    <s v="07. 이러닝 - 컨텐츠 임대/판매"/>
    <n v="12000000"/>
    <n v="9500000"/>
    <n v="20000000"/>
    <x v="0"/>
    <s v="03 기회"/>
    <n v="11000000"/>
    <m/>
    <m/>
    <m/>
    <m/>
    <n v="5000000"/>
    <m/>
    <m/>
    <m/>
    <n v="6000000"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m/>
    <m/>
    <m/>
    <x v="5"/>
    <s v="02 가망"/>
    <n v="30000000"/>
    <m/>
    <m/>
    <m/>
    <m/>
    <m/>
    <m/>
    <n v="5000000"/>
    <n v="4000000"/>
    <n v="4000000"/>
    <n v="4000000"/>
    <n v="4000000"/>
    <n v="5000000"/>
    <n v="4000000"/>
  </r>
  <r>
    <s v="기업교육1팀"/>
    <x v="0"/>
    <s v="기업교육1팀"/>
    <s v="박정규"/>
    <s v="에스피씨팩"/>
    <n v="18365"/>
    <s v="04 3000대 이후"/>
    <s v="04 연장"/>
    <s v="03 휴넷 LMS"/>
    <s v="1. 온라인 - 단과"/>
    <x v="1"/>
    <s v="02. 이러닝 - 단과"/>
    <n v="5144000"/>
    <n v="9164000"/>
    <n v="861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엘에스일렉트릭"/>
    <n v="58702"/>
    <s v="01 1~1000대"/>
    <s v="01 수성"/>
    <s v="01 자체 LMS"/>
    <s v="10. 컨텐츠 - 컨텐츠 개발"/>
    <x v="2"/>
    <s v="14. 컨텐츠 - 컨텐츠 개발"/>
    <n v="19000000"/>
    <n v="90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s v="01 수성"/>
    <s v="01 자체 LMS"/>
    <s v="1. 온라인 - 단과"/>
    <x v="1"/>
    <s v="02. 이러닝 - 단과"/>
    <n v="43214200"/>
    <n v="1386712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m/>
    <s v="01 자체 LMS"/>
    <s v="10. 컨텐츠 - 컨텐츠 개발"/>
    <x v="2"/>
    <s v="14. 컨텐츠 - 컨텐츠 개발"/>
    <m/>
    <n v="31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LS-tuber)"/>
    <n v="2156"/>
    <s v="01 1~1000대"/>
    <s v="01 수성"/>
    <m/>
    <s v="6. 하이브리드러닝 - 집합형"/>
    <x v="9"/>
    <s v="08. 하이브리드러닝 - 하이브리드형 러닝"/>
    <n v="2200000"/>
    <n v="24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글로벌연수원)"/>
    <n v="2156"/>
    <s v="01 1~1000대"/>
    <m/>
    <m/>
    <s v="3. 온라인 - 마이크로러닝"/>
    <x v="14"/>
    <s v="04. 이러닝 - 마이크로러닝"/>
    <n v="0"/>
    <n v="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예스코"/>
    <n v="3642"/>
    <s v="01 1~1000대"/>
    <s v="03 신규"/>
    <s v="03 휴넷 LMS"/>
    <s v="통합위탁"/>
    <x v="0"/>
    <s v="01. 이러닝 - 통합위탁"/>
    <m/>
    <n v="0"/>
    <n v="24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0"/>
    <s v="기업교육1팀"/>
    <s v="박정규"/>
    <s v="예스코"/>
    <n v="3642"/>
    <s v="01 1~1000대"/>
    <s v="01 수성"/>
    <s v="03 휴넷 LMS"/>
    <s v="1. 온라인 - 단과"/>
    <x v="1"/>
    <s v="02. 이러닝 - 단과"/>
    <n v="700000"/>
    <n v="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이수건설"/>
    <n v="2595"/>
    <s v="01 1~1000대"/>
    <s v="01 수성"/>
    <s v="03 휴넷 LMS"/>
    <s v="5. 하이브리드러닝 - 러닝저니"/>
    <x v="9"/>
    <s v="08. 하이브리드러닝 - 하이브리드형 러닝"/>
    <m/>
    <n v="15330000"/>
    <n v="9600000"/>
    <x v="0"/>
    <s v="02 가망"/>
    <n v="10000000"/>
    <m/>
    <m/>
    <m/>
    <m/>
    <m/>
    <m/>
    <m/>
    <n v="5000000"/>
    <m/>
    <m/>
    <n v="5000000"/>
    <m/>
    <m/>
  </r>
  <r>
    <s v="기업교육1팀"/>
    <x v="0"/>
    <s v="기업교육1팀"/>
    <s v="박정규"/>
    <s v="이수그룹"/>
    <n v="1409"/>
    <s v="01 1~1000대"/>
    <s v="03 신규"/>
    <m/>
    <s v="통합위탁"/>
    <x v="0"/>
    <s v="01. 이러닝 - 통합위탁"/>
    <m/>
    <n v="0"/>
    <n v="90000000"/>
    <x v="2"/>
    <s v="03 기회"/>
    <n v="75000000"/>
    <m/>
    <m/>
    <m/>
    <m/>
    <m/>
    <m/>
    <m/>
    <m/>
    <n v="15000000"/>
    <n v="15000000"/>
    <n v="15000000"/>
    <n v="15000000"/>
    <n v="15000000"/>
  </r>
  <r>
    <s v="기업교육1팀"/>
    <x v="0"/>
    <s v="기업교육1팀"/>
    <s v="박정규"/>
    <s v="이수그룹"/>
    <n v="1409"/>
    <s v="01 1~1000대"/>
    <s v="01 수성"/>
    <m/>
    <s v="6. 하이브리드러닝 - 집합형"/>
    <x v="9"/>
    <s v="08. 하이브리드러닝 - 하이브리드형 러닝"/>
    <m/>
    <n v="1100000"/>
    <n v="3000000"/>
    <x v="1"/>
    <s v="03 기회"/>
    <n v="3000000"/>
    <m/>
    <m/>
    <m/>
    <m/>
    <m/>
    <n v="3000000"/>
    <m/>
    <m/>
    <m/>
    <m/>
    <m/>
    <m/>
    <m/>
  </r>
  <r>
    <s v="기업교육2팀"/>
    <x v="0"/>
    <s v="기업교육1팀"/>
    <s v="박정규"/>
    <s v="이수화학"/>
    <n v="2594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3팀"/>
    <x v="0"/>
    <s v="기업교육1팀"/>
    <s v="박정규"/>
    <s v="이수페타시스"/>
    <n v="2596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0"/>
    <s v="기업교육1팀"/>
    <s v="박정규"/>
    <s v="인천e배움캠퍼스 "/>
    <n v="29087"/>
    <s v="05 공공"/>
    <s v="01 수성"/>
    <s v="03 휴넷 LMS"/>
    <s v="1. 온라인 - 단과"/>
    <x v="0"/>
    <s v="01. 이러닝 - 통합위탁"/>
    <n v="267000000"/>
    <n v="267300000"/>
    <n v="259000000"/>
    <x v="0"/>
    <s v="02 가망"/>
    <n v="260000000"/>
    <m/>
    <m/>
    <n v="182000000"/>
    <m/>
    <m/>
    <m/>
    <m/>
    <m/>
    <m/>
    <m/>
    <m/>
    <m/>
    <n v="78000000"/>
  </r>
  <r>
    <s v="기업교육1팀"/>
    <x v="0"/>
    <s v="기업교육1팀"/>
    <s v="박정규"/>
    <s v="파리크라상"/>
    <n v="988"/>
    <s v="01 1~1000대"/>
    <s v="04 연장"/>
    <s v="03 휴넷 LMS"/>
    <s v="통합위탁"/>
    <x v="0"/>
    <s v="01. 이러닝 - 통합위탁"/>
    <n v="47033280"/>
    <n v="2368000"/>
    <n v="7665000"/>
    <x v="0"/>
    <s v="03 기회"/>
    <n v="10000000"/>
    <m/>
    <m/>
    <m/>
    <n v="3000000"/>
    <m/>
    <m/>
    <n v="3000000"/>
    <m/>
    <m/>
    <m/>
    <n v="4000000"/>
    <m/>
    <m/>
  </r>
  <r>
    <s v="기업교육1팀"/>
    <x v="0"/>
    <s v="기업교육1팀"/>
    <s v="박정규"/>
    <s v="파리크라상"/>
    <n v="988"/>
    <s v="01 1~1000대"/>
    <s v="04 연장"/>
    <s v="03 휴넷 LMS"/>
    <s v="6. 하이브리드러닝 - 집합형"/>
    <x v="9"/>
    <s v="08. 하이브리드러닝 - 하이브리드형 러닝"/>
    <m/>
    <n v="21183273"/>
    <n v="10000000"/>
    <x v="0"/>
    <s v="03 기회"/>
    <n v="6000000"/>
    <m/>
    <m/>
    <m/>
    <m/>
    <m/>
    <n v="3000000"/>
    <m/>
    <m/>
    <m/>
    <m/>
    <n v="3000000"/>
    <m/>
    <m/>
  </r>
  <r>
    <s v="기업교육1팀"/>
    <x v="0"/>
    <s v="기업교육1팀"/>
    <s v="박정규"/>
    <s v="피비파트너즈"/>
    <n v="28071"/>
    <s v="03 2001~3000대"/>
    <s v="04 연장"/>
    <s v="03 휴넷 LMS"/>
    <s v="2. 온라인 - 법정"/>
    <x v="11"/>
    <s v="03. 이러닝 - 법정"/>
    <n v="25000000"/>
    <n v="25000000"/>
    <n v="25000000"/>
    <x v="0"/>
    <s v="01 확정"/>
    <n v="25000000"/>
    <m/>
    <m/>
    <m/>
    <m/>
    <m/>
    <m/>
    <m/>
    <n v="15000000"/>
    <m/>
    <m/>
    <m/>
    <n v="10000000"/>
    <m/>
  </r>
  <r>
    <s v="기업교육1팀"/>
    <x v="0"/>
    <s v="기업교육1팀"/>
    <s v="박정규"/>
    <s v="한국건설엔지니어링협회"/>
    <n v="26318"/>
    <s v="01 1~1000대"/>
    <s v="04 연장"/>
    <m/>
    <s v="10. 컨텐츠 - 컨텐츠 개발"/>
    <x v="2"/>
    <s v="14. 컨텐츠 - 컨텐츠 개발"/>
    <n v="36000000"/>
    <n v="44545455"/>
    <n v="100000000"/>
    <x v="2"/>
    <s v="09 2025년 매출"/>
    <n v="0"/>
    <m/>
    <m/>
    <m/>
    <m/>
    <m/>
    <m/>
    <m/>
    <m/>
    <m/>
    <m/>
    <m/>
    <m/>
    <m/>
  </r>
  <r>
    <s v="기업교육1팀"/>
    <x v="0"/>
    <s v="기업교육1팀"/>
    <s v="박정규"/>
    <s v="한국건설엔지니어링협회"/>
    <n v="26318"/>
    <s v="05 공공"/>
    <s v="04 연장"/>
    <s v="03 휴넷 LMS"/>
    <s v="14. 솔루션 - 맞춤형 LABS"/>
    <x v="8"/>
    <s v="15. 솔루션 - LABS"/>
    <n v="711692000"/>
    <n v="687100909"/>
    <n v="708460000"/>
    <x v="0"/>
    <s v="01 확정"/>
    <n v="660000000"/>
    <m/>
    <n v="60000000"/>
    <n v="50000000"/>
    <n v="60000000"/>
    <n v="50000000"/>
    <n v="60000000"/>
    <n v="50000000"/>
    <n v="60000000"/>
    <n v="50000000"/>
    <n v="60000000"/>
    <n v="50000000"/>
    <n v="60000000"/>
    <n v="50000000"/>
  </r>
  <r>
    <s v="기업교육1팀"/>
    <x v="0"/>
    <s v="기업교육1팀"/>
    <s v="박정규"/>
    <s v="한국의학연구소"/>
    <n v="12267"/>
    <s v="04 3000대 이후"/>
    <s v="04 연장"/>
    <s v="03 휴넷 LMS"/>
    <s v="1. 온라인 - 단과"/>
    <x v="1"/>
    <s v="02. 이러닝 - 단과"/>
    <n v="4018000"/>
    <n v="616000"/>
    <n v="9528000"/>
    <x v="0"/>
    <s v="02 가망"/>
    <n v="5000000"/>
    <m/>
    <m/>
    <m/>
    <m/>
    <n v="3000000"/>
    <m/>
    <m/>
    <m/>
    <m/>
    <m/>
    <n v="2000000"/>
    <m/>
    <m/>
  </r>
  <r>
    <s v="기업교육1팀"/>
    <x v="0"/>
    <s v="기업교육1팀"/>
    <s v="박정규"/>
    <s v="한국의학연구소"/>
    <n v="12267"/>
    <s v="04 3000대 이후"/>
    <s v="04 연장"/>
    <s v="03 휴넷 LMS"/>
    <s v="3. 온라인 - 마이크로러닝"/>
    <x v="14"/>
    <s v="04. 이러닝 - 마이크로러닝"/>
    <n v="78000000"/>
    <n v="78000000"/>
    <n v="780000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0"/>
    <s v="기업교육1팀"/>
    <s v="박정규"/>
    <s v="한라엔컴"/>
    <n v="15109"/>
    <s v="02 1001~2000대"/>
    <s v="04 연장"/>
    <s v="03 휴넷 LMS"/>
    <s v="2. 온라인 - 법정"/>
    <x v="11"/>
    <s v="03. 이러닝 - 법정"/>
    <n v="8500000"/>
    <n v="8863000"/>
    <n v="5405000"/>
    <x v="0"/>
    <s v="01 확정"/>
    <n v="6000000"/>
    <m/>
    <m/>
    <m/>
    <m/>
    <m/>
    <m/>
    <m/>
    <n v="3000000"/>
    <m/>
    <m/>
    <n v="3000000"/>
    <m/>
    <m/>
  </r>
  <r>
    <s v="기업교육1팀"/>
    <x v="0"/>
    <s v="기업교육1팀"/>
    <s v="박정규"/>
    <s v="hl만도"/>
    <n v="2586"/>
    <s v="01 1~1000대"/>
    <s v="03 신규"/>
    <s v="03 휴넷 LMS"/>
    <m/>
    <x v="13"/>
    <s v="10. 구독 - 휴넷CEO멤버십"/>
    <m/>
    <m/>
    <m/>
    <x v="2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그랜드코리아레저"/>
    <m/>
    <m/>
    <s v="03 신규"/>
    <s v="03 휴넷 LMS"/>
    <m/>
    <x v="13"/>
    <s v="01. 이러닝 - 통합위탁"/>
    <m/>
    <m/>
    <m/>
    <x v="5"/>
    <s v="03 기회"/>
    <n v="210000000"/>
    <m/>
    <m/>
    <m/>
    <n v="21000000"/>
    <n v="21000000"/>
    <n v="21000000"/>
    <n v="21000000"/>
    <n v="21000000"/>
    <n v="21000000"/>
    <n v="21000000"/>
    <n v="21000000"/>
    <n v="21000000"/>
    <n v="21000000"/>
  </r>
  <r>
    <s v="기업교육1팀"/>
    <x v="0"/>
    <s v="기업교육1팀"/>
    <s v="박정규"/>
    <s v="한라인재개발원"/>
    <n v="16408"/>
    <s v="01 1~1000대"/>
    <m/>
    <m/>
    <s v="1. 온라인 - 단과"/>
    <x v="0"/>
    <s v="01. 이러닝 - 통합위탁"/>
    <n v="126890333"/>
    <n v="0"/>
    <n v="0"/>
    <x v="4"/>
    <s v="03 기회"/>
    <n v="220000000"/>
    <m/>
    <m/>
    <n v="20000000"/>
    <n v="2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KCC글라스"/>
    <n v="12080"/>
    <s v="01 1~1000대"/>
    <s v="03 신규"/>
    <s v="03 휴넷 LMS"/>
    <s v="1. 온라인 - 단과"/>
    <x v="0"/>
    <s v="01. 이러닝 - 통합위탁"/>
    <s v=""/>
    <n v="0"/>
    <n v="122727630"/>
    <x v="0"/>
    <s v="01 확정"/>
    <n v="130000000"/>
    <m/>
    <n v="7000000"/>
    <n v="8000000"/>
    <n v="12000000"/>
    <n v="7000000"/>
    <n v="12000000"/>
    <n v="12000000"/>
    <n v="12000000"/>
    <n v="12000000"/>
    <n v="12000000"/>
    <n v="12000000"/>
    <n v="12000000"/>
    <n v="12000000"/>
  </r>
  <r>
    <s v="기업교육1팀"/>
    <x v="1"/>
    <s v="기업교육1팀"/>
    <s v="이재성"/>
    <s v="지에스건설"/>
    <n v="49835"/>
    <s v="01 1~1000대"/>
    <s v="04 연장"/>
    <s v="03 휴넷 LMS"/>
    <s v="통합위탁"/>
    <x v="0"/>
    <s v="01. 이러닝 - 통합위탁"/>
    <n v="480096819"/>
    <n v="614675776"/>
    <n v="653578430"/>
    <x v="0"/>
    <s v="02 가망"/>
    <n v="720000000"/>
    <m/>
    <n v="60000000"/>
    <n v="60000000"/>
    <n v="60000000"/>
    <n v="60000000"/>
    <n v="60000000"/>
    <n v="60000000"/>
    <n v="60000000"/>
    <n v="60000000"/>
    <n v="60000000"/>
    <n v="60000000"/>
    <n v="60000000"/>
    <n v="60000000"/>
  </r>
  <r>
    <s v="기업교육1팀"/>
    <x v="1"/>
    <s v="기업교육1팀"/>
    <s v="이재성"/>
    <s v="한국남동발전"/>
    <n v="29759"/>
    <s v="05 공공"/>
    <s v="02 윈백"/>
    <s v="03 휴넷 LMS"/>
    <s v="통합위탁"/>
    <x v="0"/>
    <s v="01. 이러닝 - 통합위탁"/>
    <n v="551451211"/>
    <n v="0"/>
    <n v="660000000"/>
    <x v="7"/>
    <s v="02 가망"/>
    <n v="480000000"/>
    <m/>
    <n v="15000000"/>
    <n v="15000000"/>
    <n v="15000000"/>
    <n v="15000000"/>
    <n v="15000000"/>
    <n v="15000000"/>
    <n v="15000000"/>
    <n v="15000000"/>
    <n v="30000000"/>
    <n v="30000000"/>
    <n v="300000000"/>
    <m/>
  </r>
  <r>
    <s v="기업교육1팀"/>
    <x v="1"/>
    <s v="기업교육1팀"/>
    <s v="이재성"/>
    <s v="한국남동발전(바이패스)"/>
    <n v="29759"/>
    <s v="04 3000대 이후"/>
    <s v="02 윈백"/>
    <s v="03 휴넷 LMS"/>
    <s v="24. 운영 - 운영매출"/>
    <x v="6"/>
    <s v="19. 운영 - 운영매출"/>
    <m/>
    <m/>
    <m/>
    <x v="5"/>
    <s v="02 가망"/>
    <n v="300000000"/>
    <m/>
    <m/>
    <n v="30000000"/>
    <n v="30000000"/>
    <n v="30000000"/>
    <n v="30000000"/>
    <n v="30000000"/>
    <n v="30000000"/>
    <n v="30000000"/>
    <n v="30000000"/>
    <n v="30000000"/>
    <n v="30000000"/>
    <m/>
  </r>
  <r>
    <s v="기업교육1팀"/>
    <x v="1"/>
    <s v="기업교육1팀"/>
    <s v="이재성"/>
    <s v="관세인재개발원"/>
    <n v="42659"/>
    <s v="05 공공"/>
    <s v="03 신규"/>
    <s v="01 자체 LMS"/>
    <m/>
    <x v="13"/>
    <s v="08. 하이브리드러닝 - 하이브리드형 러닝"/>
    <m/>
    <m/>
    <m/>
    <x v="5"/>
    <s v="03 기회"/>
    <n v="30000000"/>
    <m/>
    <m/>
    <m/>
    <m/>
    <m/>
    <m/>
    <n v="10000000"/>
    <m/>
    <m/>
    <n v="10000000"/>
    <m/>
    <m/>
    <n v="10000000"/>
  </r>
  <r>
    <s v="기업교육1팀"/>
    <x v="1"/>
    <s v="기업교육1팀"/>
    <s v="이재성"/>
    <s v="LH주거복지정보"/>
    <n v="40006"/>
    <s v="05 공공"/>
    <m/>
    <s v="01 자체 LMS"/>
    <s v="6. 하이브리드러닝 - 집합형"/>
    <x v="9"/>
    <s v="08. 하이브리드러닝 - 하이브리드형 러닝"/>
    <n v="400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31. B2C - 일반과정"/>
    <x v="1"/>
    <s v="02. 이러닝 - 단과"/>
    <m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m/>
    <s v="14. 솔루션 - 맞춤형 LABS"/>
    <x v="8"/>
    <s v="15. 솔루션 - LABS"/>
    <n v="1951099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24. 운영 - 운영매출"/>
    <x v="6"/>
    <s v="19. 운영 - 운영매출"/>
    <n v="200661090"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4년 과업)"/>
    <n v="29192"/>
    <s v="05 공공"/>
    <s v="04 연장"/>
    <s v="03 휴넷 LMS"/>
    <s v="24. 운영 - 운영매출"/>
    <x v="6"/>
    <s v="19. 운영 - 운영매출"/>
    <m/>
    <n v="0"/>
    <n v="13089000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24. 운영 - 운영매출"/>
    <x v="6"/>
    <s v="19. 운영 - 운영매출"/>
    <m/>
    <n v="247470000"/>
    <n v="130000000"/>
    <x v="0"/>
    <s v="01 확정"/>
    <n v="130000000"/>
    <m/>
    <m/>
    <m/>
    <m/>
    <n v="65000000"/>
    <m/>
    <m/>
    <n v="65000000"/>
    <m/>
    <m/>
    <m/>
    <m/>
    <m/>
  </r>
  <r>
    <s v="기업교육1팀"/>
    <x v="1"/>
    <s v="기업교육1팀"/>
    <s v="이재성"/>
    <s v="한전KPS"/>
    <n v="2647"/>
    <s v="05 공공"/>
    <s v="01 수성"/>
    <s v="03 휴넷 LMS"/>
    <s v="통합위탁"/>
    <x v="0"/>
    <s v="01. 이러닝 - 통합위탁"/>
    <m/>
    <n v="0"/>
    <n v="120000000"/>
    <x v="7"/>
    <s v="02 가망"/>
    <n v="270000000"/>
    <m/>
    <m/>
    <n v="200000000"/>
    <m/>
    <m/>
    <m/>
    <m/>
    <m/>
    <m/>
    <m/>
    <m/>
    <m/>
    <n v="70000000"/>
  </r>
  <r>
    <s v="기업교육1팀"/>
    <x v="1"/>
    <s v="기업교육1팀"/>
    <s v="이재성"/>
    <s v="귀농귀촌 아카데미(농림수산식품교육문화정보원)"/>
    <n v="57837"/>
    <s v="05 공공"/>
    <s v="01 수성"/>
    <s v="01 자체 LMS"/>
    <s v="6. 하이브리드러닝 - 집합형"/>
    <x v="12"/>
    <s v="09. 하이브리드러닝 - 순수 오프라인"/>
    <n v="247500000"/>
    <n v="237954545.09090909"/>
    <n v="265818181"/>
    <x v="0"/>
    <s v="02 가망"/>
    <n v="260000000"/>
    <m/>
    <m/>
    <m/>
    <m/>
    <n v="200000000"/>
    <m/>
    <m/>
    <m/>
    <m/>
    <m/>
    <m/>
    <m/>
    <n v="60000000"/>
  </r>
  <r>
    <s v="기업교육1팀"/>
    <x v="1"/>
    <s v="기업교육1팀"/>
    <s v="이재성"/>
    <s v="POMA경비(우체국시설관리단)"/>
    <n v="16346"/>
    <s v="05 공공"/>
    <s v="01 수성"/>
    <m/>
    <s v="6. 하이브리드러닝 - 집합형"/>
    <x v="12"/>
    <s v="09. 하이브리드러닝 - 순수 오프라인"/>
    <m/>
    <n v="32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m/>
    <s v="36. 기타 - 기타"/>
    <x v="5"/>
    <s v="25. 기타 - 기타"/>
    <m/>
    <n v="30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가온종합건설"/>
    <n v="59912"/>
    <s v="01 1~1000대"/>
    <s v="04 연장"/>
    <s v="03 휴넷 LMS"/>
    <s v="2. 온라인 - 법정"/>
    <x v="11"/>
    <s v="03. 이러닝 - 법정"/>
    <m/>
    <n v="280000"/>
    <n v="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지에스건설(계열사)"/>
    <n v="49835"/>
    <s v="01 1~1000대"/>
    <s v="01 수성"/>
    <m/>
    <s v="2. 온라인 - 법정"/>
    <x v="11"/>
    <s v="03. 이러닝 - 법정"/>
    <m/>
    <n v="0"/>
    <n v="0"/>
    <x v="2"/>
    <s v="03 기회"/>
    <n v="20000000"/>
    <m/>
    <m/>
    <m/>
    <m/>
    <m/>
    <m/>
    <m/>
    <m/>
    <m/>
    <m/>
    <m/>
    <m/>
    <n v="20000000"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08. 하이브리드러닝 - 하이브리드형 러닝"/>
    <m/>
    <m/>
    <m/>
    <x v="5"/>
    <s v="03 기회"/>
    <n v="20000000"/>
    <m/>
    <m/>
    <m/>
    <m/>
    <m/>
    <m/>
    <n v="10000000"/>
    <m/>
    <m/>
    <m/>
    <m/>
    <m/>
    <n v="1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LH(한국토지주택공사)"/>
    <n v="3708"/>
    <s v="05 공공"/>
    <s v="01 수성"/>
    <m/>
    <s v="1. 온라인 - 단과"/>
    <x v="1"/>
    <s v="02. 이러닝 - 단과"/>
    <n v="84791494"/>
    <n v="0"/>
    <n v="100000000"/>
    <x v="1"/>
    <s v="02 가망"/>
    <n v="200000000"/>
    <m/>
    <m/>
    <m/>
    <m/>
    <m/>
    <m/>
    <m/>
    <n v="100000000"/>
    <m/>
    <m/>
    <m/>
    <m/>
    <n v="10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가톨릭중앙의료원"/>
    <n v="7653"/>
    <s v="04 3000대 이후"/>
    <s v="04 연장"/>
    <s v="03 휴넷 LMS"/>
    <s v="통합위탁"/>
    <x v="0"/>
    <s v="01. 이러닝 - 통합위탁"/>
    <n v="81144000"/>
    <n v="88818182"/>
    <n v="84500000"/>
    <x v="0"/>
    <s v="01 확정"/>
    <n v="84000000"/>
    <m/>
    <m/>
    <n v="42000000"/>
    <m/>
    <m/>
    <n v="42000000"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관세인재개발원"/>
    <n v="42659"/>
    <s v="05 공공"/>
    <s v="01 수성"/>
    <m/>
    <s v="36. 기타 - 기타"/>
    <x v="5"/>
    <s v="25. 기타 - 기타"/>
    <m/>
    <n v="1200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한국전력거래소"/>
    <n v="7261"/>
    <s v="05 공공"/>
    <s v="01 수성"/>
    <s v="03 휴넷 LMS"/>
    <s v="11. 컨텐츠 - 컨텐츠 임대/판매"/>
    <x v="0"/>
    <s v="01. 이러닝 - 통합위탁"/>
    <s v=""/>
    <n v="6211636"/>
    <n v="10393363"/>
    <x v="0"/>
    <s v="02 가망"/>
    <n v="200000000"/>
    <m/>
    <m/>
    <n v="10000000"/>
    <n v="1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국립암센터"/>
    <n v="11662"/>
    <s v="05 공공"/>
    <s v="04 연장"/>
    <s v="03 휴넷 LMS"/>
    <s v="2. 온라인 - 법정"/>
    <x v="11"/>
    <s v="03. 이러닝 - 법정"/>
    <m/>
    <n v="18000000"/>
    <n v="1700000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6년 과업)(바이패스)"/>
    <n v="29192"/>
    <s v="05 공공"/>
    <s v="01 수성"/>
    <s v="03 휴넷 LMS"/>
    <s v="31. B2C - 일반과정"/>
    <x v="1"/>
    <s v="02. 이러닝 - 단과"/>
    <m/>
    <m/>
    <m/>
    <x v="5"/>
    <s v="02 가망"/>
    <n v="150000000"/>
    <m/>
    <m/>
    <m/>
    <m/>
    <m/>
    <m/>
    <m/>
    <n v="10000000"/>
    <n v="10000000"/>
    <n v="10000000"/>
    <n v="20000000"/>
    <n v="50000000"/>
    <n v="50000000"/>
  </r>
  <r>
    <s v="기업교육1팀"/>
    <x v="1"/>
    <s v="기업교육1팀"/>
    <s v="이재성"/>
    <s v="LH중앙공동주택관리지원센터 (26년 과업)"/>
    <n v="29192"/>
    <s v="05 공공"/>
    <s v="01 수성"/>
    <s v="03 휴넷 LMS"/>
    <m/>
    <x v="6"/>
    <s v="19. 운영 - 운영매출"/>
    <m/>
    <m/>
    <m/>
    <x v="5"/>
    <s v="02 가망"/>
    <n v="130000000"/>
    <m/>
    <m/>
    <m/>
    <m/>
    <m/>
    <m/>
    <m/>
    <m/>
    <m/>
    <m/>
    <n v="65000000"/>
    <m/>
    <n v="65000000"/>
  </r>
  <r>
    <s v="기업교육1팀"/>
    <x v="1"/>
    <s v="기업교육1팀"/>
    <s v="이재성"/>
    <s v="국립암센터"/>
    <n v="11662"/>
    <s v="05 공공"/>
    <s v="04 연장"/>
    <s v="03 휴넷 LMS"/>
    <s v="6. 하이브리드러닝 - 집합형"/>
    <x v="12"/>
    <s v="09. 하이브리드러닝 - 순수 오프라인"/>
    <n v="79545454"/>
    <n v="94018182"/>
    <n v="100000000"/>
    <x v="0"/>
    <s v="02 가망"/>
    <n v="100000000"/>
    <m/>
    <m/>
    <m/>
    <m/>
    <m/>
    <m/>
    <m/>
    <m/>
    <m/>
    <m/>
    <m/>
    <m/>
    <n v="100000000"/>
  </r>
  <r>
    <s v="기업교육1팀"/>
    <x v="1"/>
    <s v="기업교육1팀"/>
    <s v="이재성"/>
    <s v="관세인재개발원"/>
    <n v="4265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n v="15000000"/>
    <m/>
    <m/>
    <m/>
    <m/>
    <m/>
    <m/>
  </r>
  <r>
    <s v="기업교육1팀"/>
    <x v="1"/>
    <s v="기업교육1팀"/>
    <s v="이재성"/>
    <s v="글로벌알앤씨(한전KPS정산용)"/>
    <n v="58204"/>
    <s v="01 1~1000대"/>
    <s v="02 윈백"/>
    <m/>
    <s v="10. 컨텐츠 - 컨텐츠 개발"/>
    <x v="2"/>
    <s v="14. 컨텐츠 - 컨텐츠 개발"/>
    <n v="2000000"/>
    <n v="0"/>
    <n v="0"/>
    <x v="4"/>
    <s v="05 Drop"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4 연장"/>
    <s v="03 휴넷 LMS"/>
    <s v="1. 온라인 - 단과"/>
    <x v="0"/>
    <s v="01. 이러닝 - 통합위탁"/>
    <m/>
    <n v="80160000"/>
    <n v="80160000"/>
    <x v="0"/>
    <s v="01 확정"/>
    <n v="80000000"/>
    <m/>
    <n v="7000000"/>
    <n v="7000000"/>
    <n v="7000000"/>
    <n v="7000000"/>
    <n v="7000000"/>
    <n v="7000000"/>
    <n v="7000000"/>
    <n v="7000000"/>
    <n v="7000000"/>
    <n v="7000000"/>
    <n v="7000000"/>
    <n v="3000000"/>
  </r>
  <r>
    <s v="기업교육1팀"/>
    <x v="1"/>
    <s v="기업교육1팀"/>
    <s v="이재성"/>
    <s v="주택관리공단"/>
    <n v="3987"/>
    <s v="05 공공"/>
    <s v="03 신규"/>
    <s v="03 휴넷 LMS"/>
    <m/>
    <x v="0"/>
    <s v="01. 이러닝 - 통합위탁"/>
    <m/>
    <m/>
    <n v="90000000"/>
    <x v="0"/>
    <s v="02 가망"/>
    <n v="100000000"/>
    <m/>
    <m/>
    <m/>
    <m/>
    <m/>
    <m/>
    <n v="80000000"/>
    <m/>
    <m/>
    <m/>
    <m/>
    <m/>
    <n v="20000000"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n v="19000000"/>
    <n v="5000000"/>
    <n v="5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0. 구독 - 휴넷CEO멤버십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삼성전자로지텍"/>
    <n v="3808"/>
    <s v="01 1~1000대"/>
    <s v="02 윈백"/>
    <s v="03 휴넷 LMS"/>
    <m/>
    <x v="1"/>
    <s v="02. 이러닝 - 단과"/>
    <n v="1342400"/>
    <n v="1391900"/>
    <n v="368010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서울아산병원"/>
    <n v="2584"/>
    <s v="04 3000대 이후"/>
    <s v="04 연장"/>
    <s v="03 휴넷 LMS"/>
    <s v="통합위탁"/>
    <x v="0"/>
    <s v="01. 이러닝 - 통합위탁"/>
    <n v="202382600"/>
    <n v="157061970"/>
    <n v="15183376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서울아산병원"/>
    <n v="2584"/>
    <s v="04 3000대 이후"/>
    <s v="01 수성"/>
    <m/>
    <s v="통합위탁"/>
    <x v="0"/>
    <s v="01. 이러닝 - 통합위탁"/>
    <m/>
    <n v="0"/>
    <n v="0"/>
    <x v="1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통합위탁"/>
    <x v="0"/>
    <s v="01. 이러닝 - 통합위탁"/>
    <n v="86916000"/>
    <n v="67284000"/>
    <n v="0"/>
    <x v="7"/>
    <s v="02 가망"/>
    <n v="90000000"/>
    <m/>
    <m/>
    <n v="15000000"/>
    <n v="5000000"/>
    <n v="15000000"/>
    <n v="5000000"/>
    <n v="15000000"/>
    <n v="5000000"/>
    <n v="15000000"/>
    <n v="5000000"/>
    <n v="5000000"/>
    <n v="5000000"/>
    <m/>
  </r>
  <r>
    <s v="기업교육1팀"/>
    <x v="1"/>
    <s v="기업교육1팀"/>
    <s v="이재성"/>
    <s v="서울아산병원"/>
    <n v="2584"/>
    <s v="04 3000대 이후"/>
    <s v="01 수성"/>
    <m/>
    <s v="6. 하이브리드러닝 - 집합형"/>
    <x v="12"/>
    <s v="09. 하이브리드러닝 - 순수 오프라인"/>
    <m/>
    <n v="0"/>
    <n v="0"/>
    <x v="1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1 수성"/>
    <s v="03 휴넷 LMS"/>
    <s v="6. 하이브리드러닝 - 집합형"/>
    <x v="12"/>
    <s v="09. 하이브리드러닝 - 순수 오프라인"/>
    <s v=""/>
    <n v="0"/>
    <n v="111355000"/>
    <x v="0"/>
    <s v="02 가망"/>
    <n v="90000000"/>
    <m/>
    <m/>
    <m/>
    <m/>
    <n v="15000000"/>
    <n v="15000000"/>
    <n v="15000000"/>
    <m/>
    <m/>
    <n v="15000000"/>
    <n v="15000000"/>
    <n v="15000000"/>
    <m/>
  </r>
  <r>
    <s v="기업교육1팀"/>
    <x v="1"/>
    <s v="기업교육1팀"/>
    <s v="이재성"/>
    <s v="국립암센터"/>
    <n v="11662"/>
    <s v="05 공공"/>
    <s v="04 연장"/>
    <s v="03 휴넷 LMS"/>
    <s v="통합위탁"/>
    <x v="0"/>
    <s v="01. 이러닝 - 통합위탁"/>
    <n v="77364942"/>
    <n v="64629700"/>
    <n v="75849900"/>
    <x v="0"/>
    <s v="02 가망"/>
    <n v="81000000"/>
    <m/>
    <m/>
    <m/>
    <m/>
    <n v="9000000"/>
    <n v="9000000"/>
    <n v="9000000"/>
    <n v="9000000"/>
    <n v="9000000"/>
    <n v="9000000"/>
    <n v="9000000"/>
    <n v="9000000"/>
    <n v="9000000"/>
  </r>
  <r>
    <s v="기업교육1팀"/>
    <x v="1"/>
    <s v="기업교육1팀"/>
    <s v="이재성"/>
    <s v="스마일게이트"/>
    <n v="16207"/>
    <s v="01 1~1000대"/>
    <s v="04 연장"/>
    <s v="01 자체 LMS"/>
    <s v="통합위탁"/>
    <x v="0"/>
    <s v="01. 이러닝 - 통합위탁"/>
    <m/>
    <n v="112399340"/>
    <n v="100676800"/>
    <x v="0"/>
    <s v="01 확정"/>
    <n v="120000000"/>
    <m/>
    <n v="7000000"/>
    <n v="7000000"/>
    <n v="12000000"/>
    <n v="7000000"/>
    <n v="12000000"/>
    <n v="15000000"/>
    <n v="7000000"/>
    <n v="7000000"/>
    <n v="12000000"/>
    <n v="12000000"/>
    <n v="15000000"/>
    <n v="7000000"/>
  </r>
  <r>
    <s v="기업교육1팀"/>
    <x v="1"/>
    <s v="기업교육1팀"/>
    <s v="이재성"/>
    <s v="가톨릭중앙의료원"/>
    <n v="7653"/>
    <s v="04 3000대 이후"/>
    <s v="01 수성"/>
    <s v="03 휴넷 LMS"/>
    <m/>
    <x v="13"/>
    <s v="03. 이러닝 - 법정"/>
    <m/>
    <m/>
    <m/>
    <x v="5"/>
    <s v="02 가망"/>
    <n v="50000000"/>
    <m/>
    <m/>
    <m/>
    <m/>
    <m/>
    <m/>
    <m/>
    <m/>
    <m/>
    <m/>
    <m/>
    <m/>
    <n v="50000000"/>
  </r>
  <r>
    <s v="기업교육1팀"/>
    <x v="1"/>
    <s v="기업교육1팀"/>
    <s v="이재성"/>
    <s v="스마일게이트"/>
    <n v="16207"/>
    <s v="01 1~1000대"/>
    <s v="01 수성"/>
    <m/>
    <s v="2. 온라인 - 법정"/>
    <x v="11"/>
    <s v="03. 이러닝 - 법정"/>
    <m/>
    <n v="11801000"/>
    <n v="21000000"/>
    <x v="0"/>
    <s v="02 가망"/>
    <n v="35000000"/>
    <m/>
    <m/>
    <m/>
    <m/>
    <m/>
    <n v="7000000"/>
    <m/>
    <m/>
    <n v="7000000"/>
    <m/>
    <n v="7000000"/>
    <n v="7000000"/>
    <n v="7000000"/>
  </r>
  <r>
    <s v="기업교육1팀"/>
    <x v="1"/>
    <s v="기업교육1팀"/>
    <s v="이재성"/>
    <s v="서울아산병원"/>
    <n v="2584"/>
    <s v="04 3000대 이후"/>
    <s v="04 연장"/>
    <s v="03 휴넷 LMS"/>
    <s v="2. 온라인 - 법정"/>
    <x v="11"/>
    <s v="03. 이러닝 - 법정"/>
    <n v="37635000"/>
    <n v="68146000"/>
    <n v="32000000"/>
    <x v="0"/>
    <s v="02 가망"/>
    <n v="34000000"/>
    <m/>
    <m/>
    <m/>
    <m/>
    <m/>
    <m/>
    <m/>
    <n v="17000000"/>
    <m/>
    <m/>
    <m/>
    <m/>
    <n v="17000000"/>
  </r>
  <r>
    <s v="기업교육1팀"/>
    <x v="1"/>
    <s v="기업교육1팀"/>
    <s v="이재성"/>
    <s v="에스케이티엔에스"/>
    <n v="44105"/>
    <s v="03 2001~3000대"/>
    <s v="04 연장"/>
    <s v="01 자체 LMS"/>
    <s v="통합위탁"/>
    <x v="0"/>
    <s v="01. 이러닝 - 통합위탁"/>
    <n v="63722690"/>
    <n v="117411914"/>
    <n v="77791100"/>
    <x v="0"/>
    <s v="01 확정"/>
    <n v="98000000"/>
    <m/>
    <m/>
    <n v="7000000"/>
    <n v="7000000"/>
    <n v="10000000"/>
    <n v="8000000"/>
    <n v="10000000"/>
    <n v="8000000"/>
    <n v="8000000"/>
    <n v="8000000"/>
    <n v="10000000"/>
    <n v="8000000"/>
    <n v="14000000"/>
  </r>
  <r>
    <s v="기업교육1팀"/>
    <x v="1"/>
    <s v="기업교육1팀"/>
    <s v="이재성"/>
    <s v="에스케이티엔에스"/>
    <n v="44105"/>
    <s v="03 2001~3000대"/>
    <s v="01 수성"/>
    <s v="01 자체 LMS"/>
    <s v="6. 하이브리드러닝 - 집합형"/>
    <x v="9"/>
    <s v="08. 하이브리드러닝 - 하이브리드형 러닝"/>
    <n v="25820000"/>
    <n v="64195455"/>
    <n v="1850000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에스케이티엔에스"/>
    <n v="44105"/>
    <s v="03 2001~3000대"/>
    <s v="01 수성"/>
    <m/>
    <m/>
    <x v="9"/>
    <s v="08. 하이브리드러닝 - 하이브리드형 러닝"/>
    <m/>
    <n v="0"/>
    <n v="45000000"/>
    <x v="1"/>
    <s v="02 가망"/>
    <n v="32000000"/>
    <m/>
    <m/>
    <m/>
    <n v="12000000"/>
    <m/>
    <n v="5000000"/>
    <m/>
    <m/>
    <n v="5000000"/>
    <m/>
    <m/>
    <n v="10000000"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2"/>
    <s v="09. 하이브리드러닝 - 순수 오프라인"/>
    <m/>
    <m/>
    <n v="25550000"/>
    <x v="0"/>
    <s v="02 가망"/>
    <n v="30000000"/>
    <m/>
    <m/>
    <n v="10000000"/>
    <n v="10000000"/>
    <m/>
    <m/>
    <m/>
    <n v="10000000"/>
    <m/>
    <m/>
    <m/>
    <m/>
    <m/>
  </r>
  <r>
    <s v="기업교육1팀"/>
    <x v="1"/>
    <s v="기업교육1팀"/>
    <s v="이재성"/>
    <s v="한전KDN"/>
    <n v="56027"/>
    <s v="05 공공"/>
    <s v="04 연장"/>
    <s v="03 휴넷 LMS"/>
    <s v="1. 온라인 - 단과"/>
    <x v="12"/>
    <s v="09. 하이브리드러닝 - 순수 오프라인"/>
    <m/>
    <n v="7260000"/>
    <n v="31441336"/>
    <x v="0"/>
    <s v="02 가망"/>
    <n v="30000000"/>
    <m/>
    <m/>
    <m/>
    <m/>
    <m/>
    <m/>
    <m/>
    <n v="10000000"/>
    <n v="10000000"/>
    <n v="10000000"/>
    <m/>
    <m/>
    <m/>
  </r>
  <r>
    <s v="기업교육1팀"/>
    <x v="1"/>
    <s v="기업교육1팀"/>
    <s v="이재성"/>
    <s v="자이가이스트"/>
    <n v="61724"/>
    <s v="01 1~1000대"/>
    <s v="03 신규"/>
    <s v="03 휴넷 LMS"/>
    <m/>
    <x v="1"/>
    <s v="02. 이러닝 - 단과"/>
    <m/>
    <n v="0"/>
    <n v="181899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현대오일뱅크서울지점 (생산전문직 과정개발)"/>
    <n v="1374"/>
    <s v="01 1~1000대"/>
    <s v="04 연장"/>
    <s v="01 자체 LMS"/>
    <s v="6. 하이브리드러닝 - 집합형"/>
    <x v="12"/>
    <s v="09. 하이브리드러닝 - 순수 오프라인"/>
    <n v="44122500"/>
    <n v="85291000"/>
    <n v="30400000"/>
    <x v="0"/>
    <s v="02 가망"/>
    <n v="30000000"/>
    <m/>
    <m/>
    <m/>
    <m/>
    <m/>
    <n v="30000000"/>
    <m/>
    <m/>
    <m/>
    <m/>
    <m/>
    <m/>
    <m/>
  </r>
  <r>
    <s v="기업교육1팀"/>
    <x v="1"/>
    <s v="기업교육3팀"/>
    <s v="최영기"/>
    <s v="재이스타일"/>
    <n v="28926"/>
    <s v="01 1~1000대"/>
    <s v="01 수성"/>
    <m/>
    <s v="2. 온라인 - 법정"/>
    <x v="11"/>
    <s v="03. 이러닝 - 법정"/>
    <n v="189000"/>
    <n v="0"/>
    <n v="0"/>
    <x v="1"/>
    <m/>
    <n v="0"/>
    <m/>
    <m/>
    <m/>
    <m/>
    <m/>
    <m/>
    <m/>
    <m/>
    <m/>
    <m/>
    <m/>
    <m/>
    <m/>
  </r>
  <r>
    <s v="기업교육1팀"/>
    <x v="1"/>
    <s v="기업교육1팀"/>
    <s v="이재성"/>
    <s v="주식회사 포스코"/>
    <n v="8748"/>
    <s v="01 1~1000대"/>
    <s v="03 신규"/>
    <m/>
    <s v="11. 컨텐츠 - 컨텐츠 임대/판매"/>
    <x v="3"/>
    <s v="07. 이러닝 - 컨텐츠 임대/판매"/>
    <m/>
    <n v="0"/>
    <n v="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6. 하이브리드러닝 - 집합형"/>
    <x v="9"/>
    <s v="08. 하이브리드러닝 - 하이브리드형 러닝"/>
    <n v="16344999.999999998"/>
    <n v="24210000"/>
    <n v="26000000"/>
    <x v="1"/>
    <s v="02 가망"/>
    <n v="26000000"/>
    <m/>
    <m/>
    <m/>
    <m/>
    <m/>
    <m/>
    <m/>
    <m/>
    <m/>
    <n v="13000000"/>
    <n v="13000000"/>
    <m/>
    <m/>
  </r>
  <r>
    <s v="기업교육1팀"/>
    <x v="1"/>
    <s v="기업교육1팀"/>
    <s v="이재성"/>
    <s v="주택관리공단"/>
    <n v="3987"/>
    <s v="05 공공"/>
    <s v="01 수성"/>
    <s v="01 자체 LMS"/>
    <s v="3. 온라인 - 마이크로러닝"/>
    <x v="14"/>
    <s v="04. 이러닝 - 마이크로러닝"/>
    <s v=""/>
    <n v="0"/>
    <n v="70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2. 온라인 - 법정"/>
    <x v="11"/>
    <s v="03. 이러닝 - 법정"/>
    <n v="19645000"/>
    <n v="19491000"/>
    <n v="0"/>
    <x v="7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지에스건설"/>
    <n v="49835"/>
    <s v="01 1~1000대"/>
    <s v="01 수성"/>
    <m/>
    <s v="통합위탁"/>
    <x v="0"/>
    <s v="01. 이러닝 - 통합위탁"/>
    <m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서울아산병원 임상연구보호센터"/>
    <n v="21047"/>
    <s v="04 3000대 이후"/>
    <s v="04 연장"/>
    <s v="03 휴넷 LMS"/>
    <s v="18. 솔루션 - 라이브클래스"/>
    <x v="15"/>
    <s v="17. 솔루션 - 기타"/>
    <n v="19711500"/>
    <n v="23262500"/>
    <n v="13158500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스마일게이트"/>
    <n v="16207"/>
    <s v="01 1~1000대"/>
    <s v="01 수성"/>
    <m/>
    <s v="10. 컨텐츠 - 컨텐츠 개발"/>
    <x v="2"/>
    <s v="14. 컨텐츠 - 컨텐츠 개발"/>
    <m/>
    <n v="0"/>
    <n v="0"/>
    <x v="2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1. 구독 - 휴넷 리더십저니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지에스건설"/>
    <n v="49835"/>
    <s v="01 1~1000대"/>
    <s v="04 연장"/>
    <s v="03 휴넷 LMS"/>
    <s v="3. 온라인 - 마이크로러닝"/>
    <x v="14"/>
    <s v="04. 이러닝 - 마이크로러닝"/>
    <n v="15000000"/>
    <n v="20000000"/>
    <n v="20000000"/>
    <x v="0"/>
    <s v="02 가망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하이브"/>
    <n v="30541"/>
    <s v="01 1~1000대"/>
    <s v="03 신규"/>
    <m/>
    <s v="통합위탁"/>
    <x v="1"/>
    <s v="02. 이러닝 - 단과"/>
    <m/>
    <n v="0"/>
    <n v="100000000"/>
    <x v="2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한국남동발전"/>
    <n v="29759"/>
    <s v="05 공공"/>
    <s v="02 윈백"/>
    <s v="03 휴넷 LMS"/>
    <s v="18. 솔루션 - 라이브클래스"/>
    <x v="15"/>
    <s v="17. 솔루션 - 기타"/>
    <n v="15681817.909090908"/>
    <n v="0"/>
    <n v="0"/>
    <x v="4"/>
    <s v="02 가망"/>
    <n v="20000000"/>
    <m/>
    <m/>
    <m/>
    <m/>
    <m/>
    <m/>
    <m/>
    <m/>
    <n v="20000000"/>
    <m/>
    <m/>
    <m/>
    <m/>
  </r>
  <r>
    <s v="기업교육1팀"/>
    <x v="1"/>
    <s v="기업교육1팀"/>
    <s v="이재성"/>
    <s v="포스코인재창조원"/>
    <n v="15725"/>
    <s v="01 1~1000대"/>
    <s v="04 연장"/>
    <s v="01 자체 LMS"/>
    <s v="11. 컨텐츠 - 컨텐츠 임대/판매"/>
    <x v="3"/>
    <s v="07. 이러닝 - 컨텐츠 임대/판매"/>
    <n v="126590000"/>
    <n v="134140000"/>
    <n v="139120000"/>
    <x v="0"/>
    <s v="01 확정"/>
    <n v="130000000"/>
    <m/>
    <m/>
    <m/>
    <n v="15000000"/>
    <m/>
    <m/>
    <m/>
    <n v="30000000"/>
    <m/>
    <m/>
    <m/>
    <n v="25000000"/>
    <n v="60000000"/>
  </r>
  <r>
    <s v="기업교육1팀"/>
    <x v="1"/>
    <s v="기업교육1팀"/>
    <s v="이재성"/>
    <s v="포스코인재창조원"/>
    <n v="15725"/>
    <s v="01 1~1000대"/>
    <s v="01 수성"/>
    <m/>
    <s v="10. 컨텐츠 - 컨텐츠 개발"/>
    <x v="2"/>
    <s v="14. 컨텐츠 - 컨텐츠 개발"/>
    <n v="6000000"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분쟁조정위원회"/>
    <n v="29192"/>
    <s v="05 공공"/>
    <s v="01 수성"/>
    <m/>
    <s v="10. 컨텐츠 - 컨텐츠 개발"/>
    <x v="2"/>
    <s v="14. 컨텐츠 - 컨텐츠 개발"/>
    <m/>
    <n v="5000000"/>
    <n v="5000000"/>
    <x v="2"/>
    <s v="03 기회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전력거래소"/>
    <n v="7261"/>
    <s v="05 공공"/>
    <s v="01 수성"/>
    <s v="03 휴넷 LMS"/>
    <s v="6. 하이브리드러닝 - 집합형"/>
    <x v="12"/>
    <s v="09. 하이브리드러닝 - 순수 오프라인"/>
    <n v="11818182"/>
    <n v="12180000"/>
    <n v="14645000"/>
    <x v="0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하이브"/>
    <n v="30541"/>
    <s v="01 1~1000대"/>
    <s v="03 신규"/>
    <s v="03 휴넷 LMS"/>
    <m/>
    <x v="14"/>
    <s v="04. 이러닝 - 마이크로러닝"/>
    <m/>
    <n v="0"/>
    <n v="60000000"/>
    <x v="0"/>
    <s v="01 확정"/>
    <n v="60000000"/>
    <m/>
    <m/>
    <m/>
    <m/>
    <m/>
    <m/>
    <m/>
    <m/>
    <m/>
    <m/>
    <m/>
    <n v="60000000"/>
    <m/>
  </r>
  <r>
    <s v="기업교육1팀"/>
    <x v="1"/>
    <s v="기업교육1팀"/>
    <s v="이재성"/>
    <s v="하이브"/>
    <n v="30541"/>
    <s v="01 1~1000대"/>
    <s v="03 신규"/>
    <s v="02 경쟁사 LMS"/>
    <s v="6. 하이브리드러닝 - 집합형"/>
    <x v="9"/>
    <s v="08. 하이브리드러닝 - 하이브리드형 러닝"/>
    <s v=""/>
    <n v="0"/>
    <n v="5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3 신규"/>
    <s v="02 경쟁사 LMS"/>
    <s v="22. 솔루션 - 그로우포웍스"/>
    <x v="15"/>
    <s v="17. 솔루션 - 기타"/>
    <m/>
    <n v="0"/>
    <n v="19800000"/>
    <x v="0"/>
    <s v="02 가망"/>
    <n v="20000000"/>
    <m/>
    <n v="20000000"/>
    <m/>
    <m/>
    <m/>
    <m/>
    <m/>
    <m/>
    <m/>
    <m/>
    <m/>
    <m/>
    <m/>
  </r>
  <r>
    <s v="기업교육1팀"/>
    <x v="1"/>
    <s v="기업교육1팀"/>
    <s v="이재성"/>
    <s v="한국경비협회"/>
    <n v="17898"/>
    <s v="01 1~1000대"/>
    <s v="02 윈백"/>
    <m/>
    <s v="1. 온라인 - 단과"/>
    <x v="1"/>
    <s v="02. 이러닝 - 단과"/>
    <m/>
    <n v="276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11. 컨텐츠 - 컨텐츠 임대/판매"/>
    <x v="3"/>
    <s v="07. 이러닝 - 컨텐츠 임대/판매"/>
    <m/>
    <n v="148595000"/>
    <n v="20000000"/>
    <x v="1"/>
    <s v="02 가망"/>
    <n v="15000000"/>
    <m/>
    <m/>
    <m/>
    <m/>
    <m/>
    <m/>
    <m/>
    <m/>
    <n v="2500000"/>
    <n v="5000000"/>
    <n v="2500000"/>
    <n v="2500000"/>
    <n v="2500000"/>
  </r>
  <r>
    <s v="기업교육1팀"/>
    <x v="1"/>
    <s v="기업교육1팀"/>
    <s v="이재성"/>
    <s v="한국남동발전"/>
    <n v="29759"/>
    <s v="05 공공"/>
    <s v="02 윈백"/>
    <s v="03 휴넷 LMS"/>
    <s v="3. 온라인 - 마이크로러닝"/>
    <x v="14"/>
    <s v="04. 이러닝 - 마이크로러닝"/>
    <n v="137563636.000000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가톨릭대학교서울성모병원"/>
    <n v="8714"/>
    <s v="04 3000대 이후"/>
    <s v="01 수성"/>
    <s v="03 휴넷 LMS"/>
    <s v="10. 컨텐츠 - 컨텐츠 개발"/>
    <x v="2"/>
    <s v="14. 컨텐츠 - 컨텐츠 개발"/>
    <n v="21000000"/>
    <n v="12000000"/>
    <n v="17000000"/>
    <x v="0"/>
    <s v="02 가망"/>
    <n v="15000000"/>
    <m/>
    <m/>
    <m/>
    <m/>
    <n v="15000000"/>
    <m/>
    <m/>
    <m/>
    <m/>
    <m/>
    <m/>
    <m/>
    <m/>
  </r>
  <r>
    <s v="기업교육1팀"/>
    <x v="1"/>
    <s v="기업교육1팀"/>
    <s v="이재성"/>
    <s v="지에스건설"/>
    <n v="49835"/>
    <s v="01 1~1000대"/>
    <s v="01 수성"/>
    <s v="03 휴넷 LMS"/>
    <s v="6. 하이브리드러닝 - 집합형"/>
    <x v="12"/>
    <s v="09. 하이브리드러닝 - 순수 오프라인"/>
    <n v="7200000"/>
    <n v="0"/>
    <n v="17000000"/>
    <x v="0"/>
    <s v="02 가망"/>
    <n v="12000000"/>
    <m/>
    <m/>
    <m/>
    <n v="3000000"/>
    <m/>
    <m/>
    <m/>
    <n v="3000000"/>
    <m/>
    <n v="3000000"/>
    <n v="3000000"/>
    <m/>
    <m/>
  </r>
  <r>
    <s v="기업교육1팀"/>
    <x v="1"/>
    <s v="기업교육1팀"/>
    <s v="이재성"/>
    <s v="한국남동발전(전사 리더십 교육)"/>
    <n v="29759"/>
    <s v="05 공공"/>
    <s v="02 윈백"/>
    <s v="01 자체 LMS"/>
    <s v="6. 하이브리드러닝 - 집합형"/>
    <x v="12"/>
    <s v="09. 하이브리드러닝 - 순수 오프라인"/>
    <n v="1305100"/>
    <n v="0"/>
    <n v="100000000"/>
    <x v="2"/>
    <s v="05 Drop"/>
    <n v="0"/>
    <m/>
    <m/>
    <m/>
    <m/>
    <m/>
    <m/>
    <m/>
    <m/>
    <m/>
    <m/>
    <m/>
    <m/>
    <m/>
  </r>
  <r>
    <s v="기업교육1팀"/>
    <x v="2"/>
    <s v="기업교육1팀"/>
    <s v="김신정"/>
    <s v="광주정보문화산업진흥원"/>
    <n v="10339"/>
    <s v="05 공공"/>
    <s v="01 수성"/>
    <m/>
    <s v="10. 컨텐츠 - 컨텐츠 개발"/>
    <x v="2"/>
    <s v="14. 컨텐츠 - 컨텐츠 개발"/>
    <m/>
    <n v="895454545"/>
    <n v="900000000"/>
    <x v="0"/>
    <s v="02 가망"/>
    <n v="900000000"/>
    <m/>
    <m/>
    <m/>
    <m/>
    <m/>
    <m/>
    <m/>
    <n v="600000000"/>
    <m/>
    <m/>
    <m/>
    <m/>
    <n v="300000000"/>
  </r>
  <r>
    <s v="기업교육1팀"/>
    <x v="2"/>
    <s v="기업교육1팀"/>
    <s v="김신정"/>
    <s v="행정안전부 지방자치인재개발원"/>
    <n v="23778"/>
    <s v="05 공공"/>
    <s v="01 수성"/>
    <s v="01 자체 LMS"/>
    <s v="10. 컨텐츠 - 컨텐츠 개발"/>
    <x v="2"/>
    <s v="14. 컨텐츠 - 컨텐츠 개발"/>
    <m/>
    <n v="319090910"/>
    <n v="263000000"/>
    <x v="0"/>
    <s v="02 가망"/>
    <n v="263000000"/>
    <m/>
    <m/>
    <m/>
    <m/>
    <m/>
    <m/>
    <m/>
    <n v="184100000"/>
    <m/>
    <m/>
    <m/>
    <n v="78900000"/>
    <m/>
  </r>
  <r>
    <s v="기업교육1팀"/>
    <x v="1"/>
    <s v="기업교육1팀"/>
    <s v="이재성"/>
    <s v="서울아산병원"/>
    <n v="2584"/>
    <s v="04 3000대 이후"/>
    <s v="01 수성"/>
    <m/>
    <s v="10. 컨텐츠 - 컨텐츠 개발"/>
    <x v="2"/>
    <s v="14. 컨텐츠 - 컨텐츠 개발"/>
    <n v="8000000"/>
    <n v="11500000"/>
    <n v="20000000"/>
    <x v="1"/>
    <s v="02 가망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남동발전"/>
    <n v="29759"/>
    <s v="05 공공"/>
    <s v="01 수성"/>
    <s v="01 자체 LMS"/>
    <s v="10. 컨텐츠 - 컨텐츠 개발"/>
    <x v="2"/>
    <s v="14. 컨텐츠 - 컨텐츠 개발"/>
    <n v="8300000"/>
    <n v="8300000"/>
    <n v="9000000"/>
    <x v="2"/>
    <s v="02 가망"/>
    <n v="10000000"/>
    <m/>
    <m/>
    <m/>
    <m/>
    <m/>
    <m/>
    <m/>
    <m/>
    <n v="10000000"/>
    <m/>
    <m/>
    <m/>
    <m/>
  </r>
  <r>
    <s v="기업교육1팀"/>
    <x v="1"/>
    <s v="기업교육1팀"/>
    <s v="이재성"/>
    <s v="한국전력거래소"/>
    <n v="7261"/>
    <s v="05 공공"/>
    <s v="01 수성"/>
    <m/>
    <m/>
    <x v="0"/>
    <s v="01. 이러닝 - 통합위탁"/>
    <m/>
    <m/>
    <n v="50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1 수성"/>
    <s v="03 휴넷 LMS"/>
    <s v="1. 온라인 - 단과"/>
    <x v="1"/>
    <s v="02. 이러닝 - 단과"/>
    <n v="70460813"/>
    <n v="0"/>
    <n v="0"/>
    <x v="4"/>
    <s v="02 가망"/>
    <n v="10000000"/>
    <m/>
    <n v="1000000"/>
    <n v="1000000"/>
    <n v="1000000"/>
    <m/>
    <n v="1000000"/>
    <n v="1000000"/>
    <n v="1000000"/>
    <m/>
    <n v="1000000"/>
    <n v="1000000"/>
    <n v="1000000"/>
    <n v="1000000"/>
  </r>
  <r>
    <s v="기업교육1팀"/>
    <x v="1"/>
    <s v="기업교육1팀"/>
    <s v="이재성"/>
    <s v="한전CSC"/>
    <n v="44405"/>
    <s v="05 공공"/>
    <s v="02 윈백"/>
    <m/>
    <s v="1. 온라인 - 단과"/>
    <x v="1"/>
    <s v="02. 이러닝 - 단과"/>
    <n v="20831000"/>
    <n v="0"/>
    <n v="15000000"/>
    <x v="2"/>
    <s v="02 가망"/>
    <n v="10000000"/>
    <m/>
    <m/>
    <m/>
    <m/>
    <m/>
    <m/>
    <m/>
    <m/>
    <n v="5000000"/>
    <m/>
    <m/>
    <n v="5000000"/>
    <m/>
  </r>
  <r>
    <s v="기업교육1팀"/>
    <x v="1"/>
    <s v="기업교육1팀"/>
    <s v="이재성"/>
    <s v="현대오일뱅크서울지점 (신규입사자)"/>
    <n v="1374"/>
    <s v="01 1~1000대"/>
    <s v="04 연장"/>
    <s v="01 자체 LMS"/>
    <s v="6. 하이브리드러닝 - 집합형"/>
    <x v="9"/>
    <s v="08. 하이브리드러닝 - 하이브리드형 러닝"/>
    <m/>
    <n v="0"/>
    <n v="0"/>
    <x v="7"/>
    <s v="02 가망"/>
    <n v="10000000"/>
    <m/>
    <m/>
    <m/>
    <m/>
    <m/>
    <m/>
    <m/>
    <m/>
    <m/>
    <m/>
    <m/>
    <m/>
    <n v="10000000"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1"/>
    <s v="기업교육1팀"/>
    <s v="이재성"/>
    <s v="포스코아이에이치"/>
    <n v="32150"/>
    <s v="04 3000대 이후"/>
    <s v="02 윈백"/>
    <m/>
    <s v="3. 온라인 - 마이크로러닝"/>
    <x v="14"/>
    <s v="04. 이러닝 - 마이크로러닝"/>
    <n v="16600000"/>
    <n v="0"/>
    <n v="0"/>
    <x v="1"/>
    <s v="02 가망"/>
    <n v="8000000"/>
    <m/>
    <n v="8000000"/>
    <m/>
    <m/>
    <m/>
    <m/>
    <m/>
    <m/>
    <m/>
    <m/>
    <m/>
    <m/>
    <m/>
  </r>
  <r>
    <s v="기업교육1팀"/>
    <x v="1"/>
    <s v="기업교육1팀"/>
    <s v="이재성"/>
    <s v="국립암센터"/>
    <n v="11662"/>
    <s v="05 공공"/>
    <s v="01 수성"/>
    <s v="03 휴넷 LMS"/>
    <s v="10. 컨텐츠 - 컨텐츠 개발"/>
    <x v="2"/>
    <s v="14. 컨텐츠 - 컨텐츠 개발"/>
    <m/>
    <n v="9824787"/>
    <n v="7000000"/>
    <x v="0"/>
    <s v="02 가망"/>
    <n v="5000000"/>
    <m/>
    <m/>
    <m/>
    <m/>
    <m/>
    <m/>
    <m/>
    <m/>
    <n v="5000000"/>
    <m/>
    <m/>
    <m/>
    <m/>
  </r>
  <r>
    <s v="기업교육1팀"/>
    <x v="1"/>
    <s v="기업교육1팀"/>
    <s v="이재성"/>
    <s v="유니스트(울산과학기술원)"/>
    <n v="42480"/>
    <s v="05 공공"/>
    <s v="03 신규"/>
    <s v="03 휴넷 LMS"/>
    <m/>
    <x v="12"/>
    <s v="09. 하이브리드러닝 - 순수 오프라인"/>
    <m/>
    <n v="0"/>
    <n v="5500000"/>
    <x v="0"/>
    <s v="02 가망"/>
    <n v="5000000"/>
    <m/>
    <m/>
    <m/>
    <m/>
    <m/>
    <m/>
    <n v="5000000"/>
    <m/>
    <m/>
    <m/>
    <m/>
    <m/>
    <m/>
  </r>
  <r>
    <s v="기업교육1팀"/>
    <x v="1"/>
    <s v="기업교육1팀"/>
    <s v="이재성"/>
    <s v="한전KDN"/>
    <n v="56027"/>
    <s v="05 공공"/>
    <s v="01 수성"/>
    <m/>
    <s v="6. 하이브리드러닝 - 집합형"/>
    <x v="12"/>
    <s v="09. 하이브리드러닝 - 순수 오프라인"/>
    <s v=""/>
    <n v="0"/>
    <n v="50000000"/>
    <x v="1"/>
    <s v="01 확정"/>
    <n v="30000000"/>
    <m/>
    <m/>
    <m/>
    <n v="5000000"/>
    <n v="5000000"/>
    <n v="5000000"/>
    <n v="5000000"/>
    <m/>
    <m/>
    <n v="5000000"/>
    <n v="5000000"/>
    <m/>
    <m/>
  </r>
  <r>
    <s v="기업교육1팀"/>
    <x v="1"/>
    <s v="기업교육1팀"/>
    <s v="이재성"/>
    <s v="한전KDN"/>
    <n v="847"/>
    <s v="05 공공"/>
    <s v="01 수성"/>
    <s v="03 휴넷 LMS"/>
    <s v="6. 하이브리드러닝 - 집합형"/>
    <x v="12"/>
    <s v="09. 하이브리드러닝 - 순수 오프라인"/>
    <n v="18245000"/>
    <n v="99618000"/>
    <n v="29000000"/>
    <x v="1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3 신규"/>
    <s v="03 휴넷 LMS"/>
    <s v="6. 하이브리드러닝 - 집합형"/>
    <x v="12"/>
    <s v="09. 하이브리드러닝 - 순수 오프라인"/>
    <s v=""/>
    <n v="0"/>
    <n v="9000000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KDN (24년)"/>
    <n v="56027"/>
    <s v="05 공공"/>
    <s v="04 연장"/>
    <s v="03 휴넷 LMS"/>
    <s v="통합위탁"/>
    <x v="0"/>
    <s v="01. 이러닝 - 통합위탁"/>
    <n v="544607850"/>
    <n v="0"/>
    <n v="82798459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 (25년)"/>
    <n v="56027"/>
    <s v="05 공공"/>
    <s v="01 수성"/>
    <s v="03 휴넷 LMS"/>
    <s v="통합위탁"/>
    <x v="0"/>
    <s v="01. 이러닝 - 통합위탁"/>
    <s v=""/>
    <n v="572760380"/>
    <n v="491534930"/>
    <x v="0"/>
    <s v="01 확정"/>
    <n v="840000000"/>
    <m/>
    <n v="70000000"/>
    <n v="70000000"/>
    <n v="70000000"/>
    <n v="70000000"/>
    <n v="70000000"/>
    <n v="70000000"/>
    <n v="70000000"/>
    <n v="70000000"/>
    <n v="70000000"/>
    <n v="70000000"/>
    <n v="70000000"/>
    <n v="70000000"/>
  </r>
  <r>
    <s v="기업교육1팀"/>
    <x v="1"/>
    <s v="기업교육1팀"/>
    <s v="이재성"/>
    <s v="한전KDN(마일리지)"/>
    <n v="56028"/>
    <s v="05 공공"/>
    <s v="01 수성"/>
    <s v="03 휴넷 LMS"/>
    <s v="24. 운영 - 운영매출"/>
    <x v="6"/>
    <s v="19. 운영 - 운영매출"/>
    <m/>
    <n v="0"/>
    <n v="44742024"/>
    <x v="0"/>
    <s v="01 확정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1"/>
    <s v="기업교육1팀"/>
    <s v="이재성"/>
    <s v="한전KDN(마일리지_24년)"/>
    <n v="56028"/>
    <s v="05 공공"/>
    <s v="01 수성"/>
    <s v="03 휴넷 LMS"/>
    <m/>
    <x v="6"/>
    <s v="19. 운영 - 운영매출"/>
    <m/>
    <m/>
    <n v="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FMS"/>
    <n v="40020"/>
    <s v="05 공공"/>
    <s v="01 수성"/>
    <s v="02 경쟁사 LMS"/>
    <s v="2. 온라인 - 법정"/>
    <x v="11"/>
    <s v="03. 이러닝 - 법정"/>
    <s v=""/>
    <n v="3407000"/>
    <n v="5000000"/>
    <x v="0"/>
    <s v="02 가망"/>
    <n v="5000000"/>
    <m/>
    <m/>
    <m/>
    <m/>
    <m/>
    <m/>
    <m/>
    <m/>
    <m/>
    <m/>
    <n v="5000000"/>
    <m/>
    <m/>
  </r>
  <r>
    <s v="기업교육1팀"/>
    <x v="1"/>
    <s v="기업교육1팀"/>
    <s v="이재성"/>
    <s v="한전KPS"/>
    <n v="2647"/>
    <s v="05 공공"/>
    <s v="02 윈백"/>
    <m/>
    <s v="통합위탁"/>
    <x v="0"/>
    <s v="01. 이러닝 - 통합위탁"/>
    <m/>
    <n v="0"/>
    <n v="180000000"/>
    <x v="7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산업개발"/>
    <n v="4095"/>
    <s v="05 공공"/>
    <s v="01 수성"/>
    <s v="02 경쟁사 LMS"/>
    <s v="1. 온라인 - 단과"/>
    <x v="1"/>
    <s v="02. 이러닝 - 단과"/>
    <s v=""/>
    <n v="1741000"/>
    <n v="3000000"/>
    <x v="2"/>
    <s v="02 가망"/>
    <n v="3000000"/>
    <m/>
    <m/>
    <m/>
    <m/>
    <m/>
    <m/>
    <m/>
    <m/>
    <m/>
    <m/>
    <n v="3000000"/>
    <m/>
    <m/>
  </r>
  <r>
    <s v="기업교육1팀"/>
    <x v="1"/>
    <s v="기업교육1팀"/>
    <s v="강건모"/>
    <s v="한전MCS"/>
    <n v="42061"/>
    <s v="05 공공"/>
    <s v="01 수성"/>
    <s v="03 휴넷 LMS"/>
    <s v="통합위탁"/>
    <x v="0"/>
    <s v="01. 이러닝 - 통합위탁"/>
    <m/>
    <m/>
    <n v="120000000"/>
    <x v="1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1. 온라인 - 단과"/>
    <x v="1"/>
    <s v="02. 이러닝 - 단과"/>
    <m/>
    <n v="0"/>
    <n v="8000000"/>
    <x v="2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2. 온라인 - 법정"/>
    <x v="11"/>
    <s v="03. 이러닝 - 법정"/>
    <m/>
    <n v="100000"/>
    <n v="36000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1 수성"/>
    <s v="03 휴넷 LMS"/>
    <s v="6. 하이브리드러닝 - 집합형"/>
    <x v="12"/>
    <s v="09. 하이브리드러닝 - 순수 오프라인"/>
    <n v="500000"/>
    <n v="1500000"/>
    <n v="2800000"/>
    <x v="0"/>
    <s v="02 가망"/>
    <n v="2000000"/>
    <m/>
    <m/>
    <m/>
    <n v="1000000"/>
    <m/>
    <m/>
    <m/>
    <m/>
    <m/>
    <m/>
    <n v="1000000"/>
    <m/>
    <m/>
  </r>
  <r>
    <s v="기업교육1팀"/>
    <x v="1"/>
    <s v="기업교육1팀"/>
    <s v="이재성"/>
    <s v="한전씨에스씨_FLEX23"/>
    <s v="58428/58489"/>
    <s v="05 공공"/>
    <s v="01 수성"/>
    <s v="03 휴넷 LMS"/>
    <s v="26. 정부지원사업 - HRDFLEX"/>
    <x v="10"/>
    <s v="28.구독 - 휴넷FLEX"/>
    <n v="1722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에스케이텔레콤씨에스티원"/>
    <n v="49441"/>
    <s v="04 3000대 이후"/>
    <s v="04 연장"/>
    <s v="01 자체 LMS"/>
    <s v="2. 온라인 - 법정"/>
    <x v="11"/>
    <s v="03. 이러닝 - 법정"/>
    <n v="2565000"/>
    <n v="2940000"/>
    <n v="2620000"/>
    <x v="0"/>
    <s v="02 가망"/>
    <n v="1000000"/>
    <m/>
    <m/>
    <m/>
    <m/>
    <m/>
    <m/>
    <m/>
    <n v="1000000"/>
    <m/>
    <m/>
    <m/>
    <m/>
    <m/>
  </r>
  <r>
    <s v="기업교육1팀"/>
    <x v="1"/>
    <s v="기업교육1팀"/>
    <s v="이재성"/>
    <s v="우체국물류지원단"/>
    <n v="15633"/>
    <s v="05 공공"/>
    <s v="01 수성"/>
    <m/>
    <s v="2. 온라인 - 법정"/>
    <x v="11"/>
    <s v="03. 이러닝 - 법정"/>
    <n v="408000"/>
    <n v="2072000"/>
    <n v="1000000"/>
    <x v="1"/>
    <s v="02 가망"/>
    <n v="1000000"/>
    <m/>
    <m/>
    <m/>
    <m/>
    <m/>
    <m/>
    <n v="1000000"/>
    <m/>
    <m/>
    <m/>
    <m/>
    <m/>
    <m/>
  </r>
  <r>
    <s v="기업교육1팀"/>
    <x v="1"/>
    <s v="기업교육1팀"/>
    <s v="이재성"/>
    <s v="자이가이스트"/>
    <n v="61724"/>
    <s v="01 1~1000대"/>
    <s v="02 윈백"/>
    <m/>
    <s v="2. 온라인 - 법정"/>
    <x v="11"/>
    <s v="03. 이러닝 - 법정"/>
    <m/>
    <n v="2809400"/>
    <n v="0"/>
    <x v="6"/>
    <s v="02 가망"/>
    <n v="1000000"/>
    <m/>
    <m/>
    <m/>
    <m/>
    <m/>
    <m/>
    <m/>
    <m/>
    <m/>
    <m/>
    <n v="1000000"/>
    <m/>
    <m/>
  </r>
  <r>
    <s v="기업교육1팀"/>
    <x v="1"/>
    <s v="기업교육1팀"/>
    <s v="이재성"/>
    <s v="케이피에스파트너스"/>
    <n v="43878"/>
    <s v="01 1~1000대"/>
    <s v="03 신규"/>
    <s v="03 휴넷 LMS"/>
    <m/>
    <x v="11"/>
    <s v="03. 이러닝 - 법정"/>
    <m/>
    <n v="0"/>
    <n v="25000"/>
    <x v="0"/>
    <s v="02 가망"/>
    <n v="1000000"/>
    <m/>
    <m/>
    <m/>
    <m/>
    <m/>
    <m/>
    <m/>
    <m/>
    <m/>
    <m/>
    <m/>
    <n v="1000000"/>
    <m/>
  </r>
  <r>
    <s v="기업교육1팀"/>
    <x v="1"/>
    <s v="기업교육1팀"/>
    <s v="이재성"/>
    <s v="하임랩 주식회사"/>
    <n v="55514"/>
    <s v="04 3000대 이후"/>
    <s v="04 연장"/>
    <s v="03 휴넷 LMS"/>
    <s v="2. 온라인 - 법정"/>
    <x v="11"/>
    <s v="03. 이러닝 - 법정"/>
    <n v="1055000"/>
    <n v="585000"/>
    <n v="2000000"/>
    <x v="0"/>
    <s v="02 가망"/>
    <n v="1000000"/>
    <m/>
    <m/>
    <m/>
    <m/>
    <m/>
    <m/>
    <m/>
    <m/>
    <n v="1000000"/>
    <m/>
    <m/>
    <m/>
    <m/>
  </r>
  <r>
    <s v="기업교육1팀"/>
    <x v="1"/>
    <s v="기업교육1팀"/>
    <s v="이재성"/>
    <s v="가톨릭관동대학교 국제성모병원"/>
    <n v="17964"/>
    <s v="04 3000대 이후"/>
    <s v="01 수성"/>
    <s v="03 휴넷 LMS"/>
    <s v="2. 온라인 - 법정"/>
    <x v="11"/>
    <s v="03. 이러닝 - 법정"/>
    <n v="8300000"/>
    <n v="8300000"/>
    <n v="9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관동대학교 의료기술협력단"/>
    <n v="58453"/>
    <s v="01 1~1000대"/>
    <s v="01 수성"/>
    <s v="03 휴넷 LMS"/>
    <s v="2. 온라인 - 법정"/>
    <x v="11"/>
    <s v="03. 이러닝 - 법정"/>
    <n v="515000"/>
    <n v="335000"/>
    <n v="1000000"/>
    <x v="2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 산학협력단(안전보건)"/>
    <n v="63339"/>
    <s v="04 3000대 이후"/>
    <s v="03 신규"/>
    <s v="03 휴넷 LMS"/>
    <m/>
    <x v="11"/>
    <s v="03. 이러닝 - 법정"/>
    <m/>
    <n v="0"/>
    <n v="56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인천성모병원"/>
    <n v="16390"/>
    <s v="04 3000대 이후"/>
    <s v="01 수성"/>
    <s v="03 휴넷 LMS"/>
    <s v="2. 온라인 - 법정"/>
    <x v="11"/>
    <s v="03. 이러닝 - 법정"/>
    <n v="11600000"/>
    <n v="116000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한국전기공사협회 안전기술원"/>
    <n v="58792"/>
    <s v="05 공공"/>
    <s v="01 수성"/>
    <s v="03 휴넷 LMS"/>
    <s v="2. 온라인 - 법정"/>
    <x v="11"/>
    <s v="03. 이러닝 - 법정"/>
    <n v="726000"/>
    <n v="1240000"/>
    <n v="1000000"/>
    <x v="2"/>
    <s v="02 가망"/>
    <n v="1000000"/>
    <m/>
    <m/>
    <m/>
    <m/>
    <m/>
    <m/>
    <m/>
    <m/>
    <m/>
    <m/>
    <m/>
    <m/>
    <n v="1000000"/>
  </r>
  <r>
    <s v="기업교육1팀"/>
    <x v="1"/>
    <s v="기업교육1팀"/>
    <s v="이재성"/>
    <s v="가톨릭중앙의료원"/>
    <n v="7653"/>
    <s v="04 3000대 이후"/>
    <s v="01 수성"/>
    <s v="03 휴넷 LMS"/>
    <s v="10. 컨텐츠 - 컨텐츠 개발"/>
    <x v="2"/>
    <s v="14. 컨텐츠 - 컨텐츠 개발"/>
    <n v="10000000"/>
    <n v="0"/>
    <n v="0"/>
    <x v="2"/>
    <s v="03 기회"/>
    <n v="10000000"/>
    <m/>
    <m/>
    <m/>
    <m/>
    <m/>
    <m/>
    <n v="5000000"/>
    <m/>
    <m/>
    <m/>
    <m/>
    <m/>
    <n v="5000000"/>
  </r>
  <r>
    <s v="기업교육1팀"/>
    <x v="1"/>
    <s v="기업교육1팀"/>
    <s v="이재성"/>
    <s v="국가공무원인재개발원"/>
    <n v="4409"/>
    <s v="05 공공"/>
    <s v="03 신규"/>
    <m/>
    <s v="10. 컨텐츠 - 컨텐츠 개발"/>
    <x v="2"/>
    <s v="14. 컨텐츠 - 컨텐츠 개발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1"/>
    <s v="기업교육1팀"/>
    <s v="이재성"/>
    <s v="삼성전기"/>
    <n v="51"/>
    <s v="01 1~1000대"/>
    <s v="01 수성"/>
    <m/>
    <s v="6. 하이브리드러닝 - 집합형"/>
    <x v="12"/>
    <s v="09. 하이브리드러닝 - 순수 오프라인"/>
    <m/>
    <n v="4000000"/>
    <n v="5000000"/>
    <x v="1"/>
    <s v="03 기회"/>
    <n v="10000000"/>
    <m/>
    <m/>
    <n v="5000000"/>
    <m/>
    <m/>
    <m/>
    <m/>
    <m/>
    <m/>
    <n v="5000000"/>
    <m/>
    <m/>
    <m/>
  </r>
  <r>
    <s v="기업교육1팀"/>
    <x v="1"/>
    <s v="기업교육1팀"/>
    <s v="이재성"/>
    <s v="포항성모병원"/>
    <n v="996"/>
    <s v="04 3000대 이후"/>
    <s v="01 수성"/>
    <s v="03 휴넷 LMS"/>
    <s v="2. 온라인 - 법정"/>
    <x v="11"/>
    <s v="03. 이러닝 - 법정"/>
    <n v="4610000"/>
    <n v="149425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0. 구독 - 휴넷CEO멤버십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1. 구독 - 휴넷 리더십저니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지에스건설"/>
    <n v="49835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m/>
    <n v="0"/>
    <n v="0"/>
    <x v="1"/>
    <s v="02 가망"/>
    <n v="5000000"/>
    <m/>
    <m/>
    <m/>
    <m/>
    <m/>
    <n v="5000000"/>
    <m/>
    <m/>
    <m/>
    <m/>
    <m/>
    <m/>
    <m/>
  </r>
  <r>
    <s v="기업교육1팀"/>
    <x v="1"/>
    <s v="기업교육1팀"/>
    <s v="이재성"/>
    <s v="그레이터스(한전KPS프로젝트)"/>
    <n v="59283"/>
    <s v="01 1~1000대"/>
    <s v="02 윈백"/>
    <m/>
    <s v="2. 온라인 - 법정"/>
    <x v="11"/>
    <s v="03. 이러닝 - 법정"/>
    <n v="2592000"/>
    <n v="0"/>
    <n v="0"/>
    <x v="4"/>
    <s v="03 기회"/>
    <n v="1000000"/>
    <m/>
    <m/>
    <m/>
    <m/>
    <m/>
    <m/>
    <n v="1000000"/>
    <m/>
    <m/>
    <m/>
    <m/>
    <m/>
    <m/>
  </r>
  <r>
    <s v="기업교육1팀"/>
    <x v="1"/>
    <s v="기업교육1팀"/>
    <s v="이재성"/>
    <s v="한전KPS 협력사"/>
    <n v="43878"/>
    <s v="05 공공"/>
    <s v="01 수성"/>
    <m/>
    <s v="1. 온라인 - 단과"/>
    <x v="1"/>
    <s v="02. 이러닝 - 단과"/>
    <m/>
    <n v="0"/>
    <n v="1000000"/>
    <x v="2"/>
    <s v="02 가망"/>
    <n v="1000000"/>
    <m/>
    <m/>
    <m/>
    <m/>
    <m/>
    <m/>
    <m/>
    <m/>
    <m/>
    <n v="1000000"/>
    <m/>
    <m/>
    <m/>
  </r>
  <r>
    <s v="기업교육1팀"/>
    <x v="1"/>
    <s v="기업교육1팀"/>
    <s v="이재성"/>
    <s v="현대오일뱅크서울지점"/>
    <n v="1374"/>
    <s v="01 1~1000대"/>
    <s v="01 수성"/>
    <s v="02 경쟁사 LMS"/>
    <m/>
    <x v="6"/>
    <s v="19. 운영 - 운영매출"/>
    <m/>
    <n v="0"/>
    <n v="855000"/>
    <x v="0"/>
    <s v="02 가망"/>
    <n v="1000000"/>
    <m/>
    <m/>
    <m/>
    <n v="1000000"/>
    <m/>
    <m/>
    <m/>
    <m/>
    <m/>
    <m/>
    <m/>
    <m/>
    <m/>
  </r>
  <r>
    <s v="기업교육1팀"/>
    <x v="3"/>
    <m/>
    <m/>
    <s v="(중진공 창업처)청년장병교육"/>
    <n v="58760"/>
    <s v="05 공공"/>
    <m/>
    <s v="03 휴넷 LMS"/>
    <s v="1. 온라인 - 단과"/>
    <x v="1"/>
    <s v="02. 이러닝 - 단과"/>
    <n v="969756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국남부발전"/>
    <n v="1347"/>
    <s v="05 공공"/>
    <s v="03 신규"/>
    <m/>
    <s v="통합위탁"/>
    <x v="0"/>
    <s v="01. 이러닝 - 통합위탁"/>
    <m/>
    <n v="0"/>
    <n v="500000000"/>
    <x v="7"/>
    <s v="03 기회"/>
    <n v="500000000"/>
    <m/>
    <m/>
    <m/>
    <n v="300000000"/>
    <m/>
    <m/>
    <m/>
    <m/>
    <m/>
    <m/>
    <m/>
    <m/>
    <n v="200000000"/>
  </r>
  <r>
    <s v="기업교육1팀"/>
    <x v="3"/>
    <s v="기업교육1팀"/>
    <s v="황동현"/>
    <s v="한화에어로스페이스"/>
    <n v="9288"/>
    <s v="01 1~1000대"/>
    <s v="01 수성"/>
    <s v="03 휴넷 LMS"/>
    <s v="1. 온라인 - 단과"/>
    <x v="0"/>
    <s v="01. 이러닝 - 통합위탁"/>
    <n v="170472310"/>
    <n v="25446630"/>
    <n v="285846900"/>
    <x v="0"/>
    <s v="02 가망"/>
    <n v="280000000"/>
    <m/>
    <n v="27000000"/>
    <n v="23000000"/>
    <n v="23000000"/>
    <n v="23000000"/>
    <n v="23000000"/>
    <n v="23000000"/>
    <n v="23000000"/>
    <n v="23000000"/>
    <n v="23000000"/>
    <n v="23000000"/>
    <n v="23000000"/>
    <n v="23000000"/>
  </r>
  <r>
    <s v="기업교육1팀"/>
    <x v="3"/>
    <m/>
    <m/>
    <s v="HMM"/>
    <n v="3702"/>
    <s v="01 1~1000대"/>
    <s v="01 수성"/>
    <s v="03 휴넷 LMS"/>
    <s v="통합위탁"/>
    <x v="9"/>
    <s v="08. 하이브리드러닝 - 하이브리드형 러닝"/>
    <n v="0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리더십및직무)"/>
    <n v="42940"/>
    <s v="05 공공"/>
    <s v="01 수성"/>
    <s v="03 휴넷 LMS"/>
    <s v="6. 하이브리드러닝 - 집합형"/>
    <x v="9"/>
    <s v="08. 하이브리드러닝 - 하이브리드형 러닝"/>
    <s v=""/>
    <n v="106631818"/>
    <n v="30000000"/>
    <x v="7"/>
    <s v="03 기회"/>
    <n v="220000000"/>
    <m/>
    <m/>
    <m/>
    <m/>
    <m/>
    <n v="190000000"/>
    <m/>
    <m/>
    <m/>
    <m/>
    <m/>
    <m/>
    <n v="30000000"/>
  </r>
  <r>
    <s v="기업교육1팀"/>
    <x v="3"/>
    <m/>
    <m/>
    <s v="KOSMES 청년창업사관학교"/>
    <n v="42616"/>
    <s v="05 공공"/>
    <s v="02 윈백"/>
    <s v="03 휴넷 LMS"/>
    <s v="11. 컨텐츠 - 컨텐츠 임대/판매"/>
    <x v="3"/>
    <s v="07. 이러닝 - 컨텐츠 임대/판매"/>
    <n v="177272727"/>
    <n v="0"/>
    <n v="280000000"/>
    <x v="2"/>
    <m/>
    <n v="0"/>
    <m/>
    <m/>
    <m/>
    <m/>
    <m/>
    <m/>
    <m/>
    <m/>
    <m/>
    <m/>
    <m/>
    <m/>
    <m/>
  </r>
  <r>
    <s v="기업교육1팀"/>
    <x v="3"/>
    <m/>
    <m/>
    <s v="KOSMES 청년창업사관학교"/>
    <n v="42616"/>
    <s v="05 공공"/>
    <s v="02 윈백"/>
    <s v="03 휴넷 LMS"/>
    <m/>
    <x v="9"/>
    <s v="08. 하이브리드러닝 - 하이브리드형 러닝"/>
    <m/>
    <m/>
    <n v="268409091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경기도청"/>
    <n v="62518"/>
    <s v="05 공공"/>
    <s v="01 수성"/>
    <s v="01 자체 LMS"/>
    <m/>
    <x v="4"/>
    <s v="18. 운영 - BPO"/>
    <m/>
    <n v="0"/>
    <n v="2005955915"/>
    <x v="0"/>
    <s v="01 확정"/>
    <n v="2160000000"/>
    <m/>
    <n v="180000000"/>
    <n v="180000000"/>
    <n v="180000000"/>
    <n v="180000000"/>
    <n v="180000000"/>
    <n v="180000000"/>
    <n v="180000000"/>
    <n v="180000000"/>
    <n v="180000000"/>
    <n v="180000000"/>
    <n v="180000000"/>
    <n v="180000000"/>
  </r>
  <r>
    <s v="기업교육1팀"/>
    <x v="3"/>
    <m/>
    <m/>
    <s v="경상북도경제진흥원"/>
    <n v="58633"/>
    <s v="05 공공"/>
    <s v="02 윈백"/>
    <m/>
    <s v="4. 하이브리드러닝 - 플립형"/>
    <x v="9"/>
    <s v="08. 하이브리드러닝 - 하이브리드형 러닝"/>
    <n v="880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고려대학교의료원"/>
    <n v="4578"/>
    <s v="04 3000대 이후"/>
    <s v="01 수성"/>
    <s v="03 휴넷 LMS"/>
    <s v="통합위탁"/>
    <x v="0"/>
    <s v="01. 이러닝 - 통합위탁"/>
    <n v="68500000"/>
    <n v="104207000"/>
    <n v="99000000"/>
    <x v="0"/>
    <s v="01 확정"/>
    <n v="99000000"/>
    <m/>
    <m/>
    <n v="49500000"/>
    <m/>
    <m/>
    <m/>
    <m/>
    <m/>
    <m/>
    <m/>
    <n v="49500000"/>
    <m/>
    <m/>
  </r>
  <r>
    <s v="기업교육1팀"/>
    <x v="3"/>
    <s v="기업교육1팀"/>
    <s v="황동현"/>
    <s v="KOSMES 청년창업사관학교"/>
    <n v="42616"/>
    <s v="05 공공"/>
    <s v="02 윈백"/>
    <s v="03 휴넷 LMS"/>
    <m/>
    <x v="13"/>
    <s v="14. 컨텐츠 - 컨텐츠 개발"/>
    <m/>
    <n v="0"/>
    <m/>
    <x v="5"/>
    <s v="03 기회"/>
    <n v="182000000"/>
    <m/>
    <m/>
    <m/>
    <m/>
    <n v="100000000"/>
    <m/>
    <m/>
    <m/>
    <n v="82000000"/>
    <m/>
    <m/>
    <m/>
    <m/>
  </r>
  <r>
    <s v="기업교육1팀"/>
    <x v="3"/>
    <s v="기업교육1팀"/>
    <s v="황동현"/>
    <s v="고려대학교의료원 산학협력단"/>
    <n v="57958"/>
    <s v="04 3000대 이후"/>
    <s v="01 수성"/>
    <s v="03 휴넷 LMS"/>
    <s v="2. 온라인 - 법정"/>
    <x v="11"/>
    <s v="03. 이러닝 - 법정"/>
    <n v="10209000"/>
    <n v="2334000"/>
    <n v="3174000"/>
    <x v="0"/>
    <s v="01 확정"/>
    <n v="3000000"/>
    <m/>
    <m/>
    <m/>
    <n v="3000000"/>
    <m/>
    <m/>
    <m/>
    <m/>
    <m/>
    <m/>
    <m/>
    <m/>
    <m/>
  </r>
  <r>
    <s v="기업교육1팀"/>
    <x v="3"/>
    <s v="기업교육1팀"/>
    <s v="황동현"/>
    <s v="홈플러스"/>
    <n v="3716"/>
    <s v="01 1~1000대"/>
    <s v="01 수성"/>
    <s v="03 휴넷 LMS"/>
    <s v="통합위탁"/>
    <x v="0"/>
    <s v="01. 이러닝 - 통합위탁"/>
    <n v="143250000"/>
    <n v="150884000"/>
    <n v="150000000"/>
    <x v="1"/>
    <s v="02 가망"/>
    <n v="150000000"/>
    <m/>
    <m/>
    <m/>
    <m/>
    <m/>
    <m/>
    <m/>
    <m/>
    <m/>
    <m/>
    <n v="150000000"/>
    <m/>
    <m/>
  </r>
  <r>
    <s v="기업교육1팀"/>
    <x v="3"/>
    <m/>
    <m/>
    <s v="그랜드코리아레저(GKL)"/>
    <n v="11421"/>
    <s v="05 공공"/>
    <s v="04 연장"/>
    <s v="03 휴넷 LMS"/>
    <s v="통합위탁"/>
    <x v="0"/>
    <s v="01. 이러닝 - 통합위탁"/>
    <n v="290712390"/>
    <n v="86969127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국방기술품질원"/>
    <n v="10460"/>
    <s v="05 공공"/>
    <s v="01 수성"/>
    <s v="02 경쟁사 LMS"/>
    <s v="통합위탁"/>
    <x v="0"/>
    <s v="01. 이러닝 - 통합위탁"/>
    <s v=""/>
    <n v="0"/>
    <n v="130000000"/>
    <x v="0"/>
    <s v="02 가망"/>
    <n v="130000000"/>
    <m/>
    <m/>
    <m/>
    <n v="30000000"/>
    <m/>
    <m/>
    <n v="40000000"/>
    <m/>
    <m/>
    <n v="30000000"/>
    <m/>
    <m/>
    <n v="30000000"/>
  </r>
  <r>
    <s v="기업교육1팀"/>
    <x v="3"/>
    <m/>
    <m/>
    <s v="대한조선"/>
    <n v="55755"/>
    <s v="01 1~1000대"/>
    <s v="01 수성"/>
    <m/>
    <s v="26. 정부지원사업 - HRDFLEX"/>
    <x v="16"/>
    <s v="26. 이러닝 - 정부지원사업"/>
    <m/>
    <n v="1806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DN솔루션즈"/>
    <n v="19600"/>
    <s v="01 1~1000대"/>
    <s v="03 신규"/>
    <s v="03 휴넷 LMS"/>
    <s v="통합위탁"/>
    <x v="1"/>
    <s v="01. 이러닝 - 통합위탁"/>
    <n v="153500020"/>
    <n v="0"/>
    <n v="10000000"/>
    <x v="2"/>
    <s v="03 기회"/>
    <n v="150000000"/>
    <m/>
    <m/>
    <m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대한조선_FLEX"/>
    <n v="55755"/>
    <s v="01 1~1000대"/>
    <s v="01 수성"/>
    <s v="03 휴넷 LMS"/>
    <s v="1. 온라인 - 단과"/>
    <x v="1"/>
    <s v="02. 이러닝 - 단과"/>
    <n v="29960000"/>
    <n v="0"/>
    <n v="0"/>
    <x v="6"/>
    <m/>
    <n v="0"/>
    <m/>
    <m/>
    <m/>
    <m/>
    <m/>
    <m/>
    <m/>
    <m/>
    <m/>
    <m/>
    <m/>
    <m/>
    <m/>
  </r>
  <r>
    <s v="기업교육1팀"/>
    <x v="3"/>
    <m/>
    <m/>
    <s v="두산모트롤"/>
    <n v="14776"/>
    <s v="01 1~1000대"/>
    <s v="01 수성"/>
    <s v="03 휴넷 LMS"/>
    <s v="2. 온라인 - 법정"/>
    <x v="11"/>
    <s v="03. 이러닝 - 법정"/>
    <n v="2805000"/>
    <n v="3270000"/>
    <n v="3000000"/>
    <x v="1"/>
    <m/>
    <n v="0"/>
    <m/>
    <m/>
    <m/>
    <m/>
    <m/>
    <m/>
    <m/>
    <m/>
    <m/>
    <m/>
    <m/>
    <m/>
    <m/>
  </r>
  <r>
    <s v="기업교육1팀"/>
    <x v="3"/>
    <m/>
    <m/>
    <s v="두산연수원"/>
    <n v="4235"/>
    <s v="01 1~1000대"/>
    <s v="03 신규"/>
    <s v="02 경쟁사 LMS"/>
    <s v="3. 온라인 - 마이크로러닝"/>
    <x v="14"/>
    <s v="04. 이러닝 - 마이크로러닝"/>
    <m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스마트러닝)"/>
    <n v="42940"/>
    <s v="05 공공"/>
    <s v="01 수성"/>
    <s v="03 휴넷 LMS"/>
    <s v="통합위탁"/>
    <x v="14"/>
    <s v="04. 이러닝 - 마이크로러닝"/>
    <n v="204578707"/>
    <n v="179197380"/>
    <n v="128655018"/>
    <x v="0"/>
    <s v="02 가망"/>
    <n v="130000000"/>
    <m/>
    <m/>
    <m/>
    <m/>
    <m/>
    <n v="40000000"/>
    <m/>
    <m/>
    <n v="40000000"/>
    <m/>
    <m/>
    <n v="50000000"/>
    <m/>
  </r>
  <r>
    <s v="기업교육1팀"/>
    <x v="3"/>
    <m/>
    <m/>
    <s v="비씨카드"/>
    <n v="46587"/>
    <s v="01 1~1000대"/>
    <s v="01 수성"/>
    <m/>
    <s v="10. 컨텐츠 - 컨텐츠 개발"/>
    <x v="2"/>
    <s v="14. 컨텐츠 - 컨텐츠 개발"/>
    <n v="64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비씨카드(1~6월)"/>
    <n v="46587"/>
    <s v="01 1~1000대"/>
    <s v="04 연장"/>
    <s v="03 휴넷 LMS"/>
    <s v="통합위탁"/>
    <x v="0"/>
    <s v="01. 이러닝 - 통합위탁"/>
    <n v="94955349"/>
    <n v="107682588"/>
    <n v="9816359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3"/>
    <s v="기업교육1팀"/>
    <s v="황동현"/>
    <s v="중진공_마이크로러닝 임차"/>
    <n v="7740"/>
    <s v="05 공공"/>
    <s v="01 수성"/>
    <s v="03 휴넷 LMS"/>
    <s v="11. 컨텐츠 - 컨텐츠 임대/판매"/>
    <x v="3"/>
    <s v="07. 이러닝 - 컨텐츠 임대/판매"/>
    <n v="96000000"/>
    <n v="0"/>
    <n v="130909091.27272728"/>
    <x v="0"/>
    <s v="02 가망"/>
    <n v="130000000"/>
    <m/>
    <m/>
    <m/>
    <m/>
    <n v="90000000"/>
    <m/>
    <m/>
    <m/>
    <m/>
    <m/>
    <m/>
    <m/>
    <n v="40000000"/>
  </r>
  <r>
    <s v="기업교육1팀"/>
    <x v="3"/>
    <s v="기업교육1팀"/>
    <s v="황동현"/>
    <s v="한국남부발전"/>
    <n v="1347"/>
    <s v="05 공공"/>
    <s v="01 수성"/>
    <s v="02 경쟁사 LMS"/>
    <s v="6. 하이브리드러닝 - 집합형"/>
    <x v="9"/>
    <s v="08. 하이브리드러닝 - 하이브리드형 러닝"/>
    <n v="10000000"/>
    <n v="0"/>
    <n v="10000000"/>
    <x v="2"/>
    <s v="03 기회"/>
    <n v="50000000"/>
    <m/>
    <m/>
    <m/>
    <m/>
    <m/>
    <m/>
    <m/>
    <m/>
    <n v="50000000"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6. 하이브리드러닝 - 집합형"/>
    <x v="9"/>
    <s v="08. 하이브리드러닝 - 하이브리드형 러닝"/>
    <s v=""/>
    <n v="8448000"/>
    <n v="5000000"/>
    <x v="2"/>
    <s v="03 기회"/>
    <n v="30000000"/>
    <m/>
    <m/>
    <m/>
    <m/>
    <m/>
    <n v="10000000"/>
    <m/>
    <m/>
    <n v="10000000"/>
    <m/>
    <m/>
    <n v="10000000"/>
    <m/>
  </r>
  <r>
    <s v="기업교육1팀"/>
    <x v="3"/>
    <s v="기업교육1팀"/>
    <s v="황동현"/>
    <s v="HMM"/>
    <n v="3702"/>
    <s v="01 1~1000대"/>
    <s v="01 수성"/>
    <s v="03 휴넷 LMS"/>
    <s v="통합위탁"/>
    <x v="0"/>
    <s v="01. 이러닝 - 통합위탁"/>
    <n v="127367508"/>
    <n v="126577610"/>
    <n v="10571084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3"/>
    <s v="기업교육1팀"/>
    <s v="황동현"/>
    <s v="삼성물산 건설부문(안전)"/>
    <n v="787"/>
    <s v="01 1~1000대"/>
    <s v="03 신규"/>
    <s v="02 경쟁사 LMS"/>
    <s v="10. 컨텐츠 - 컨텐츠 개발"/>
    <x v="2"/>
    <s v="14. 컨텐츠 - 컨텐츠 개발"/>
    <s v=""/>
    <n v="0"/>
    <n v="30000000"/>
    <x v="2"/>
    <s v="03 기회"/>
    <n v="30000000"/>
    <m/>
    <m/>
    <m/>
    <m/>
    <m/>
    <m/>
    <m/>
    <m/>
    <m/>
    <m/>
    <n v="30000000"/>
    <m/>
    <m/>
  </r>
  <r>
    <s v="기업교육1팀"/>
    <x v="3"/>
    <s v="기업교육1팀"/>
    <s v="황동현"/>
    <s v="한림제약"/>
    <n v="6010"/>
    <s v="02 1001~2000대"/>
    <s v="04 연장"/>
    <s v="03 휴넷 LMS"/>
    <s v="4. 하이브리드러닝 - 플립형"/>
    <x v="9"/>
    <s v="08. 하이브리드러닝 - 하이브리드형 러닝"/>
    <n v="78576000"/>
    <n v="81322050"/>
    <n v="82662120"/>
    <x v="0"/>
    <s v="02 가망"/>
    <n v="83000000"/>
    <m/>
    <m/>
    <m/>
    <m/>
    <n v="25000000"/>
    <m/>
    <n v="5000000"/>
    <n v="25000000"/>
    <m/>
    <m/>
    <n v="25000000"/>
    <m/>
    <n v="3000000"/>
  </r>
  <r>
    <s v="기업교육1팀"/>
    <x v="3"/>
    <m/>
    <m/>
    <s v="여천NCC"/>
    <n v="2152"/>
    <s v="01 1~1000대"/>
    <s v="01 수성"/>
    <s v="03 휴넷 LMS"/>
    <s v="1. 온라인 - 단과"/>
    <x v="1"/>
    <s v="02. 이러닝 - 단과"/>
    <s v="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"/>
    <n v="3640"/>
    <s v="01 1~1000대"/>
    <s v="04 연장"/>
    <s v="03 휴넷 LMS"/>
    <s v="통합위탁"/>
    <x v="0"/>
    <s v="01. 이러닝 - 통합위탁"/>
    <n v="189992708"/>
    <n v="201131700"/>
    <n v="199180080"/>
    <x v="0"/>
    <s v="01 확정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오리온"/>
    <n v="3640"/>
    <s v="01 1~1000대"/>
    <s v="01 수성"/>
    <s v="03 휴넷 LMS"/>
    <s v="통합위탁"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 상생아카데미"/>
    <n v="49976"/>
    <s v="01 1~1000대"/>
    <s v="01 수성"/>
    <s v="03 휴넷 LMS"/>
    <s v="1. 온라인 - 단과"/>
    <x v="1"/>
    <s v="02. 이러닝 - 단과"/>
    <n v="8000000"/>
    <n v="8000000"/>
    <n v="8000000"/>
    <x v="1"/>
    <s v="06 사업취소"/>
    <n v="0"/>
    <m/>
    <m/>
    <m/>
    <m/>
    <m/>
    <m/>
    <m/>
    <m/>
    <m/>
    <m/>
    <m/>
    <m/>
    <m/>
  </r>
  <r>
    <s v="기업교육1팀"/>
    <x v="3"/>
    <m/>
    <m/>
    <s v="이어드림스쿨"/>
    <n v="47109"/>
    <s v="05 공공"/>
    <s v="01 수성"/>
    <s v="03 휴넷 LMS"/>
    <s v="6. 하이브리드러닝 - 집합형"/>
    <x v="9"/>
    <s v="08. 하이브리드러닝 - 하이브리드형 러닝"/>
    <n v="8500000"/>
    <n v="9650000"/>
    <n v="9000000"/>
    <x v="2"/>
    <m/>
    <n v="0"/>
    <m/>
    <m/>
    <m/>
    <m/>
    <m/>
    <m/>
    <m/>
    <m/>
    <m/>
    <m/>
    <m/>
    <m/>
    <m/>
  </r>
  <r>
    <s v="기업교육1팀"/>
    <x v="3"/>
    <m/>
    <m/>
    <s v="중소벤처기업진흥공단(기업연수처)_마이크로러닝 임차(직무)"/>
    <n v="7740"/>
    <s v="05 공공"/>
    <s v="01 수성"/>
    <s v="01 자체 LMS"/>
    <s v="11. 컨텐츠 - 컨텐츠 임대/판매"/>
    <x v="3"/>
    <s v="07. 이러닝 - 컨텐츠 임대/판매"/>
    <n v="23781818.181818184"/>
    <n v="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중진공 (기업연수처)_이러닝 임대판매"/>
    <n v="7740"/>
    <s v="05 공공"/>
    <s v="04 연장"/>
    <s v="01 자체 LMS"/>
    <s v="11. 컨텐츠 - 컨텐츠 임대/판매"/>
    <x v="3"/>
    <s v="07. 이러닝 - 컨텐츠 임대/판매"/>
    <n v="27130232"/>
    <n v="155823387"/>
    <n v="12428182"/>
    <x v="0"/>
    <s v="01 확정"/>
    <n v="15000000"/>
    <m/>
    <m/>
    <m/>
    <m/>
    <n v="5000000"/>
    <m/>
    <m/>
    <m/>
    <n v="5000000"/>
    <m/>
    <m/>
    <m/>
    <n v="5000000"/>
  </r>
  <r>
    <s v="기업교육1팀"/>
    <x v="3"/>
    <s v="기업교육1팀"/>
    <s v="황동현"/>
    <s v="창신INC"/>
    <n v="1829"/>
    <s v="01 1~1000대"/>
    <s v="03 신규"/>
    <s v="03 휴넷 LMS"/>
    <s v="1. 온라인 - 단과"/>
    <x v="0"/>
    <s v="01. 이러닝 - 통합위탁"/>
    <n v="14620000"/>
    <n v="0"/>
    <n v="50000000"/>
    <x v="2"/>
    <s v="03 기회"/>
    <n v="30000000"/>
    <m/>
    <m/>
    <m/>
    <m/>
    <m/>
    <n v="30000000"/>
    <m/>
    <m/>
    <m/>
    <m/>
    <m/>
    <m/>
    <m/>
  </r>
  <r>
    <s v="기업교육1팀"/>
    <x v="3"/>
    <s v="기업교육1팀"/>
    <s v="황동현"/>
    <s v="한화오션(상반기)"/>
    <n v="391"/>
    <s v="01 1~1000대"/>
    <s v="01 수성"/>
    <s v="02 경쟁사 LMS"/>
    <s v="6. 하이브리드러닝 - 집합형"/>
    <x v="9"/>
    <s v="08. 하이브리드러닝 - 하이브리드형 러닝"/>
    <m/>
    <n v="16735872"/>
    <n v="87097273"/>
    <x v="0"/>
    <s v="02 가망"/>
    <n v="80000000"/>
    <m/>
    <m/>
    <m/>
    <m/>
    <m/>
    <n v="20000000"/>
    <n v="10000000"/>
    <n v="30000000"/>
    <n v="20000000"/>
    <m/>
    <m/>
    <m/>
    <m/>
  </r>
  <r>
    <s v="기업교육1팀"/>
    <x v="3"/>
    <s v="기업교육1팀"/>
    <s v="황동현"/>
    <s v="해태제과식품"/>
    <n v="448"/>
    <s v="02 1001~2000대"/>
    <s v="04 연장"/>
    <s v="03 휴넷 LMS"/>
    <s v="1. 온라인 - 단과"/>
    <x v="0"/>
    <s v="01. 이러닝 - 통합위탁"/>
    <n v="87171200"/>
    <n v="86209000"/>
    <n v="80006000"/>
    <x v="0"/>
    <s v="02 가망"/>
    <n v="80000000"/>
    <m/>
    <m/>
    <m/>
    <m/>
    <m/>
    <m/>
    <n v="40000000"/>
    <m/>
    <m/>
    <m/>
    <m/>
    <n v="40000000"/>
    <m/>
  </r>
  <r>
    <s v="기업교육1팀"/>
    <x v="3"/>
    <s v="기업교육1팀"/>
    <s v="황동현"/>
    <s v="한화건설"/>
    <n v="16688"/>
    <s v="01 1~1000대"/>
    <s v="01 수성"/>
    <s v="03 휴넷 LMS"/>
    <m/>
    <x v="13"/>
    <s v="12. 구독 - 커리업 저니"/>
    <m/>
    <m/>
    <m/>
    <x v="5"/>
    <s v="03 기회"/>
    <n v="22000000"/>
    <m/>
    <m/>
    <m/>
    <n v="5000000"/>
    <m/>
    <m/>
    <m/>
    <m/>
    <m/>
    <m/>
    <m/>
    <m/>
    <n v="17000000"/>
  </r>
  <r>
    <s v="기업교육1팀"/>
    <x v="3"/>
    <m/>
    <m/>
    <s v="창신INC(EX-MBA)"/>
    <n v="1829"/>
    <s v="01 1~1000대"/>
    <s v="01 수성"/>
    <m/>
    <s v="7. 휴넷CEO - 휴넷CEO"/>
    <x v="7"/>
    <s v="10. 구독 - 휴넷CEO멤버십"/>
    <m/>
    <n v="2500000"/>
    <n v="5000000"/>
    <x v="1"/>
    <m/>
    <n v="0"/>
    <m/>
    <m/>
    <m/>
    <m/>
    <m/>
    <m/>
    <m/>
    <m/>
    <m/>
    <m/>
    <m/>
    <m/>
    <m/>
  </r>
  <r>
    <s v="기업교육1팀"/>
    <x v="3"/>
    <m/>
    <m/>
    <s v="창신INC(주재원)"/>
    <n v="1829"/>
    <s v="01 1~1000대"/>
    <s v="03 신규"/>
    <s v="02 경쟁사 LMS"/>
    <m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창신INC"/>
    <n v="1829"/>
    <s v="01 1~1000대"/>
    <s v="03 신규"/>
    <s v="03 휴넷 LMS"/>
    <m/>
    <x v="13"/>
    <s v="11. 구독 - 휴넷 리더십저니"/>
    <m/>
    <n v="0"/>
    <m/>
    <x v="2"/>
    <s v="03 기회"/>
    <n v="20000000"/>
    <m/>
    <m/>
    <m/>
    <m/>
    <m/>
    <n v="20000000"/>
    <m/>
    <m/>
    <m/>
    <m/>
    <m/>
    <m/>
    <m/>
  </r>
  <r>
    <s v="기업교육1팀"/>
    <x v="3"/>
    <m/>
    <m/>
    <s v="켑코솔라"/>
    <n v="58658"/>
    <s v="05 공공"/>
    <m/>
    <s v="01 자체 LMS"/>
    <s v="1. 온라인 - 단과"/>
    <x v="1"/>
    <s v="02. 이러닝 - 단과"/>
    <n v="28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온시스템"/>
    <n v="3770"/>
    <s v="01 1~1000대"/>
    <s v="03 신규"/>
    <s v="03 휴넷 LMS"/>
    <s v="5. 하이브리드러닝 - 러닝저니"/>
    <x v="9"/>
    <s v="08. 하이브리드러닝 - 하이브리드형 러닝"/>
    <s v=""/>
    <n v="28900000"/>
    <n v="30000000"/>
    <x v="2"/>
    <s v="03 기회"/>
    <n v="20000000"/>
    <m/>
    <m/>
    <m/>
    <m/>
    <m/>
    <m/>
    <n v="20000000"/>
    <m/>
    <m/>
    <m/>
    <m/>
    <m/>
    <m/>
  </r>
  <r>
    <s v="기업교육1팀"/>
    <x v="3"/>
    <m/>
    <m/>
    <s v="한국남부발전"/>
    <n v="1347"/>
    <s v="05 공공"/>
    <s v="03 신규"/>
    <s v="02 경쟁사 LMS"/>
    <s v="11. 컨텐츠 - 컨텐츠 임대/판매"/>
    <x v="3"/>
    <s v="07. 이러닝 - 컨텐츠 임대/판매"/>
    <n v="0"/>
    <n v="0"/>
    <n v="61899385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비전"/>
    <n v="40229"/>
    <s v="01 1~1000대"/>
    <s v="03 신규"/>
    <s v="02 경쟁사 LMS"/>
    <m/>
    <x v="13"/>
    <s v="10. 구독 - 휴넷CEO멤버십"/>
    <n v="0"/>
    <n v="0"/>
    <n v="0"/>
    <x v="8"/>
    <s v="03 기회"/>
    <n v="20000000"/>
    <m/>
    <m/>
    <m/>
    <m/>
    <m/>
    <m/>
    <m/>
    <n v="20000000"/>
    <m/>
    <m/>
    <m/>
    <m/>
    <m/>
  </r>
  <r>
    <s v="기업교육1팀"/>
    <x v="3"/>
    <m/>
    <m/>
    <s v="한국남부발전"/>
    <n v="1347"/>
    <s v="05 공공"/>
    <s v="01 수성"/>
    <m/>
    <s v="10. 컨텐츠 - 컨텐츠 개발"/>
    <x v="2"/>
    <s v="14. 컨텐츠 - 컨텐츠 개발"/>
    <n v="2000000"/>
    <n v="0"/>
    <n v="0"/>
    <x v="4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4 연장"/>
    <s v="01 자체 LMS"/>
    <s v="1. 온라인 - 단과"/>
    <x v="1"/>
    <s v="02. 이러닝 - 단과"/>
    <n v="9800000"/>
    <n v="6500000"/>
    <n v="7000000"/>
    <x v="0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1 수성"/>
    <s v="01 자체 LMS"/>
    <s v="1. 온라인 - 단과"/>
    <x v="1"/>
    <s v="02. 이러닝 - 단과"/>
    <m/>
    <n v="0"/>
    <n v="3000000"/>
    <x v="2"/>
    <m/>
    <n v="0"/>
    <m/>
    <m/>
    <m/>
    <m/>
    <m/>
    <m/>
    <m/>
    <m/>
    <m/>
    <m/>
    <m/>
    <m/>
    <m/>
  </r>
  <r>
    <s v="기업교육1팀"/>
    <x v="3"/>
    <m/>
    <m/>
    <s v="한국전력공사(KEMPUS+)"/>
    <n v="16615"/>
    <s v="05 공공"/>
    <s v="02 윈백"/>
    <s v="01 자체 LMS"/>
    <s v="3. 온라인 - 마이크로러닝"/>
    <x v="14"/>
    <s v="04. 이러닝 - 마이크로러닝"/>
    <n v="312559869"/>
    <n v="0"/>
    <n v="125000000"/>
    <x v="7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n v="2160000"/>
    <n v="1944000"/>
    <n v="40000"/>
    <x v="0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m/>
    <m/>
    <n v="2000000"/>
    <x v="1"/>
    <m/>
    <n v="0"/>
    <m/>
    <m/>
    <m/>
    <m/>
    <m/>
    <m/>
    <m/>
    <m/>
    <m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1. 온라인 - 단과"/>
    <x v="1"/>
    <s v="02. 이러닝 - 단과"/>
    <n v="73348060"/>
    <n v="0"/>
    <n v="10000000"/>
    <x v="2"/>
    <s v="03 기회"/>
    <n v="10000000"/>
    <m/>
    <m/>
    <m/>
    <n v="10000000"/>
    <m/>
    <m/>
    <m/>
    <m/>
    <m/>
    <m/>
    <m/>
    <m/>
    <m/>
  </r>
  <r>
    <s v="기업교육1팀"/>
    <x v="3"/>
    <m/>
    <m/>
    <s v="한국항공우주산업주식회사"/>
    <n v="1429"/>
    <s v="01 1~1000대"/>
    <s v="03 신규"/>
    <s v="01 자체 LMS"/>
    <s v="6. 하이브리드러닝 - 집합형"/>
    <x v="1"/>
    <s v="02. 이러닝 - 단과"/>
    <m/>
    <m/>
    <n v="105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오션(하반기)"/>
    <n v="391"/>
    <s v="01 1~1000대"/>
    <s v="03 신규"/>
    <s v="02 경쟁사 LMS"/>
    <s v="6. 하이브리드러닝 - 집합형"/>
    <x v="9"/>
    <s v="08. 하이브리드러닝 - 하이브리드형 러닝"/>
    <n v="0"/>
    <n v="0"/>
    <n v="0"/>
    <x v="1"/>
    <s v="02 가망"/>
    <n v="70000000"/>
    <m/>
    <m/>
    <m/>
    <m/>
    <m/>
    <m/>
    <m/>
    <m/>
    <m/>
    <m/>
    <n v="20000000"/>
    <n v="20000000"/>
    <n v="30000000"/>
  </r>
  <r>
    <s v="기업교육1팀"/>
    <x v="3"/>
    <s v="기업교육1팀"/>
    <s v="황동현"/>
    <s v="삼성물산 건설부문(윤리)"/>
    <n v="787"/>
    <s v="01 1~1000대"/>
    <s v="01 수성"/>
    <s v="02 경쟁사 LMS"/>
    <s v="10. 컨텐츠 - 컨텐츠 개발"/>
    <x v="2"/>
    <s v="14. 컨텐츠 - 컨텐츠 개발"/>
    <s v=""/>
    <n v="84100000"/>
    <n v="65000000"/>
    <x v="0"/>
    <s v="02 가망"/>
    <n v="65000000"/>
    <m/>
    <m/>
    <m/>
    <m/>
    <m/>
    <m/>
    <m/>
    <m/>
    <m/>
    <n v="65000000"/>
    <m/>
    <m/>
    <m/>
  </r>
  <r>
    <s v="기업교육1팀"/>
    <x v="3"/>
    <m/>
    <m/>
    <s v="한성자동차"/>
    <n v="4084"/>
    <s v="01 1~1000대"/>
    <s v="01 수성"/>
    <s v="03 휴넷 LMS"/>
    <s v="통합위탁"/>
    <x v="17"/>
    <s v="23. 기타 - 플레이북"/>
    <m/>
    <n v="0"/>
    <n v="6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비씨카드(7~12월)"/>
    <n v="46587"/>
    <s v="01 1~1000대"/>
    <s v="01 수성"/>
    <m/>
    <s v="통합위탁"/>
    <x v="0"/>
    <s v="01. 이러닝 - 통합위탁"/>
    <m/>
    <n v="0"/>
    <n v="48000000"/>
    <x v="3"/>
    <s v="02 가망"/>
    <n v="48000000"/>
    <m/>
    <m/>
    <m/>
    <m/>
    <m/>
    <m/>
    <m/>
    <n v="8000000"/>
    <n v="8000000"/>
    <n v="8000000"/>
    <n v="8000000"/>
    <n v="8000000"/>
    <n v="8000000"/>
  </r>
  <r>
    <s v="기업교육1팀"/>
    <x v="3"/>
    <s v="기업교육1팀"/>
    <s v="황동현"/>
    <s v="DN솔루션즈"/>
    <n v="19600"/>
    <s v="01 1~1000대"/>
    <s v="03 신규"/>
    <s v="03 휴넷 LMS"/>
    <m/>
    <x v="13"/>
    <s v="10. 구독 - 휴넷CEO멤버십"/>
    <m/>
    <m/>
    <m/>
    <x v="8"/>
    <s v="03 기회"/>
    <n v="10000000"/>
    <m/>
    <m/>
    <m/>
    <n v="10000000"/>
    <m/>
    <m/>
    <m/>
    <m/>
    <m/>
    <m/>
    <m/>
    <m/>
    <m/>
  </r>
  <r>
    <s v="기업교육1팀"/>
    <x v="3"/>
    <s v="기업교육1팀"/>
    <s v="황동현"/>
    <s v="한성자동차"/>
    <n v="4084"/>
    <s v="01 1~1000대"/>
    <s v="04 연장"/>
    <s v="03 휴넷 LMS"/>
    <s v="통합위탁"/>
    <x v="0"/>
    <s v="01. 이러닝 - 통합위탁"/>
    <n v="6020000"/>
    <n v="69290400"/>
    <n v="43557600"/>
    <x v="0"/>
    <s v="02 가망"/>
    <n v="40000000"/>
    <m/>
    <m/>
    <m/>
    <n v="5000000"/>
    <n v="5000000"/>
    <n v="5000000"/>
    <n v="5000000"/>
    <n v="5000000"/>
    <n v="5000000"/>
    <n v="5000000"/>
    <n v="5000000"/>
    <m/>
    <m/>
  </r>
  <r>
    <s v="기업교육1팀"/>
    <x v="3"/>
    <s v="기업교육1팀"/>
    <s v="황동현"/>
    <s v="한화건설"/>
    <n v="16688"/>
    <s v="01 1~1000대"/>
    <s v="04 연장"/>
    <s v="03 휴넷 LMS"/>
    <s v="6. 하이브리드러닝 - 집합형"/>
    <x v="9"/>
    <s v="08. 하이브리드러닝 - 하이브리드형 러닝"/>
    <n v="36000000"/>
    <n v="28375000"/>
    <n v="23000000"/>
    <x v="0"/>
    <s v="02 가망"/>
    <n v="25000000"/>
    <m/>
    <m/>
    <m/>
    <m/>
    <m/>
    <m/>
    <m/>
    <m/>
    <m/>
    <n v="25000000"/>
    <m/>
    <m/>
    <m/>
  </r>
  <r>
    <s v="기업교육1팀"/>
    <x v="3"/>
    <s v="기업교육1팀"/>
    <s v="황동현"/>
    <s v="한화세미텍"/>
    <n v="40230"/>
    <s v="02 1001~2000대"/>
    <s v="01 수성"/>
    <s v="03 휴넷 LMS"/>
    <s v="1. 온라인 - 단과"/>
    <x v="1"/>
    <s v="02. 이러닝 - 단과"/>
    <n v="27456960"/>
    <n v="31589460"/>
    <n v="17478600"/>
    <x v="0"/>
    <s v="02 가망"/>
    <n v="20000000"/>
    <m/>
    <m/>
    <n v="2000000"/>
    <n v="2000000"/>
    <n v="2000000"/>
    <n v="2000000"/>
    <n v="2000000"/>
    <n v="2000000"/>
    <n v="2000000"/>
    <n v="2000000"/>
    <n v="2000000"/>
    <n v="2000000"/>
    <m/>
  </r>
  <r>
    <s v="기업교육1팀"/>
    <x v="3"/>
    <m/>
    <m/>
    <s v="한화건설"/>
    <n v="16688"/>
    <s v="01 1~1000대"/>
    <s v="01 수성"/>
    <s v="03 휴넷 LMS"/>
    <s v="2. 온라인 - 법정"/>
    <x v="9"/>
    <s v="08. 하이브리드러닝 - 하이브리드형 러닝"/>
    <m/>
    <n v="0"/>
    <n v="25000000"/>
    <x v="2"/>
    <m/>
    <n v="0"/>
    <m/>
    <m/>
    <m/>
    <m/>
    <m/>
    <m/>
    <m/>
    <m/>
    <m/>
    <m/>
    <m/>
    <m/>
    <m/>
  </r>
  <r>
    <s v="기업교육1팀"/>
    <x v="3"/>
    <m/>
    <m/>
    <s v="한화건설"/>
    <n v="16688"/>
    <s v="01 1~1000대"/>
    <s v="01 수성"/>
    <s v="03 휴넷 LMS"/>
    <s v="10. 컨텐츠 - 컨텐츠 개발"/>
    <x v="2"/>
    <s v="14. 컨텐츠 - 컨텐츠 개발"/>
    <n v="25500000"/>
    <n v="25500000"/>
    <n v="0"/>
    <x v="6"/>
    <m/>
    <n v="0"/>
    <m/>
    <m/>
    <m/>
    <m/>
    <m/>
    <m/>
    <m/>
    <m/>
    <m/>
    <m/>
    <m/>
    <m/>
    <m/>
  </r>
  <r>
    <s v="기업교육1팀"/>
    <x v="3"/>
    <m/>
    <m/>
    <s v="한화생명보험"/>
    <n v="12801"/>
    <s v="01 1~1000대"/>
    <s v="01 수성"/>
    <m/>
    <s v="1. 온라인 - 단과"/>
    <x v="1"/>
    <s v="02. 이러닝 - 단과"/>
    <n v="2200000"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여천NCC"/>
    <n v="2152"/>
    <s v="01 1~1000대"/>
    <s v="03 신규"/>
    <s v="02 경쟁사 LMS"/>
    <m/>
    <x v="13"/>
    <s v="10. 구독 - 휴넷CEO멤버십"/>
    <m/>
    <m/>
    <m/>
    <x v="8"/>
    <s v="03 기회"/>
    <n v="10000000"/>
    <m/>
    <m/>
    <m/>
    <m/>
    <m/>
    <n v="10000000"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1. 온라인 - 단과"/>
    <x v="1"/>
    <s v="02. 이러닝 - 단과"/>
    <n v="32657600"/>
    <n v="23923900"/>
    <n v="17062000"/>
    <x v="0"/>
    <s v="02 가망"/>
    <n v="18000000"/>
    <m/>
    <m/>
    <m/>
    <n v="2000000"/>
    <n v="2000000"/>
    <n v="2000000"/>
    <n v="2000000"/>
    <n v="2000000"/>
    <n v="2000000"/>
    <n v="2000000"/>
    <n v="2000000"/>
    <n v="2000000"/>
    <m/>
  </r>
  <r>
    <s v="기업교육1팀"/>
    <x v="3"/>
    <s v="기업교육1팀"/>
    <s v="황동현"/>
    <s v="한화건설"/>
    <n v="16688"/>
    <s v="01 1~1000대"/>
    <s v="01 수성"/>
    <s v="03 휴넷 LMS"/>
    <s v="2. 온라인 - 법정"/>
    <x v="11"/>
    <s v="03. 이러닝 - 법정"/>
    <n v="19980000"/>
    <n v="15130000"/>
    <n v="17000000"/>
    <x v="1"/>
    <s v="02 가망"/>
    <n v="17000000"/>
    <m/>
    <m/>
    <m/>
    <m/>
    <m/>
    <m/>
    <m/>
    <m/>
    <m/>
    <m/>
    <m/>
    <m/>
    <n v="17000000"/>
  </r>
  <r>
    <s v="기업교육1팀"/>
    <x v="3"/>
    <s v="기업교육1팀"/>
    <s v="황동현"/>
    <s v="한화인재경영원(CH.HPlus)"/>
    <n v="40260"/>
    <s v="01 1~1000대"/>
    <s v="01 수성"/>
    <s v="01 자체 LMS"/>
    <s v="11. 컨텐츠 - 컨텐츠 임대/판매"/>
    <x v="3"/>
    <s v="07. 이러닝 - 컨텐츠 임대/판매"/>
    <s v=""/>
    <n v="0"/>
    <n v="12000000"/>
    <x v="0"/>
    <s v="02 가망"/>
    <n v="15000000"/>
    <m/>
    <m/>
    <m/>
    <n v="15000000"/>
    <m/>
    <m/>
    <m/>
    <m/>
    <m/>
    <m/>
    <m/>
    <m/>
    <m/>
  </r>
  <r>
    <s v="기업교육1팀"/>
    <x v="3"/>
    <s v="기업교육1팀"/>
    <s v="황동현"/>
    <s v="한온시스템"/>
    <n v="3770"/>
    <s v="01 1~1000대"/>
    <s v="04 연장"/>
    <s v="03 휴넷 LMS"/>
    <s v="2. 온라인 - 법정"/>
    <x v="11"/>
    <s v="03. 이러닝 - 법정"/>
    <n v="12091000"/>
    <n v="43100500"/>
    <n v="11000000"/>
    <x v="0"/>
    <s v="02 가망"/>
    <n v="10000000"/>
    <m/>
    <m/>
    <m/>
    <m/>
    <m/>
    <m/>
    <n v="5000000"/>
    <m/>
    <m/>
    <m/>
    <m/>
    <n v="5000000"/>
    <m/>
  </r>
  <r>
    <s v="기업교육1팀"/>
    <x v="3"/>
    <m/>
    <m/>
    <s v="한화솔루션 큐셀"/>
    <n v="28796"/>
    <s v="01 1~1000대"/>
    <s v="01 수성"/>
    <s v="03 휴넷 LMS"/>
    <s v="1. 온라인 - 단과"/>
    <x v="1"/>
    <s v="02. 이러닝 - 단과"/>
    <m/>
    <n v="0"/>
    <n v="1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한화/글로벌"/>
    <n v="45181"/>
    <s v="01 1~1000대"/>
    <s v="01 수성"/>
    <s v="03 휴넷 LMS"/>
    <s v="2. 온라인 - 법정"/>
    <x v="11"/>
    <s v="03. 이러닝 - 법정"/>
    <n v="6976000"/>
    <n v="12187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s v="기업교육1팀"/>
    <s v="황동현"/>
    <s v="한화솔루션"/>
    <n v="28673"/>
    <s v="01 1~1000대"/>
    <s v="01 수성"/>
    <s v="03 휴넷 LMS"/>
    <s v="2. 온라인 - 법정"/>
    <x v="11"/>
    <s v="03. 이러닝 - 법정"/>
    <n v="10738000"/>
    <n v="11448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m/>
    <m/>
    <s v="한화솔루션 큐셀(2022년 매출)"/>
    <n v="28796"/>
    <s v="01 1~1000대"/>
    <s v="01 수성"/>
    <s v="03 휴넷 LMS"/>
    <s v="1. 온라인 - 단과"/>
    <x v="1"/>
    <s v="02. 이러닝 - 단과"/>
    <n v="9452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2. 온라인 - 법정"/>
    <x v="11"/>
    <s v="03. 이러닝 - 법정"/>
    <n v="18306000"/>
    <n v="15238000"/>
    <n v="10000000"/>
    <x v="1"/>
    <s v="02 가망"/>
    <n v="10000000"/>
    <m/>
    <m/>
    <m/>
    <m/>
    <m/>
    <m/>
    <n v="5000000"/>
    <m/>
    <m/>
    <m/>
    <m/>
    <m/>
    <n v="5000000"/>
  </r>
  <r>
    <s v="기업교육1팀"/>
    <x v="3"/>
    <m/>
    <m/>
    <s v="한화에어로스페이스"/>
    <n v="9288"/>
    <s v="01 1~1000대"/>
    <s v="02 윈백"/>
    <s v="03 휴넷 LMS"/>
    <s v="2. 온라인 - 법정"/>
    <x v="11"/>
    <s v="03. 이러닝 - 법정"/>
    <n v="20004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오션"/>
    <n v="391"/>
    <s v="01 1~1000대"/>
    <s v="03 신규"/>
    <s v="03 휴넷 LMS"/>
    <s v="1. 온라인 - 단과"/>
    <x v="1"/>
    <s v="02. 이러닝 - 단과"/>
    <n v="193056428"/>
    <n v="0"/>
    <n v="500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3. 온라인 - 마이크로러닝"/>
    <x v="14"/>
    <s v="04. 이러닝 - 마이크로러닝"/>
    <n v="18000000"/>
    <n v="9000000"/>
    <n v="9000000"/>
    <x v="0"/>
    <s v="02 가망"/>
    <n v="9000000"/>
    <m/>
    <m/>
    <m/>
    <m/>
    <m/>
    <n v="9000000"/>
    <m/>
    <m/>
    <m/>
    <m/>
    <m/>
    <m/>
    <m/>
  </r>
  <r>
    <s v="기업교육1팀"/>
    <x v="3"/>
    <s v="기업교육1팀"/>
    <s v="황동현"/>
    <s v="글락소스미스클라인"/>
    <n v="2168"/>
    <s v="02 1001~2000대"/>
    <s v="04 연장"/>
    <s v="03 휴넷 LMS"/>
    <s v="2. 온라인 - 법정"/>
    <x v="11"/>
    <s v="03. 이러닝 - 법정"/>
    <n v="10275000"/>
    <n v="13875000"/>
    <n v="8625000"/>
    <x v="0"/>
    <s v="02 가망"/>
    <n v="8000000"/>
    <m/>
    <m/>
    <m/>
    <m/>
    <m/>
    <m/>
    <m/>
    <m/>
    <m/>
    <m/>
    <m/>
    <m/>
    <n v="8500000"/>
  </r>
  <r>
    <s v="기업교육1팀"/>
    <x v="3"/>
    <m/>
    <m/>
    <s v="한화오션디지털"/>
    <n v="23842"/>
    <s v="01 1~1000대"/>
    <s v="04 연장"/>
    <s v="03 휴넷 LMS"/>
    <s v="1. 온라인 - 단과"/>
    <x v="1"/>
    <s v="02. 이러닝 - 단과"/>
    <n v="2485930"/>
    <n v="3449400"/>
    <n v="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에이치엔씨네트워크"/>
    <n v="27194"/>
    <s v="01 1~1000대"/>
    <s v="01 수성"/>
    <s v="03 휴넷 LMS"/>
    <s v="2. 온라인 - 법정"/>
    <x v="11"/>
    <s v="03. 이러닝 - 법정"/>
    <m/>
    <n v="0"/>
    <n v="7500000"/>
    <x v="0"/>
    <s v="02 가망"/>
    <n v="7000000"/>
    <m/>
    <m/>
    <m/>
    <m/>
    <m/>
    <m/>
    <m/>
    <m/>
    <m/>
    <m/>
    <m/>
    <m/>
    <n v="7500000"/>
  </r>
  <r>
    <s v="기업교육1팀"/>
    <x v="3"/>
    <m/>
    <m/>
    <s v="한화인재경영원(CH.HPlus)"/>
    <n v="40260"/>
    <s v="01 1~1000대"/>
    <s v="01 수성"/>
    <m/>
    <s v="10. 컨텐츠 - 컨텐츠 개발"/>
    <x v="2"/>
    <s v="14. 컨텐츠 - 컨텐츠 개발"/>
    <n v="75500000"/>
    <n v="2540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비씨카드"/>
    <n v="46587"/>
    <s v="01 1~1000대"/>
    <s v="01 수성"/>
    <s v="03 휴넷 LMS"/>
    <s v="6. 하이브리드러닝 - 집합형"/>
    <x v="9"/>
    <s v="08. 하이브리드러닝 - 하이브리드형 러닝"/>
    <s v=""/>
    <n v="8800000"/>
    <n v="4800000"/>
    <x v="0"/>
    <s v="02 가망"/>
    <n v="5000000"/>
    <m/>
    <m/>
    <m/>
    <m/>
    <n v="5000000"/>
    <m/>
    <m/>
    <m/>
    <m/>
    <m/>
    <m/>
    <m/>
    <m/>
  </r>
  <r>
    <s v="기업교육1팀"/>
    <x v="3"/>
    <s v="기업교육1팀"/>
    <s v="황동현"/>
    <s v="한화생명보험"/>
    <n v="12801"/>
    <s v="01 1~1000대"/>
    <s v="01 수성"/>
    <s v="03 휴넷 LMS"/>
    <s v="6. 하이브리드러닝 - 집합형"/>
    <x v="9"/>
    <s v="08. 하이브리드러닝 - 하이브리드형 러닝"/>
    <s v=""/>
    <n v="15979999"/>
    <n v="2300000"/>
    <x v="0"/>
    <s v="02 가망"/>
    <n v="3000000"/>
    <m/>
    <m/>
    <m/>
    <m/>
    <m/>
    <n v="3000000"/>
    <m/>
    <m/>
    <m/>
    <m/>
    <m/>
    <m/>
    <m/>
  </r>
  <r>
    <s v="기업교육1팀"/>
    <x v="3"/>
    <s v="기업교육1팀"/>
    <s v="황동현"/>
    <s v="한화첨단소재"/>
    <n v="23546"/>
    <s v="01 1~1000대"/>
    <s v="01 수성"/>
    <s v="03 휴넷 LMS"/>
    <s v="1. 온라인 - 단과"/>
    <x v="1"/>
    <s v="03. 이러닝 - 법정"/>
    <n v="7333500"/>
    <n v="16142900"/>
    <n v="3131000"/>
    <x v="0"/>
    <s v="02 가망"/>
    <n v="3000000"/>
    <m/>
    <m/>
    <m/>
    <m/>
    <m/>
    <m/>
    <m/>
    <m/>
    <m/>
    <m/>
    <m/>
    <n v="3000000"/>
    <m/>
  </r>
  <r>
    <s v="기업교육1팀"/>
    <x v="3"/>
    <s v="기업교육1팀"/>
    <s v="황동현"/>
    <s v="홈플러스"/>
    <n v="3716"/>
    <s v="01 1~1000대"/>
    <s v="01 수성"/>
    <s v="03 휴넷 LMS"/>
    <s v="통합위탁"/>
    <x v="11"/>
    <s v="03. 이러닝 - 법정"/>
    <m/>
    <n v="0"/>
    <n v="6858000"/>
    <x v="6"/>
    <s v="06 사업취소"/>
    <n v="0"/>
    <m/>
    <m/>
    <m/>
    <m/>
    <m/>
    <m/>
    <m/>
    <m/>
    <m/>
    <m/>
    <m/>
    <m/>
    <m/>
  </r>
  <r>
    <s v="기업교육1팀"/>
    <x v="3"/>
    <s v="기업교육1팀"/>
    <s v="황동현"/>
    <s v="티케이엘리베이터코리아"/>
    <n v="4336"/>
    <s v="01 1~1000대"/>
    <s v="03 신규"/>
    <s v="02 경쟁사 LMS"/>
    <m/>
    <x v="13"/>
    <s v="11. 구독 - 휴넷 리더십저니"/>
    <n v="0"/>
    <n v="0"/>
    <n v="0"/>
    <x v="8"/>
    <s v="03 기회"/>
    <n v="10000000"/>
    <m/>
    <m/>
    <m/>
    <m/>
    <m/>
    <m/>
    <m/>
    <m/>
    <m/>
    <m/>
    <n v="10000000"/>
    <m/>
    <m/>
  </r>
  <r>
    <s v="기업교육1팀"/>
    <x v="3"/>
    <s v="기업교육1팀"/>
    <s v="황동현"/>
    <s v="대한조선(HRD아카이브)"/>
    <n v="12913"/>
    <s v="01 1~1000대"/>
    <s v="01 수성"/>
    <s v="02 경쟁사 LMS"/>
    <s v="1. 온라인 - 단과"/>
    <x v="16"/>
    <s v="26. 이러닝 - 정부지원사업"/>
    <n v="7132700"/>
    <n v="5411100"/>
    <n v="8372000"/>
    <x v="0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3 신규"/>
    <s v="03 휴넷 LMS"/>
    <s v="2. 온라인 - 법정"/>
    <x v="11"/>
    <s v="03. 이러닝 - 법정"/>
    <m/>
    <m/>
    <m/>
    <x v="1"/>
    <s v="02 가망"/>
    <n v="2000000"/>
    <m/>
    <m/>
    <m/>
    <m/>
    <m/>
    <m/>
    <m/>
    <m/>
    <m/>
    <m/>
    <m/>
    <m/>
    <n v="2000000"/>
  </r>
  <r>
    <s v="기업교육1팀"/>
    <x v="3"/>
    <s v="기업교육1팀"/>
    <s v="황동현"/>
    <s v="한화생명보험"/>
    <n v="12801"/>
    <s v="01 1~1000대"/>
    <s v="03 신규"/>
    <s v="03 휴넷 LMS"/>
    <s v="11. 컨텐츠 - 컨텐츠 임대/판매"/>
    <x v="3"/>
    <s v="07. 이러닝 - 컨텐츠 임대/판매"/>
    <s v=""/>
    <n v="10400000"/>
    <n v="10000000"/>
    <x v="2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고려대학교의료원"/>
    <n v="4578"/>
    <s v="04 3000대 이후"/>
    <s v="03 신규"/>
    <s v="03 휴넷 LMS"/>
    <s v="통합위탁"/>
    <x v="12"/>
    <s v="09. 하이브리드러닝 - 순수 오프라인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1 수성"/>
    <s v="03 휴넷 LMS"/>
    <m/>
    <x v="13"/>
    <s v="10. 구독 - 휴넷CEO멤버십"/>
    <m/>
    <m/>
    <m/>
    <x v="1"/>
    <s v="03 기회"/>
    <n v="5000000"/>
    <m/>
    <m/>
    <m/>
    <n v="5000000"/>
    <m/>
    <m/>
    <m/>
    <m/>
    <m/>
    <m/>
    <m/>
    <m/>
    <m/>
  </r>
  <r>
    <s v="기업교육1팀"/>
    <x v="3"/>
    <s v="기업교육1팀"/>
    <s v="황동현"/>
    <s v="글락소스미스클라인"/>
    <n v="2168"/>
    <s v="02 1001~2000대"/>
    <s v="03 신규"/>
    <s v="03 휴넷 LMS"/>
    <m/>
    <x v="13"/>
    <s v="11. 구독 - 휴넷 리더십저니"/>
    <m/>
    <m/>
    <m/>
    <x v="0"/>
    <s v="03 기회"/>
    <n v="5000000"/>
    <m/>
    <m/>
    <n v="5000000"/>
    <m/>
    <m/>
    <m/>
    <m/>
    <m/>
    <m/>
    <m/>
    <m/>
    <m/>
    <m/>
  </r>
  <r>
    <s v="기업교육1팀"/>
    <x v="3"/>
    <s v="기업교육1팀"/>
    <s v="황동현"/>
    <s v="한화파워시스템"/>
    <s v="39970"/>
    <s v="02 1001~2000대"/>
    <s v="03 신규"/>
    <s v="02 경쟁사 LMS"/>
    <m/>
    <x v="13"/>
    <s v="11. 구독 - 휴넷 리더십저니"/>
    <n v="0"/>
    <n v="0"/>
    <n v="0"/>
    <x v="8"/>
    <s v="03 기회"/>
    <n v="5000000"/>
    <m/>
    <m/>
    <m/>
    <m/>
    <m/>
    <m/>
    <m/>
    <m/>
    <m/>
    <m/>
    <n v="5000000"/>
    <m/>
    <m/>
  </r>
  <r>
    <s v="기업교육1팀"/>
    <x v="3"/>
    <s v="기업교육1팀"/>
    <s v="황동현"/>
    <s v="티피씨메카트로닉스"/>
    <s v="9814"/>
    <s v="04 3000대 이후"/>
    <s v="03 신규"/>
    <s v="02 경쟁사 LMS"/>
    <m/>
    <x v="13"/>
    <s v="10. 구독 - 휴넷CEO멤버십"/>
    <n v="0"/>
    <n v="0"/>
    <n v="0"/>
    <x v="8"/>
    <s v="03 기회"/>
    <n v="5000000"/>
    <m/>
    <m/>
    <m/>
    <m/>
    <m/>
    <m/>
    <m/>
    <n v="5000000"/>
    <m/>
    <m/>
    <m/>
    <m/>
    <m/>
  </r>
  <r>
    <s v="기업교육1팀"/>
    <x v="4"/>
    <s v="기업교육1팀"/>
    <s v="장지웅"/>
    <s v="11번가"/>
    <n v="18650"/>
    <s v="01 1~1000대"/>
    <s v="03 신규"/>
    <s v="03 휴넷 LMS"/>
    <s v="1. 온라인 - 단과"/>
    <x v="1"/>
    <s v="02. 이러닝 - 단과"/>
    <m/>
    <n v="12414900"/>
    <n v="0"/>
    <x v="6"/>
    <s v="02 가망"/>
    <n v="13000000"/>
    <m/>
    <m/>
    <m/>
    <m/>
    <m/>
    <m/>
    <m/>
    <m/>
    <m/>
    <n v="13000000"/>
    <m/>
    <m/>
    <m/>
  </r>
  <r>
    <s v="기업교육1팀"/>
    <x v="4"/>
    <s v="기업교육1팀"/>
    <s v="장지웅"/>
    <s v="NS홈쇼핑"/>
    <n v="4266"/>
    <s v="01 1~1000대"/>
    <s v="01 수성"/>
    <s v="03 휴넷 LMS"/>
    <s v="36. 기타 - 기타"/>
    <x v="9"/>
    <s v="08. 하이브리드러닝 - 하이브리드형 러닝"/>
    <m/>
    <n v="1200000"/>
    <n v="10000000"/>
    <x v="2"/>
    <s v="03 기회"/>
    <n v="10000000"/>
    <m/>
    <m/>
    <m/>
    <m/>
    <m/>
    <m/>
    <n v="5000000"/>
    <m/>
    <m/>
    <m/>
    <n v="5000000"/>
    <m/>
    <m/>
  </r>
  <r>
    <s v="기업교육1팀"/>
    <x v="4"/>
    <s v="기업교육1팀"/>
    <s v="장지웅"/>
    <s v="경기도시장상권진흥원"/>
    <n v="40926"/>
    <s v="05 공공"/>
    <s v="03 신규"/>
    <s v="01 자체 LMS"/>
    <s v="11. 컨텐츠 - 컨텐츠 임대/판매"/>
    <x v="3"/>
    <s v="07. 이러닝 - 컨텐츠 임대/판매"/>
    <n v="102727273"/>
    <n v="0"/>
    <n v="0"/>
    <x v="4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경기신용보증재단"/>
    <n v="13764"/>
    <s v="05 공공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경기신용보증재단"/>
    <n v="13764"/>
    <s v="05 공공"/>
    <s v="03 신규"/>
    <s v="03 휴넷 LMS"/>
    <s v="10. 컨텐츠 - 컨텐츠 개발"/>
    <x v="2"/>
    <s v="14. 컨텐츠 - 컨텐츠 개발"/>
    <n v="9328400"/>
    <n v="0"/>
    <n v="20000000"/>
    <x v="1"/>
    <s v="02 가망"/>
    <n v="20000000"/>
    <m/>
    <m/>
    <m/>
    <m/>
    <n v="20000000"/>
    <m/>
    <m/>
    <m/>
    <m/>
    <m/>
    <m/>
    <m/>
    <m/>
  </r>
  <r>
    <s v="기업교육1팀"/>
    <x v="4"/>
    <s v="기업교육1팀"/>
    <s v="장지웅"/>
    <s v="경기신용보증재단(성장지원부)"/>
    <n v="49331"/>
    <s v="05 공공"/>
    <s v="04 연장"/>
    <s v="03 휴넷 LMS"/>
    <s v="24. 운영 - 운영매출"/>
    <x v="6"/>
    <s v="19. 운영 - 운영매출"/>
    <n v="40518000"/>
    <n v="36127000"/>
    <n v="38034500"/>
    <x v="0"/>
    <s v="02 가망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경남신용보증재단"/>
    <n v="13764"/>
    <s v="05 공공"/>
    <s v="03 신규"/>
    <s v="03 휴넷 LMS"/>
    <m/>
    <x v="13"/>
    <s v="09. 하이브리드러닝 - 순수 오프라인"/>
    <m/>
    <m/>
    <m/>
    <x v="5"/>
    <s v="03 기회"/>
    <n v="20000000"/>
    <m/>
    <m/>
    <m/>
    <m/>
    <m/>
    <m/>
    <m/>
    <m/>
    <n v="20000000"/>
    <m/>
    <m/>
    <m/>
    <m/>
  </r>
  <r>
    <s v="기업교육1팀"/>
    <x v="4"/>
    <s v="기업교육1팀"/>
    <s v="장지웅"/>
    <s v="경남신용보증재단"/>
    <n v="13764"/>
    <s v="05 공공"/>
    <s v="04 연장"/>
    <s v="03 휴넷 LMS"/>
    <s v="1. 온라인 - 단과"/>
    <x v="1"/>
    <s v="02. 이러닝 - 단과"/>
    <s v=""/>
    <n v="27315400"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고려저축은행"/>
    <n v="8994"/>
    <s v="04 3000대 이후"/>
    <s v="04 연장"/>
    <s v="03 휴넷 LMS"/>
    <s v="2. 온라인 - 법정"/>
    <x v="11"/>
    <s v="03. 이러닝 - 법정"/>
    <n v="10000000"/>
    <n v="24839000"/>
    <n v="12000000"/>
    <x v="0"/>
    <s v="02 가망"/>
    <n v="10000000"/>
    <m/>
    <m/>
    <m/>
    <m/>
    <m/>
    <m/>
    <m/>
    <n v="5000000"/>
    <m/>
    <m/>
    <m/>
    <n v="5000000"/>
    <m/>
  </r>
  <r>
    <s v="기업교육1팀"/>
    <x v="4"/>
    <s v="기업교육1팀"/>
    <s v="장지웅"/>
    <s v="고려저축은행"/>
    <n v="8994"/>
    <s v="04 3000대 이후"/>
    <s v="04 연장"/>
    <s v="03 휴넷 LMS"/>
    <s v="6. 하이브리드러닝 - 집합형"/>
    <x v="9"/>
    <s v="08. 하이브리드러닝 - 하이브리드형 러닝"/>
    <s v=""/>
    <n v="3429000"/>
    <n v="6300000"/>
    <x v="0"/>
    <s v="03 기회"/>
    <n v="6000000"/>
    <m/>
    <m/>
    <m/>
    <m/>
    <n v="3000000"/>
    <m/>
    <m/>
    <m/>
    <m/>
    <n v="3000000"/>
    <m/>
    <m/>
    <m/>
  </r>
  <r>
    <s v="기업교육1팀"/>
    <x v="4"/>
    <s v="기업교육1팀"/>
    <s v="장지웅"/>
    <s v="고려제강"/>
    <n v="3912"/>
    <s v="01 1~1000대"/>
    <s v="04 연장"/>
    <s v="03 휴넷 LMS"/>
    <s v="통합위탁"/>
    <x v="0"/>
    <s v="01. 이러닝 - 통합위탁"/>
    <n v="77255240"/>
    <n v="65664920"/>
    <n v="67405500"/>
    <x v="0"/>
    <s v="02 가망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4"/>
    <s v="기업교육1팀"/>
    <s v="장지웅"/>
    <s v="고려제강"/>
    <n v="3912"/>
    <s v="01 1~1000대"/>
    <s v="04 연장"/>
    <s v="03 휴넷 LMS"/>
    <s v="1. 온라인 - 단과"/>
    <x v="1"/>
    <s v="02. 이러닝 - 단과"/>
    <m/>
    <n v="391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고려제강"/>
    <n v="3912"/>
    <s v="01 1~1000대"/>
    <s v="03 신규"/>
    <s v="02 경쟁사 LMS"/>
    <s v="통합위탁"/>
    <x v="7"/>
    <s v="10. 구독 - 휴넷CEO멤버십"/>
    <m/>
    <n v="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광주광역시도시철도공사"/>
    <n v="4255"/>
    <s v="05 공공"/>
    <s v="03 신규"/>
    <s v="03 휴넷 LMS"/>
    <s v="통합위탁"/>
    <x v="0"/>
    <s v="01. 이러닝 - 통합위탁"/>
    <n v="48500000"/>
    <n v="0"/>
    <n v="0"/>
    <x v="3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다우기술"/>
    <n v="6093"/>
    <s v="01 1~1000대"/>
    <s v="04 연장"/>
    <s v="03 휴넷 LMS"/>
    <s v="1. 온라인 - 단과"/>
    <x v="0"/>
    <s v="01. 이러닝 - 통합위탁"/>
    <n v="7983320"/>
    <n v="6795000"/>
    <n v="8351000"/>
    <x v="0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다우기술"/>
    <n v="6093"/>
    <s v="01 1~1000대"/>
    <s v="04 연장"/>
    <s v="03 휴넷 LMS"/>
    <s v="2. 온라인 - 법정"/>
    <x v="11"/>
    <s v="03. 이러닝 - 법정"/>
    <n v="8856000"/>
    <n v="0"/>
    <n v="8000000"/>
    <x v="0"/>
    <s v="02 가망"/>
    <n v="9000000"/>
    <m/>
    <m/>
    <m/>
    <n v="3000000"/>
    <m/>
    <m/>
    <n v="3000000"/>
    <m/>
    <m/>
    <n v="3000000"/>
    <m/>
    <m/>
    <m/>
  </r>
  <r>
    <s v="기업교육1팀"/>
    <x v="4"/>
    <s v="기업교육1팀"/>
    <s v="장지웅"/>
    <s v="다우기술"/>
    <n v="6093"/>
    <s v="01 1~1000대"/>
    <s v="03 신규"/>
    <s v="03 휴넷 LMS"/>
    <m/>
    <x v="13"/>
    <s v="09. 하이브리드러닝 - 순수 오프라인"/>
    <m/>
    <m/>
    <m/>
    <x v="5"/>
    <s v="03 기회"/>
    <n v="14000000"/>
    <m/>
    <m/>
    <m/>
    <m/>
    <m/>
    <m/>
    <n v="7000000"/>
    <m/>
    <m/>
    <m/>
    <m/>
    <n v="7000000"/>
    <m/>
  </r>
  <r>
    <s v="기업교육1팀"/>
    <x v="4"/>
    <s v="기업교육1팀"/>
    <s v="장지웅"/>
    <s v="대구광역시 공무원교육원"/>
    <n v="10461"/>
    <s v="05 공공"/>
    <s v="01 수성"/>
    <s v="03 휴넷 LMS"/>
    <s v="통합위탁"/>
    <x v="0"/>
    <s v="01. 이러닝 - 통합위탁"/>
    <n v="80000000"/>
    <n v="87272727"/>
    <n v="100000000"/>
    <x v="0"/>
    <s v="02 가망"/>
    <n v="120000000"/>
    <m/>
    <m/>
    <m/>
    <m/>
    <m/>
    <m/>
    <m/>
    <n v="60000000"/>
    <m/>
    <m/>
    <m/>
    <m/>
    <n v="60000000"/>
  </r>
  <r>
    <s v="기업교육1팀"/>
    <x v="4"/>
    <s v="기업교육1팀"/>
    <s v="장지웅"/>
    <s v="대구광역시행복진흥사회서비스원(대구행복진흥원)"/>
    <n v="42368"/>
    <s v="05 공공"/>
    <s v="01 수성"/>
    <s v="01 자체 LMS"/>
    <s v="11. 컨텐츠 - 컨텐츠 임대/판매"/>
    <x v="3"/>
    <s v="07. 이러닝 - 컨텐츠 임대/판매"/>
    <n v="50000000"/>
    <n v="41454545"/>
    <n v="50000000"/>
    <x v="2"/>
    <s v="02 가망"/>
    <n v="50000000"/>
    <m/>
    <m/>
    <m/>
    <m/>
    <m/>
    <m/>
    <m/>
    <m/>
    <n v="50000000"/>
    <m/>
    <m/>
    <m/>
    <m/>
  </r>
  <r>
    <s v="기업교육1팀"/>
    <x v="4"/>
    <s v="기업교육1팀"/>
    <s v="장지웅"/>
    <s v="동아대학교 bk사업단(임차)"/>
    <n v="61976"/>
    <s v="05 공공"/>
    <s v="03 신규"/>
    <s v="01 자체 LMS"/>
    <s v="11. 컨텐츠 - 컨텐츠 임대/판매"/>
    <x v="3"/>
    <s v="07. 이러닝 - 컨텐츠 임대/판매"/>
    <m/>
    <n v="6000000"/>
    <n v="0"/>
    <x v="6"/>
    <s v="02 가망"/>
    <n v="6000000"/>
    <m/>
    <m/>
    <m/>
    <m/>
    <m/>
    <m/>
    <m/>
    <m/>
    <m/>
    <m/>
    <m/>
    <n v="6000000"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09. 하이브리드러닝 - 순수 오프라인"/>
    <m/>
    <m/>
    <m/>
    <x v="5"/>
    <s v="03 기회"/>
    <n v="10000000"/>
    <m/>
    <m/>
    <m/>
    <m/>
    <m/>
    <n v="10000000"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s v="1. 온라인 - 단과"/>
    <x v="1"/>
    <s v="02. 이러닝 - 단과"/>
    <s v=""/>
    <n v="0"/>
    <n v="3000000"/>
    <x v="1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롯데카드"/>
    <n v="3775"/>
    <s v="01 1~1000대"/>
    <s v="03 신규"/>
    <s v="01 자체 LMS"/>
    <s v="1. 온라인 - 단과"/>
    <x v="1"/>
    <s v="02. 이러닝 - 단과"/>
    <n v="10580000"/>
    <n v="0"/>
    <n v="1000000"/>
    <x v="2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s v="2. 온라인 - 법정"/>
    <x v="11"/>
    <s v="03. 이러닝 - 법정"/>
    <m/>
    <m/>
    <m/>
    <x v="2"/>
    <s v="02 가망"/>
    <n v="35000000"/>
    <m/>
    <m/>
    <m/>
    <m/>
    <m/>
    <m/>
    <m/>
    <m/>
    <m/>
    <m/>
    <n v="35000000"/>
    <m/>
    <m/>
  </r>
  <r>
    <s v="기업교육1팀"/>
    <x v="4"/>
    <s v="기업교육1팀"/>
    <s v="장지웅"/>
    <s v="롯데카드"/>
    <n v="3889"/>
    <s v="01 1~1000대"/>
    <s v="01 수성"/>
    <s v="02 경쟁사 LMS"/>
    <s v="10. 컨텐츠 - 컨텐츠 개발"/>
    <x v="2"/>
    <s v="14. 컨텐츠 - 컨텐츠 개발"/>
    <s v=""/>
    <n v="90000000"/>
    <n v="50000000"/>
    <x v="1"/>
    <s v="02 가망"/>
    <n v="50000000"/>
    <m/>
    <m/>
    <m/>
    <m/>
    <m/>
    <m/>
    <m/>
    <m/>
    <m/>
    <n v="50000000"/>
    <m/>
    <m/>
    <m/>
  </r>
  <r>
    <s v="기업교육1팀"/>
    <x v="4"/>
    <s v="기업교육1팀"/>
    <s v="장지웅"/>
    <s v="벽산"/>
    <n v="1261"/>
    <s v="02 1001~2000대"/>
    <s v="04 연장"/>
    <s v="03 휴넷 LMS"/>
    <s v="통합위탁"/>
    <x v="0"/>
    <s v="01. 이러닝 - 통합위탁"/>
    <n v="55850920"/>
    <n v="57024600"/>
    <n v="586037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벽산"/>
    <n v="1261"/>
    <s v="02 1001~2000대"/>
    <s v="04 연장"/>
    <s v="03 휴넷 LMS"/>
    <s v="2. 온라인 - 법정"/>
    <x v="11"/>
    <s v="03. 이러닝 - 법정"/>
    <n v="3252500"/>
    <n v="0"/>
    <n v="27000000"/>
    <x v="0"/>
    <s v="02 가망"/>
    <n v="25000000"/>
    <m/>
    <m/>
    <m/>
    <m/>
    <m/>
    <m/>
    <m/>
    <m/>
    <m/>
    <n v="2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09. 하이브리드러닝 - 순수 오프라인"/>
    <m/>
    <m/>
    <m/>
    <x v="5"/>
    <s v="03 기회"/>
    <n v="5000000"/>
    <m/>
    <m/>
    <m/>
    <m/>
    <m/>
    <n v="5000000"/>
    <m/>
    <m/>
    <m/>
    <m/>
    <m/>
    <m/>
    <m/>
  </r>
  <r>
    <s v="기업교육1팀"/>
    <x v="4"/>
    <s v="기업교육1팀"/>
    <s v="장지웅"/>
    <s v="벽산"/>
    <n v="1261"/>
    <s v="02 1001~2000대"/>
    <s v="01 수성"/>
    <s v="03 휴넷 LMS"/>
    <s v="통합위탁"/>
    <x v="18"/>
    <s v="11. 구독 - 휴넷 리더십저니"/>
    <m/>
    <n v="0"/>
    <n v="6000000"/>
    <x v="2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서울신용보증재단"/>
    <n v="14087"/>
    <s v="05 공공"/>
    <s v="03 신규"/>
    <s v="03 휴넷 LMS"/>
    <m/>
    <x v="1"/>
    <s v="02. 이러닝 - 단과"/>
    <m/>
    <m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11. 구독 - 휴넷 리더십저니"/>
    <m/>
    <m/>
    <m/>
    <x v="5"/>
    <s v="03 기회"/>
    <n v="20000000"/>
    <m/>
    <m/>
    <m/>
    <m/>
    <m/>
    <m/>
    <n v="20000000"/>
    <m/>
    <m/>
    <m/>
    <m/>
    <m/>
    <m/>
  </r>
  <r>
    <s v="기업교육1팀"/>
    <x v="4"/>
    <s v="기업교육1팀"/>
    <s v="장지웅"/>
    <s v="서울신용보증재단"/>
    <n v="14087"/>
    <s v="05 공공"/>
    <s v="04 연장"/>
    <s v="03 휴넷 LMS"/>
    <s v="2. 온라인 - 법정"/>
    <x v="11"/>
    <s v="03. 이러닝 - 법정"/>
    <n v="32888000"/>
    <n v="11300000"/>
    <n v="30000000"/>
    <x v="0"/>
    <s v="02 가망"/>
    <n v="30000000"/>
    <m/>
    <m/>
    <m/>
    <m/>
    <m/>
    <m/>
    <m/>
    <m/>
    <m/>
    <m/>
    <n v="30000000"/>
    <m/>
    <m/>
  </r>
  <r>
    <s v="기업교육1팀"/>
    <x v="4"/>
    <s v="기업교육1팀"/>
    <s v="장지웅"/>
    <s v="선진"/>
    <n v="7665"/>
    <s v="01 1~1000대"/>
    <s v="03 신규"/>
    <s v="02 경쟁사 LMS"/>
    <s v="6. 하이브리드러닝 - 집합형"/>
    <x v="12"/>
    <s v="09. 하이브리드러닝 - 순수 오프라인"/>
    <m/>
    <n v="0"/>
    <n v="4000000"/>
    <x v="0"/>
    <s v="03 기회"/>
    <n v="8000000"/>
    <m/>
    <m/>
    <m/>
    <m/>
    <n v="4000000"/>
    <m/>
    <m/>
    <m/>
    <m/>
    <n v="4000000"/>
    <m/>
    <m/>
    <m/>
  </r>
  <r>
    <s v="기업교육1팀"/>
    <x v="4"/>
    <s v="기업교육1팀"/>
    <s v="장지웅"/>
    <s v="선진"/>
    <n v="7665"/>
    <s v="01 1~1000대"/>
    <s v="03 신규"/>
    <s v="02 경쟁사 LMS"/>
    <s v="36. 기타 - 기타"/>
    <x v="5"/>
    <s v="03. 이러닝 - 법정"/>
    <m/>
    <n v="7500000"/>
    <n v="0"/>
    <x v="6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"/>
    <n v="7665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FS"/>
    <n v="42955"/>
    <s v="01 1~1000대"/>
    <s v="03 신규"/>
    <s v="02 경쟁사 LMS"/>
    <s v="36. 기타 - 기타"/>
    <x v="5"/>
    <s v="03. 이러닝 - 법정"/>
    <m/>
    <n v="2500000"/>
    <n v="0"/>
    <x v="6"/>
    <s v="03 기회"/>
    <n v="4000000"/>
    <m/>
    <m/>
    <m/>
    <m/>
    <m/>
    <n v="4000000"/>
    <m/>
    <m/>
    <m/>
    <m/>
    <m/>
    <m/>
    <m/>
  </r>
  <r>
    <s v="기업교육1팀"/>
    <x v="4"/>
    <s v="기업교육1팀"/>
    <s v="장지웅"/>
    <s v="에스에이엠지엔터테인먼트"/>
    <n v="60714"/>
    <s v="04 3000대 이후"/>
    <s v="03 신규"/>
    <m/>
    <m/>
    <x v="13"/>
    <s v="02. 이러닝 - 단과"/>
    <m/>
    <m/>
    <n v="0"/>
    <x v="5"/>
    <s v="03 기회"/>
    <n v="10000000"/>
    <m/>
    <m/>
    <m/>
    <m/>
    <m/>
    <m/>
    <m/>
    <n v="10000000"/>
    <m/>
    <m/>
    <m/>
    <m/>
    <m/>
  </r>
  <r>
    <s v="기업교육1팀"/>
    <x v="4"/>
    <s v="기업교육1팀"/>
    <s v="장지웅"/>
    <s v="국립중앙박물관"/>
    <n v="29224"/>
    <s v="05 공공"/>
    <s v="03 신규"/>
    <m/>
    <m/>
    <x v="13"/>
    <s v="2. 온라인 - 법정"/>
    <m/>
    <m/>
    <n v="0"/>
    <x v="5"/>
    <s v="03 기회"/>
    <n v="10000000"/>
    <m/>
    <m/>
    <m/>
    <m/>
    <m/>
    <n v="5000000"/>
    <m/>
    <m/>
    <m/>
    <m/>
    <m/>
    <n v="5000000"/>
    <m/>
  </r>
  <r>
    <s v="기업교육1팀"/>
    <x v="4"/>
    <s v="기업교육1팀"/>
    <s v="장지웅"/>
    <s v="국립중앙박물관"/>
    <n v="29224"/>
    <s v="05 공공"/>
    <s v="03 신규"/>
    <m/>
    <m/>
    <x v="13"/>
    <s v="14. 컨텐츠 - 컨텐츠 개발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0. 구독 - 휴넷CEO멤버십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1. 구독 - 휴넷 리더십저니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09. 하이브리드러닝 - 순수 오프라인"/>
    <m/>
    <m/>
    <n v="0"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에스지씨이테크건설"/>
    <n v="7915"/>
    <s v="01 1~1000대"/>
    <s v="03 신규"/>
    <s v="02 경쟁사 LMS"/>
    <s v="2. 온라인 - 법정"/>
    <x v="11"/>
    <s v="03. 이러닝 - 법정"/>
    <m/>
    <m/>
    <n v="0"/>
    <x v="5"/>
    <s v="03 기회"/>
    <n v="35000000"/>
    <m/>
    <m/>
    <m/>
    <m/>
    <m/>
    <m/>
    <m/>
    <m/>
    <m/>
    <m/>
    <n v="35000000"/>
    <m/>
    <m/>
  </r>
  <r>
    <s v="기업교육1팀"/>
    <x v="4"/>
    <s v="기업교육1팀"/>
    <s v="장지웅"/>
    <s v="세메스"/>
    <n v="4059"/>
    <s v="01 1~1000대"/>
    <s v="03 신규"/>
    <s v="01 자체 LMS"/>
    <s v="10. 컨텐츠 - 컨텐츠 개발"/>
    <x v="2"/>
    <s v="14. 컨텐츠 - 컨텐츠 개발"/>
    <m/>
    <m/>
    <n v="0"/>
    <x v="5"/>
    <s v="03 기회"/>
    <n v="50000000"/>
    <m/>
    <m/>
    <n v="50000000"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4 연장"/>
    <s v="01 자체 LMS"/>
    <s v="1. 온라인 - 단과"/>
    <x v="1"/>
    <s v="02. 이러닝 - 단과"/>
    <n v="13296600"/>
    <n v="21031720"/>
    <n v="20479200"/>
    <x v="0"/>
    <s v="02 가망"/>
    <n v="18000000"/>
    <m/>
    <n v="2000000"/>
    <n v="2000000"/>
    <n v="2000000"/>
    <n v="2000000"/>
    <n v="2000000"/>
    <n v="2000000"/>
    <n v="2000000"/>
    <n v="2000000"/>
    <n v="2000000"/>
    <m/>
    <m/>
    <m/>
  </r>
  <r>
    <s v="기업교육1팀"/>
    <x v="4"/>
    <s v="기업교육1팀"/>
    <s v="장지웅"/>
    <s v="세메스"/>
    <n v="4059"/>
    <s v="01 1~1000대"/>
    <s v="01 수성"/>
    <s v="01 자체 LMS"/>
    <s v="3. 온라인 - 마이크로러닝"/>
    <x v="14"/>
    <s v="04. 이러닝 - 마이크로러닝"/>
    <n v="3375900"/>
    <n v="0"/>
    <n v="5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1 수성"/>
    <s v="01 자체 LMS"/>
    <s v="6. 하이브리드러닝 - 집합형"/>
    <x v="12"/>
    <s v="09. 하이브리드러닝 - 순수 오프라인"/>
    <n v="7574220"/>
    <n v="0"/>
    <n v="12000000"/>
    <x v="0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송현홀딩스"/>
    <n v="53744"/>
    <s v="01 1~1000대"/>
    <s v="03 신규"/>
    <s v="03 휴넷 LMS"/>
    <s v="4. 하이브리드러닝 - 플립형"/>
    <x v="9"/>
    <s v="08. 하이브리드러닝 - 하이브리드형 러닝"/>
    <n v="16800000"/>
    <n v="0"/>
    <n v="0"/>
    <x v="4"/>
    <s v="03 기회"/>
    <n v="10000000"/>
    <m/>
    <m/>
    <m/>
    <n v="10000000"/>
    <m/>
    <m/>
    <m/>
    <m/>
    <m/>
    <m/>
    <m/>
    <m/>
    <m/>
  </r>
  <r>
    <s v="기업교육1팀"/>
    <x v="4"/>
    <s v="기업교육1팀"/>
    <s v="장지웅"/>
    <s v="시사점(시민사이버학습센터)"/>
    <n v="20943"/>
    <s v="05 공공"/>
    <s v="03 신규"/>
    <s v="03 휴넷 LMS"/>
    <s v="통합위탁"/>
    <x v="3"/>
    <s v="07. 이러닝 - 컨텐츠 임대/판매"/>
    <n v="98181820"/>
    <n v="99000000"/>
    <n v="0"/>
    <x v="3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신용보증재단중앙회"/>
    <n v="2943"/>
    <s v="05 공공"/>
    <s v="04 연장"/>
    <s v="03 휴넷 LMS"/>
    <s v="통합위탁"/>
    <x v="0"/>
    <s v="01. 이러닝 - 통합위탁"/>
    <n v="41204800"/>
    <n v="38925260"/>
    <n v="280616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아이엠금융지주"/>
    <n v="17786"/>
    <s v="01 1~1000대"/>
    <s v="04 연장"/>
    <s v="03 휴넷 LMS"/>
    <s v="1. 온라인 - 단과"/>
    <x v="1"/>
    <s v="02. 이러닝 - 단과"/>
    <n v="12774640"/>
    <n v="23182420"/>
    <n v="17581964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4"/>
    <s v="기업교육1팀"/>
    <s v="장지웅"/>
    <s v="아이엠금융지주"/>
    <n v="17786"/>
    <s v="01 1~1000대"/>
    <s v="04 연장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아이엠금융지주"/>
    <n v="17786"/>
    <s v="01 1~1000대"/>
    <s v="04 연장"/>
    <s v="03 휴넷 LMS"/>
    <s v="2. 온라인 - 법정"/>
    <x v="11"/>
    <s v="03. 이러닝 - 법정"/>
    <n v="3350000"/>
    <n v="4062500"/>
    <n v="3000000"/>
    <x v="0"/>
    <s v="02 가망"/>
    <n v="5000000"/>
    <m/>
    <m/>
    <m/>
    <m/>
    <m/>
    <m/>
    <m/>
    <n v="5000000"/>
    <m/>
    <m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9"/>
    <s v="08. 하이브리드러닝 - 하이브리드형 러닝"/>
    <n v="16900000"/>
    <n v="4230000"/>
    <n v="32000000"/>
    <x v="0"/>
    <s v="03 기회"/>
    <n v="60000000"/>
    <m/>
    <m/>
    <m/>
    <m/>
    <m/>
    <n v="30000000"/>
    <m/>
    <m/>
    <m/>
    <n v="30000000"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12"/>
    <s v="09. 하이브리드러닝 - 순수 오프라인"/>
    <m/>
    <n v="0"/>
    <n v="16000000"/>
    <x v="0"/>
    <s v="03 기회"/>
    <n v="12000000"/>
    <m/>
    <m/>
    <m/>
    <n v="3000000"/>
    <m/>
    <m/>
    <n v="3000000"/>
    <m/>
    <m/>
    <n v="3000000"/>
    <m/>
    <m/>
    <n v="3000000"/>
  </r>
  <r>
    <s v="기업교육1팀"/>
    <x v="4"/>
    <s v="기업교육1팀"/>
    <s v="장지웅"/>
    <s v="아이엠데이터시스템"/>
    <n v="45447"/>
    <s v="01 1~1000대"/>
    <s v="01 수성"/>
    <s v="03 휴넷 LMS"/>
    <s v="1. 온라인 - 단과"/>
    <x v="1"/>
    <s v="02. 이러닝 - 단과"/>
    <s v=""/>
    <n v="0"/>
    <n v="5000000"/>
    <x v="1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데이터시스템"/>
    <n v="45447"/>
    <s v="01 1~1000대"/>
    <s v="03 신규"/>
    <s v="03 휴넷 LMS"/>
    <s v="14. 솔루션 - 맞춤형 LABS"/>
    <x v="8"/>
    <s v="15. 솔루션 - LABS"/>
    <s v=""/>
    <n v="0"/>
    <n v="20000000"/>
    <x v="1"/>
    <s v="02 가망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s v=""/>
    <n v="128387660"/>
    <n v="153063200"/>
    <x v="0"/>
    <s v="02 가망"/>
    <n v="154000000"/>
    <m/>
    <n v="14000000"/>
    <n v="14000000"/>
    <n v="14000000"/>
    <n v="14000000"/>
    <n v="14000000"/>
    <n v="14000000"/>
    <n v="14000000"/>
    <n v="14000000"/>
    <n v="14000000"/>
    <n v="14000000"/>
    <n v="14000000"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n v="17424414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1 수성"/>
    <s v="03 휴넷 LMS"/>
    <m/>
    <x v="12"/>
    <s v="09. 하이브리드러닝 - 순수 오프라인"/>
    <m/>
    <n v="0"/>
    <n v="2000000"/>
    <x v="0"/>
    <s v="03 기회"/>
    <n v="2000000"/>
    <m/>
    <m/>
    <n v="2000000"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4 연장"/>
    <s v="03 휴넷 LMS"/>
    <s v="14. 솔루션 - 맞춤형 LABS"/>
    <x v="8"/>
    <s v="15. 솔루션 - LABS"/>
    <s v=""/>
    <n v="30000000"/>
    <n v="30000000"/>
    <x v="0"/>
    <s v="02 가망"/>
    <n v="30000000"/>
    <m/>
    <n v="30000000"/>
    <m/>
    <m/>
    <m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m/>
    <x v="13"/>
    <s v="12. 구독 - 커리업 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s v="통합위탁"/>
    <x v="1"/>
    <s v="02. 이러닝 - 단과"/>
    <s v=""/>
    <n v="7010500"/>
    <n v="4080000"/>
    <x v="0"/>
    <s v="01 확정"/>
    <n v="4000000"/>
    <m/>
    <m/>
    <m/>
    <n v="1000000"/>
    <m/>
    <m/>
    <n v="1000000"/>
    <m/>
    <m/>
    <n v="1000000"/>
    <m/>
    <m/>
    <n v="1000000"/>
  </r>
  <r>
    <s v="기업교육1팀"/>
    <x v="4"/>
    <s v="기업교육1팀"/>
    <s v="장지웅"/>
    <s v="아이엠유페이"/>
    <n v="53292"/>
    <s v="01 1~1000대"/>
    <s v="01 수성"/>
    <s v="03 휴넷 LMS"/>
    <s v="1. 온라인 - 단과"/>
    <x v="1"/>
    <s v="02. 이러닝 - 단과"/>
    <n v="175382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4 연장"/>
    <s v="03 휴넷 LMS"/>
    <s v="1. 온라인 - 단과"/>
    <x v="1"/>
    <s v="02. 이러닝 - 단과"/>
    <n v="7509260"/>
    <n v="3480000"/>
    <n v="7000000"/>
    <x v="0"/>
    <s v="02 가망"/>
    <n v="7000000"/>
    <m/>
    <m/>
    <m/>
    <m/>
    <m/>
    <n v="3500000"/>
    <m/>
    <m/>
    <m/>
    <n v="3500000"/>
    <m/>
    <m/>
    <m/>
  </r>
  <r>
    <s v="기업교육1팀"/>
    <x v="4"/>
    <s v="기업교육1팀"/>
    <s v="장지웅"/>
    <s v="아이엠증권"/>
    <n v="4713"/>
    <s v="03 2001~3000대"/>
    <s v="01 수성"/>
    <s v="03 휴넷 LMS"/>
    <s v="1. 온라인 - 단과"/>
    <x v="1"/>
    <s v="02. 이러닝 - 단과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1 수성"/>
    <s v="03 휴넷 LMS"/>
    <s v="6. 하이브리드러닝 - 집합형"/>
    <x v="9"/>
    <s v="08. 하이브리드러닝 - 하이브리드형 러닝"/>
    <s v=""/>
    <n v="0"/>
    <n v="1000000"/>
    <x v="1"/>
    <s v="02 가망"/>
    <n v="1000000"/>
    <m/>
    <m/>
    <m/>
    <m/>
    <m/>
    <m/>
    <n v="1000000"/>
    <m/>
    <m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1. 온라인 - 단과"/>
    <x v="1"/>
    <s v="02. 이러닝 - 단과"/>
    <n v="20757000"/>
    <n v="5870900"/>
    <n v="5000000"/>
    <x v="0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2. 온라인 - 법정"/>
    <x v="11"/>
    <s v="03. 이러닝 - 법정"/>
    <s v=""/>
    <n v="13245000"/>
    <n v="15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아이엠캐피탈"/>
    <n v="24013"/>
    <s v="01 1~1000대"/>
    <s v="01 수성"/>
    <s v="03 휴넷 LMS"/>
    <m/>
    <x v="12"/>
    <s v="09. 하이브리드러닝 - 순수 오프라인"/>
    <m/>
    <m/>
    <n v="3000000"/>
    <x v="0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악사손해보험"/>
    <n v="12933"/>
    <s v="01 1~1000대"/>
    <s v="03 신규"/>
    <s v="03 휴넷 LMS"/>
    <s v="6. 하이브리드러닝 - 집합형"/>
    <x v="9"/>
    <s v="08. 하이브리드러닝 - 하이브리드형 러닝"/>
    <n v="3150000"/>
    <n v="0"/>
    <n v="2000000"/>
    <x v="1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에스비에스"/>
    <n v="3846"/>
    <s v="01 1~1000대"/>
    <s v="01 수성"/>
    <s v="03 휴넷 LMS"/>
    <s v="1. 온라인 - 단과"/>
    <x v="1"/>
    <s v="03. 이러닝 - 법정"/>
    <n v="15904240"/>
    <n v="7720000"/>
    <n v="14722000"/>
    <x v="0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에스비에스"/>
    <n v="3846"/>
    <s v="01 1~1000대"/>
    <s v="03 신규"/>
    <s v="03 휴넷 LMS"/>
    <m/>
    <x v="13"/>
    <s v="02. 이러닝 - 단과"/>
    <m/>
    <m/>
    <m/>
    <x v="5"/>
    <s v="03 기회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에스케이이노베이션"/>
    <n v="786"/>
    <s v="01 1~1000대"/>
    <s v="04 연장"/>
    <s v="01 자체 LMS"/>
    <s v="1. 온라인 - 단과"/>
    <x v="1"/>
    <s v="02. 이러닝 - 단과"/>
    <n v="28416440"/>
    <n v="25596380"/>
    <n v="25498200"/>
    <x v="0"/>
    <s v="02 가망"/>
    <n v="30000000"/>
    <m/>
    <n v="2500000"/>
    <n v="2500000"/>
    <n v="2500000"/>
    <n v="2500000"/>
    <n v="2500000"/>
    <n v="2500000"/>
    <n v="2500000"/>
    <n v="2500000"/>
    <n v="2500000"/>
    <n v="2500000"/>
    <n v="2500000"/>
    <n v="2500000"/>
  </r>
  <r>
    <s v="기업교육1팀"/>
    <x v="4"/>
    <s v="기업교육1팀"/>
    <s v="장지웅"/>
    <s v="에큐온저축은행"/>
    <n v="30428"/>
    <s v="02 1001~2000대"/>
    <s v="03 신규"/>
    <s v="03 휴넷 LMS"/>
    <m/>
    <x v="1"/>
    <s v="02. 이러닝 - 단과"/>
    <m/>
    <n v="0"/>
    <n v="60000000"/>
    <x v="2"/>
    <s v="03 기회"/>
    <n v="60000000"/>
    <m/>
    <m/>
    <m/>
    <m/>
    <m/>
    <m/>
    <m/>
    <m/>
    <m/>
    <m/>
    <m/>
    <n v="60000000"/>
    <m/>
  </r>
  <r>
    <s v="기업교육1팀"/>
    <x v="4"/>
    <s v="기업교육1팀"/>
    <s v="장지웅"/>
    <s v="에큐온저축은행"/>
    <n v="30428"/>
    <s v="02 1001~2000대"/>
    <s v="01 수성"/>
    <s v="03 휴넷 LMS"/>
    <s v="1. 온라인 - 단과"/>
    <x v="11"/>
    <s v="03. 이러닝 - 법정"/>
    <m/>
    <m/>
    <n v="30000000"/>
    <x v="0"/>
    <s v="02 가망"/>
    <n v="30000000"/>
    <m/>
    <m/>
    <m/>
    <m/>
    <m/>
    <m/>
    <m/>
    <m/>
    <m/>
    <m/>
    <m/>
    <n v="30000000"/>
    <m/>
  </r>
  <r>
    <s v="기업교육1팀"/>
    <x v="4"/>
    <s v="기업교육1팀"/>
    <s v="장지웅"/>
    <s v="에큐온저축은행"/>
    <n v="30428"/>
    <s v="02 1001~2000대"/>
    <s v="01 수성"/>
    <s v="03 휴넷 LMS"/>
    <s v="14. 솔루션 - 맞춤형 LABS"/>
    <x v="8"/>
    <s v="15. 솔루션 - LABS"/>
    <n v="38000000"/>
    <n v="38000000"/>
    <n v="380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엔씨소프트"/>
    <n v="1210"/>
    <s v="01 1~1000대"/>
    <s v="03 신규"/>
    <s v="02 경쟁사 LMS"/>
    <s v="2. 온라인 - 법정"/>
    <x v="11"/>
    <s v="03. 이러닝 - 법정"/>
    <n v="976000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4"/>
    <s v="기업교육1팀"/>
    <s v="장지웅"/>
    <s v="엔씨소프트"/>
    <n v="1210"/>
    <s v="01 1~1000대"/>
    <s v="03 신규"/>
    <s v="02 경쟁사 LMS"/>
    <s v="10. 컨텐츠 - 컨텐츠 개발"/>
    <x v="2"/>
    <s v="14. 컨텐츠 - 컨텐츠 개발"/>
    <n v="24000000"/>
    <n v="0"/>
    <n v="10000000"/>
    <x v="2"/>
    <s v="03 기회"/>
    <n v="15000000"/>
    <m/>
    <m/>
    <m/>
    <m/>
    <m/>
    <m/>
    <m/>
    <m/>
    <n v="15000000"/>
    <m/>
    <m/>
    <m/>
    <m/>
  </r>
  <r>
    <s v="기업교육1팀"/>
    <x v="4"/>
    <s v="기업교육1팀"/>
    <s v="장지웅"/>
    <s v="엔씨소프트서비스"/>
    <n v="10740"/>
    <s v="01 1~1000대"/>
    <s v="03 신규"/>
    <s v="03 휴넷 LMS"/>
    <s v="2. 온라인 - 법정"/>
    <x v="11"/>
    <s v="03. 이러닝 - 법정"/>
    <m/>
    <n v="1880000"/>
    <n v="0"/>
    <x v="6"/>
    <s v="02 가망"/>
    <n v="4000000"/>
    <m/>
    <m/>
    <m/>
    <m/>
    <m/>
    <m/>
    <m/>
    <m/>
    <m/>
    <m/>
    <m/>
    <m/>
    <n v="4000000"/>
  </r>
  <r>
    <s v="기업교육1팀"/>
    <x v="4"/>
    <s v="기업교육1팀"/>
    <s v="장지웅"/>
    <s v="예가람저축은행"/>
    <n v="4544"/>
    <s v="01 1~1000대"/>
    <s v="04 연장"/>
    <s v="03 휴넷 LMS"/>
    <s v="1. 온라인 - 단과"/>
    <x v="1"/>
    <s v="02. 이러닝 - 단과"/>
    <s v=""/>
    <n v="536000"/>
    <n v="3000000"/>
    <x v="0"/>
    <s v="02 가망"/>
    <n v="3000000"/>
    <m/>
    <m/>
    <m/>
    <m/>
    <m/>
    <m/>
    <m/>
    <m/>
    <n v="3000000"/>
    <m/>
    <m/>
    <m/>
    <m/>
  </r>
  <r>
    <s v="기업교육1팀"/>
    <x v="4"/>
    <s v="기업교육1팀"/>
    <s v="장지웅"/>
    <s v="오케이저축은행"/>
    <n v="16684"/>
    <s v="01 1~1000대"/>
    <s v="03 신규"/>
    <s v="02 경쟁사 LMS"/>
    <s v="6. 하이브리드러닝 - 집합형"/>
    <x v="9"/>
    <s v="08. 하이브리드러닝 - 하이브리드형 러닝"/>
    <n v="1400000"/>
    <n v="0"/>
    <n v="0"/>
    <x v="4"/>
    <s v="03 기회"/>
    <n v="40000000"/>
    <m/>
    <m/>
    <m/>
    <m/>
    <m/>
    <m/>
    <m/>
    <m/>
    <m/>
    <n v="40000000"/>
    <m/>
    <m/>
    <m/>
  </r>
  <r>
    <s v="기업교육1팀"/>
    <x v="4"/>
    <s v="기업교육1팀"/>
    <s v="장지웅"/>
    <s v="우미건설"/>
    <n v="5024"/>
    <s v="01 1~1000대"/>
    <s v="04 연장"/>
    <s v="03 휴넷 LMS"/>
    <s v="통합위탁"/>
    <x v="0"/>
    <s v="01. 이러닝 - 통합위탁"/>
    <n v="32975906"/>
    <n v="38394980"/>
    <n v="442374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4"/>
    <s v="기업교육1팀"/>
    <s v="장지웅"/>
    <s v="우미건설"/>
    <n v="5024"/>
    <s v="01 1~1000대"/>
    <s v="04 연장"/>
    <s v="03 휴넷 LMS"/>
    <s v="2. 온라인 - 법정"/>
    <x v="11"/>
    <s v="03. 이러닝 - 법정"/>
    <n v="10000000"/>
    <n v="10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n v="10000000"/>
    <n v="13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m/>
    <n v="0"/>
    <n v="30000000"/>
    <x v="2"/>
    <s v="03 기회"/>
    <n v="30000000"/>
    <m/>
    <m/>
    <m/>
    <n v="15000000"/>
    <m/>
    <m/>
    <m/>
    <m/>
    <m/>
    <n v="15000000"/>
    <m/>
    <m/>
    <m/>
  </r>
  <r>
    <s v="기업교육1팀"/>
    <x v="4"/>
    <s v="기업교육1팀"/>
    <s v="장지웅"/>
    <s v="이건창호"/>
    <n v="13041"/>
    <s v="01 1~1000대"/>
    <s v="01 수성"/>
    <s v="03 휴넷 LMS"/>
    <s v="1. 온라인 - 단과"/>
    <x v="1"/>
    <s v="02. 이러닝 - 단과"/>
    <n v="3600000"/>
    <n v="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이건홀딩스"/>
    <n v="25789"/>
    <s v="01 1~1000대"/>
    <s v="04 연장"/>
    <s v="03 휴넷 LMS"/>
    <s v="2. 온라인 - 법정"/>
    <x v="11"/>
    <s v="03. 이러닝 - 법정"/>
    <n v="2600000"/>
    <n v="260000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전남대학교병원"/>
    <n v="3835"/>
    <s v="05 공공"/>
    <s v="01 수성"/>
    <s v="03 휴넷 LMS"/>
    <m/>
    <x v="0"/>
    <s v="01. 이러닝 - 통합위탁"/>
    <m/>
    <m/>
    <n v="60000000"/>
    <x v="0"/>
    <s v="02 가망"/>
    <n v="60000000"/>
    <m/>
    <m/>
    <m/>
    <m/>
    <m/>
    <m/>
    <m/>
    <m/>
    <n v="30000000"/>
    <m/>
    <m/>
    <m/>
    <n v="30000000"/>
  </r>
  <r>
    <s v="기업교육1팀"/>
    <x v="4"/>
    <s v="기업교육1팀"/>
    <s v="장지웅"/>
    <s v="전남대학교병원"/>
    <n v="3835"/>
    <s v="05 공공"/>
    <s v="01 수성"/>
    <s v="03 휴넷 LMS"/>
    <s v="6. 하이브리드러닝 - 집합형"/>
    <x v="9"/>
    <s v="08. 하이브리드러닝 - 하이브리드형 러닝"/>
    <n v="17636364"/>
    <n v="0"/>
    <n v="0"/>
    <x v="0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전남대학교병원(24년 미정산)"/>
    <n v="3835"/>
    <s v="05 공공"/>
    <s v="01 수성"/>
    <s v="03 휴넷 LMS"/>
    <s v="통합위탁"/>
    <x v="0"/>
    <s v="01. 이러닝 - 통합위탁"/>
    <n v="123636364"/>
    <n v="0"/>
    <n v="81363637"/>
    <x v="0"/>
    <s v="09 2025년 매출"/>
    <n v="0"/>
    <m/>
    <m/>
    <m/>
    <m/>
    <m/>
    <m/>
    <m/>
    <m/>
    <m/>
    <m/>
    <m/>
    <m/>
    <m/>
  </r>
  <r>
    <s v="기업교육1팀"/>
    <x v="4"/>
    <s v="기업교육1팀"/>
    <s v="장지웅"/>
    <s v="전남신용보증재단"/>
    <n v="12169"/>
    <s v="05 공공"/>
    <s v="03 신규"/>
    <s v="03 휴넷 LMS"/>
    <m/>
    <x v="1"/>
    <s v="02. 이러닝 - 단과"/>
    <m/>
    <n v="0"/>
    <n v="15341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4"/>
    <s v="기업교육1팀"/>
    <s v="장지웅"/>
    <s v="전북신용보증재단"/>
    <n v="10239"/>
    <s v="05 공공"/>
    <s v="03 신규"/>
    <s v="03 휴넷 LMS"/>
    <m/>
    <x v="1"/>
    <s v="02. 이러닝 - 단과"/>
    <m/>
    <m/>
    <n v="6124400"/>
    <x v="0"/>
    <s v="02 가망"/>
    <n v="6000000"/>
    <m/>
    <m/>
    <m/>
    <m/>
    <m/>
    <m/>
    <n v="3000000"/>
    <m/>
    <m/>
    <n v="3000000"/>
    <m/>
    <m/>
    <m/>
  </r>
  <r>
    <s v="기업교육1팀"/>
    <x v="4"/>
    <s v="기업교육1팀"/>
    <s v="장지웅"/>
    <s v="제주신용보증재단"/>
    <n v="16603"/>
    <s v="05 공공"/>
    <s v="04 연장"/>
    <s v="03 휴넷 LMS"/>
    <s v="1. 온라인 - 단과"/>
    <x v="1"/>
    <s v="02. 이러닝 - 단과"/>
    <s v=""/>
    <n v="35836440"/>
    <n v="30000000"/>
    <x v="0"/>
    <s v="02 가망"/>
    <n v="30000000"/>
    <m/>
    <m/>
    <m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주식회사 피유엠피"/>
    <n v="62261"/>
    <s v="01 1~1000대"/>
    <s v="03 신규"/>
    <s v="03 휴넷 LMS"/>
    <s v="2. 온라인 - 법정"/>
    <x v="11"/>
    <s v="03. 이러닝 - 법정"/>
    <m/>
    <n v="2675000"/>
    <n v="0"/>
    <x v="6"/>
    <s v="02 가망"/>
    <n v="10000000"/>
    <m/>
    <m/>
    <m/>
    <m/>
    <m/>
    <m/>
    <n v="5000000"/>
    <m/>
    <m/>
    <m/>
    <m/>
    <n v="5000000"/>
    <m/>
  </r>
  <r>
    <s v="기업교육1팀"/>
    <x v="4"/>
    <s v="기업교육1팀"/>
    <s v="장지웅"/>
    <s v="쥴릭파마코리아"/>
    <n v="4325"/>
    <s v="01 1~1000대"/>
    <s v="01 수성"/>
    <s v="03 휴넷 LMS"/>
    <s v="1. 온라인 - 단과"/>
    <x v="1"/>
    <s v="02. 이러닝 - 단과"/>
    <m/>
    <m/>
    <n v="0"/>
    <x v="5"/>
    <s v="02 가망"/>
    <n v="15000000"/>
    <m/>
    <m/>
    <m/>
    <m/>
    <m/>
    <m/>
    <n v="7500000"/>
    <m/>
    <m/>
    <m/>
    <m/>
    <n v="7500000"/>
    <m/>
  </r>
  <r>
    <s v="기업교육1팀"/>
    <x v="4"/>
    <s v="기업교육1팀"/>
    <s v="장지웅"/>
    <s v="쥴릭파마코리아"/>
    <n v="4325"/>
    <s v="01 1~1000대"/>
    <s v="01 수성"/>
    <s v="03 휴넷 LMS"/>
    <s v="2. 온라인 - 법정"/>
    <x v="11"/>
    <s v="03. 이러닝 - 법정"/>
    <n v="10070000"/>
    <n v="23318000"/>
    <n v="10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카라이프서비스"/>
    <n v="19468"/>
    <s v="01 1~1000대"/>
    <s v="01 수성"/>
    <s v="03 휴넷 LMS"/>
    <s v="통합위탁"/>
    <x v="0"/>
    <s v="01. 이러닝 - 통합위탁"/>
    <s v=""/>
    <n v="300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. 온라인 - 법정"/>
    <x v="11"/>
    <s v="03. 이러닝 - 법정"/>
    <n v="3000000"/>
    <n v="0"/>
    <n v="5000000"/>
    <x v="0"/>
    <s v="01 확정"/>
    <n v="5000000"/>
    <m/>
    <m/>
    <m/>
    <m/>
    <m/>
    <m/>
    <m/>
    <m/>
    <m/>
    <m/>
    <n v="5000000"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4"/>
    <s v="04. 이러닝 - 마이크로러닝"/>
    <n v="218692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4. 하이브리드러닝 - 플립형"/>
    <x v="9"/>
    <s v="08. 하이브리드러닝 - 하이브리드형 러닝"/>
    <s v=""/>
    <n v="0"/>
    <n v="2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9"/>
    <s v="13. 구독 - Wisdom spring"/>
    <m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카라이프서비스"/>
    <n v="19468"/>
    <s v="01 1~1000대"/>
    <s v="01 수성"/>
    <s v="03 휴넷 LMS"/>
    <s v="25. 운영 - 대관"/>
    <x v="6"/>
    <s v="19. 운영 - 운영매출"/>
    <n v="280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6. 정부지원사업 - HRDFLEX"/>
    <x v="10"/>
    <s v="28.구독 - 휴넷FLEX"/>
    <s v=""/>
    <n v="4340000"/>
    <n v="30000000"/>
    <x v="1"/>
    <s v="03 기회"/>
    <n v="30000000"/>
    <m/>
    <m/>
    <m/>
    <m/>
    <m/>
    <m/>
    <m/>
    <m/>
    <m/>
    <m/>
    <m/>
    <m/>
    <n v="30000000"/>
  </r>
  <r>
    <s v="기업교육1팀"/>
    <x v="4"/>
    <s v="기업교육1팀"/>
    <s v="장지웅"/>
    <s v="태광그룹"/>
    <n v="11417"/>
    <s v="01 1~1000대"/>
    <s v="04 연장"/>
    <s v="03 휴넷 LMS"/>
    <s v="통합위탁"/>
    <x v="0"/>
    <s v="01. 이러닝 - 통합위탁"/>
    <n v="66054940"/>
    <n v="37669700"/>
    <n v="257245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4"/>
    <s v="기업교육1팀"/>
    <s v="장지웅"/>
    <s v="티시스아이티"/>
    <n v="11417"/>
    <s v="01 1~1000대"/>
    <m/>
    <s v="03 휴넷 LMS"/>
    <s v="4. 하이브리드러닝 - 플립형"/>
    <x v="9"/>
    <s v="08. 하이브리드러닝 - 하이브리드형 러닝"/>
    <m/>
    <n v="14165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10. 구독 - 휴넷CEO멤버십"/>
    <m/>
    <m/>
    <m/>
    <x v="5"/>
    <s v="03 기회"/>
    <n v="50000000"/>
    <m/>
    <m/>
    <m/>
    <m/>
    <m/>
    <n v="50000000"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티시스아이티"/>
    <n v="21595"/>
    <s v="01 1~1000대"/>
    <s v="03 신규"/>
    <s v="03 휴넷 LMS"/>
    <s v="2. 온라인 - 법정"/>
    <x v="12"/>
    <s v="09. 하이브리드러닝 - 순수 오프라인"/>
    <s v=""/>
    <n v="29022000"/>
    <n v="10000000"/>
    <x v="0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티시스아이티"/>
    <n v="21595"/>
    <s v="01 1~1000대"/>
    <s v="03 신규"/>
    <s v="03 휴넷 LMS"/>
    <m/>
    <x v="12"/>
    <s v="09. 하이브리드러닝 - 순수 오프라인"/>
    <m/>
    <n v="0"/>
    <n v="22070000"/>
    <x v="0"/>
    <s v="03 기회"/>
    <n v="20000000"/>
    <m/>
    <m/>
    <m/>
    <m/>
    <m/>
    <m/>
    <m/>
    <m/>
    <m/>
    <m/>
    <n v="20000000"/>
    <m/>
    <m/>
  </r>
  <r>
    <s v="기업교육1팀"/>
    <x v="4"/>
    <s v="기업교육1팀"/>
    <s v="장지웅"/>
    <s v="티시스아이티"/>
    <n v="21595"/>
    <s v="01 1~1000대"/>
    <s v="01 수성"/>
    <s v="03 휴넷 LMS"/>
    <s v="2. 온라인 - 법정"/>
    <x v="2"/>
    <s v="14. 컨텐츠 - 컨텐츠 개발"/>
    <s v=""/>
    <n v="0"/>
    <n v="5000000"/>
    <x v="1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팜스코"/>
    <n v="4081"/>
    <s v="01 1~1000대"/>
    <s v="03 신규"/>
    <s v="02 경쟁사 LMS"/>
    <s v="6. 하이브리드러닝 - 집합형"/>
    <x v="9"/>
    <s v="08. 하이브리드러닝 - 하이브리드형 러닝"/>
    <n v="15520000"/>
    <n v="0"/>
    <n v="0"/>
    <x v="4"/>
    <s v="03 기회"/>
    <n v="15000000"/>
    <m/>
    <m/>
    <m/>
    <n v="5000000"/>
    <m/>
    <m/>
    <n v="5000000"/>
    <m/>
    <m/>
    <n v="5000000"/>
    <m/>
    <m/>
    <m/>
  </r>
  <r>
    <s v="기업교육1팀"/>
    <x v="4"/>
    <s v="기업교육1팀"/>
    <s v="장지웅"/>
    <s v="평택에너지_FLEX"/>
    <n v="57742"/>
    <s v="01 1~1000대"/>
    <s v="01 수성"/>
    <s v="03 휴넷 LMS"/>
    <s v="1. 온라인 - 단과"/>
    <x v="1"/>
    <s v="02. 이러닝 - 단과"/>
    <n v="5368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_FLEX23"/>
    <n v="57742"/>
    <s v="01 1~1000대"/>
    <s v="01 수성"/>
    <s v="02 경쟁사 LMS"/>
    <s v="26. 정부지원사업 - HRDFLEX"/>
    <x v="16"/>
    <s v="26. 이러닝 - 정부지원사업"/>
    <m/>
    <n v="294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서비스"/>
    <n v="45375"/>
    <s v="01 1~1000대"/>
    <s v="01 수성"/>
    <s v="02 경쟁사 LMS"/>
    <s v="2. 온라인 - 법정"/>
    <x v="11"/>
    <s v="03. 이러닝 - 법정"/>
    <m/>
    <n v="780000"/>
    <n v="0"/>
    <x v="6"/>
    <s v="08 2024년 매출"/>
    <n v="0"/>
    <m/>
    <m/>
    <m/>
    <m/>
    <m/>
    <m/>
    <m/>
    <m/>
    <m/>
    <m/>
    <m/>
    <m/>
    <m/>
  </r>
  <r>
    <s v="기업교육1팀"/>
    <x v="4"/>
    <m/>
    <m/>
    <s v="포스에스엠"/>
    <n v="42951"/>
    <s v="01 1~1000대"/>
    <s v="01 수성"/>
    <s v="02 경쟁사 LMS"/>
    <s v="6. 하이브리드러닝 - 집합형"/>
    <x v="9"/>
    <s v="08. 하이브리드러닝 - 하이브리드형 러닝"/>
    <m/>
    <m/>
    <n v="1650000"/>
    <x v="0"/>
    <m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통합위탁"/>
    <x v="0"/>
    <s v="01. 이러닝 - 통합위탁"/>
    <n v="675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s v="126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3. 온라인 - 마이크로러닝"/>
    <x v="14"/>
    <s v="04. 이러닝 - 마이크로러닝"/>
    <n v="825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2 윈백"/>
    <s v="02 경쟁사 LMS"/>
    <s v="1. 온라인 - 단과"/>
    <x v="1"/>
    <s v="02. 이러닝 - 단과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팜스코"/>
    <n v="4081"/>
    <s v="01 1~1000대"/>
    <s v="03 신규"/>
    <s v="03 휴넷 LMS"/>
    <m/>
    <x v="13"/>
    <s v="11. 구독 - 휴넷 리더십저니"/>
    <m/>
    <m/>
    <m/>
    <x v="5"/>
    <s v="03 기회"/>
    <n v="15000000"/>
    <m/>
    <m/>
    <n v="15000000"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1"/>
    <s v="03. 이러닝 - 법정"/>
    <m/>
    <n v="0"/>
    <n v="1000000"/>
    <x v="0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s v="6. 하이브리드러닝 - 집합형"/>
    <x v="9"/>
    <s v="08. 하이브리드러닝 - 하이브리드형 러닝"/>
    <m/>
    <n v="0"/>
    <n v="20000000"/>
    <x v="2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6. 솔루션 - 러닝메이커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하이엠솔루텍"/>
    <n v="13756"/>
    <s v="03 2001~3000대"/>
    <s v="03 신규"/>
    <s v="03 휴넷 LMS"/>
    <m/>
    <x v="13"/>
    <s v="11. 구독 - 휴넷 리더십저니"/>
    <m/>
    <m/>
    <m/>
    <x v="5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하이엠솔루텍"/>
    <n v="13756"/>
    <s v="03 2001~3000대"/>
    <s v="04 연장"/>
    <s v="03 휴넷 LMS"/>
    <s v="통합위탁"/>
    <x v="0"/>
    <s v="01. 이러닝 - 통합위탁"/>
    <n v="40245500"/>
    <n v="38256100"/>
    <n v="347188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하이케어솔루션"/>
    <n v="49808"/>
    <s v="02 1001~2000대"/>
    <s v="01 수성"/>
    <s v="03 휴넷 LMS"/>
    <s v="통합위탁"/>
    <x v="0"/>
    <s v="01. 이러닝 - 통합위탁"/>
    <n v="8260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국교육방송공사(EBS)"/>
    <n v="4341"/>
    <s v="05 공공"/>
    <s v="04 연장"/>
    <s v="02 경쟁사 LMS"/>
    <s v="1. 온라인 - 단과"/>
    <x v="1"/>
    <s v="03. 이러닝 - 법정"/>
    <n v="32960000"/>
    <n v="29600000"/>
    <n v="28000000"/>
    <x v="0"/>
    <s v="02 가망"/>
    <n v="28000000"/>
    <m/>
    <m/>
    <m/>
    <n v="7000000"/>
    <m/>
    <m/>
    <n v="7000000"/>
    <m/>
    <m/>
    <n v="7000000"/>
    <m/>
    <m/>
    <n v="7000000"/>
  </r>
  <r>
    <s v="기업교육1팀"/>
    <x v="4"/>
    <s v="기업교육1팀"/>
    <s v="장지웅"/>
    <s v="한국보훈복지의료공단"/>
    <n v="3829"/>
    <s v="05 공공"/>
    <s v="01 수성"/>
    <s v="01 자체 LMS"/>
    <s v="통합위탁"/>
    <x v="0"/>
    <s v="01. 이러닝 - 통합위탁"/>
    <n v="292000000"/>
    <n v="185000000"/>
    <n v="175000000"/>
    <x v="0"/>
    <s v="02 가망"/>
    <n v="190000000"/>
    <m/>
    <m/>
    <m/>
    <m/>
    <m/>
    <m/>
    <n v="10000000"/>
    <n v="30000000"/>
    <n v="30000000"/>
    <n v="30000000"/>
    <n v="30000000"/>
    <n v="30000000"/>
    <n v="30000000"/>
  </r>
  <r>
    <s v="기업교육1팀"/>
    <x v="4"/>
    <s v="기업교육1팀"/>
    <s v="장지웅"/>
    <s v="한국부동산원"/>
    <n v="50222"/>
    <s v="05 공공"/>
    <s v="01 수성"/>
    <s v="03 휴넷 LMS"/>
    <s v="1. 온라인 - 단과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1. 온라인 - 단과"/>
    <x v="1"/>
    <s v="02. 이러닝 - 단과"/>
    <n v="12479000"/>
    <n v="0"/>
    <n v="12000000"/>
    <x v="1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6. 하이브리드러닝 - 집합형"/>
    <x v="9"/>
    <s v="08. 하이브리드러닝 - 하이브리드형 러닝"/>
    <m/>
    <m/>
    <n v="50000000"/>
    <x v="2"/>
    <s v="03 기회"/>
    <n v="50000000"/>
    <m/>
    <m/>
    <m/>
    <m/>
    <m/>
    <m/>
    <m/>
    <m/>
    <n v="50000000"/>
    <m/>
    <m/>
    <m/>
    <m/>
  </r>
  <r>
    <s v="기업교육1팀"/>
    <x v="4"/>
    <s v="기업교육1팀"/>
    <s v="장지웅"/>
    <s v="한국케이블텔레콤"/>
    <n v="12673"/>
    <s v="04 3000대 이후"/>
    <s v="04 연장"/>
    <s v="03 휴넷 LMS"/>
    <s v="6. 하이브리드러닝 - 집합형"/>
    <x v="1"/>
    <s v="02. 이러닝 - 단과"/>
    <n v="400000"/>
    <n v="6893460"/>
    <n v="850000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한국항공우주산업주식회사"/>
    <n v="1429"/>
    <s v="01 1~1000대"/>
    <s v="01 수성"/>
    <s v="01 자체 LMS"/>
    <s v="6. 하이브리드러닝 - 집합형"/>
    <x v="1"/>
    <s v="02. 이러닝 - 단과"/>
    <m/>
    <m/>
    <n v="50100000"/>
    <x v="0"/>
    <s v="02 가망"/>
    <n v="50000000"/>
    <m/>
    <m/>
    <m/>
    <m/>
    <m/>
    <n v="15000000"/>
    <n v="35000000"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n v="20000000"/>
    <m/>
    <m/>
    <m/>
    <m/>
    <m/>
  </r>
  <r>
    <s v="기업교육1팀"/>
    <x v="4"/>
    <s v="기업교육1팀"/>
    <s v="장지웅"/>
    <s v="한국항공우주산업주식회사"/>
    <n v="1429"/>
    <s v="01 1~1000대"/>
    <s v="03 신규"/>
    <s v="01 자체 LMS"/>
    <s v="6. 하이브리드러닝 - 집합형"/>
    <x v="9"/>
    <s v="08. 하이브리드러닝 - 하이브리드형 러닝"/>
    <m/>
    <n v="18527273"/>
    <n v="20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한화손해보험"/>
    <s v="8229"/>
    <s v="01 1~1000대"/>
    <s v="01 수성"/>
    <s v="03 휴넷 LMS"/>
    <m/>
    <x v="1"/>
    <s v="02. 이러닝 - 단과"/>
    <m/>
    <m/>
    <n v="1488000"/>
    <x v="0"/>
    <s v="02 가망"/>
    <n v="1500000"/>
    <m/>
    <m/>
    <n v="1500000"/>
    <m/>
    <m/>
    <m/>
    <m/>
    <m/>
    <m/>
    <m/>
    <m/>
    <m/>
    <m/>
  </r>
  <r>
    <s v="기업교육1팀"/>
    <x v="4"/>
    <s v="기업교육1팀"/>
    <s v="장지웅"/>
    <s v="한화손해보험"/>
    <n v="8229"/>
    <s v="01 1~1000대"/>
    <s v="01 수성"/>
    <s v="03 휴넷 LMS"/>
    <s v="2. 온라인 - 법정"/>
    <x v="11"/>
    <s v="03. 이러닝 - 법정"/>
    <n v="42054000"/>
    <n v="51772000"/>
    <n v="45000000"/>
    <x v="1"/>
    <s v="02 가망"/>
    <n v="50000000"/>
    <m/>
    <m/>
    <m/>
    <m/>
    <m/>
    <m/>
    <n v="15000000"/>
    <m/>
    <m/>
    <m/>
    <m/>
    <n v="35000000"/>
    <m/>
  </r>
  <r>
    <s v="기업교육1팀"/>
    <x v="4"/>
    <s v="기업교육1팀"/>
    <s v="장지웅"/>
    <s v="한화손해보험"/>
    <n v="8229"/>
    <s v="01 1~1000대"/>
    <s v="03 신규"/>
    <s v="03 휴넷 LMS"/>
    <m/>
    <x v="13"/>
    <s v="11. 구독 - 휴넷 리더십저니"/>
    <m/>
    <m/>
    <m/>
    <x v="5"/>
    <s v="03 기회"/>
    <n v="15000000"/>
    <m/>
    <m/>
    <m/>
    <m/>
    <n v="3000000"/>
    <n v="3000000"/>
    <m/>
    <n v="3000000"/>
    <m/>
    <n v="3000000"/>
    <n v="3000000"/>
    <m/>
    <m/>
  </r>
  <r>
    <s v="기업교육1팀"/>
    <x v="4"/>
    <s v="기업교육1팀"/>
    <s v="장지웅"/>
    <s v="한화솔루션 인사이트"/>
    <n v="28670"/>
    <s v="03 2001~3000대"/>
    <s v="03 신규"/>
    <s v="03 휴넷 LMS"/>
    <s v="2. 온라인 - 법정"/>
    <x v="11"/>
    <s v="03. 이러닝 - 법정"/>
    <n v="2970000"/>
    <n v="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에너지"/>
    <n v="16169"/>
    <s v="01 1~1000대"/>
    <s v="01 수성"/>
    <s v="03 휴넷 LMS"/>
    <s v="2. 온라인 - 법정"/>
    <x v="11"/>
    <s v="03. 이러닝 - 법정"/>
    <n v="3244000"/>
    <n v="1792000"/>
    <n v="3000000"/>
    <x v="1"/>
    <s v="02 가망"/>
    <n v="6000000"/>
    <m/>
    <m/>
    <m/>
    <n v="3000000"/>
    <m/>
    <m/>
    <m/>
    <m/>
    <m/>
    <n v="3000000"/>
    <m/>
    <m/>
    <m/>
  </r>
  <r>
    <s v="기업교육1팀"/>
    <x v="4"/>
    <s v="기업교육1팀"/>
    <s v="장지웅"/>
    <s v="한화에너지"/>
    <n v="16169"/>
    <s v="01 1~1000대"/>
    <s v="01 수성"/>
    <s v="03 휴넷 LMS"/>
    <s v="6. 하이브리드러닝 - 집합형"/>
    <x v="9"/>
    <s v="08. 하이브리드러닝 - 하이브리드형 러닝"/>
    <n v="1000000"/>
    <n v="0"/>
    <n v="1000000"/>
    <x v="2"/>
    <s v="03 기회"/>
    <n v="3000000"/>
    <m/>
    <m/>
    <m/>
    <n v="3000000"/>
    <m/>
    <m/>
    <m/>
    <m/>
    <m/>
    <m/>
    <m/>
    <m/>
    <m/>
  </r>
  <r>
    <s v="기업교육1팀"/>
    <x v="4"/>
    <s v="기업교육1팀"/>
    <s v="장지웅"/>
    <s v="한화에스테이트서비스"/>
    <n v="43110"/>
    <s v="01 1~1000대"/>
    <s v="01 수성"/>
    <s v="03 휴넷 LMS"/>
    <s v="2. 온라인 - 법정"/>
    <x v="11"/>
    <s v="03. 이러닝 - 법정"/>
    <m/>
    <n v="896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임팩트"/>
    <n v="3816"/>
    <s v="02 1001~2000대"/>
    <s v="01 수성"/>
    <s v="03 휴넷 LMS"/>
    <s v="2. 온라인 - 법정"/>
    <x v="11"/>
    <s v="03. 이러닝 - 법정"/>
    <n v="3132000"/>
    <n v="505600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임팩트 (23년 미정산)"/>
    <n v="3816"/>
    <s v="01 1~1000대"/>
    <s v="01 수성"/>
    <s v="03 휴넷 LMS"/>
    <s v="2. 온라인 - 법정"/>
    <x v="11"/>
    <s v="03. 이러닝 - 법정"/>
    <s v="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화투자증권"/>
    <n v="16703"/>
    <s v="01 1~1000대"/>
    <s v="01 수성"/>
    <s v="03 휴넷 LMS"/>
    <s v="2. 온라인 - 법정"/>
    <x v="11"/>
    <s v="03. 이러닝 - 법정"/>
    <n v="14967000"/>
    <n v="1359800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한화호텔앤드리조트"/>
    <n v="14630"/>
    <s v="01 1~1000대"/>
    <s v="01 수성"/>
    <s v="03 휴넷 LMS"/>
    <s v="통합위탁"/>
    <x v="0"/>
    <s v="01. 이러닝 - 통합위탁"/>
    <m/>
    <n v="16182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호텔앤드리조트"/>
    <n v="14630"/>
    <s v="01 1~1000대"/>
    <s v="03 신규"/>
    <s v="03 휴넷 LMS"/>
    <m/>
    <x v="13"/>
    <s v="12. 구독 - 커리업 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4"/>
    <s v="기업교육1팀"/>
    <s v="장지웅"/>
    <s v="한화호텔앤드리조트"/>
    <n v="14630"/>
    <s v="02 1001~2000대"/>
    <s v="01 수성"/>
    <s v="03 휴넷 LMS"/>
    <s v="2. 온라인 - 법정"/>
    <x v="11"/>
    <s v="03. 이러닝 - 법정"/>
    <n v="15497500"/>
    <n v="0"/>
    <n v="15000000"/>
    <x v="1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홈앤쇼핑"/>
    <n v="13066"/>
    <s v="02 1001~2000대"/>
    <s v="03 신규"/>
    <s v="02 경쟁사 LMS"/>
    <m/>
    <x v="0"/>
    <s v="01. 이러닝 - 통합위탁"/>
    <m/>
    <n v="0"/>
    <n v="60000000"/>
    <x v="2"/>
    <s v="03 기회"/>
    <n v="50000000"/>
    <m/>
    <m/>
    <m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홈앤쇼핑"/>
    <n v="13066"/>
    <s v="02 1001~2000대"/>
    <s v="03 신규"/>
    <s v="02 경쟁사 LMS"/>
    <s v="2. 온라인 - 법정"/>
    <x v="11"/>
    <s v="03. 이러닝 - 법정"/>
    <n v="524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홈앤쇼핑"/>
    <n v="13066"/>
    <s v="02 1001~2000대"/>
    <s v="03 신규"/>
    <s v="02 경쟁사 LMS"/>
    <m/>
    <x v="9"/>
    <s v="08. 하이브리드러닝 - 하이브리드형 러닝"/>
    <m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휴비스"/>
    <n v="3775"/>
    <s v="01 1~1000대"/>
    <s v="04 연장"/>
    <s v="03 휴넷 LMS"/>
    <s v="통합위탁"/>
    <x v="0"/>
    <s v="01. 이러닝 - 통합위탁"/>
    <n v="6876410"/>
    <n v="8679500"/>
    <n v="13151000"/>
    <x v="0"/>
    <s v="01 확정"/>
    <n v="18000000"/>
    <m/>
    <n v="1500000"/>
    <n v="1500000"/>
    <n v="1500000"/>
    <n v="1500000"/>
    <n v="1500000"/>
    <n v="1500000"/>
    <n v="1500000"/>
    <n v="1500000"/>
    <n v="1500000"/>
    <n v="1500000"/>
    <n v="1500000"/>
    <n v="1500000"/>
  </r>
  <r>
    <s v="기업교육1팀"/>
    <x v="4"/>
    <s v="기업교육1팀"/>
    <s v="장지웅"/>
    <s v="휴비스"/>
    <n v="3775"/>
    <s v="01 1~1000대"/>
    <s v="04 연장"/>
    <s v="03 휴넷 LMS"/>
    <s v="2. 온라인 - 법정"/>
    <x v="11"/>
    <s v="03. 이러닝 - 법정"/>
    <n v="9738000"/>
    <n v="2250000"/>
    <n v="5624000"/>
    <x v="0"/>
    <s v="01 확정"/>
    <n v="5000000"/>
    <m/>
    <m/>
    <m/>
    <m/>
    <m/>
    <m/>
    <m/>
    <n v="5000000"/>
    <m/>
    <m/>
    <m/>
    <m/>
    <m/>
  </r>
  <r>
    <s v="기업교육1팀"/>
    <x v="4"/>
    <s v="기업교육1팀"/>
    <s v="장지웅"/>
    <s v="흥국생명보험"/>
    <n v="73"/>
    <s v="01 1~1000대"/>
    <s v="04 연장"/>
    <s v="03 휴넷 LMS"/>
    <s v="1. 온라인 - 단과"/>
    <x v="1"/>
    <s v="02. 이러닝 - 단과"/>
    <n v="7343000"/>
    <n v="6389000"/>
    <n v="7000000"/>
    <x v="0"/>
    <s v="02 가망"/>
    <n v="7000000"/>
    <m/>
    <m/>
    <m/>
    <m/>
    <m/>
    <m/>
    <m/>
    <m/>
    <m/>
    <n v="7000000"/>
    <m/>
    <m/>
    <m/>
  </r>
  <r>
    <s v="기업교육1팀"/>
    <x v="4"/>
    <s v="기업교육1팀"/>
    <s v="장지웅"/>
    <s v="흥국생명보험"/>
    <n v="73"/>
    <s v="01 1~1000대"/>
    <s v="04 연장"/>
    <s v="03 휴넷 LMS"/>
    <s v="2. 온라인 - 법정"/>
    <x v="11"/>
    <s v="03. 이러닝 - 법정"/>
    <s v=""/>
    <n v="1586000"/>
    <n v="2000000"/>
    <x v="0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흥국자산운용"/>
    <n v="21615"/>
    <s v="04 3000대 이후"/>
    <s v="04 연장"/>
    <s v="03 휴넷 LMS"/>
    <s v="2. 온라인 - 법정"/>
    <x v="11"/>
    <s v="03. 이러닝 - 법정"/>
    <s v=""/>
    <n v="3080000"/>
    <n v="1000000"/>
    <x v="0"/>
    <s v="02 가망"/>
    <n v="1000000"/>
    <m/>
    <m/>
    <m/>
    <m/>
    <m/>
    <m/>
    <m/>
    <m/>
    <n v="1000000"/>
    <m/>
    <m/>
    <m/>
    <m/>
  </r>
  <r>
    <s v="기업교육1팀"/>
    <x v="4"/>
    <s v="기업교육1팀"/>
    <s v="장지웅"/>
    <s v="흥국화재해상보험"/>
    <n v="12692"/>
    <s v="01 1~1000대"/>
    <s v="04 연장"/>
    <s v="03 휴넷 LMS"/>
    <s v="1. 온라인 - 단과"/>
    <x v="1"/>
    <s v="02. 이러닝 - 단과"/>
    <s v=""/>
    <n v="10899000"/>
    <n v="9000000"/>
    <x v="0"/>
    <s v="02 가망"/>
    <n v="9000000"/>
    <m/>
    <m/>
    <m/>
    <m/>
    <m/>
    <m/>
    <m/>
    <m/>
    <m/>
    <m/>
    <n v="9000000"/>
    <m/>
    <m/>
  </r>
  <r>
    <s v="기업교육1팀"/>
    <x v="4"/>
    <s v="기업교육1팀"/>
    <s v="장지웅"/>
    <s v="흥국화재해상보험"/>
    <n v="12692"/>
    <s v="01 1~1000대"/>
    <s v="04 연장"/>
    <s v="03 휴넷 LMS"/>
    <s v="2. 온라인 - 법정"/>
    <x v="11"/>
    <s v="03. 이러닝 - 법정"/>
    <s v=""/>
    <n v="8442000"/>
    <n v="9000000"/>
    <x v="0"/>
    <s v="02 가망"/>
    <n v="9000000"/>
    <m/>
    <m/>
    <m/>
    <m/>
    <m/>
    <m/>
    <m/>
    <n v="3000000"/>
    <n v="3000000"/>
    <n v="3000000"/>
    <m/>
    <m/>
    <m/>
  </r>
  <r>
    <s v="기업교육1팀"/>
    <x v="5"/>
    <s v="기업교육1팀"/>
    <s v="이태원"/>
    <s v="국방전직교육원"/>
    <n v="18850"/>
    <s v="05 공공"/>
    <s v="03 신규"/>
    <m/>
    <m/>
    <x v="13"/>
    <s v="01. 이러닝 - 통합위탁"/>
    <m/>
    <m/>
    <m/>
    <x v="5"/>
    <s v="03 기회"/>
    <n v="400000000"/>
    <m/>
    <m/>
    <n v="400000000"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3 신규"/>
    <s v="01 자체 LMS"/>
    <m/>
    <x v="2"/>
    <s v="14. 컨텐츠 - 컨텐츠 개발"/>
    <m/>
    <m/>
    <n v="120000000"/>
    <x v="0"/>
    <s v="03 기회"/>
    <n v="120000000"/>
    <m/>
    <m/>
    <m/>
    <m/>
    <m/>
    <m/>
    <m/>
    <m/>
    <m/>
    <n v="60000000"/>
    <m/>
    <n v="60000000"/>
    <m/>
  </r>
  <r>
    <s v="기업교육1팀"/>
    <x v="5"/>
    <s v="기업교육1팀"/>
    <s v="이태원"/>
    <s v="육군본부 공보정훈실"/>
    <n v="46333"/>
    <s v="05 공공"/>
    <s v="01 수성"/>
    <m/>
    <s v="14. 솔루션 - 맞춤형 LABS"/>
    <x v="8"/>
    <s v="17. 솔루션 - 기타"/>
    <n v="105909090.90909091"/>
    <n v="97500000"/>
    <n v="0"/>
    <x v="3"/>
    <s v="03 기회"/>
    <n v="100000000"/>
    <m/>
    <m/>
    <m/>
    <n v="100000000"/>
    <m/>
    <m/>
    <m/>
    <m/>
    <m/>
    <m/>
    <m/>
    <m/>
    <n v="0"/>
  </r>
  <r>
    <s v="기업교육1팀"/>
    <x v="5"/>
    <s v="기업교육1팀"/>
    <s v="이태원"/>
    <s v="카카오"/>
    <n v="16640"/>
    <m/>
    <s v="03 신규"/>
    <m/>
    <m/>
    <x v="13"/>
    <s v="08. 하이브리드러닝 - 하이브리드형 러닝"/>
    <m/>
    <m/>
    <m/>
    <x v="5"/>
    <s v="03 기회"/>
    <n v="30000000"/>
    <m/>
    <m/>
    <m/>
    <m/>
    <m/>
    <m/>
    <n v="30000000"/>
    <m/>
    <m/>
    <m/>
    <m/>
    <m/>
    <m/>
  </r>
  <r>
    <s v="기업교육1팀"/>
    <x v="5"/>
    <s v="기업교육1팀"/>
    <s v="이태원"/>
    <s v="KT alpha"/>
    <n v="4372"/>
    <s v="02 1001~2000대"/>
    <s v="01 수성"/>
    <s v="01 자체 LMS"/>
    <s v="2. 온라인 - 법정"/>
    <x v="11"/>
    <s v="03. 이러닝 - 법정"/>
    <n v="23914000"/>
    <n v="33039000"/>
    <n v="29980000"/>
    <x v="0"/>
    <s v="01 확정"/>
    <n v="30000000"/>
    <m/>
    <m/>
    <m/>
    <m/>
    <m/>
    <n v="6000000"/>
    <n v="4000000"/>
    <n v="12000000"/>
    <m/>
    <n v="2000000"/>
    <m/>
    <m/>
    <n v="6000000"/>
  </r>
  <r>
    <s v="기업교육1팀"/>
    <x v="5"/>
    <s v="기업교육1팀"/>
    <s v="이태원"/>
    <s v="플랜텍"/>
    <n v="12961"/>
    <s v="01 1~1000대"/>
    <s v="01 수성"/>
    <m/>
    <m/>
    <x v="10"/>
    <s v="28.구독 - 휴넷FLEX"/>
    <m/>
    <n v="0"/>
    <n v="18000000"/>
    <x v="2"/>
    <s v="03 기회"/>
    <n v="25000000"/>
    <m/>
    <m/>
    <m/>
    <n v="25000000"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12"/>
    <s v="09. 하이브리드러닝 - 순수 오프라인"/>
    <m/>
    <n v="0"/>
    <n v="515000000"/>
    <x v="0"/>
    <s v="02 가망"/>
    <n v="700000000"/>
    <m/>
    <m/>
    <m/>
    <n v="490000000"/>
    <m/>
    <m/>
    <m/>
    <m/>
    <m/>
    <m/>
    <m/>
    <m/>
    <n v="210000000"/>
  </r>
  <r>
    <s v="기업교육1팀"/>
    <x v="5"/>
    <s v="기업교육1팀"/>
    <s v="이태원"/>
    <s v="KT M&amp;S"/>
    <n v="7412"/>
    <s v="01 1~1000대"/>
    <s v="01 수성"/>
    <m/>
    <s v="6. 하이브리드러닝 - 집합형"/>
    <x v="9"/>
    <s v="08. 하이브리드러닝 - 하이브리드형 러닝"/>
    <n v="3335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kt telecop"/>
    <n v="29164"/>
    <s v="02 1001~2000대"/>
    <s v="02 윈백"/>
    <m/>
    <s v="1. 온라인 - 단과"/>
    <x v="3"/>
    <s v="07. 이러닝 - 컨텐츠 임대/판매"/>
    <m/>
    <n v="0"/>
    <n v="1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"/>
    <n v="517"/>
    <s v="01 1~1000대"/>
    <s v="02 윈백"/>
    <m/>
    <s v="2. 온라인 - 법정"/>
    <x v="11"/>
    <s v="03. 이러닝 - 법정"/>
    <n v="420000"/>
    <n v="30000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네트웍스워커힐"/>
    <n v="15536"/>
    <s v="01 1~1000대"/>
    <s v="01 수성"/>
    <m/>
    <s v="36. 기타 - 기타"/>
    <x v="5"/>
    <s v="25. 기타 - 기타"/>
    <m/>
    <n v="6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매직"/>
    <n v="4062"/>
    <s v="01 1~1000대"/>
    <s v="01 수성"/>
    <m/>
    <m/>
    <x v="9"/>
    <s v="08. 하이브리드러닝 - 하이브리드형 러닝"/>
    <m/>
    <n v="0"/>
    <n v="50000000"/>
    <x v="2"/>
    <s v="03 기회"/>
    <n v="20000000"/>
    <m/>
    <m/>
    <m/>
    <m/>
    <m/>
    <m/>
    <m/>
    <m/>
    <m/>
    <n v="20000000"/>
    <m/>
    <m/>
    <m/>
  </r>
  <r>
    <s v="기업교육1팀"/>
    <x v="5"/>
    <s v="기업교육1팀"/>
    <s v="이태원"/>
    <s v="SK매직서비스"/>
    <n v="14989"/>
    <s v="04 3000대 이후"/>
    <s v="01 수성"/>
    <m/>
    <s v="1. 온라인 - 단과"/>
    <x v="1"/>
    <s v="02. 이러닝 - 단과"/>
    <n v="1040000"/>
    <n v="21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국자동차환경협회(BPO 사업용)"/>
    <n v="58632"/>
    <s v="04 3000대 이후"/>
    <s v="01 수성"/>
    <s v="03 휴넷 LMS"/>
    <s v="6. 하이브리드러닝 - 집합형"/>
    <x v="9"/>
    <s v="08. 하이브리드러닝 - 하이브리드형 러닝"/>
    <n v="197000000"/>
    <n v="233636364"/>
    <n v="212000000"/>
    <x v="1"/>
    <s v="02 가망"/>
    <n v="210000000"/>
    <m/>
    <m/>
    <m/>
    <m/>
    <m/>
    <m/>
    <m/>
    <n v="70000000"/>
    <m/>
    <m/>
    <n v="140000000"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2"/>
    <s v="14. 컨텐츠 - 컨텐츠 개발"/>
    <n v="1000000000"/>
    <n v="500000000"/>
    <n v="345000000"/>
    <x v="0"/>
    <s v="02 가망"/>
    <n v="200000000"/>
    <m/>
    <m/>
    <m/>
    <n v="140000000"/>
    <m/>
    <m/>
    <m/>
    <m/>
    <m/>
    <m/>
    <m/>
    <m/>
    <n v="60000000"/>
  </r>
  <r>
    <s v="기업교육1팀"/>
    <x v="5"/>
    <s v="기업교육1팀"/>
    <s v="이태원"/>
    <s v="SK브로드밴드(유통망)"/>
    <n v="42824"/>
    <s v="01 1~1000대"/>
    <s v="01 수성"/>
    <m/>
    <s v="14. 솔루션 - 맞춤형 LABS"/>
    <x v="8"/>
    <s v="15. 솔루션 - LABS"/>
    <n v="12568000"/>
    <n v="0"/>
    <n v="8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2 윈백"/>
    <m/>
    <s v="6. 하이브리드러닝 - 집합형"/>
    <x v="9"/>
    <s v="08. 하이브리드러닝 - 하이브리드형 러닝"/>
    <n v="1500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SDI"/>
    <n v="3700"/>
    <s v="01 1~1000대"/>
    <s v="01 수성"/>
    <m/>
    <s v="6. 하이브리드러닝 - 집합형"/>
    <x v="9"/>
    <s v="08. 하이브리드러닝 - 하이브리드형 러닝"/>
    <n v="41840000"/>
    <n v="19813636"/>
    <n v="30000000"/>
    <x v="2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삼성SDI"/>
    <n v="3700"/>
    <s v="01 1~1000대"/>
    <s v="03 신규"/>
    <m/>
    <m/>
    <x v="12"/>
    <s v="09. 하이브리드러닝 - 순수 오프라인"/>
    <m/>
    <m/>
    <n v="5400000"/>
    <x v="0"/>
    <s v="02 가망"/>
    <n v="20000000"/>
    <m/>
    <m/>
    <m/>
    <m/>
    <m/>
    <m/>
    <m/>
    <m/>
    <n v="20000000"/>
    <m/>
    <m/>
    <m/>
    <m/>
  </r>
  <r>
    <s v="기업교육1팀"/>
    <x v="5"/>
    <s v="기업교육1팀"/>
    <s v="이태원"/>
    <s v="셀트리온"/>
    <n v="8607"/>
    <s v="01 1~1000대"/>
    <s v="03 신규"/>
    <m/>
    <m/>
    <x v="12"/>
    <s v="09. 하이브리드러닝 - 순수 오프라인"/>
    <m/>
    <m/>
    <n v="20000000"/>
    <x v="2"/>
    <s v="03 기회"/>
    <n v="20000000"/>
    <m/>
    <m/>
    <m/>
    <m/>
    <m/>
    <m/>
    <m/>
    <n v="20000000"/>
    <m/>
    <m/>
    <m/>
    <m/>
    <m/>
  </r>
  <r>
    <s v="기업교육1팀"/>
    <x v="5"/>
    <s v="기업교육1팀"/>
    <s v="이태원"/>
    <s v="국가보안기술연구소"/>
    <n v="18447"/>
    <s v="05 공공"/>
    <s v="04 연장"/>
    <s v="03 휴넷 LMS"/>
    <s v="통합위탁"/>
    <x v="0"/>
    <s v="01. 이러닝 - 통합위탁"/>
    <m/>
    <n v="83131580"/>
    <n v="124889345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SK하이스텍"/>
    <n v="4219"/>
    <s v="01 1~1000대"/>
    <s v="01 수성"/>
    <m/>
    <s v="6. 하이브리드러닝 - 집합형"/>
    <x v="9"/>
    <s v="08. 하이브리드러닝 - 하이브리드형 러닝"/>
    <m/>
    <n v="2118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4 연장"/>
    <m/>
    <s v="통합위탁"/>
    <x v="0"/>
    <s v="01. 이러닝 - 통합위탁"/>
    <n v="85644990"/>
    <n v="69075150"/>
    <n v="116084740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국가보안기술연구소"/>
    <n v="18447"/>
    <s v="05 공공"/>
    <s v="04 연장"/>
    <s v="03 휴넷 LMS"/>
    <s v="6. 하이브리드러닝 - 집합형"/>
    <x v="9"/>
    <s v="08. 하이브리드러닝 - 하이브리드형 러닝"/>
    <m/>
    <n v="28110000"/>
    <n v="30000000"/>
    <x v="0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충청남도 공무원교육원"/>
    <n v="13619"/>
    <s v="05 공공"/>
    <s v="04 연장"/>
    <m/>
    <s v="통합위탁"/>
    <x v="0"/>
    <s v="01. 이러닝 - 통합위탁"/>
    <n v="120336000"/>
    <n v="92076020"/>
    <n v="121000000"/>
    <x v="0"/>
    <s v="02 가망"/>
    <n v="121000000"/>
    <m/>
    <n v="30250000"/>
    <m/>
    <m/>
    <n v="30250000"/>
    <m/>
    <m/>
    <n v="30250000"/>
    <m/>
    <m/>
    <n v="30250000"/>
    <m/>
    <m/>
  </r>
  <r>
    <s v="기업교육1팀"/>
    <x v="5"/>
    <s v="기업교육1팀"/>
    <s v="이태원"/>
    <s v="에스원"/>
    <n v="3853"/>
    <s v="01 1~1000대"/>
    <s v="03 신규"/>
    <m/>
    <m/>
    <x v="1"/>
    <s v="03. 이러닝 - 법정"/>
    <m/>
    <n v="0"/>
    <n v="0"/>
    <x v="3"/>
    <s v="03 기회"/>
    <n v="20000000"/>
    <m/>
    <m/>
    <m/>
    <m/>
    <m/>
    <m/>
    <n v="20000000"/>
    <m/>
    <m/>
    <n v="0"/>
    <m/>
    <m/>
    <m/>
  </r>
  <r>
    <s v="기업교육1팀"/>
    <x v="5"/>
    <s v="기업교육1팀"/>
    <s v="이태원"/>
    <s v="에스원"/>
    <n v="3853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국가철도공단"/>
    <n v="54322"/>
    <s v="05 공공"/>
    <s v="03 신규"/>
    <s v="01 자체 LMS"/>
    <s v="1. 온라인 - 단과"/>
    <x v="1"/>
    <s v="02. 이러닝 - 단과"/>
    <n v="490000"/>
    <n v="0"/>
    <n v="1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립공원공단"/>
    <n v="3827"/>
    <s v="05 공공"/>
    <s v="01 수성"/>
    <s v="03 휴넷 LMS"/>
    <s v="통합위탁"/>
    <x v="0"/>
    <s v="01. 이러닝 - 통합위탁"/>
    <n v="95316364"/>
    <n v="138037455"/>
    <n v="78000000"/>
    <x v="0"/>
    <s v="01 확정"/>
    <n v="118000000"/>
    <m/>
    <m/>
    <m/>
    <m/>
    <m/>
    <m/>
    <m/>
    <m/>
    <m/>
    <m/>
    <m/>
    <m/>
    <n v="118000000"/>
  </r>
  <r>
    <s v="기업교육1팀"/>
    <x v="5"/>
    <s v="기업교육1팀"/>
    <s v="이태원"/>
    <s v="국방전직교육원"/>
    <n v="18850"/>
    <s v="05 공공"/>
    <s v="03 신규"/>
    <m/>
    <m/>
    <x v="2"/>
    <s v="14. 컨텐츠 - 컨텐츠 개발"/>
    <n v="0"/>
    <n v="0"/>
    <n v="0"/>
    <x v="7"/>
    <m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1 1~1000대"/>
    <s v="03 신규"/>
    <m/>
    <s v="1. 온라인 - 단과"/>
    <x v="1"/>
    <s v="02. 이러닝 - 단과"/>
    <m/>
    <n v="0"/>
    <n v="30000000"/>
    <x v="2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인천공항운영서비스"/>
    <n v="52657"/>
    <s v="05 공공"/>
    <s v="03 신규"/>
    <m/>
    <m/>
    <x v="0"/>
    <s v="01. 이러닝 - 통합위탁"/>
    <m/>
    <n v="0"/>
    <n v="0"/>
    <x v="3"/>
    <s v="03 기회"/>
    <n v="20000000"/>
    <m/>
    <n v="20000000"/>
    <m/>
    <m/>
    <m/>
    <m/>
    <m/>
    <m/>
    <m/>
    <m/>
    <m/>
    <m/>
    <m/>
  </r>
  <r>
    <s v="기업교육1팀"/>
    <x v="5"/>
    <s v="기업교육1팀"/>
    <s v="이태원"/>
    <s v="인천공항운영서비스"/>
    <n v="52657"/>
    <m/>
    <s v="03 신규"/>
    <m/>
    <m/>
    <x v="13"/>
    <s v="09. 하이브리드러닝 - 순수 오프라인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에스케이엠앤서비스_마이써니"/>
    <n v="12286"/>
    <s v="03 2001~3000대"/>
    <s v="01 수성"/>
    <m/>
    <s v="6. 하이브리드러닝 - 집합형"/>
    <x v="3"/>
    <s v="07. 이러닝 - 컨텐츠 임대/판매"/>
    <n v="13000000"/>
    <n v="0"/>
    <n v="66000000"/>
    <x v="0"/>
    <s v="02 가망"/>
    <n v="100000000"/>
    <m/>
    <n v="50000000"/>
    <n v="10000000"/>
    <n v="10000000"/>
    <m/>
    <n v="30000000"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m/>
    <x v="1"/>
    <s v="02. 이러닝 - 단과"/>
    <m/>
    <m/>
    <n v="40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1. 온라인 - 단과"/>
    <x v="1"/>
    <s v="02. 이러닝 - 단과"/>
    <m/>
    <n v="0"/>
    <n v="10000000"/>
    <x v="2"/>
    <s v="03 기회"/>
    <n v="20000000"/>
    <m/>
    <m/>
    <m/>
    <m/>
    <m/>
    <m/>
    <m/>
    <m/>
    <m/>
    <m/>
    <n v="20000000"/>
    <m/>
    <m/>
  </r>
  <r>
    <s v="기업교육1팀"/>
    <x v="5"/>
    <s v="기업교육1팀"/>
    <s v="이태원"/>
    <s v="카카오"/>
    <n v="16640"/>
    <s v="01 1~1000대"/>
    <s v="01 수성"/>
    <m/>
    <s v="10. 컨텐츠 - 컨텐츠 개발"/>
    <x v="2"/>
    <s v="14. 컨텐츠 - 컨텐츠 개발"/>
    <n v="34200000"/>
    <n v="14550000"/>
    <n v="14000000"/>
    <x v="1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2. 온라인 - 법정"/>
    <x v="11"/>
    <s v="03. 이러닝 - 법정"/>
    <m/>
    <n v="915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뱅크"/>
    <n v="23495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카카오뱅크"/>
    <n v="23495"/>
    <s v="01 1~1000대"/>
    <s v="01 수성"/>
    <m/>
    <m/>
    <x v="12"/>
    <s v="08. 하이브리드러닝 - 하이브리드형 러닝"/>
    <m/>
    <m/>
    <n v="9000000"/>
    <x v="0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디케이테크인"/>
    <n v="58593"/>
    <s v="01 1~1000대"/>
    <s v="03 신규"/>
    <m/>
    <m/>
    <x v="12"/>
    <s v="09. 하이브리드러닝 - 순수 오프라인"/>
    <m/>
    <m/>
    <n v="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0. 컨텐츠 - 컨텐츠 개발"/>
    <x v="2"/>
    <s v="14. 컨텐츠 - 컨텐츠 개발"/>
    <n v="200000"/>
    <n v="250000"/>
    <n v="17800000"/>
    <x v="0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포스코인터내셔널"/>
    <n v="44028"/>
    <s v="01 1~1000대"/>
    <s v="02 윈백"/>
    <m/>
    <s v="1. 온라인 - 단과"/>
    <x v="1"/>
    <s v="02. 이러닝 - 단과"/>
    <n v="34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에스디에스"/>
    <s v="12158"/>
    <m/>
    <s v="03 신규"/>
    <m/>
    <m/>
    <x v="13"/>
    <s v="07. 이러닝 - 컨텐츠 임대/판매"/>
    <m/>
    <m/>
    <m/>
    <x v="5"/>
    <s v="03 기회"/>
    <n v="18000000"/>
    <m/>
    <m/>
    <m/>
    <n v="18000000"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2. 온라인 - 법정"/>
    <x v="11"/>
    <s v="03. 이러닝 - 법정"/>
    <n v="14784000"/>
    <n v="0"/>
    <n v="15000000"/>
    <x v="2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서울교통공사"/>
    <n v="3801"/>
    <s v="05 공공"/>
    <s v="03 신규"/>
    <m/>
    <m/>
    <x v="0"/>
    <s v="01. 이러닝 - 통합위탁"/>
    <n v="0"/>
    <n v="0"/>
    <n v="287473125"/>
    <x v="0"/>
    <s v="01 확정"/>
    <n v="288000000"/>
    <m/>
    <n v="24000000"/>
    <n v="24000000"/>
    <n v="24000000"/>
    <n v="24000000"/>
    <n v="24000000"/>
    <n v="24000000"/>
    <n v="24000000"/>
    <n v="24000000"/>
    <n v="24000000"/>
    <n v="24000000"/>
    <n v="24000000"/>
    <n v="24000000"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6"/>
    <s v="19. 운영 - 운영매출"/>
    <m/>
    <n v="0"/>
    <n v="30000000"/>
    <x v="0"/>
    <s v="02 가망"/>
    <n v="70000000"/>
    <m/>
    <m/>
    <m/>
    <n v="49000000"/>
    <m/>
    <m/>
    <m/>
    <m/>
    <m/>
    <m/>
    <m/>
    <m/>
    <n v="21000000"/>
  </r>
  <r>
    <s v="기업교육1팀"/>
    <x v="5"/>
    <s v="기업교육1팀"/>
    <s v="이태원"/>
    <s v="카카오페이증권"/>
    <n v="54422"/>
    <m/>
    <s v="03 신규"/>
    <m/>
    <m/>
    <x v="13"/>
    <s v="03. 이러닝 - 법정"/>
    <m/>
    <m/>
    <m/>
    <x v="5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심텍"/>
    <n v="4600"/>
    <s v="01 1~1000대"/>
    <s v="03 신규"/>
    <m/>
    <s v="1. 온라인 - 단과"/>
    <x v="1"/>
    <s v="02. 이러닝 - 단과"/>
    <m/>
    <n v="0"/>
    <n v="12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어플라이드머티어리얼즈코리아"/>
    <n v="5108"/>
    <s v="01 1~1000대"/>
    <s v="04 연장"/>
    <m/>
    <s v="통합위탁"/>
    <x v="11"/>
    <s v="03. 이러닝 - 법정"/>
    <n v="29669720"/>
    <n v="6788000"/>
    <n v="35553300"/>
    <x v="0"/>
    <s v="01 확정"/>
    <n v="25000000"/>
    <m/>
    <m/>
    <m/>
    <m/>
    <m/>
    <m/>
    <m/>
    <m/>
    <m/>
    <m/>
    <m/>
    <m/>
    <n v="25000000"/>
  </r>
  <r>
    <s v="기업교육1팀"/>
    <x v="5"/>
    <s v="기업교육1팀"/>
    <s v="이태원"/>
    <s v="어플라이드머티어리얼즈코리아"/>
    <n v="5108"/>
    <s v="01 1~1000대"/>
    <s v="01 수성"/>
    <m/>
    <m/>
    <x v="13"/>
    <s v="02. 이러닝 - 단과"/>
    <m/>
    <m/>
    <m/>
    <x v="5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5"/>
    <s v="기업교육1팀"/>
    <s v="이태원"/>
    <s v="어플라이드머티어리얼즈코리아"/>
    <n v="5108"/>
    <s v="01 1~1000대"/>
    <s v="01 수성"/>
    <m/>
    <s v="6. 하이브리드러닝 - 집합형"/>
    <x v="9"/>
    <s v="08. 하이브리드러닝 - 하이브리드형 러닝"/>
    <m/>
    <n v="0"/>
    <n v="10000000"/>
    <x v="2"/>
    <m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2"/>
    <s v="09. 하이브리드러닝 - 순수 오프라인"/>
    <m/>
    <m/>
    <n v="50000000"/>
    <x v="1"/>
    <s v="02 가망"/>
    <n v="60000000"/>
    <m/>
    <m/>
    <m/>
    <m/>
    <m/>
    <n v="30000000"/>
    <m/>
    <m/>
    <m/>
    <n v="30000000"/>
    <m/>
    <m/>
    <m/>
  </r>
  <r>
    <s v="기업교육1팀"/>
    <x v="5"/>
    <s v="기업교육1팀"/>
    <s v="이태원"/>
    <s v="에스엠컬처앤콘텐츠"/>
    <n v="60460"/>
    <s v="01 1~1000대"/>
    <s v="01 수성"/>
    <m/>
    <s v="26. 정부지원사업 - HRDFLEX"/>
    <x v="16"/>
    <s v="26. 이러닝 - 정부지원사업"/>
    <m/>
    <n v="67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1. 구독 - 휴넷 리더십저니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0. 구독 - 휴넷CEO멤버십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에스케이브로드밴드"/>
    <n v="3756"/>
    <s v="01 1~1000대"/>
    <s v="01 수성"/>
    <m/>
    <s v="14. 솔루션 - 맞춤형 LABS"/>
    <x v="8"/>
    <s v="15. 솔루션 - LABS"/>
    <m/>
    <n v="12840000"/>
    <n v="12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에스케이브로드밴드(it다)"/>
    <n v="42576"/>
    <s v="01 1~1000대"/>
    <s v="01 수성"/>
    <m/>
    <s v="3. 온라인 - 마이크로러닝"/>
    <x v="14"/>
    <s v="04. 이러닝 - 마이크로러닝"/>
    <n v="84000000"/>
    <n v="66000000"/>
    <n v="550000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비앤티"/>
    <n v="40360"/>
    <s v="01 1~1000대"/>
    <s v="01 수성"/>
    <m/>
    <s v="2. 온라인 - 법정"/>
    <x v="11"/>
    <s v="03. 이러닝 - 법정"/>
    <m/>
    <n v="1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포스코인터내셔널"/>
    <n v="8464"/>
    <s v="01 1~1000대"/>
    <s v="01 수성"/>
    <m/>
    <s v="6. 하이브리드러닝 - 집합형"/>
    <x v="9"/>
    <s v="08. 하이브리드러닝 - 하이브리드형 러닝"/>
    <m/>
    <n v="20000000"/>
    <n v="25000000"/>
    <x v="3"/>
    <s v="02 가망"/>
    <n v="50000000"/>
    <m/>
    <m/>
    <m/>
    <n v="25000000"/>
    <m/>
    <m/>
    <m/>
    <m/>
    <m/>
    <m/>
    <n v="25000000"/>
    <m/>
    <m/>
  </r>
  <r>
    <s v="기업교육1팀"/>
    <x v="5"/>
    <s v="기업교육1팀"/>
    <s v="이태원"/>
    <s v="에스엠컬처앤콘텐츠"/>
    <n v="44292"/>
    <s v="01 1~1000대"/>
    <s v="01 수성"/>
    <m/>
    <s v="1. 온라인 - 단과"/>
    <x v="1"/>
    <s v="02. 이러닝 - 단과"/>
    <m/>
    <n v="14158000"/>
    <n v="22654000"/>
    <x v="0"/>
    <s v="02 가망"/>
    <n v="35000000"/>
    <m/>
    <m/>
    <m/>
    <m/>
    <m/>
    <m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엠앤서비스_마이써니"/>
    <n v="12286"/>
    <s v="03 2001~3000대"/>
    <s v="01 수성"/>
    <m/>
    <m/>
    <x v="3"/>
    <s v="07. 이러닝 - 컨텐츠 임대/판매"/>
    <m/>
    <n v="0"/>
    <n v="32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2. 온라인 - 법정"/>
    <x v="11"/>
    <s v="03. 이러닝 - 법정"/>
    <m/>
    <n v="0"/>
    <n v="12000000"/>
    <x v="2"/>
    <s v="02 가망"/>
    <n v="12000000"/>
    <m/>
    <m/>
    <m/>
    <m/>
    <m/>
    <m/>
    <m/>
    <m/>
    <m/>
    <m/>
    <n v="12000000"/>
    <m/>
    <m/>
  </r>
  <r>
    <s v="기업교육1팀"/>
    <x v="5"/>
    <s v="기업교육1팀"/>
    <s v="이태원"/>
    <s v="삼성SDI"/>
    <n v="3700"/>
    <m/>
    <s v="03 신규"/>
    <m/>
    <m/>
    <x v="13"/>
    <s v="07. 이러닝 - 컨텐츠 임대/판매"/>
    <m/>
    <m/>
    <m/>
    <x v="5"/>
    <s v="03 기회"/>
    <n v="11000000"/>
    <m/>
    <m/>
    <m/>
    <n v="11000000"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1 수성"/>
    <m/>
    <s v="2. 온라인 - 법정"/>
    <x v="11"/>
    <s v="03. 이러닝 - 법정"/>
    <n v="21200000"/>
    <n v="212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셀트리온"/>
    <n v="8607"/>
    <s v="01 1~1000대"/>
    <s v="01 수성"/>
    <m/>
    <s v="1. 온라인 - 단과"/>
    <x v="1"/>
    <s v="02. 이러닝 - 단과"/>
    <n v="13684000"/>
    <n v="14772000"/>
    <n v="18755000"/>
    <x v="0"/>
    <s v="02 가망"/>
    <n v="30000000"/>
    <m/>
    <m/>
    <m/>
    <m/>
    <m/>
    <m/>
    <m/>
    <n v="10000000"/>
    <n v="5000000"/>
    <m/>
    <n v="5000000"/>
    <n v="10000000"/>
    <m/>
  </r>
  <r>
    <s v="기업교육1팀"/>
    <x v="5"/>
    <s v="기업교육1팀"/>
    <s v="이태원"/>
    <s v="에스케이바이오사이언스"/>
    <s v="45507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오션플랜트"/>
    <s v="14549"/>
    <m/>
    <s v="03 신규"/>
    <m/>
    <m/>
    <x v="13"/>
    <s v="03. 이러닝 - 법정"/>
    <m/>
    <m/>
    <m/>
    <x v="5"/>
    <s v="03 기회"/>
    <n v="10000000"/>
    <m/>
    <m/>
    <n v="10000000"/>
    <m/>
    <m/>
    <m/>
    <m/>
    <m/>
    <m/>
    <m/>
    <m/>
    <m/>
    <m/>
  </r>
  <r>
    <s v="기업교육1팀"/>
    <x v="5"/>
    <s v="기업교육1팀"/>
    <s v="이태원"/>
    <s v="KT alpha"/>
    <n v="4372"/>
    <m/>
    <s v="03 신규"/>
    <m/>
    <m/>
    <x v="13"/>
    <s v="08. 하이브리드러닝 - 하이브리드형 러닝"/>
    <m/>
    <m/>
    <m/>
    <x v="5"/>
    <s v="03 기회"/>
    <n v="10000000"/>
    <m/>
    <m/>
    <m/>
    <n v="10000000"/>
    <m/>
    <m/>
    <m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인천공항운영서비스_FLEX23"/>
    <n v="57598"/>
    <s v="05 공공"/>
    <s v="01 수성"/>
    <s v="03 휴넷 LMS"/>
    <s v="26. 정부지원사업 - HRDFLEX"/>
    <x v="10"/>
    <s v="28.구독 - 휴넷FLEX"/>
    <n v="617680000"/>
    <n v="1544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m/>
    <x v="4"/>
    <s v="18. 운영 - BPO"/>
    <m/>
    <m/>
    <n v="30000000"/>
    <x v="0"/>
    <s v="02 가망"/>
    <n v="30000000"/>
    <m/>
    <m/>
    <m/>
    <n v="21000000"/>
    <m/>
    <m/>
    <m/>
    <m/>
    <m/>
    <m/>
    <m/>
    <m/>
    <n v="9000000"/>
  </r>
  <r>
    <s v="기업교육1팀"/>
    <x v="5"/>
    <s v="기업교육1팀"/>
    <s v="이태원"/>
    <s v="충청남도 공무원교육원"/>
    <n v="13619"/>
    <s v="05 공공"/>
    <s v="01 수성"/>
    <m/>
    <s v="10. 컨텐츠 - 컨텐츠 개발"/>
    <x v="2"/>
    <s v="14. 컨텐츠 - 컨텐츠 개발"/>
    <m/>
    <n v="0"/>
    <n v="3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3. 구독 - Wisdom spring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6. 하이브리드러닝 - 집합형"/>
    <x v="9"/>
    <s v="08. 하이브리드러닝 - 하이브리드형 러닝"/>
    <m/>
    <n v="9100000"/>
    <n v="0"/>
    <x v="6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에스케이텔레콤"/>
    <n v="52633"/>
    <s v="01 1~1000대"/>
    <s v="03 신규"/>
    <m/>
    <s v="1. 온라인 - 단과"/>
    <x v="1"/>
    <s v="02. 이러닝 - 단과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텔레콤"/>
    <n v="52633"/>
    <s v="01 1~1000대"/>
    <s v="01 수성"/>
    <m/>
    <s v="6. 하이브리드러닝 - 집합형"/>
    <x v="9"/>
    <s v="08. 하이브리드러닝 - 하이브리드형 러닝"/>
    <n v="2000000"/>
    <n v="0"/>
    <n v="5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게임즈"/>
    <n v="28140"/>
    <s v="01 1~1000대"/>
    <s v="01 수성"/>
    <m/>
    <s v="10. 컨텐츠 - 컨텐츠 개발"/>
    <x v="2"/>
    <s v="14. 컨텐츠 - 컨텐츠 개발"/>
    <n v="1600000"/>
    <n v="250000"/>
    <n v="3000000"/>
    <x v="0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3 2001~3000대"/>
    <s v="01 수성"/>
    <m/>
    <s v="2. 온라인 - 법정"/>
    <x v="11"/>
    <s v="03. 이러닝 - 법정"/>
    <n v="2855000"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5"/>
    <s v="기업교육1팀"/>
    <s v="이태원"/>
    <s v="카카오게임즈"/>
    <n v="28140"/>
    <s v="01 1~1000대"/>
    <s v="01 수성"/>
    <m/>
    <s v="1. 온라인 - 단과"/>
    <x v="1"/>
    <s v="02. 이러닝 - 단과"/>
    <n v="1928000"/>
    <n v="10752000"/>
    <n v="6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10. 컨텐츠 - 컨텐츠 개발"/>
    <x v="2"/>
    <s v="14. 컨텐츠 - 컨텐츠 개발"/>
    <n v="200000"/>
    <n v="0"/>
    <n v="0"/>
    <x v="1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에스케이엠앤서비스"/>
    <n v="12286"/>
    <s v="03 2001~3000대"/>
    <s v="01 수성"/>
    <m/>
    <s v="11. 컨텐츠 - 컨텐츠 임대/판매"/>
    <x v="3"/>
    <s v="07. 이러닝 - 컨텐츠 임대/판매"/>
    <n v="20023727"/>
    <n v="73094089"/>
    <n v="25115908"/>
    <x v="0"/>
    <s v="02 가망"/>
    <n v="28000000"/>
    <m/>
    <n v="500000"/>
    <n v="500000"/>
    <n v="500000"/>
    <n v="500000"/>
    <n v="2000000"/>
    <n v="2000000"/>
    <n v="6000000"/>
    <n v="2000000"/>
    <n v="2000000"/>
    <n v="2000000"/>
    <n v="2000000"/>
    <n v="8000000"/>
  </r>
  <r>
    <s v="기업교육1팀"/>
    <x v="5"/>
    <s v="기업교육1팀"/>
    <s v="이태원"/>
    <s v="카카오모빌리티"/>
    <n v="41062"/>
    <s v="02 1001~2000대"/>
    <s v="01 수성"/>
    <m/>
    <s v="1. 온라인 - 단과"/>
    <x v="1"/>
    <s v="02. 이러닝 - 단과"/>
    <n v="1500000"/>
    <n v="956000"/>
    <n v="2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. 온라인 - 단과"/>
    <x v="11"/>
    <s v="03. 이러닝 - 법정"/>
    <m/>
    <n v="0"/>
    <n v="1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2. 이러닝 - 단과"/>
    <m/>
    <m/>
    <m/>
    <x v="5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카카오엔터테인먼트"/>
    <n v="28832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2. 온라인 - 법정"/>
    <x v="11"/>
    <s v="03. 이러닝 - 법정"/>
    <n v="33051000"/>
    <n v="28513000"/>
    <n v="28300000"/>
    <x v="0"/>
    <s v="02 가망"/>
    <n v="25000000"/>
    <m/>
    <m/>
    <m/>
    <m/>
    <m/>
    <m/>
    <m/>
    <m/>
    <m/>
    <m/>
    <n v="25000000"/>
    <m/>
    <m/>
  </r>
  <r>
    <s v="기업교육1팀"/>
    <x v="5"/>
    <s v="기업교육1팀"/>
    <s v="이태원"/>
    <s v="카카오엔터테인먼트"/>
    <n v="28832"/>
    <m/>
    <s v="03 신규"/>
    <m/>
    <m/>
    <x v="13"/>
    <s v="13. 구독 - Wisdom spring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8. 하이브리드러닝 - 하이브리드형 러닝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n v="11012000"/>
    <n v="32509000"/>
    <n v="15000000"/>
    <x v="0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브로드밴드(유통망)"/>
    <n v="42824"/>
    <s v="01 1~1000대"/>
    <s v="03 신규"/>
    <s v="02 경쟁사 LMS"/>
    <m/>
    <x v="8"/>
    <s v="02. 이러닝 - 단과"/>
    <m/>
    <m/>
    <n v="17767500"/>
    <x v="0"/>
    <s v="02 가망"/>
    <n v="20000000"/>
    <m/>
    <m/>
    <m/>
    <m/>
    <m/>
    <m/>
    <m/>
    <n v="20000000"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10. 컨텐츠 - 컨텐츠 개발"/>
    <x v="2"/>
    <s v="14. 컨텐츠 - 컨텐츠 개발"/>
    <n v="200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프라이즈"/>
    <n v="43261"/>
    <s v="04 3000대 이후"/>
    <s v="01 수성"/>
    <m/>
    <s v="10. 컨텐츠 - 컨텐츠 개발"/>
    <x v="2"/>
    <s v="14. 컨텐츠 - 컨텐츠 개발"/>
    <m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3 신규"/>
    <m/>
    <s v="11. 컨텐츠 - 컨텐츠 임대/판매"/>
    <x v="3"/>
    <s v="07. 이러닝 - 컨텐츠 임대/판매"/>
    <m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5"/>
    <s v="기업교육1팀"/>
    <s v="이태원"/>
    <s v="캐논코리아비즈니스솔루션"/>
    <n v="18282"/>
    <s v="01 1~1000대"/>
    <s v="01 수성"/>
    <m/>
    <s v="6. 하이브리드러닝 - 집합형"/>
    <x v="9"/>
    <s v="08. 하이브리드러닝 - 하이브리드형 러닝"/>
    <n v="17708000"/>
    <n v="0"/>
    <n v="7800000"/>
    <x v="0"/>
    <s v="02 가망"/>
    <n v="20000000"/>
    <m/>
    <m/>
    <m/>
    <m/>
    <n v="10000000"/>
    <m/>
    <m/>
    <m/>
    <n v="10000000"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m/>
    <m/>
    <n v="8000000"/>
    <x v="1"/>
    <s v="02 가망"/>
    <n v="18000000"/>
    <m/>
    <m/>
    <m/>
    <m/>
    <m/>
    <m/>
    <m/>
    <n v="10000000"/>
    <m/>
    <m/>
    <n v="8000000"/>
    <m/>
    <m/>
  </r>
  <r>
    <s v="기업교육1팀"/>
    <x v="5"/>
    <s v="기업교육1팀"/>
    <s v="이태원"/>
    <s v="카카오엔터테인먼트(자회사)"/>
    <n v="50686"/>
    <m/>
    <s v="01 수성"/>
    <m/>
    <m/>
    <x v="13"/>
    <s v="03. 이러닝 - 법정"/>
    <m/>
    <m/>
    <m/>
    <x v="5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캐논코리아비즈니스솔루션"/>
    <n v="18282"/>
    <s v="01 1~1000대"/>
    <s v="01 수성"/>
    <m/>
    <s v="1. 온라인 - 단과"/>
    <x v="1"/>
    <s v="02. 이러닝 - 단과"/>
    <m/>
    <n v="0"/>
    <n v="5000000"/>
    <x v="2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캐논코리아비즈니스솔루션"/>
    <n v="18282"/>
    <s v="01 1~1000대"/>
    <s v="01 수성"/>
    <m/>
    <s v="2. 온라인 - 법정"/>
    <x v="11"/>
    <s v="03. 이러닝 - 법정"/>
    <n v="16000000"/>
    <n v="20800000"/>
    <n v="13953000"/>
    <x v="0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케이카"/>
    <n v="54466"/>
    <s v="01 1~1000대"/>
    <s v="01 수성"/>
    <m/>
    <m/>
    <x v="13"/>
    <s v="08. 하이브리드러닝 - 하이브리드형 러닝"/>
    <m/>
    <n v="0"/>
    <m/>
    <x v="2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한성에프아이"/>
    <n v="17455"/>
    <s v="01 1~1000대"/>
    <s v="03 신규"/>
    <m/>
    <m/>
    <x v="9"/>
    <s v="08. 하이브리드러닝 - 하이브리드형 러닝"/>
    <m/>
    <m/>
    <n v="3600000"/>
    <x v="0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3"/>
    <s v="16. 솔루션 - 러닝메이커"/>
    <m/>
    <m/>
    <m/>
    <x v="5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6"/>
    <s v="26. 이러닝 - 정부지원사업"/>
    <m/>
    <n v="0"/>
    <n v="8000000"/>
    <x v="0"/>
    <s v="03 기회"/>
    <n v="8000000"/>
    <m/>
    <m/>
    <m/>
    <m/>
    <m/>
    <n v="1600000"/>
    <m/>
    <m/>
    <m/>
    <n v="6400000"/>
    <m/>
    <m/>
    <m/>
  </r>
  <r>
    <s v="기업교육1팀"/>
    <x v="5"/>
    <s v="기업교육1팀"/>
    <s v="이태원"/>
    <s v="카카오페이증권"/>
    <n v="54422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2. 온라인 - 법정"/>
    <x v="11"/>
    <s v="03. 이러닝 - 법정"/>
    <n v="5510000"/>
    <n v="6460000"/>
    <n v="6000000"/>
    <x v="1"/>
    <s v="02 가망"/>
    <n v="6000000"/>
    <m/>
    <m/>
    <m/>
    <m/>
    <m/>
    <m/>
    <m/>
    <m/>
    <m/>
    <n v="6000000"/>
    <m/>
    <m/>
    <m/>
  </r>
  <r>
    <s v="기업교육1팀"/>
    <x v="5"/>
    <s v="기업교육1팀"/>
    <s v="이태원"/>
    <s v="카카오뱅크"/>
    <n v="23495"/>
    <s v="01 1~1000대"/>
    <s v="01 수성"/>
    <m/>
    <s v="1. 온라인 - 단과"/>
    <x v="11"/>
    <s v="03. 이러닝 - 법정"/>
    <m/>
    <n v="11548000"/>
    <n v="3400000"/>
    <x v="0"/>
    <s v="02 가망"/>
    <n v="12000000"/>
    <m/>
    <m/>
    <m/>
    <m/>
    <m/>
    <m/>
    <m/>
    <m/>
    <m/>
    <n v="12000000"/>
    <m/>
    <m/>
    <m/>
  </r>
  <r>
    <s v="기업교육1팀"/>
    <x v="5"/>
    <s v="기업교육1팀"/>
    <s v="이태원"/>
    <s v="KT alpha"/>
    <n v="4372"/>
    <s v="02 1001~2000대"/>
    <s v="03 신규"/>
    <s v="01 자체 LMS"/>
    <m/>
    <x v="16"/>
    <s v="26. 이러닝 - 정부지원사업"/>
    <m/>
    <m/>
    <n v="5740000"/>
    <x v="0"/>
    <s v="02 가망"/>
    <n v="6000000"/>
    <m/>
    <m/>
    <m/>
    <m/>
    <m/>
    <n v="4200000"/>
    <m/>
    <m/>
    <m/>
    <m/>
    <m/>
    <n v="1800000"/>
    <m/>
  </r>
  <r>
    <s v="기업교육1팀"/>
    <x v="5"/>
    <s v="기업교육1팀"/>
    <s v="이태원"/>
    <s v="화승코퍼레이션"/>
    <n v="53734"/>
    <s v="01 1~1000대"/>
    <s v="03 신규"/>
    <m/>
    <m/>
    <x v="1"/>
    <s v="02. 이러닝 - 단과"/>
    <m/>
    <n v="0"/>
    <n v="3630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5"/>
    <s v="기업교육1팀"/>
    <s v="이태원"/>
    <s v="케어맥스"/>
    <n v="60816"/>
    <s v="01 1~1000대"/>
    <s v="01 수성"/>
    <m/>
    <s v="2. 온라인 - 법정"/>
    <x v="11"/>
    <s v="03. 이러닝 - 법정"/>
    <m/>
    <n v="1920000"/>
    <n v="3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케이앤웍스(DK 비즈니스&amp;서비스 합병)"/>
    <n v="42149"/>
    <s v="04 3000대 이후"/>
    <s v="04 연장"/>
    <m/>
    <s v="통합위탁"/>
    <x v="0"/>
    <s v="01. 이러닝 - 통합위탁"/>
    <n v="24977500"/>
    <n v="29283600"/>
    <n v="229429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5"/>
    <s v="기업교육1팀"/>
    <s v="이태원"/>
    <s v="케이앤웍스(DK 비즈니스&amp;서비스 합병)"/>
    <n v="42149"/>
    <s v="04 3000대 이후"/>
    <s v="04 연장"/>
    <m/>
    <s v="2. 온라인 - 법정"/>
    <x v="11"/>
    <s v="03. 이러닝 - 법정"/>
    <n v="7245000"/>
    <n v="0"/>
    <n v="7000000"/>
    <x v="0"/>
    <s v="01 확정"/>
    <n v="7000000"/>
    <m/>
    <m/>
    <m/>
    <m/>
    <m/>
    <m/>
    <m/>
    <m/>
    <m/>
    <m/>
    <n v="7000000"/>
    <m/>
    <m/>
  </r>
  <r>
    <s v="기업교육1팀"/>
    <x v="5"/>
    <s v="기업교육1팀"/>
    <s v="이태원"/>
    <s v="에스케이플래닛"/>
    <s v="13298"/>
    <m/>
    <s v="03 신규"/>
    <m/>
    <m/>
    <x v="13"/>
    <s v="07. 이러닝 - 컨텐츠 임대/판매"/>
    <m/>
    <m/>
    <m/>
    <x v="5"/>
    <s v="03 기회"/>
    <n v="4000000"/>
    <m/>
    <m/>
    <m/>
    <m/>
    <m/>
    <m/>
    <m/>
    <m/>
    <m/>
    <m/>
    <n v="4000000"/>
    <m/>
    <m/>
  </r>
  <r>
    <s v="기업교육1팀"/>
    <x v="5"/>
    <s v="기업교육1팀"/>
    <s v="이태원"/>
    <s v="케이카"/>
    <n v="54466"/>
    <s v="01 1~1000대"/>
    <s v="01 수성"/>
    <m/>
    <s v="1. 온라인 - 단과"/>
    <x v="1"/>
    <s v="02. 이러닝 - 단과"/>
    <m/>
    <n v="0"/>
    <n v="10000000"/>
    <x v="2"/>
    <s v="09 2025년 매출"/>
    <n v="0"/>
    <m/>
    <m/>
    <m/>
    <m/>
    <m/>
    <m/>
    <m/>
    <m/>
    <m/>
    <m/>
    <m/>
    <m/>
    <m/>
  </r>
  <r>
    <s v="기업교육1팀"/>
    <x v="5"/>
    <s v="기업교육1팀"/>
    <s v="이태원"/>
    <s v="케이티알파_FLEX24"/>
    <n v="60464"/>
    <s v="01 1~1000대"/>
    <s v="01 수성"/>
    <m/>
    <s v="26. 정부지원사업 - HRDFLEX"/>
    <x v="10"/>
    <s v="28.구독 - 휴넷FLEX"/>
    <m/>
    <n v="364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금융서비스"/>
    <n v="50479"/>
    <s v="04 3000대 이후"/>
    <s v="01 수성"/>
    <m/>
    <s v="2. 온라인 - 법정"/>
    <x v="11"/>
    <s v="03. 이러닝 - 법정"/>
    <n v="1095440"/>
    <n v="0"/>
    <n v="3000000"/>
    <x v="0"/>
    <s v="03 기회"/>
    <n v="3000000"/>
    <m/>
    <m/>
    <m/>
    <m/>
    <m/>
    <m/>
    <m/>
    <n v="3000000"/>
    <m/>
    <m/>
    <m/>
    <m/>
    <m/>
  </r>
  <r>
    <s v="기업교육1팀"/>
    <x v="5"/>
    <s v="기업교육1팀"/>
    <s v="이태원"/>
    <s v="한국자동차환경협회"/>
    <n v="52089"/>
    <s v="04 3000대 이후"/>
    <s v="01 수성"/>
    <s v="03 휴넷 LMS"/>
    <s v="2. 온라인 - 법정"/>
    <x v="11"/>
    <s v="03. 이러닝 - 법정"/>
    <n v="3250000"/>
    <n v="4210000"/>
    <n v="5000000"/>
    <x v="1"/>
    <s v="02 가망"/>
    <n v="5000000"/>
    <m/>
    <m/>
    <m/>
    <m/>
    <m/>
    <m/>
    <n v="2000000"/>
    <m/>
    <m/>
    <m/>
    <n v="3000000"/>
    <m/>
    <m/>
  </r>
  <r>
    <s v="기업교육1팀"/>
    <x v="5"/>
    <s v="기업교육1팀"/>
    <s v="이태원"/>
    <s v="카카오엔터프라이즈"/>
    <n v="43261"/>
    <s v="04 3000대 이후"/>
    <s v="01 수성"/>
    <m/>
    <s v="1. 온라인 - 단과"/>
    <x v="11"/>
    <s v="03. 이러닝 - 법정"/>
    <m/>
    <n v="2460000"/>
    <n v="5203000"/>
    <x v="0"/>
    <s v="03 기회"/>
    <n v="3000000"/>
    <m/>
    <m/>
    <m/>
    <m/>
    <m/>
    <m/>
    <m/>
    <m/>
    <m/>
    <m/>
    <n v="3000000"/>
    <m/>
    <m/>
  </r>
  <r>
    <s v="기업교육1팀"/>
    <x v="5"/>
    <s v="기업교육1팀"/>
    <s v="이태원"/>
    <s v="SK하이스텍"/>
    <n v="4219"/>
    <s v="01 1~1000대"/>
    <s v="01 수성"/>
    <m/>
    <s v="1. 온라인 - 단과"/>
    <x v="1"/>
    <s v="03. 이러닝 - 법정"/>
    <m/>
    <n v="1980000"/>
    <n v="0"/>
    <x v="6"/>
    <s v="02 가망"/>
    <n v="4000000"/>
    <m/>
    <m/>
    <m/>
    <m/>
    <m/>
    <m/>
    <n v="2000000"/>
    <m/>
    <m/>
    <m/>
    <m/>
    <m/>
    <n v="2000000"/>
  </r>
  <r>
    <s v="기업교육1팀"/>
    <x v="5"/>
    <s v="기업교육1팀"/>
    <s v="이태원"/>
    <s v="케어맥스"/>
    <n v="60816"/>
    <s v="01 1~1000대"/>
    <s v="03 신규"/>
    <m/>
    <m/>
    <x v="11"/>
    <s v="03. 이러닝 - 법정"/>
    <m/>
    <m/>
    <n v="760000"/>
    <x v="0"/>
    <s v="02 가망"/>
    <n v="3000000"/>
    <m/>
    <m/>
    <m/>
    <m/>
    <m/>
    <m/>
    <n v="3000000"/>
    <m/>
    <m/>
    <m/>
    <m/>
    <m/>
    <m/>
  </r>
  <r>
    <s v="기업교육1팀"/>
    <x v="5"/>
    <s v="기업교육1팀"/>
    <s v="이태원"/>
    <s v="한국자동차환경협회_FLEX24"/>
    <n v="60486"/>
    <s v="01 1~1000대"/>
    <s v="01 수성"/>
    <m/>
    <s v="26. 정부지원사업 - HRDFLEX"/>
    <x v="10"/>
    <s v="28.구독 - 휴넷FLEX"/>
    <m/>
    <n v="32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"/>
    <n v="54521"/>
    <s v="04 3000대 이후"/>
    <s v="01 수성"/>
    <m/>
    <s v="26. 정부지원사업 - HRDFLEX"/>
    <x v="10"/>
    <s v="28.구독 - 휴넷FLEX"/>
    <n v="5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24"/>
    <n v="60472"/>
    <s v="01 1~1000대"/>
    <s v="01 수성"/>
    <m/>
    <s v="26. 정부지원사업 - HRDFLEX"/>
    <x v="10"/>
    <s v="28.구독 - 휴넷FLEX"/>
    <m/>
    <n v="9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삼양씨앤씨"/>
    <n v="29162"/>
    <s v="04 3000대 이후"/>
    <s v="01 수성"/>
    <m/>
    <s v="2. 온라인 - 법정"/>
    <x v="11"/>
    <s v="03. 이러닝 - 법정"/>
    <n v="2040000"/>
    <n v="1320000"/>
    <n v="2000000"/>
    <x v="1"/>
    <s v="03 기회"/>
    <n v="2000000"/>
    <m/>
    <m/>
    <m/>
    <m/>
    <m/>
    <m/>
    <n v="1000000"/>
    <m/>
    <m/>
    <m/>
    <n v="1000000"/>
    <m/>
    <m/>
  </r>
  <r>
    <s v="기업교육1팀"/>
    <x v="5"/>
    <s v="기업교육1팀"/>
    <s v="이태원"/>
    <s v="동양생명금융서비스"/>
    <n v="50479"/>
    <s v="04 3000대 이후"/>
    <s v="01 수성"/>
    <m/>
    <s v="1. 온라인 - 단과"/>
    <x v="1"/>
    <s v="02. 이러닝 - 단과"/>
    <n v="829300"/>
    <n v="412300"/>
    <n v="1000000"/>
    <x v="1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카카오벤처스"/>
    <n v="28152"/>
    <s v="04 3000대 이후"/>
    <s v="01 수성"/>
    <m/>
    <s v="1. 온라인 - 단과"/>
    <x v="11"/>
    <s v="03. 이러닝 - 법정"/>
    <n v="660000"/>
    <n v="0"/>
    <n v="1000000"/>
    <x v="2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한성에프아이_Flex"/>
    <n v="54522"/>
    <s v="04 3000대 이후"/>
    <s v="01 수성"/>
    <m/>
    <s v="26. 정부지원사업 - HRDFLEX"/>
    <x v="10"/>
    <s v="28.구독 - 휴넷FLEX"/>
    <n v="110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에프아이_FLEX24"/>
    <n v="60474"/>
    <s v="01 1~1000대"/>
    <s v="01 수성"/>
    <m/>
    <s v="26. 정부지원사업 - HRDFLEX"/>
    <x v="10"/>
    <s v="28.구독 - 휴넷FLEX"/>
    <m/>
    <n v="86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지에스_Flex"/>
    <n v="54477"/>
    <s v="04 3000대 이후"/>
    <s v="01 수성"/>
    <m/>
    <s v="26. 정부지원사업 - HRDFLEX"/>
    <x v="10"/>
    <s v="28.구독 - 휴넷FLEX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매직서비스"/>
    <n v="14989"/>
    <s v="01 1~1000대"/>
    <s v="01 수성"/>
    <s v="02 경쟁사 LMS"/>
    <s v="2. 온라인 - 법정"/>
    <x v="11"/>
    <s v="03. 이러닝 - 법정"/>
    <m/>
    <n v="50000"/>
    <n v="260000"/>
    <x v="0"/>
    <s v="02 가망"/>
    <n v="1000000"/>
    <m/>
    <n v="100000"/>
    <n v="100000"/>
    <n v="100000"/>
    <n v="100000"/>
    <n v="100000"/>
    <n v="100000"/>
    <n v="100000"/>
    <n v="100000"/>
    <n v="100000"/>
    <n v="100000"/>
    <m/>
    <m/>
  </r>
  <r>
    <s v="기업교육1팀"/>
    <x v="2"/>
    <s v="기업교육1팀"/>
    <s v="김신정"/>
    <s v="한국전력공사"/>
    <n v="3238"/>
    <s v="05 공공"/>
    <s v="03 신규"/>
    <m/>
    <m/>
    <x v="13"/>
    <s v="14. 컨텐츠 - 컨텐츠 개발"/>
    <m/>
    <m/>
    <m/>
    <x v="5"/>
    <s v="02 가망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광주정보문화산업진흥원"/>
    <n v="10339"/>
    <s v="05 공공"/>
    <s v="01 수성"/>
    <m/>
    <s v="23. 운영 - BPO"/>
    <x v="4"/>
    <s v="18. 운영 - BPO"/>
    <m/>
    <n v="935798800"/>
    <n v="170000000"/>
    <x v="0"/>
    <s v="02 가망"/>
    <n v="170000000"/>
    <m/>
    <m/>
    <m/>
    <m/>
    <m/>
    <m/>
    <m/>
    <n v="70000000"/>
    <m/>
    <m/>
    <m/>
    <m/>
    <n v="100000000"/>
  </r>
  <r>
    <s v="기업교육1팀"/>
    <x v="2"/>
    <s v="기업교육1팀"/>
    <s v="김신정"/>
    <s v="농식품공무원교육원"/>
    <n v="19263"/>
    <s v="05 공공"/>
    <s v="03 신규"/>
    <m/>
    <s v="10. 컨텐츠 - 컨텐츠 개발"/>
    <x v="2"/>
    <s v="14. 컨텐츠 - 컨텐츠 개발"/>
    <m/>
    <n v="38000000"/>
    <n v="154127273"/>
    <x v="0"/>
    <s v="02 가망"/>
    <n v="150000000"/>
    <m/>
    <m/>
    <m/>
    <m/>
    <m/>
    <n v="120000000"/>
    <m/>
    <m/>
    <m/>
    <m/>
    <m/>
    <m/>
    <n v="30000000"/>
  </r>
  <r>
    <s v="기업교육1팀"/>
    <x v="2"/>
    <s v="기업교육1팀"/>
    <s v="김신정"/>
    <s v="광동제약"/>
    <n v="5034"/>
    <s v="01 1~1000대"/>
    <s v="04 연장"/>
    <s v="03 휴넷 LMS"/>
    <s v="1. 온라인 - 단과"/>
    <x v="0"/>
    <s v="01. 이러닝 - 통합위탁"/>
    <n v="146816410"/>
    <n v="206510650"/>
    <n v="214176860"/>
    <x v="0"/>
    <s v="01 확정"/>
    <n v="230000000"/>
    <m/>
    <m/>
    <m/>
    <m/>
    <n v="30000000"/>
    <n v="25000000"/>
    <n v="20000000"/>
    <n v="20000000"/>
    <n v="20000000"/>
    <n v="25000000"/>
    <n v="30000000"/>
    <n v="30000000"/>
    <n v="30000000"/>
  </r>
  <r>
    <s v="기업교육1팀"/>
    <x v="2"/>
    <s v="기업교육1팀"/>
    <s v="김신정"/>
    <s v="행정안전부 지방자치인재개발원"/>
    <n v="23778"/>
    <s v="05 공공"/>
    <s v="01 수성"/>
    <s v="01 자체 LMS"/>
    <m/>
    <x v="3"/>
    <s v="07. 이러닝 - 컨텐츠 임대/판매"/>
    <m/>
    <m/>
    <n v="61000000"/>
    <x v="0"/>
    <s v="02 가망"/>
    <n v="60000000"/>
    <m/>
    <m/>
    <m/>
    <m/>
    <m/>
    <m/>
    <m/>
    <n v="40000000"/>
    <m/>
    <m/>
    <m/>
    <n v="20000000"/>
    <m/>
  </r>
  <r>
    <s v="기업교육1팀"/>
    <x v="2"/>
    <s v="기업교육1팀"/>
    <s v="김신정"/>
    <s v="광동제약"/>
    <n v="5034"/>
    <s v="01 1~1000대"/>
    <s v="01 수성"/>
    <m/>
    <s v="11. 컨텐츠 - 컨텐츠 임대/판매"/>
    <x v="3"/>
    <s v="07. 이러닝 - 컨텐츠 임대/판매"/>
    <n v="10000000"/>
    <n v="0"/>
    <n v="10000000"/>
    <x v="2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한국문화예술위원회"/>
    <n v="9376"/>
    <s v="05 공공"/>
    <s v="03 신규"/>
    <m/>
    <m/>
    <x v="13"/>
    <s v="14. 컨텐츠 - 컨텐츠 개발"/>
    <m/>
    <m/>
    <m/>
    <x v="5"/>
    <s v="03 기회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농촌진흥청"/>
    <n v="59741"/>
    <s v="05 공공"/>
    <s v="03 신규"/>
    <s v="01 자체 LMS"/>
    <m/>
    <x v="2"/>
    <s v="14. 컨텐츠 - 컨텐츠 개발"/>
    <m/>
    <n v="0"/>
    <n v="132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DHL코리아"/>
    <n v="7507"/>
    <s v="01 1~1000대"/>
    <s v="04 연장"/>
    <s v="03 휴넷 LMS"/>
    <s v="1. 온라인 - 단과"/>
    <x v="0"/>
    <s v="01. 이러닝 - 통합위탁"/>
    <n v="47907140"/>
    <n v="32878360"/>
    <n v="31029500"/>
    <x v="0"/>
    <s v="02 가망"/>
    <n v="34000000"/>
    <m/>
    <n v="2000000"/>
    <n v="3000000"/>
    <n v="3000000"/>
    <n v="3000000"/>
    <n v="3000000"/>
    <n v="3000000"/>
    <n v="2000000"/>
    <n v="2000000"/>
    <n v="3000000"/>
    <n v="3000000"/>
    <n v="3000000"/>
    <n v="4000000"/>
  </r>
  <r>
    <s v="기업교육1팀"/>
    <x v="2"/>
    <s v="기업교육1팀"/>
    <s v="김신정"/>
    <s v="한화시스템_협력사"/>
    <n v="63780"/>
    <s v="01 1~1000대"/>
    <s v="03 신규"/>
    <m/>
    <m/>
    <x v="0"/>
    <s v="01. 이러닝 - 통합위탁"/>
    <m/>
    <m/>
    <n v="24220000"/>
    <x v="0"/>
    <s v="02 가망"/>
    <n v="20000000"/>
    <m/>
    <m/>
    <m/>
    <m/>
    <m/>
    <m/>
    <m/>
    <m/>
    <m/>
    <m/>
    <n v="20000000"/>
    <m/>
    <m/>
  </r>
  <r>
    <s v="기업교육1팀"/>
    <x v="2"/>
    <s v="기업교육1팀"/>
    <s v="김신정"/>
    <s v="국제"/>
    <n v="63261"/>
    <s v="01 1~1000대"/>
    <s v="03 신규"/>
    <m/>
    <m/>
    <x v="6"/>
    <s v="19. 운영 - 운영매출"/>
    <m/>
    <m/>
    <n v="11000000"/>
    <x v="0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농촌진흥청 농촌인적자원개발센터"/>
    <n v="3608"/>
    <s v="05 공공"/>
    <s v="01 수성"/>
    <s v="01 자체 LMS"/>
    <s v="10. 컨텐츠 - 컨텐츠 개발"/>
    <x v="2"/>
    <s v="14. 컨텐츠 - 컨텐츠 개발"/>
    <m/>
    <n v="18000000"/>
    <n v="18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농식품공무원교육원"/>
    <n v="19263"/>
    <s v="05 공공"/>
    <s v="01 수성"/>
    <m/>
    <s v="5. 하이브리드러닝 - 러닝저니"/>
    <x v="9"/>
    <s v="08. 하이브리드러닝 - 하이브리드형 러닝"/>
    <m/>
    <n v="800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광동제약"/>
    <n v="5034"/>
    <s v="01 1~1000대"/>
    <s v="04 연장"/>
    <s v="03 휴넷 LMS"/>
    <s v="3. 온라인 - 마이크로러닝"/>
    <x v="14"/>
    <s v="04. 이러닝 - 마이크로러닝"/>
    <n v="8750000"/>
    <n v="17500000"/>
    <n v="17500000"/>
    <x v="0"/>
    <s v="02 가망"/>
    <n v="17500000"/>
    <m/>
    <m/>
    <m/>
    <m/>
    <m/>
    <n v="8750000"/>
    <m/>
    <m/>
    <m/>
    <m/>
    <m/>
    <m/>
    <n v="8750000"/>
  </r>
  <r>
    <s v="기업교육1팀"/>
    <x v="2"/>
    <s v="기업교육1팀"/>
    <s v="김신정"/>
    <s v="농식품공무원교육원"/>
    <n v="19263"/>
    <s v="05 공공"/>
    <s v="01 수성"/>
    <m/>
    <s v="36. 기타 - 기타"/>
    <x v="5"/>
    <s v="25. 기타 - 기타"/>
    <m/>
    <n v="17272728"/>
    <n v="25000000"/>
    <x v="1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두산밥캣"/>
    <n v="28980"/>
    <s v="01 1~1000대"/>
    <s v="03 신규"/>
    <m/>
    <m/>
    <x v="13"/>
    <s v="08. 하이브리드러닝 - 하이브리드형 러닝"/>
    <m/>
    <m/>
    <m/>
    <x v="5"/>
    <s v="03 기회"/>
    <n v="50000000"/>
    <m/>
    <m/>
    <m/>
    <m/>
    <m/>
    <m/>
    <m/>
    <m/>
    <m/>
    <m/>
    <n v="50000000"/>
    <m/>
    <m/>
  </r>
  <r>
    <s v="기업교육1팀"/>
    <x v="2"/>
    <s v="기업교육1팀"/>
    <s v="김신정"/>
    <s v="한국마사회"/>
    <n v="4345"/>
    <s v="05 공공"/>
    <s v="01 수성"/>
    <m/>
    <s v="10. 컨텐츠 - 컨텐츠 개발"/>
    <x v="2"/>
    <s v="14. 컨텐츠 - 컨텐츠 개발"/>
    <s v=""/>
    <n v="0"/>
    <n v="30000000"/>
    <x v="3"/>
    <s v="03 기회"/>
    <n v="30000000"/>
    <m/>
    <m/>
    <m/>
    <m/>
    <n v="10000000"/>
    <m/>
    <m/>
    <m/>
    <m/>
    <m/>
    <m/>
    <m/>
    <n v="20000000"/>
  </r>
  <r>
    <s v="기업교육1팀"/>
    <x v="2"/>
    <s v="기업교육1팀"/>
    <s v="김신정"/>
    <s v="광동제약"/>
    <n v="5034"/>
    <s v="01 1~1000대"/>
    <s v="04 연장"/>
    <s v="03 휴넷 LMS"/>
    <s v="6. 하이브리드러닝 - 집합형"/>
    <x v="9"/>
    <s v="08. 하이브리드러닝 - 하이브리드형 러닝"/>
    <m/>
    <n v="0"/>
    <n v="21120000"/>
    <x v="0"/>
    <s v="03 기회"/>
    <n v="20000000"/>
    <m/>
    <m/>
    <m/>
    <m/>
    <n v="10000000"/>
    <m/>
    <m/>
    <m/>
    <n v="10000000"/>
    <m/>
    <m/>
    <m/>
    <m/>
  </r>
  <r>
    <s v="기업교육1팀"/>
    <x v="2"/>
    <s v="기업교육1팀"/>
    <s v="김신정"/>
    <s v="삼천리이엔지"/>
    <n v="3557"/>
    <s v="04 3000대 이후"/>
    <s v="01 수성"/>
    <s v="02 경쟁사 LMS"/>
    <s v="1. 온라인 - 단과"/>
    <x v="1"/>
    <s v="02. 이러닝 - 단과"/>
    <m/>
    <n v="25552000"/>
    <n v="24150000"/>
    <x v="0"/>
    <s v="03 기회"/>
    <n v="20000000"/>
    <m/>
    <n v="20000000"/>
    <m/>
    <m/>
    <m/>
    <m/>
    <m/>
    <m/>
    <m/>
    <m/>
    <m/>
    <m/>
    <m/>
  </r>
  <r>
    <s v="기업교육1팀"/>
    <x v="2"/>
    <s v="기업교육1팀"/>
    <s v="김신정"/>
    <s v="농촌진흥청 농촌인적자원개발센터(ATD)"/>
    <n v="3608"/>
    <s v="05 공공"/>
    <s v="01 수성"/>
    <m/>
    <s v="24. 운영 - 운영매출"/>
    <x v="6"/>
    <s v="19. 운영 - 운영매출"/>
    <m/>
    <n v="19090909"/>
    <n v="0"/>
    <x v="3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대영전자"/>
    <n v="17829"/>
    <s v="01 1~1000대"/>
    <s v="04 연장"/>
    <s v="03 휴넷 LMS"/>
    <s v="1. 온라인 - 단과"/>
    <x v="1"/>
    <s v="02. 이러닝 - 단과"/>
    <n v="5604060"/>
    <n v="11085216"/>
    <n v="964214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2"/>
    <s v="기업교육1팀"/>
    <s v="김신정"/>
    <s v="한국마사회"/>
    <n v="4345"/>
    <s v="05 공공"/>
    <s v="03 신규"/>
    <s v="02 경쟁사 LMS"/>
    <s v="1. 온라인 - 단과"/>
    <x v="1"/>
    <s v="02. 이러닝 - 단과"/>
    <s v=""/>
    <n v="0"/>
    <n v="20000000"/>
    <x v="2"/>
    <s v="03 기회"/>
    <n v="20000000"/>
    <m/>
    <m/>
    <m/>
    <m/>
    <m/>
    <n v="10000000"/>
    <m/>
    <m/>
    <m/>
    <m/>
    <n v="10000000"/>
    <m/>
    <m/>
  </r>
  <r>
    <s v="기업교육1팀"/>
    <x v="2"/>
    <s v="기업교육1팀"/>
    <s v="김신정"/>
    <s v="두산건설"/>
    <s v="3894"/>
    <s v="01 1~1000대"/>
    <s v="03 신규"/>
    <m/>
    <m/>
    <x v="9"/>
    <s v="08. 하이브리드러닝 - 하이브리드형 러닝"/>
    <m/>
    <m/>
    <n v="10000000"/>
    <x v="1"/>
    <s v="02 가망"/>
    <n v="10000000"/>
    <m/>
    <m/>
    <m/>
    <m/>
    <m/>
    <m/>
    <m/>
    <m/>
    <m/>
    <m/>
    <n v="10000000"/>
    <m/>
    <m/>
  </r>
  <r>
    <s v="기업교육1팀"/>
    <x v="2"/>
    <m/>
    <m/>
    <s v="삼성전자(웹툰 제작)"/>
    <n v="613"/>
    <s v="01 1~1000대"/>
    <s v="01 수성"/>
    <m/>
    <m/>
    <x v="2"/>
    <s v="14. 컨텐츠 - 컨텐츠 개발"/>
    <m/>
    <n v="0"/>
    <n v="84000000"/>
    <x v="7"/>
    <m/>
    <n v="0"/>
    <m/>
    <m/>
    <m/>
    <m/>
    <m/>
    <m/>
    <m/>
    <m/>
    <m/>
    <m/>
    <m/>
    <m/>
    <m/>
  </r>
  <r>
    <s v="기업교육1팀"/>
    <x v="2"/>
    <s v="기업교육1팀"/>
    <s v="김신정"/>
    <s v="삼천리"/>
    <n v="1375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5000000"/>
    <m/>
    <m/>
    <n v="10000000"/>
    <m/>
    <m/>
    <n v="5000000"/>
  </r>
  <r>
    <s v="기업교육1팀"/>
    <x v="2"/>
    <s v="기업교육1팀"/>
    <s v="김신정"/>
    <s v="코레일유통"/>
    <n v="7701"/>
    <s v="05 공공"/>
    <s v="01 수성"/>
    <s v="03 휴넷 LMS"/>
    <s v="2. 온라인 - 법정"/>
    <x v="11"/>
    <s v="03. 이러닝 - 법정"/>
    <n v="18555500"/>
    <n v="18735000"/>
    <n v="19000000"/>
    <x v="1"/>
    <s v="03 기회"/>
    <n v="19000000"/>
    <m/>
    <m/>
    <m/>
    <m/>
    <m/>
    <m/>
    <m/>
    <m/>
    <m/>
    <m/>
    <m/>
    <m/>
    <n v="19000000"/>
  </r>
  <r>
    <s v="기업교육1팀"/>
    <x v="2"/>
    <s v="기업교육1팀"/>
    <s v="김신정"/>
    <s v="농촌진흥청 농촌인적자원개발센터"/>
    <n v="3608"/>
    <s v="05 공공"/>
    <s v="03 신규"/>
    <s v="01 자체 LMS"/>
    <m/>
    <x v="3"/>
    <s v="07. 이러닝 - 컨텐츠 임대/판매"/>
    <m/>
    <n v="0"/>
    <n v="14000000"/>
    <x v="3"/>
    <s v="03 기회"/>
    <n v="10000000"/>
    <m/>
    <m/>
    <m/>
    <m/>
    <m/>
    <m/>
    <m/>
    <m/>
    <m/>
    <m/>
    <n v="10000000"/>
    <m/>
    <m/>
  </r>
  <r>
    <s v="기업교육1팀"/>
    <x v="2"/>
    <s v="기업교육1팀"/>
    <s v="김신정"/>
    <s v="농촌진흥청 농촌인적자원개발센터"/>
    <n v="3608"/>
    <s v="05 공공"/>
    <s v="01 수성"/>
    <m/>
    <s v="6. 하이브리드러닝 - 집합형"/>
    <x v="9"/>
    <s v="08. 하이브리드러닝 - 하이브리드형 러닝"/>
    <m/>
    <n v="18000000"/>
    <n v="18000000"/>
    <x v="1"/>
    <s v="03 기회"/>
    <n v="10000000"/>
    <m/>
    <m/>
    <m/>
    <m/>
    <m/>
    <m/>
    <m/>
    <n v="10000000"/>
    <m/>
    <m/>
    <m/>
    <m/>
    <m/>
  </r>
  <r>
    <s v="기업교육1팀"/>
    <x v="2"/>
    <s v="기업교육1팀"/>
    <s v="김신정"/>
    <s v="대영전자"/>
    <n v="17829"/>
    <s v="01 1~1000대"/>
    <s v="03 신규"/>
    <s v="03 휴넷 LMS"/>
    <s v="4. 하이브리드러닝 - 플립형"/>
    <x v="9"/>
    <s v="08. 하이브리드러닝 - 하이브리드형 러닝"/>
    <m/>
    <n v="0"/>
    <n v="10000000"/>
    <x v="1"/>
    <s v="03 기회"/>
    <n v="10000000"/>
    <m/>
    <m/>
    <m/>
    <m/>
    <m/>
    <m/>
    <n v="5000000"/>
    <m/>
    <m/>
    <m/>
    <m/>
    <m/>
    <n v="5000000"/>
  </r>
  <r>
    <s v="기업교육1팀"/>
    <x v="2"/>
    <s v="기업교육1팀"/>
    <s v="김신정"/>
    <s v="한화_협력사"/>
    <n v="63777"/>
    <s v="01 1~1000대"/>
    <s v="03 신규"/>
    <m/>
    <m/>
    <x v="0"/>
    <s v="01. 이러닝 - 통합위탁"/>
    <m/>
    <m/>
    <n v="11840000"/>
    <x v="0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한미약품"/>
    <n v="1921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2"/>
    <s v="기업교육1팀"/>
    <s v="김신정"/>
    <s v="두산건설"/>
    <n v="3894"/>
    <s v="01 1~1000대"/>
    <s v="03 신규"/>
    <m/>
    <m/>
    <x v="13"/>
    <s v="23. 이러닝 - 플레이북"/>
    <m/>
    <m/>
    <m/>
    <x v="5"/>
    <s v="03 기회"/>
    <n v="10000000"/>
    <m/>
    <m/>
    <m/>
    <m/>
    <m/>
    <m/>
    <m/>
    <m/>
    <m/>
    <n v="10000000"/>
    <m/>
    <m/>
    <m/>
  </r>
  <r>
    <s v="기업교육1팀"/>
    <x v="2"/>
    <s v="기업교육1팀"/>
    <s v="김신정"/>
    <s v="케이씨 그룹"/>
    <n v="1558"/>
    <s v="02 1001~2000대"/>
    <s v="04 연장"/>
    <m/>
    <s v="1. 온라인 - 단과"/>
    <x v="0"/>
    <s v="01. 이러닝 - 통합위탁"/>
    <n v="51650500"/>
    <n v="0"/>
    <n v="40393000"/>
    <x v="0"/>
    <s v="01 확정"/>
    <n v="45000000"/>
    <m/>
    <n v="3000000"/>
    <n v="3000000"/>
    <n v="3000000"/>
    <n v="4000000"/>
    <n v="4000000"/>
    <n v="5000000"/>
    <n v="3000000"/>
    <n v="3000000"/>
    <n v="4000000"/>
    <n v="4000000"/>
    <n v="4000000"/>
    <n v="5000000"/>
  </r>
  <r>
    <s v="기업교육1팀"/>
    <x v="2"/>
    <s v="기업교육1팀"/>
    <s v="김신정"/>
    <s v="한국바스프"/>
    <n v="2281"/>
    <s v="01 1~1000대"/>
    <s v="01 수성"/>
    <s v="03 휴넷 LMS"/>
    <s v="2. 온라인 - 법정"/>
    <x v="11"/>
    <s v="03. 이러닝 - 법정"/>
    <n v="5666000"/>
    <n v="5734000"/>
    <n v="6000000"/>
    <x v="1"/>
    <s v="03 기회"/>
    <n v="6000000"/>
    <m/>
    <m/>
    <m/>
    <m/>
    <m/>
    <m/>
    <m/>
    <m/>
    <m/>
    <m/>
    <m/>
    <n v="6000000"/>
    <m/>
  </r>
  <r>
    <s v="기업교육1팀"/>
    <x v="2"/>
    <s v="기업교육1팀"/>
    <s v="김신정"/>
    <s v="삼천리"/>
    <n v="1375"/>
    <s v="01 1~1000대"/>
    <s v="02 윈백"/>
    <s v="02 경쟁사 LMS"/>
    <s v="4. 하이브리드러닝 - 플립형"/>
    <x v="9"/>
    <s v="08. 하이브리드러닝 - 하이브리드형 러닝"/>
    <n v="8512000"/>
    <n v="0"/>
    <n v="5000000"/>
    <x v="2"/>
    <s v="03 기회"/>
    <n v="5000000"/>
    <m/>
    <m/>
    <m/>
    <m/>
    <m/>
    <m/>
    <n v="5000000"/>
    <m/>
    <m/>
    <m/>
    <m/>
    <m/>
    <m/>
  </r>
  <r>
    <s v="기업교육1팀"/>
    <x v="2"/>
    <s v="기업교육1팀"/>
    <s v="김신정"/>
    <s v="시청자미디어재단"/>
    <n v="18757"/>
    <s v="05 공공"/>
    <s v="02 윈백"/>
    <m/>
    <s v="6. 하이브리드러닝 - 집합형"/>
    <x v="9"/>
    <s v="08. 하이브리드러닝 - 하이브리드형 러닝"/>
    <n v="13454545"/>
    <n v="0"/>
    <n v="6000000"/>
    <x v="2"/>
    <s v="03 기회"/>
    <n v="5000000"/>
    <m/>
    <m/>
    <m/>
    <m/>
    <n v="5000000"/>
    <m/>
    <m/>
    <m/>
    <m/>
    <m/>
    <m/>
    <m/>
    <m/>
  </r>
  <r>
    <s v="기업교육1팀"/>
    <x v="2"/>
    <s v="기업교육1팀"/>
    <s v="김신정"/>
    <s v="제이디씨파트너스"/>
    <n v="54321"/>
    <s v="05 공공"/>
    <s v="03 신규"/>
    <s v="02 경쟁사 LMS"/>
    <s v="1. 온라인 - 단과"/>
    <x v="1"/>
    <s v="02. 이러닝 - 단과"/>
    <s v=""/>
    <n v="0"/>
    <n v="5000000"/>
    <x v="2"/>
    <s v="03 기회"/>
    <n v="5000000"/>
    <m/>
    <m/>
    <m/>
    <m/>
    <m/>
    <m/>
    <m/>
    <m/>
    <m/>
    <m/>
    <m/>
    <m/>
    <n v="5000000"/>
  </r>
  <r>
    <s v="기업교육1팀"/>
    <x v="2"/>
    <s v="기업교육1팀"/>
    <s v="김신정"/>
    <s v="케이씨 그룹"/>
    <n v="1558"/>
    <s v="02 1001~2000대"/>
    <s v="04 연장"/>
    <m/>
    <s v="1. 온라인 - 단과"/>
    <x v="1"/>
    <s v="02. 이러닝 - 단과"/>
    <m/>
    <n v="59866260"/>
    <n v="4976500"/>
    <x v="0"/>
    <s v="03 기회"/>
    <n v="5000000"/>
    <m/>
    <m/>
    <m/>
    <m/>
    <m/>
    <m/>
    <n v="2500000"/>
    <m/>
    <m/>
    <m/>
    <m/>
    <n v="2500000"/>
    <m/>
  </r>
  <r>
    <s v="기업교육1팀"/>
    <x v="2"/>
    <s v="기업교육1팀"/>
    <s v="김신정"/>
    <s v="한국기상산업기술원"/>
    <n v="16328"/>
    <s v="05 공공"/>
    <s v="01 수성"/>
    <s v="03 휴넷 LMS"/>
    <s v="2. 온라인 - 법정"/>
    <x v="11"/>
    <s v="03. 이러닝 - 법정"/>
    <m/>
    <n v="4800000"/>
    <n v="5000000"/>
    <x v="8"/>
    <s v="03 기회"/>
    <n v="5000000"/>
    <m/>
    <m/>
    <m/>
    <m/>
    <m/>
    <m/>
    <n v="2500000"/>
    <m/>
    <m/>
    <m/>
    <n v="2500000"/>
    <m/>
    <m/>
  </r>
  <r>
    <s v="기업교육1팀"/>
    <x v="2"/>
    <s v="기업교육1팀"/>
    <s v="김신정"/>
    <s v="광동제약"/>
    <n v="5034"/>
    <s v="01 1~1000대"/>
    <s v="03 신규"/>
    <m/>
    <m/>
    <x v="13"/>
    <s v="11. 구독 - 휴넷 리더십저니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콘텐츠진흥원"/>
    <n v="16482"/>
    <s v="05 공공"/>
    <s v="03 신규"/>
    <m/>
    <m/>
    <x v="13"/>
    <s v="13. 구독 - Wisdom spring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전력공사"/>
    <n v="3238"/>
    <s v="05 공공"/>
    <s v="03 신규"/>
    <m/>
    <m/>
    <x v="13"/>
    <s v="03. 이러닝 - 법정"/>
    <m/>
    <m/>
    <m/>
    <x v="5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에스비아이저축은행"/>
    <n v="16030"/>
    <s v="01 1~1000대"/>
    <s v="03 신규"/>
    <m/>
    <m/>
    <x v="13"/>
    <s v="10. 구독 - 휴넷CEO멤버십"/>
    <m/>
    <m/>
    <n v="0"/>
    <x v="6"/>
    <s v="03 기회"/>
    <n v="5000000"/>
    <m/>
    <m/>
    <m/>
    <m/>
    <m/>
    <m/>
    <m/>
    <m/>
    <m/>
    <m/>
    <n v="5000000"/>
    <m/>
    <m/>
  </r>
  <r>
    <s v="기업교육1팀"/>
    <x v="2"/>
    <s v="기업교육1팀"/>
    <s v="김신정"/>
    <s v="글래드호텔"/>
    <n v="23529"/>
    <s v="01 1~1000대"/>
    <s v="01 수성"/>
    <m/>
    <s v="2. 온라인 - 법정"/>
    <x v="11"/>
    <s v="03. 이러닝 - 법정"/>
    <n v="5257000"/>
    <n v="4224000"/>
    <n v="0"/>
    <x v="7"/>
    <s v="03 기회"/>
    <n v="4000000"/>
    <m/>
    <m/>
    <m/>
    <m/>
    <m/>
    <m/>
    <m/>
    <n v="4000000"/>
    <m/>
    <m/>
    <m/>
    <m/>
    <m/>
  </r>
  <r>
    <s v="기업교육1팀"/>
    <x v="2"/>
    <s v="기업교육1팀"/>
    <s v="김신정"/>
    <s v="한국기상산업기술원(외부교육)"/>
    <n v="61357"/>
    <s v="05 공공"/>
    <s v="04 연장"/>
    <m/>
    <s v="13. 솔루션 - 표준형 LABS"/>
    <x v="8"/>
    <s v="15. 솔루션 - LABS"/>
    <m/>
    <n v="7200000"/>
    <n v="20000000"/>
    <x v="0"/>
    <s v="01 확정"/>
    <n v="20000000"/>
    <m/>
    <m/>
    <m/>
    <m/>
    <m/>
    <m/>
    <m/>
    <m/>
    <m/>
    <m/>
    <m/>
    <m/>
    <n v="20000000"/>
  </r>
  <r>
    <s v="기업교육1팀"/>
    <x v="2"/>
    <s v="기업교육1팀"/>
    <s v="김신정"/>
    <s v="삼우통상"/>
    <n v="11297"/>
    <s v="04 3000대 이후"/>
    <s v="04 연장"/>
    <s v="03 휴넷 LMS"/>
    <s v="2. 온라인 - 법정"/>
    <x v="11"/>
    <s v="03. 이러닝 - 법정"/>
    <n v="4066000"/>
    <n v="5606000"/>
    <n v="4000000"/>
    <x v="0"/>
    <s v="03 기회"/>
    <n v="4000000"/>
    <m/>
    <n v="200000"/>
    <n v="300000"/>
    <n v="300000"/>
    <n v="300000"/>
    <n v="300000"/>
    <n v="550000"/>
    <n v="300000"/>
    <n v="300000"/>
    <n v="300000"/>
    <n v="300000"/>
    <n v="300000"/>
    <n v="550000"/>
  </r>
  <r>
    <s v="기업교육1팀"/>
    <x v="2"/>
    <s v="기업교육1팀"/>
    <s v="김신정"/>
    <s v="코레일유통"/>
    <n v="7701"/>
    <s v="05 공공"/>
    <s v="01 수성"/>
    <s v="03 휴넷 LMS"/>
    <s v="6. 하이브리드러닝 - 집합형"/>
    <x v="9"/>
    <s v="08. 하이브리드러닝 - 하이브리드형 러닝"/>
    <n v="20730000"/>
    <n v="31495000"/>
    <n v="7960000"/>
    <x v="0"/>
    <s v="02 가망"/>
    <n v="8000000"/>
    <m/>
    <m/>
    <m/>
    <n v="2000000"/>
    <m/>
    <n v="2000000"/>
    <m/>
    <n v="2000000"/>
    <m/>
    <n v="2000000"/>
    <m/>
    <m/>
    <m/>
  </r>
  <r>
    <s v="기업교육1팀"/>
    <x v="2"/>
    <s v="기업교육1팀"/>
    <s v="김신정"/>
    <s v="에스비아이저축은행"/>
    <n v="16030"/>
    <s v="01 1~1000대"/>
    <s v="01 수성"/>
    <m/>
    <s v="2. 온라인 - 법정"/>
    <x v="11"/>
    <s v="03. 이러닝 - 법정"/>
    <m/>
    <n v="4230000"/>
    <n v="0"/>
    <x v="6"/>
    <s v="03 기회"/>
    <n v="4000000"/>
    <m/>
    <m/>
    <m/>
    <m/>
    <m/>
    <m/>
    <m/>
    <m/>
    <m/>
    <m/>
    <m/>
    <m/>
    <n v="4000000"/>
  </r>
  <r>
    <s v="기업교육1팀"/>
    <x v="2"/>
    <s v="기업교육1팀"/>
    <s v="김신정"/>
    <s v="한국보육진흥원"/>
    <n v="15503"/>
    <s v="05 공공"/>
    <s v="01 수성"/>
    <s v="03 휴넷 LMS"/>
    <s v="2. 온라인 - 법정"/>
    <x v="11"/>
    <s v="03. 이러닝 - 법정"/>
    <m/>
    <n v="3220000"/>
    <n v="4000000"/>
    <x v="1"/>
    <s v="03 기회"/>
    <n v="4000000"/>
    <m/>
    <m/>
    <m/>
    <m/>
    <m/>
    <m/>
    <m/>
    <m/>
    <m/>
    <m/>
    <m/>
    <n v="4000000"/>
    <m/>
  </r>
  <r>
    <s v="기업교육1팀"/>
    <x v="2"/>
    <s v="기업교육1팀"/>
    <s v="김신정"/>
    <s v="한국보육진흥원"/>
    <n v="15503"/>
    <s v="05 공공"/>
    <s v="01 수성"/>
    <m/>
    <s v="1. 온라인 - 단과"/>
    <x v="1"/>
    <s v="02. 이러닝 - 단과"/>
    <m/>
    <n v="2715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케이씨 그룹"/>
    <n v="1558"/>
    <s v="01 1~1000대"/>
    <s v="03 신규"/>
    <m/>
    <m/>
    <x v="9"/>
    <s v="08. 하이브리드러닝 - 하이브리드형 러닝"/>
    <m/>
    <m/>
    <n v="3670000"/>
    <x v="0"/>
    <s v="03 기회"/>
    <n v="3000000"/>
    <m/>
    <m/>
    <m/>
    <m/>
    <n v="3000000"/>
    <m/>
    <m/>
    <m/>
    <m/>
    <m/>
    <m/>
    <m/>
    <m/>
  </r>
  <r>
    <s v="기업교육1팀"/>
    <x v="2"/>
    <s v="기업교육1팀"/>
    <s v="김신정"/>
    <s v="한국기상산업기술원"/>
    <n v="16328"/>
    <s v="05 공공"/>
    <s v="03 신규"/>
    <s v="03 휴넷 LMS"/>
    <s v="6. 하이브리드러닝 - 집합형"/>
    <x v="9"/>
    <s v="08. 하이브리드러닝 - 하이브리드형 러닝"/>
    <n v="8000000"/>
    <n v="0"/>
    <n v="3000000"/>
    <x v="2"/>
    <s v="03 기회"/>
    <n v="3000000"/>
    <m/>
    <m/>
    <m/>
    <m/>
    <m/>
    <m/>
    <m/>
    <n v="3000000"/>
    <m/>
    <m/>
    <m/>
    <m/>
    <m/>
  </r>
  <r>
    <s v="기업교육1팀"/>
    <x v="2"/>
    <s v="기업교육1팀"/>
    <s v="김신정"/>
    <s v="한국보육진흥원"/>
    <n v="15503"/>
    <s v="05 공공"/>
    <s v="01 수성"/>
    <m/>
    <s v="10. 컨텐츠 - 컨텐츠 개발"/>
    <x v="2"/>
    <s v="14. 컨텐츠 - 컨텐츠 개발"/>
    <m/>
    <n v="0"/>
    <n v="60000000"/>
    <x v="2"/>
    <s v="06 사업취소"/>
    <n v="0"/>
    <m/>
    <m/>
    <m/>
    <m/>
    <m/>
    <m/>
    <m/>
    <m/>
    <m/>
    <m/>
    <m/>
    <m/>
    <m/>
  </r>
  <r>
    <s v="기업교육1팀"/>
    <x v="2"/>
    <s v="기업교육1팀"/>
    <s v="김신정"/>
    <s v="한국마사회"/>
    <n v="4345"/>
    <s v="05 공공"/>
    <s v="01 수성"/>
    <m/>
    <s v="2. 온라인 - 법정"/>
    <x v="11"/>
    <s v="03. 이러닝 - 법정"/>
    <n v="6105000"/>
    <n v="5714600"/>
    <n v="8000000"/>
    <x v="0"/>
    <s v="02 가망"/>
    <n v="8000000"/>
    <m/>
    <m/>
    <m/>
    <m/>
    <m/>
    <m/>
    <m/>
    <m/>
    <m/>
    <m/>
    <m/>
    <n v="8000000"/>
    <m/>
  </r>
  <r>
    <s v="기업교육1팀"/>
    <x v="2"/>
    <s v="기업교육1팀"/>
    <s v="김신정"/>
    <s v="한국콘텐츠진흥원"/>
    <n v="16482"/>
    <s v="05 공공"/>
    <s v="01 수성"/>
    <s v="03 휴넷 LMS"/>
    <s v="2. 온라인 - 법정"/>
    <x v="11"/>
    <s v="03. 이러닝 - 법정"/>
    <n v="16663500"/>
    <n v="9230000"/>
    <n v="8000000"/>
    <x v="1"/>
    <s v="02 가망"/>
    <n v="8000000"/>
    <m/>
    <m/>
    <m/>
    <m/>
    <m/>
    <m/>
    <n v="4000000"/>
    <m/>
    <m/>
    <m/>
    <n v="4000000"/>
    <m/>
    <m/>
  </r>
  <r>
    <s v="기업교육1팀"/>
    <x v="2"/>
    <s v="기업교육1팀"/>
    <s v="김신정"/>
    <s v="한화솔루션_협력사"/>
    <n v="63779"/>
    <s v="01 1~1000대"/>
    <s v="03 신규"/>
    <m/>
    <m/>
    <x v="0"/>
    <s v="01. 이러닝 - 통합위탁"/>
    <m/>
    <m/>
    <n v="8940000"/>
    <x v="0"/>
    <s v="02 가망"/>
    <n v="8000000"/>
    <m/>
    <m/>
    <m/>
    <m/>
    <m/>
    <m/>
    <m/>
    <m/>
    <m/>
    <m/>
    <n v="8000000"/>
    <m/>
    <m/>
  </r>
  <r>
    <s v="기업교육1팀"/>
    <x v="2"/>
    <s v="기업교육1팀"/>
    <s v="김신정"/>
    <s v="광동생활건강"/>
    <n v="46549"/>
    <s v="02 1001~2000대"/>
    <s v="04 연장"/>
    <s v="03 휴넷 LMS"/>
    <s v="1. 온라인 - 단과"/>
    <x v="1"/>
    <s v="02. 이러닝 - 단과"/>
    <n v="4004820"/>
    <n v="3292620"/>
    <n v="3593820"/>
    <x v="0"/>
    <s v="02 가망"/>
    <n v="3600000"/>
    <m/>
    <n v="300000"/>
    <n v="300000"/>
    <n v="300000"/>
    <n v="300000"/>
    <n v="300000"/>
    <n v="300000"/>
    <n v="300000"/>
    <n v="300000"/>
    <n v="300000"/>
    <n v="300000"/>
    <n v="300000"/>
    <n v="300000"/>
  </r>
  <r>
    <s v="기업교육1팀"/>
    <x v="2"/>
    <s v="기업교육1팀"/>
    <s v="김신정"/>
    <s v="공감이엔에스(구.삼천리이엔에스경인)"/>
    <n v="58930"/>
    <s v="01 1~1000대"/>
    <s v="01 수성"/>
    <m/>
    <s v="2. 온라인 - 법정"/>
    <x v="11"/>
    <s v="03. 이러닝 - 법정"/>
    <m/>
    <n v="459000"/>
    <n v="282000"/>
    <x v="0"/>
    <s v="02 가망"/>
    <n v="300000"/>
    <m/>
    <m/>
    <m/>
    <m/>
    <m/>
    <m/>
    <n v="300000"/>
    <m/>
    <m/>
    <m/>
    <m/>
    <m/>
    <m/>
  </r>
  <r>
    <s v="기업교육1팀"/>
    <x v="2"/>
    <s v="기업교육1팀"/>
    <s v="김신정"/>
    <s v="에스이엔에스(구.삼천리이엔에스경기)"/>
    <n v="58931"/>
    <s v="01 1~1000대"/>
    <s v="01 수성"/>
    <m/>
    <s v="2. 온라인 - 법정"/>
    <x v="11"/>
    <s v="03. 이러닝 - 법정"/>
    <m/>
    <n v="237000"/>
    <n v="153000"/>
    <x v="0"/>
    <s v="02 가망"/>
    <n v="200000"/>
    <m/>
    <m/>
    <m/>
    <m/>
    <m/>
    <m/>
    <n v="200000"/>
    <m/>
    <m/>
    <m/>
    <m/>
    <m/>
    <m/>
  </r>
  <r>
    <s v="기업교육1팀"/>
    <x v="2"/>
    <s v="기업교육1팀"/>
    <s v="김신정"/>
    <s v="한국보육진흥원"/>
    <n v="15503"/>
    <s v="05 공공"/>
    <s v="03 신규"/>
    <m/>
    <s v="6. 하이브리드러닝 - 집합형"/>
    <x v="9"/>
    <s v="08. 하이브리드러닝 - 하이브리드형 러닝"/>
    <n v="2181818"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s v="03 휴넷 LMS"/>
    <s v="2. 온라인 - 법정"/>
    <x v="11"/>
    <s v="03. 이러닝 - 법정"/>
    <s v=""/>
    <n v="0"/>
    <n v="20000000"/>
    <x v="2"/>
    <s v="02 가망"/>
    <n v="0"/>
    <m/>
    <m/>
    <m/>
    <m/>
    <m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m/>
    <s v="6. 하이브리드러닝 - 집합형"/>
    <x v="12"/>
    <s v="09. 하이브리드러닝 - 순수 오프라인"/>
    <s v=""/>
    <n v="0"/>
    <n v="40000000"/>
    <x v="2"/>
    <s v="02 가망"/>
    <n v="0"/>
    <m/>
    <m/>
    <m/>
    <m/>
    <m/>
    <m/>
    <m/>
    <m/>
    <m/>
    <m/>
    <m/>
    <m/>
    <m/>
  </r>
  <r>
    <s v="기업교육1팀"/>
    <x v="2"/>
    <s v="기업교육1팀"/>
    <s v="김신정"/>
    <s v="두산건설"/>
    <n v="3894"/>
    <s v="01 1~1000대"/>
    <s v="03 신규"/>
    <m/>
    <m/>
    <x v="13"/>
    <s v="11. 구독 - 휴넷 리더십저니"/>
    <m/>
    <m/>
    <m/>
    <x v="5"/>
    <s v="03 기회"/>
    <n v="3000000"/>
    <m/>
    <m/>
    <m/>
    <n v="3000000"/>
    <m/>
    <m/>
    <m/>
    <m/>
    <m/>
    <m/>
    <m/>
    <m/>
    <m/>
  </r>
  <r>
    <s v="기업교육1팀"/>
    <x v="2"/>
    <s v="기업교육1팀"/>
    <s v="김신정"/>
    <s v="광동제약"/>
    <n v="5034"/>
    <s v="01 1~1000대"/>
    <s v="01 수성"/>
    <m/>
    <s v="10. 컨텐츠 - 컨텐츠 개발"/>
    <x v="2"/>
    <s v="14. 컨텐츠 - 컨텐츠 개발"/>
    <m/>
    <n v="1231000"/>
    <n v="0"/>
    <x v="6"/>
    <s v="03 기회"/>
    <n v="2000000"/>
    <m/>
    <m/>
    <m/>
    <m/>
    <m/>
    <m/>
    <m/>
    <n v="2000000"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3"/>
    <s v="13. 구독 - Wisdom spring"/>
    <m/>
    <m/>
    <m/>
    <x v="5"/>
    <s v="03 기회"/>
    <n v="2000000"/>
    <m/>
    <m/>
    <m/>
    <m/>
    <m/>
    <m/>
    <m/>
    <m/>
    <m/>
    <n v="2000000"/>
    <m/>
    <m/>
    <m/>
  </r>
  <r>
    <s v="기업교육1팀"/>
    <x v="2"/>
    <s v="기업교육1팀"/>
    <s v="김신정"/>
    <s v="인아오리엔탈모터"/>
    <n v="1573"/>
    <s v="01 1~1000대"/>
    <s v="01 수성"/>
    <m/>
    <s v="2. 온라인 - 법정"/>
    <x v="11"/>
    <s v="03. 이러닝 - 법정"/>
    <m/>
    <n v="1815000"/>
    <n v="0"/>
    <x v="6"/>
    <s v="03 기회"/>
    <n v="1000000"/>
    <m/>
    <m/>
    <m/>
    <m/>
    <m/>
    <m/>
    <m/>
    <m/>
    <m/>
    <m/>
    <m/>
    <m/>
    <n v="1000000"/>
  </r>
  <r>
    <s v="기업교육1팀"/>
    <x v="2"/>
    <s v="기업교육1팀"/>
    <s v="김신정"/>
    <s v="케이씨에이손해사정"/>
    <n v="27811"/>
    <s v="03 2001~3000대"/>
    <s v="01 수성"/>
    <s v="03 휴넷 LMS"/>
    <s v="1. 온라인 - 단과"/>
    <x v="1"/>
    <s v="02. 이러닝 - 단과"/>
    <m/>
    <n v="457000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케이씨파츠텍"/>
    <n v="53409"/>
    <s v="01 1~1000대"/>
    <s v="01 수성"/>
    <m/>
    <s v="1. 온라인 - 단과"/>
    <x v="1"/>
    <s v="02. 이러닝 - 단과"/>
    <n v="531000"/>
    <n v="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"/>
    <s v="02. 이러닝 - 단과"/>
    <m/>
    <n v="0"/>
    <n v="765000"/>
    <x v="0"/>
    <s v="03 기회"/>
    <n v="1000000"/>
    <m/>
    <m/>
    <m/>
    <n v="1000000"/>
    <m/>
    <m/>
    <m/>
    <m/>
    <m/>
    <m/>
    <m/>
    <m/>
    <m/>
  </r>
  <r>
    <s v="기업교육1팀"/>
    <x v="2"/>
    <s v="기업교육1팀"/>
    <s v="김신정"/>
    <s v="케이씨 그룹"/>
    <n v="1558"/>
    <s v="02 1001~2000대"/>
    <s v="03 신규"/>
    <m/>
    <s v="1. 온라인 - 단과"/>
    <x v="7"/>
    <s v="10. 구독 - 휴넷CEO멤버십"/>
    <m/>
    <n v="0"/>
    <n v="454545"/>
    <x v="0"/>
    <s v="03 기회"/>
    <n v="500000"/>
    <m/>
    <m/>
    <m/>
    <n v="500000"/>
    <m/>
    <m/>
    <m/>
    <m/>
    <m/>
    <m/>
    <m/>
    <m/>
    <m/>
  </r>
  <r>
    <s v="기업교육1팀"/>
    <x v="2"/>
    <s v="기업교육1팀"/>
    <s v="김신정"/>
    <s v="케이씨에이손해사정"/>
    <n v="27811"/>
    <s v="03 2001~3000대"/>
    <s v="01 수성"/>
    <m/>
    <s v="1. 온라인 - 단과"/>
    <x v="1"/>
    <s v="02. 이러닝 - 단과"/>
    <n v="5679000"/>
    <n v="0"/>
    <n v="352000"/>
    <x v="0"/>
    <s v="03 기회"/>
    <n v="500000"/>
    <m/>
    <m/>
    <m/>
    <m/>
    <m/>
    <m/>
    <n v="500000"/>
    <m/>
    <m/>
    <m/>
    <m/>
    <m/>
    <m/>
  </r>
  <r>
    <s v="기업교육1팀"/>
    <x v="6"/>
    <s v="기업교육1팀"/>
    <s v="강건모"/>
    <s v="EA Korea"/>
    <n v="61792"/>
    <s v="01 1~1000대"/>
    <s v="01 수성"/>
    <m/>
    <s v="2. 온라인 - 법정"/>
    <x v="11"/>
    <s v="03. 이러닝 - 법정"/>
    <m/>
    <n v="335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4 연장"/>
    <s v="03 휴넷 LMS"/>
    <s v="통합위탁"/>
    <x v="0"/>
    <s v="01. 이러닝 - 통합위탁"/>
    <n v="176206520"/>
    <n v="166379200"/>
    <n v="168925000"/>
    <x v="0"/>
    <s v="02 가망"/>
    <n v="170000000"/>
    <m/>
    <n v="30000000"/>
    <n v="24000000"/>
    <m/>
    <n v="24000000"/>
    <m/>
    <n v="23000000"/>
    <m/>
    <n v="23000000"/>
    <m/>
    <n v="23000000"/>
    <m/>
    <n v="23000000"/>
  </r>
  <r>
    <s v="기업교육1팀"/>
    <x v="6"/>
    <s v="기업교육1팀"/>
    <s v="강건모"/>
    <s v="쌍용건설"/>
    <n v="13636"/>
    <s v="01 1~1000대"/>
    <s v="04 연장"/>
    <s v="03 휴넷 LMS"/>
    <s v="통합위탁"/>
    <x v="0"/>
    <s v="01. 이러닝 - 통합위탁"/>
    <n v="129235720"/>
    <n v="164994800"/>
    <n v="123475700"/>
    <x v="0"/>
    <s v="02 가망"/>
    <n v="128000000"/>
    <m/>
    <m/>
    <m/>
    <n v="12000000"/>
    <n v="12000000"/>
    <n v="12000000"/>
    <n v="12000000"/>
    <n v="12000000"/>
    <n v="12000000"/>
    <n v="12000000"/>
    <n v="12000000"/>
    <n v="12000000"/>
    <n v="20000000"/>
  </r>
  <r>
    <s v="기업교육1팀"/>
    <x v="6"/>
    <s v="기업교육1팀"/>
    <s v="강건모"/>
    <s v="LG CNS"/>
    <n v="3864"/>
    <s v="01 1~1000대"/>
    <s v="01 수성"/>
    <s v="03 휴넷 LMS"/>
    <s v="10. 컨텐츠 - 컨텐츠 개발"/>
    <x v="2"/>
    <s v="14. 컨텐츠 - 컨텐츠 개발"/>
    <m/>
    <n v="17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s v="01 1~1000대"/>
    <s v="03 신규"/>
    <s v="02 경쟁사 LMS"/>
    <m/>
    <x v="13"/>
    <s v="01. 이러닝 - 통합위탁"/>
    <m/>
    <m/>
    <m/>
    <x v="5"/>
    <s v="03 기회"/>
    <n v="130000000"/>
    <m/>
    <n v="130000000"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4 연장"/>
    <s v="03 휴넷 LMS"/>
    <s v="통합위탁"/>
    <x v="0"/>
    <s v="01. 이러닝 - 통합위탁"/>
    <n v="90000000"/>
    <n v="101000000"/>
    <n v="100000000"/>
    <x v="0"/>
    <s v="02 가망"/>
    <n v="100000000"/>
    <m/>
    <m/>
    <n v="50000000"/>
    <m/>
    <m/>
    <m/>
    <m/>
    <m/>
    <m/>
    <m/>
    <m/>
    <m/>
    <n v="50000000"/>
  </r>
  <r>
    <s v="기업교육1팀"/>
    <x v="6"/>
    <s v="기업교육1팀"/>
    <s v="강건모"/>
    <s v="한전MCS"/>
    <n v="42061"/>
    <s v="05 공공"/>
    <s v="01 수성"/>
    <s v="03 휴넷 LMS"/>
    <s v="통합위탁"/>
    <x v="0"/>
    <s v="01. 이러닝 - 통합위탁"/>
    <n v="30795000"/>
    <n v="115000000"/>
    <n v="107800000"/>
    <x v="0"/>
    <s v="02 가망"/>
    <n v="100000000"/>
    <m/>
    <m/>
    <m/>
    <m/>
    <m/>
    <m/>
    <n v="50000000"/>
    <m/>
    <m/>
    <m/>
    <m/>
    <m/>
    <n v="50000000"/>
  </r>
  <r>
    <s v="기업교육1팀"/>
    <x v="6"/>
    <s v="기업교육1팀"/>
    <s v="강건모"/>
    <s v="한진"/>
    <n v="2105"/>
    <s v="01 1~1000대"/>
    <s v="04 연장"/>
    <s v="03 휴넷 LMS"/>
    <s v="통합위탁"/>
    <x v="0"/>
    <s v="01. 이러닝 - 통합위탁"/>
    <n v="91382207"/>
    <n v="85170480"/>
    <n v="86143405"/>
    <x v="0"/>
    <s v="02 가망"/>
    <n v="95000000"/>
    <m/>
    <n v="6000000"/>
    <n v="6000000"/>
    <n v="6000000"/>
    <n v="6000000"/>
    <n v="6000000"/>
    <n v="6000000"/>
    <n v="6000000"/>
    <n v="6000000"/>
    <n v="6000000"/>
    <n v="6000000"/>
    <n v="15000000"/>
    <n v="20000000"/>
  </r>
  <r>
    <s v="기업교육1팀"/>
    <x v="6"/>
    <s v="기업교육1팀"/>
    <s v="강건모"/>
    <s v="LG경영연구원"/>
    <n v="6191"/>
    <s v="01 1~1000대"/>
    <s v="01 수성"/>
    <m/>
    <s v="36. 기타 - 기타"/>
    <x v="5"/>
    <s v="25. 기타 - 기타"/>
    <m/>
    <n v="20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ATD24)"/>
    <n v="20729"/>
    <s v="01 1~1000대"/>
    <s v="01 수성"/>
    <s v="03 휴넷 LMS"/>
    <s v="36. 기타 - 기타"/>
    <x v="5"/>
    <s v="25. 기타 - 기타"/>
    <m/>
    <n v="850000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경상남도평생교육진흥원"/>
    <n v="49750"/>
    <s v="05 공공"/>
    <s v="03 신규"/>
    <s v="01 자체 LMS"/>
    <s v="통합위탁"/>
    <x v="0"/>
    <s v="01. 이러닝 - 통합위탁"/>
    <s v=""/>
    <n v="0"/>
    <n v="84000000"/>
    <x v="0"/>
    <s v="02 가망"/>
    <n v="90000000"/>
    <m/>
    <m/>
    <m/>
    <m/>
    <m/>
    <m/>
    <m/>
    <m/>
    <m/>
    <m/>
    <m/>
    <m/>
    <n v="90000000"/>
  </r>
  <r>
    <s v="기업교육1팀"/>
    <x v="6"/>
    <s v="기업교육1팀"/>
    <s v="강건모"/>
    <s v="동우화인켐"/>
    <n v="44282"/>
    <s v="01 1~1000대"/>
    <s v="04 연장"/>
    <m/>
    <m/>
    <x v="0"/>
    <s v="01. 이러닝 - 통합위탁"/>
    <m/>
    <m/>
    <m/>
    <x v="5"/>
    <s v="02 가망"/>
    <n v="72000000"/>
    <m/>
    <m/>
    <m/>
    <m/>
    <n v="8000000"/>
    <n v="8000000"/>
    <n v="8000000"/>
    <n v="8000000"/>
    <n v="8000000"/>
    <n v="8000000"/>
    <n v="8000000"/>
    <n v="8000000"/>
    <n v="8000000"/>
  </r>
  <r>
    <s v="기업교육1팀"/>
    <x v="6"/>
    <s v="기업교육1팀"/>
    <s v="강건모"/>
    <s v="경상남도 인재개발원"/>
    <n v="16661"/>
    <s v="05 공공"/>
    <s v="03 신규"/>
    <m/>
    <m/>
    <x v="13"/>
    <s v="01. 이러닝 - 통합위탁"/>
    <m/>
    <m/>
    <m/>
    <x v="5"/>
    <s v="03 기회"/>
    <n v="100000000"/>
    <m/>
    <m/>
    <n v="100000000"/>
    <m/>
    <m/>
    <m/>
    <m/>
    <m/>
    <m/>
    <m/>
    <m/>
    <m/>
    <m/>
  </r>
  <r>
    <s v="기업교육1팀"/>
    <x v="6"/>
    <s v="기업교육1팀"/>
    <s v="강건모"/>
    <s v="LG인화원 (마이크로러닝)"/>
    <n v="7747"/>
    <s v="01 1~1000대"/>
    <s v="04 연장"/>
    <s v="01 자체 LMS"/>
    <s v="11. 컨텐츠 - 컨텐츠 임대/판매"/>
    <x v="3"/>
    <s v="07. 이러닝 - 컨텐츠 임대/판매"/>
    <n v="127420000"/>
    <n v="91400000"/>
    <n v="60400000"/>
    <x v="0"/>
    <s v="02 가망"/>
    <n v="60000000"/>
    <m/>
    <n v="60000000"/>
    <m/>
    <m/>
    <m/>
    <m/>
    <m/>
    <m/>
    <m/>
    <m/>
    <m/>
    <m/>
    <m/>
  </r>
  <r>
    <s v="기업교육1팀"/>
    <x v="6"/>
    <s v="기업교육1팀"/>
    <s v="강건모"/>
    <s v="넥슨코리아"/>
    <n v="4834"/>
    <s v="01 1~1000대"/>
    <s v="02 윈백"/>
    <s v="01 자체 LMS"/>
    <s v="2. 온라인 - 법정"/>
    <x v="11"/>
    <s v="03. 이러닝 - 법정"/>
    <n v="47104000"/>
    <n v="0"/>
    <n v="40000000"/>
    <x v="1"/>
    <s v="02 가망"/>
    <n v="50000000"/>
    <m/>
    <m/>
    <m/>
    <m/>
    <m/>
    <m/>
    <m/>
    <n v="50000000"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1. 온라인 - 단과"/>
    <x v="0"/>
    <s v="01. 이러닝 - 통합위탁"/>
    <n v="39278620"/>
    <n v="76581500"/>
    <n v="43070000"/>
    <x v="0"/>
    <s v="02 가망"/>
    <n v="48000000"/>
    <m/>
    <n v="3000000"/>
    <n v="15000000"/>
    <n v="3000000"/>
    <n v="3000000"/>
    <n v="3000000"/>
    <n v="3000000"/>
    <n v="3000000"/>
    <n v="3000000"/>
    <n v="3000000"/>
    <n v="3000000"/>
    <n v="3000000"/>
    <n v="3000000"/>
  </r>
  <r>
    <s v="기업교육1팀"/>
    <x v="6"/>
    <s v="기업교육1팀"/>
    <s v="강건모"/>
    <s v="넥슨코리아(노션TF)"/>
    <n v="4834"/>
    <s v="01 1~1000대"/>
    <s v="03 신규"/>
    <m/>
    <m/>
    <x v="2"/>
    <s v="14. 컨텐츠 - 컨텐츠 개발"/>
    <m/>
    <m/>
    <n v="70000000"/>
    <x v="2"/>
    <s v="03 기회"/>
    <n v="70000000"/>
    <m/>
    <m/>
    <m/>
    <m/>
    <n v="70000000"/>
    <m/>
    <m/>
    <m/>
    <m/>
    <m/>
    <m/>
    <m/>
    <m/>
  </r>
  <r>
    <s v="기업교육1팀"/>
    <x v="6"/>
    <s v="기업교육1팀"/>
    <s v="강건모"/>
    <s v="LG전자(SW역량강화팀)"/>
    <n v="342"/>
    <s v="01 1~1000대"/>
    <s v="03 신규"/>
    <m/>
    <m/>
    <x v="20"/>
    <s v="22. 기타 - 컨설팅"/>
    <m/>
    <m/>
    <n v="50000000"/>
    <x v="2"/>
    <s v="05 Drop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4 연장"/>
    <s v="03 휴넷 LMS"/>
    <s v="통합위탁"/>
    <x v="0"/>
    <s v="01. 이러닝 - 통합위탁"/>
    <n v="65070380"/>
    <n v="33831666"/>
    <n v="410441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6"/>
    <s v="기업교육1팀"/>
    <s v="강건모"/>
    <s v="LG전자(러닝센터)"/>
    <n v="342"/>
    <s v="01 1~1000대"/>
    <s v="01 수성"/>
    <s v="01 자체 LMS"/>
    <s v="11. 컨텐츠 - 컨텐츠 임대/판매"/>
    <x v="3"/>
    <s v="07. 이러닝 - 컨텐츠 임대/판매"/>
    <n v="6000000"/>
    <n v="79000000"/>
    <n v="50000000"/>
    <x v="7"/>
    <s v="04 실주"/>
    <n v="0"/>
    <m/>
    <m/>
    <m/>
    <m/>
    <m/>
    <m/>
    <m/>
    <m/>
    <m/>
    <m/>
    <m/>
    <m/>
    <m/>
  </r>
  <r>
    <s v="기업교육1팀"/>
    <x v="6"/>
    <s v="기업교육1팀"/>
    <s v="강건모"/>
    <s v="LG인화원 (HR칼리지)"/>
    <n v="7747"/>
    <s v="01 1~1000대"/>
    <s v="01 수성"/>
    <m/>
    <s v="11. 컨텐츠 - 컨텐츠 임대/판매"/>
    <x v="3"/>
    <s v="07. 이러닝 - 컨텐츠 임대/판매"/>
    <m/>
    <n v="0"/>
    <n v="60000000"/>
    <x v="1"/>
    <s v="02 가망"/>
    <n v="30000000"/>
    <m/>
    <m/>
    <m/>
    <m/>
    <m/>
    <m/>
    <m/>
    <m/>
    <m/>
    <m/>
    <m/>
    <m/>
    <n v="30000000"/>
  </r>
  <r>
    <s v="기업교육1팀"/>
    <x v="6"/>
    <s v="기업교육1팀"/>
    <s v="강건모"/>
    <s v="LG전자(러닝센터)"/>
    <n v="342"/>
    <s v="01 1~1000대"/>
    <s v="01 수성"/>
    <m/>
    <m/>
    <x v="9"/>
    <s v="08. 하이브리드러닝 - 하이브리드형 러닝"/>
    <m/>
    <n v="0"/>
    <n v="0"/>
    <x v="7"/>
    <s v="03 기회"/>
    <n v="50000000"/>
    <m/>
    <m/>
    <n v="20000000"/>
    <m/>
    <m/>
    <m/>
    <m/>
    <m/>
    <m/>
    <m/>
    <m/>
    <n v="30000000"/>
    <m/>
  </r>
  <r>
    <s v="기업교육1팀"/>
    <x v="6"/>
    <s v="기업교육1팀"/>
    <s v="강건모"/>
    <s v="케이엘에이텐코코리아"/>
    <n v="2588"/>
    <s v="01 1~1000대"/>
    <s v="03 신규"/>
    <m/>
    <m/>
    <x v="9"/>
    <s v="08. 하이브리드러닝 - 하이브리드형 러닝"/>
    <m/>
    <n v="0"/>
    <n v="50000000"/>
    <x v="2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현대로템(창원_세대소통)"/>
    <n v="3787"/>
    <s v="01 1~1000대"/>
    <s v="03 신규"/>
    <m/>
    <s v="6. 하이브리드러닝 - 집합형"/>
    <x v="9"/>
    <s v="08. 하이브리드러닝 - 하이브리드형 러닝"/>
    <m/>
    <n v="0"/>
    <n v="0"/>
    <x v="7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1 수성"/>
    <m/>
    <s v="7. 휴넷CEO - 휴넷CEO"/>
    <x v="7"/>
    <s v="10. 구독 - 휴넷CEO멤버십"/>
    <m/>
    <n v="1500000"/>
    <n v="0"/>
    <x v="0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X인터내셔널(그룹 HR칼리지)"/>
    <n v="3868"/>
    <s v="01 1~1000대"/>
    <s v="03 신규"/>
    <m/>
    <m/>
    <x v="13"/>
    <s v="08. 하이브리드러닝 - 하이브리드형 러닝"/>
    <m/>
    <m/>
    <m/>
    <x v="5"/>
    <s v="03 기회"/>
    <n v="50000000"/>
    <m/>
    <m/>
    <n v="50000000"/>
    <m/>
    <m/>
    <m/>
    <m/>
    <m/>
    <m/>
    <m/>
    <m/>
    <m/>
    <m/>
  </r>
  <r>
    <s v="기업교육1팀"/>
    <x v="6"/>
    <s v="기업교육1팀"/>
    <s v="강건모"/>
    <s v="인천국제공항보안(노사협력팀)"/>
    <n v="48995"/>
    <s v="05 공공"/>
    <s v="03 신규"/>
    <m/>
    <m/>
    <x v="13"/>
    <s v="09. 하이브리드러닝 - 순수 오프라인"/>
    <m/>
    <m/>
    <m/>
    <x v="5"/>
    <s v="03 기회"/>
    <n v="50000000"/>
    <m/>
    <m/>
    <m/>
    <m/>
    <n v="50000000"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9"/>
    <s v="08. 하이브리드러닝 - 하이브리드형 러닝"/>
    <m/>
    <n v="0"/>
    <n v="28400000"/>
    <x v="0"/>
    <s v="02 가망"/>
    <n v="30000000"/>
    <m/>
    <m/>
    <n v="2800000"/>
    <n v="3200000"/>
    <n v="2800000"/>
    <n v="3200000"/>
    <n v="2800000"/>
    <n v="3200000"/>
    <n v="2800000"/>
    <n v="3200000"/>
    <n v="2800000"/>
    <n v="3200000"/>
    <m/>
  </r>
  <r>
    <s v="기업교육1팀"/>
    <x v="6"/>
    <s v="기업교육1팀"/>
    <s v="강건모"/>
    <s v="넥슨코리아"/>
    <n v="4834"/>
    <s v="01 1~1000대"/>
    <s v="03 신규"/>
    <s v="01 자체 LMS"/>
    <s v="11. 컨텐츠 - 컨텐츠 임대/판매"/>
    <x v="3"/>
    <s v="07. 이러닝 - 컨텐츠 임대/판매"/>
    <m/>
    <n v="0"/>
    <n v="4800000"/>
    <x v="0"/>
    <s v="02 가망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3 신규"/>
    <m/>
    <s v="6. 하이브리드러닝 - 집합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m/>
    <m/>
    <m/>
    <m/>
    <x v="13"/>
    <s v="11. 구독 - 휴넷 리더십저니"/>
    <m/>
    <m/>
    <m/>
    <x v="5"/>
    <s v="03 기회"/>
    <n v="35000000"/>
    <m/>
    <m/>
    <m/>
    <n v="35000000"/>
    <m/>
    <m/>
    <m/>
    <m/>
    <m/>
    <m/>
    <m/>
    <m/>
    <m/>
  </r>
  <r>
    <s v="기업교육1팀"/>
    <x v="6"/>
    <s v="기업교육1팀"/>
    <s v="강건모"/>
    <s v="팬오션 주식회사"/>
    <n v="3724"/>
    <s v="01 1~1000대"/>
    <s v="03 신규"/>
    <m/>
    <s v="6. 하이브리드러닝 - 집합형"/>
    <x v="18"/>
    <s v="11. 구독 - 휴넷 리더십저니"/>
    <s v=""/>
    <n v="0"/>
    <n v="21350000"/>
    <x v="0"/>
    <s v="02 가망"/>
    <n v="21000000"/>
    <m/>
    <n v="21000000"/>
    <m/>
    <m/>
    <m/>
    <m/>
    <m/>
    <m/>
    <m/>
    <m/>
    <m/>
    <m/>
    <m/>
  </r>
  <r>
    <s v="기업교육1팀"/>
    <x v="6"/>
    <s v="기업교육1팀"/>
    <s v="강건모"/>
    <s v="한전MCS"/>
    <n v="42061"/>
    <s v="05 공공"/>
    <s v="03 신규"/>
    <m/>
    <m/>
    <x v="21"/>
    <s v="24. 기타 - 포럼"/>
    <n v="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6"/>
    <s v="기업교육1팀"/>
    <s v="강건모"/>
    <s v="LG생활건강(엘레몬)"/>
    <n v="236"/>
    <s v="01 1~1000대"/>
    <s v="04 연장"/>
    <s v="03 휴넷 LMS"/>
    <s v="14. 솔루션 - 맞춤형 LABS"/>
    <x v="8"/>
    <s v="15. 솔루션 - LABS"/>
    <n v="19320000"/>
    <n v="19935000"/>
    <n v="19045000"/>
    <x v="0"/>
    <s v="02 가망"/>
    <n v="19000000"/>
    <m/>
    <m/>
    <m/>
    <n v="19000000"/>
    <m/>
    <m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8"/>
    <s v="11. 구독 - 휴넷 리더십저니"/>
    <m/>
    <m/>
    <n v="18334000"/>
    <x v="0"/>
    <s v="02 가망"/>
    <n v="19000000"/>
    <m/>
    <m/>
    <n v="2000000"/>
    <n v="1700000"/>
    <n v="1700000"/>
    <n v="1700000"/>
    <n v="1700000"/>
    <n v="1700000"/>
    <n v="1700000"/>
    <n v="1700000"/>
    <n v="1700000"/>
    <n v="1700000"/>
    <n v="1700000"/>
  </r>
  <r>
    <s v="기업교육1팀"/>
    <x v="6"/>
    <s v="기업교육1팀"/>
    <s v="강건모"/>
    <s v="LX판토스"/>
    <n v="3786"/>
    <s v="01 1~1000대"/>
    <s v="03 신규"/>
    <m/>
    <m/>
    <x v="14"/>
    <s v="04. 이러닝 - 마이크로러닝"/>
    <s v=""/>
    <n v="0"/>
    <n v="85000000"/>
    <x v="2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공항철도"/>
    <n v="8506"/>
    <s v="05 공공"/>
    <s v="03 신규"/>
    <m/>
    <m/>
    <x v="0"/>
    <s v="01. 이러닝 - 통합위탁"/>
    <m/>
    <n v="0"/>
    <n v="0"/>
    <x v="8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동우화인켐"/>
    <n v="44282"/>
    <s v="01 1~1000대"/>
    <s v="04 연장"/>
    <s v="03 휴넷 LMS"/>
    <s v="23. 운영 - BPO"/>
    <x v="4"/>
    <s v="18. 운영 - BPO"/>
    <m/>
    <n v="18000000"/>
    <n v="18000000"/>
    <x v="0"/>
    <s v="02 가망"/>
    <n v="18000000"/>
    <m/>
    <m/>
    <m/>
    <m/>
    <n v="18000000"/>
    <m/>
    <m/>
    <m/>
    <m/>
    <m/>
    <m/>
    <m/>
    <m/>
  </r>
  <r>
    <s v="기업교육1팀"/>
    <x v="6"/>
    <s v="기업교육1팀"/>
    <s v="강건모"/>
    <s v="동우화인켐(업무혁신팀)"/>
    <n v="44282"/>
    <s v="01 1~1000대"/>
    <s v="03 신규"/>
    <s v="03 휴넷 LMS"/>
    <m/>
    <x v="12"/>
    <s v="09. 하이브리드러닝 - 순수 오프라인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한진"/>
    <n v="2105"/>
    <s v="01 1~1000대"/>
    <s v="04 연장"/>
    <s v="03 휴넷 LMS"/>
    <s v="6. 하이브리드러닝 - 집합형"/>
    <x v="12"/>
    <s v="09. 하이브리드러닝 - 순수 오프라인"/>
    <m/>
    <n v="7064000"/>
    <n v="10750000"/>
    <x v="0"/>
    <s v="02 가망"/>
    <n v="18000000"/>
    <m/>
    <m/>
    <n v="5000000"/>
    <m/>
    <n v="6000000"/>
    <m/>
    <m/>
    <m/>
    <n v="4000000"/>
    <m/>
    <n v="3000000"/>
    <m/>
    <m/>
  </r>
  <r>
    <s v="기업교육1팀"/>
    <x v="6"/>
    <s v="기업교육1팀"/>
    <s v="강건모"/>
    <s v="LG CNS (자회사)"/>
    <n v="3864"/>
    <s v="01 1~1000대"/>
    <s v="01 수성"/>
    <s v="03 휴넷 LMS"/>
    <s v="2. 온라인 - 법정"/>
    <x v="11"/>
    <s v="03. 이러닝 - 법정"/>
    <s v=""/>
    <n v="24924000"/>
    <n v="13000000"/>
    <x v="1"/>
    <s v="02 가망"/>
    <n v="13000000"/>
    <m/>
    <m/>
    <m/>
    <m/>
    <m/>
    <m/>
    <m/>
    <m/>
    <m/>
    <m/>
    <m/>
    <n v="4000000"/>
    <n v="9000000"/>
  </r>
  <r>
    <s v="기업교육1팀"/>
    <x v="6"/>
    <s v="기업교육1팀"/>
    <s v="강건모"/>
    <s v="한양이엔지"/>
    <n v="4128"/>
    <s v="01 1~1000대"/>
    <s v="01 수성"/>
    <m/>
    <s v="1. 온라인 - 단과"/>
    <x v="1"/>
    <s v="02. 이러닝 - 단과"/>
    <m/>
    <n v="0"/>
    <n v="12000000"/>
    <x v="1"/>
    <s v="02 가망"/>
    <n v="12000000"/>
    <m/>
    <m/>
    <m/>
    <m/>
    <m/>
    <m/>
    <n v="12000000"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2. 온라인 - 법정"/>
    <x v="11"/>
    <s v="03. 이러닝 - 법정"/>
    <m/>
    <n v="11920000"/>
    <n v="10000000"/>
    <x v="0"/>
    <s v="02 가망"/>
    <n v="10000000"/>
    <m/>
    <m/>
    <m/>
    <m/>
    <m/>
    <m/>
    <m/>
    <m/>
    <n v="10000000"/>
    <m/>
    <m/>
    <m/>
    <m/>
  </r>
  <r>
    <s v="기업교육1팀"/>
    <x v="6"/>
    <m/>
    <m/>
    <s v="넥슨코리아"/>
    <n v="4834"/>
    <s v="01 1~1000대"/>
    <s v="03 신규"/>
    <s v="01 자체 LMS"/>
    <m/>
    <x v="3"/>
    <s v="07. 이러닝 - 컨텐츠 임대/판매"/>
    <m/>
    <m/>
    <n v="30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램리서치코리아"/>
    <n v="14623"/>
    <s v="01 1~1000대"/>
    <s v="03 신규"/>
    <m/>
    <s v="통합위탁"/>
    <x v="0"/>
    <s v="01. 이러닝 - 통합위탁"/>
    <s v=""/>
    <n v="0"/>
    <n v="0"/>
    <x v="2"/>
    <s v="03 기회"/>
    <n v="30000000"/>
    <m/>
    <m/>
    <m/>
    <m/>
    <m/>
    <n v="30000000"/>
    <m/>
    <m/>
    <m/>
    <m/>
    <m/>
    <m/>
    <m/>
  </r>
  <r>
    <s v="기업교육1팀"/>
    <x v="6"/>
    <s v="기업교육1팀"/>
    <s v="강건모"/>
    <s v="케이엘에이텐코코리아"/>
    <n v="2588"/>
    <s v="01 1~1000대"/>
    <s v="03 신규"/>
    <m/>
    <m/>
    <x v="0"/>
    <s v="01. 이러닝 - 통합위탁"/>
    <m/>
    <n v="0"/>
    <n v="0"/>
    <x v="3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6. 하이브리드러닝 - 집합형"/>
    <x v="9"/>
    <s v="08. 하이브리드러닝 - 하이브리드형 러닝"/>
    <m/>
    <n v="6252000"/>
    <n v="4380000"/>
    <x v="0"/>
    <s v="02 가망"/>
    <n v="10000000"/>
    <m/>
    <m/>
    <m/>
    <n v="10000000"/>
    <m/>
    <m/>
    <m/>
    <m/>
    <m/>
    <m/>
    <m/>
    <m/>
    <m/>
  </r>
  <r>
    <s v="기업교육1팀"/>
    <x v="6"/>
    <s v="기업교육1팀"/>
    <s v="강건모"/>
    <s v="LG인화원 (직무칼리지)"/>
    <n v="7747"/>
    <s v="01 1~1000대"/>
    <s v="03 신규"/>
    <m/>
    <m/>
    <x v="13"/>
    <s v="07. 이러닝 - 컨텐츠 임대/판매"/>
    <m/>
    <m/>
    <m/>
    <x v="5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LG전자"/>
    <n v="342"/>
    <s v="01 1~1000대"/>
    <s v="03 신규"/>
    <m/>
    <m/>
    <x v="13"/>
    <s v="24. 기타 - 포럼"/>
    <m/>
    <m/>
    <m/>
    <x v="5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쏘카"/>
    <n v="30485"/>
    <s v="02 1001~2000대"/>
    <s v="01 수성"/>
    <m/>
    <s v="2. 온라인 - 법정"/>
    <x v="11"/>
    <s v="03. 이러닝 - 법정"/>
    <n v="9491000"/>
    <n v="11840000"/>
    <n v="9000000"/>
    <x v="1"/>
    <s v="02 가망"/>
    <n v="10000000"/>
    <m/>
    <m/>
    <m/>
    <m/>
    <m/>
    <m/>
    <m/>
    <m/>
    <m/>
    <m/>
    <m/>
    <m/>
    <n v="10000000"/>
  </r>
  <r>
    <s v="기업교육1팀"/>
    <x v="6"/>
    <s v="기업교육1팀"/>
    <s v="강건모"/>
    <s v="동우화인켐"/>
    <n v="44282"/>
    <s v="01 1~1000대"/>
    <s v="04 연장"/>
    <s v="03 휴넷 LMS"/>
    <s v="통합위탁"/>
    <x v="0"/>
    <s v="01. 이러닝 - 통합위탁"/>
    <n v="125849260"/>
    <n v="90808820"/>
    <n v="111663820"/>
    <x v="0"/>
    <s v="01 확정"/>
    <n v="24000000"/>
    <m/>
    <n v="8000000"/>
    <n v="8000000"/>
    <n v="8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2. 온라인 - 법정"/>
    <x v="11"/>
    <s v="03. 이러닝 - 법정"/>
    <n v="12135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10. 컨텐츠 - 컨텐츠 개발"/>
    <x v="2"/>
    <s v="14. 컨텐츠 - 컨텐츠 개발"/>
    <n v="250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지식공간"/>
    <n v="46242"/>
    <s v="01 1~1000대"/>
    <s v="01 수성"/>
    <s v="03 휴넷 LMS"/>
    <s v="14. 솔루션 - 맞춤형 LABS"/>
    <x v="8"/>
    <s v="15. 솔루션 - LABS"/>
    <n v="10000000"/>
    <n v="10000000"/>
    <n v="7925393"/>
    <x v="0"/>
    <s v="02 가망"/>
    <n v="10000000"/>
    <m/>
    <m/>
    <m/>
    <m/>
    <n v="10000000"/>
    <m/>
    <m/>
    <m/>
    <m/>
    <m/>
    <m/>
    <m/>
    <m/>
  </r>
  <r>
    <s v="기업교육1팀"/>
    <x v="6"/>
    <s v="기업교육1팀"/>
    <s v="강건모"/>
    <s v="포스에스엠"/>
    <n v="42951"/>
    <s v="01 1~1000대"/>
    <s v="01 수성"/>
    <m/>
    <s v="6. 하이브리드러닝 - 집합형"/>
    <x v="9"/>
    <s v="08. 하이브리드러닝 - 하이브리드형 러닝"/>
    <m/>
    <n v="6800000"/>
    <n v="5450000"/>
    <x v="0"/>
    <s v="02 가망"/>
    <n v="8000000"/>
    <m/>
    <m/>
    <m/>
    <n v="4000000"/>
    <m/>
    <m/>
    <n v="2000000"/>
    <m/>
    <n v="2000000"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1. 구독 - 휴넷 리더십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m/>
    <s v="7. 휴넷CEO - 휴넷CEO"/>
    <x v="21"/>
    <s v="24. 기타 - 포럼"/>
    <m/>
    <n v="7200000"/>
    <n v="7000000"/>
    <x v="1"/>
    <s v="02 가망"/>
    <n v="7000000"/>
    <m/>
    <m/>
    <m/>
    <m/>
    <m/>
    <m/>
    <m/>
    <m/>
    <m/>
    <n v="7000000"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11. 구독 - 휴넷 리더십저니"/>
    <m/>
    <m/>
    <m/>
    <x v="5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3. 온라인 - 마이크로러닝"/>
    <x v="14"/>
    <s v="04. 이러닝 - 마이크로러닝"/>
    <n v="4400000"/>
    <n v="9000000"/>
    <n v="6872727"/>
    <x v="0"/>
    <s v="02 가망"/>
    <n v="7000000"/>
    <m/>
    <n v="7000000"/>
    <m/>
    <m/>
    <m/>
    <m/>
    <m/>
    <m/>
    <m/>
    <m/>
    <m/>
    <m/>
    <m/>
  </r>
  <r>
    <s v="기업교육1팀"/>
    <x v="6"/>
    <s v="기업교육1팀"/>
    <s v="강건모"/>
    <s v="LG AI연구원"/>
    <n v="61353"/>
    <s v="01 1~1000대"/>
    <s v="01 수성"/>
    <m/>
    <s v="2. 온라인 - 법정"/>
    <x v="11"/>
    <s v="03. 이러닝 - 법정"/>
    <m/>
    <n v="6167000"/>
    <n v="6000000"/>
    <x v="1"/>
    <s v="02 가망"/>
    <n v="6000000"/>
    <m/>
    <m/>
    <m/>
    <m/>
    <m/>
    <m/>
    <m/>
    <m/>
    <m/>
    <m/>
    <n v="6000000"/>
    <m/>
    <m/>
  </r>
  <r>
    <s v="기업교육1팀"/>
    <x v="6"/>
    <m/>
    <m/>
    <s v="문화방송(MBC) "/>
    <n v="3857"/>
    <s v="01 1~1000대"/>
    <s v="01 수성"/>
    <s v="03 휴넷 LMS"/>
    <m/>
    <x v="3"/>
    <s v="07. 이러닝 - 컨텐츠 임대/판매"/>
    <m/>
    <n v="0"/>
    <n v="0"/>
    <x v="7"/>
    <m/>
    <n v="0"/>
    <m/>
    <m/>
    <m/>
    <m/>
    <m/>
    <m/>
    <m/>
    <m/>
    <m/>
    <m/>
    <m/>
    <m/>
    <m/>
  </r>
  <r>
    <s v="기업교육1팀"/>
    <x v="6"/>
    <s v="기업교육1팀"/>
    <s v="강건모"/>
    <s v="도루코"/>
    <n v="1652"/>
    <s v="02 1001~2000대"/>
    <s v="01 수성"/>
    <s v="02 경쟁사 LMS"/>
    <s v="2. 온라인 - 법정"/>
    <x v="11"/>
    <s v="03. 이러닝 - 법정"/>
    <n v="7220000"/>
    <n v="7310000"/>
    <n v="6000000"/>
    <x v="1"/>
    <s v="02 가망"/>
    <n v="6000000"/>
    <m/>
    <m/>
    <m/>
    <m/>
    <m/>
    <m/>
    <m/>
    <m/>
    <m/>
    <m/>
    <m/>
    <m/>
    <n v="6000000"/>
  </r>
  <r>
    <s v="기업교육1팀"/>
    <x v="6"/>
    <s v="기업교육1팀"/>
    <s v="강건모"/>
    <s v="서울에너지공사"/>
    <n v="9880"/>
    <s v="05 공공"/>
    <s v="04 연장"/>
    <s v="03 휴넷 LMS"/>
    <s v="1. 온라인 - 단과"/>
    <x v="1"/>
    <s v="02. 이러닝 - 단과"/>
    <n v="10323720"/>
    <n v="7381700"/>
    <n v="5964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6"/>
    <s v="기업교육1팀"/>
    <s v="강건모"/>
    <s v="서울에너지공사"/>
    <n v="9880"/>
    <s v="05 공공"/>
    <s v="01 수성"/>
    <s v="03 휴넷 LMS"/>
    <s v="36. 기타 - 기타"/>
    <x v="5"/>
    <s v="25. 기타 - 기타"/>
    <n v="10200000"/>
    <n v="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쌍용건설(핵심인재)"/>
    <n v="13636"/>
    <s v="01 1~1000대"/>
    <s v="03 신규"/>
    <s v="03 휴넷 LMS"/>
    <m/>
    <x v="13"/>
    <s v="08. 하이브리드러닝 - 하이브리드형 러닝"/>
    <m/>
    <m/>
    <m/>
    <x v="5"/>
    <s v="03 기회"/>
    <n v="30000000"/>
    <m/>
    <n v="30000000"/>
    <m/>
    <m/>
    <m/>
    <m/>
    <m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6. 하이브리드러닝 - 집합형"/>
    <x v="9"/>
    <s v="08. 하이브리드러닝 - 하이브리드형 러닝"/>
    <m/>
    <n v="1200000"/>
    <n v="1600000"/>
    <x v="0"/>
    <s v="02 가망"/>
    <n v="5000000"/>
    <m/>
    <m/>
    <m/>
    <m/>
    <m/>
    <n v="1500000"/>
    <m/>
    <m/>
    <n v="1500000"/>
    <m/>
    <n v="2000000"/>
    <m/>
    <m/>
  </r>
  <r>
    <s v="기업교육1팀"/>
    <x v="6"/>
    <s v="기업교육1팀"/>
    <s v="강건모"/>
    <s v="케이조선"/>
    <n v="50261"/>
    <s v="01 1~1000대"/>
    <s v="01 수성"/>
    <s v="03 휴넷 LMS"/>
    <s v="2. 온라인 - 법정"/>
    <x v="11"/>
    <s v="03. 이러닝 - 법정"/>
    <s v=""/>
    <n v="4332000"/>
    <n v="2500000"/>
    <x v="1"/>
    <s v="02 가망"/>
    <n v="5000000"/>
    <m/>
    <m/>
    <m/>
    <m/>
    <m/>
    <m/>
    <m/>
    <n v="5000000"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통합위탁"/>
    <x v="0"/>
    <s v="01. 이러닝 - 통합위탁"/>
    <n v="29602854"/>
    <n v="24191700"/>
    <n v="0"/>
    <x v="3"/>
    <s v="03 기회"/>
    <n v="25000000"/>
    <m/>
    <m/>
    <m/>
    <m/>
    <m/>
    <m/>
    <m/>
    <m/>
    <m/>
    <m/>
    <m/>
    <m/>
    <n v="25000000"/>
  </r>
  <r>
    <s v="기업교육1팀"/>
    <x v="6"/>
    <s v="기업교육1팀"/>
    <s v="강건모"/>
    <s v="엘지생활건강(임직원)"/>
    <n v="20729"/>
    <s v="01 1~1000대"/>
    <s v="01 수성"/>
    <m/>
    <s v="11. 컨텐츠 - 컨텐츠 임대/판매"/>
    <x v="3"/>
    <s v="07. 이러닝 - 컨텐츠 임대/판매"/>
    <n v="5000000"/>
    <n v="0"/>
    <n v="0"/>
    <x v="4"/>
    <s v="07 2023년 매출"/>
    <n v="0"/>
    <m/>
    <m/>
    <m/>
    <m/>
    <m/>
    <m/>
    <m/>
    <m/>
    <m/>
    <m/>
    <m/>
    <m/>
    <m/>
  </r>
  <r>
    <s v="기업교육1팀"/>
    <x v="6"/>
    <s v="기업교육1팀"/>
    <s v="강건모"/>
    <s v="엘지생활건강(임직원)"/>
    <n v="20729"/>
    <s v="01 1~1000대"/>
    <s v="01 수성"/>
    <m/>
    <s v="6. 하이브리드러닝 - 집합형"/>
    <x v="9"/>
    <s v="08. 하이브리드러닝 - 하이브리드형 러닝"/>
    <m/>
    <n v="181818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엘지전자(VS) (23년 미정산)"/>
    <n v="342"/>
    <s v="01 1~1000대"/>
    <s v="01 수성"/>
    <s v="01 자체 LMS"/>
    <s v="1. 온라인 - 단과"/>
    <x v="1"/>
    <s v="02. 이러닝 - 단과"/>
    <m/>
    <n v="204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3 신규"/>
    <m/>
    <m/>
    <x v="17"/>
    <s v="23. 기타 - 플레이북"/>
    <m/>
    <m/>
    <n v="20000000"/>
    <x v="2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2. 온라인 - 법정"/>
    <x v="11"/>
    <s v="03. 이러닝 - 법정"/>
    <n v="7336000"/>
    <n v="6838000"/>
    <n v="5000000"/>
    <x v="1"/>
    <s v="02 가망"/>
    <n v="5000000"/>
    <m/>
    <m/>
    <m/>
    <m/>
    <m/>
    <m/>
    <m/>
    <m/>
    <m/>
    <m/>
    <m/>
    <n v="5000000"/>
    <m/>
  </r>
  <r>
    <s v="기업교육1팀"/>
    <x v="6"/>
    <s v="기업교육1팀"/>
    <s v="강건모"/>
    <s v="인천국제공항보안"/>
    <n v="48995"/>
    <s v="05 공공"/>
    <s v="01 수성"/>
    <s v="03 휴넷 LMS"/>
    <s v="7. 휴넷CEO - 휴넷CEO"/>
    <x v="7"/>
    <s v="10. 구독 - 휴넷CEO멤버십"/>
    <m/>
    <n v="10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1 수성"/>
    <m/>
    <s v="8. 리더스아카데미 - 리더스아카데미"/>
    <x v="18"/>
    <s v="11. 구독 - 휴넷 리더십저니"/>
    <m/>
    <n v="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3"/>
    <s v="07. 이러닝 - 컨텐츠 임대/판매"/>
    <m/>
    <m/>
    <n v="4000000"/>
    <x v="0"/>
    <s v="02 가망"/>
    <n v="4000000"/>
    <m/>
    <m/>
    <m/>
    <m/>
    <m/>
    <n v="4000000"/>
    <m/>
    <m/>
    <m/>
    <m/>
    <m/>
    <m/>
    <m/>
  </r>
  <r>
    <s v="기업교육1팀"/>
    <x v="6"/>
    <s v="기업교육1팀"/>
    <s v="강건모"/>
    <s v="서울에너지공사"/>
    <n v="9880"/>
    <s v="05 공공"/>
    <s v="01 수성"/>
    <s v="03 휴넷 LMS"/>
    <s v="6. 하이브리드러닝 - 집합형"/>
    <x v="9"/>
    <s v="08. 하이브리드러닝 - 하이브리드형 러닝"/>
    <m/>
    <n v="4100000"/>
    <n v="4000000"/>
    <x v="1"/>
    <s v="02 가망"/>
    <n v="4000000"/>
    <m/>
    <m/>
    <m/>
    <m/>
    <m/>
    <m/>
    <n v="4000000"/>
    <m/>
    <m/>
    <m/>
    <m/>
    <m/>
    <m/>
  </r>
  <r>
    <s v="기업교육1팀"/>
    <x v="6"/>
    <s v="기업교육1팀"/>
    <s v="강건모"/>
    <s v="LG전자(한국영업본부)"/>
    <n v="342"/>
    <s v="01 1~1000대"/>
    <s v="03 신규"/>
    <m/>
    <m/>
    <x v="9"/>
    <s v="08. 하이브리드러닝 - 하이브리드형 러닝"/>
    <m/>
    <n v="0"/>
    <n v="30000000"/>
    <x v="2"/>
    <s v="03 기회"/>
    <n v="20000000"/>
    <m/>
    <m/>
    <m/>
    <m/>
    <m/>
    <m/>
    <m/>
    <n v="20000000"/>
    <m/>
    <m/>
    <m/>
    <m/>
    <m/>
  </r>
  <r>
    <s v="기업교육1팀"/>
    <x v="6"/>
    <s v="기업교육1팀"/>
    <s v="강건모"/>
    <s v="웅진씽크빅"/>
    <n v="4311"/>
    <s v="01 1~1000대"/>
    <s v="03 신규"/>
    <s v="03 휴넷 LMS"/>
    <s v="6. 하이브리드러닝 - 집합형"/>
    <x v="9"/>
    <s v="08. 하이브리드러닝 - 하이브리드형 러닝"/>
    <s v=""/>
    <n v="0"/>
    <n v="20000000"/>
    <x v="2"/>
    <s v="03 기회"/>
    <n v="20000000"/>
    <m/>
    <m/>
    <m/>
    <m/>
    <m/>
    <m/>
    <m/>
    <m/>
    <n v="20000000"/>
    <m/>
    <m/>
    <m/>
    <m/>
  </r>
  <r>
    <s v="기업교육1팀"/>
    <x v="6"/>
    <s v="기업교육1팀"/>
    <s v="강건모"/>
    <s v="케이조선"/>
    <n v="50261"/>
    <s v="01 1~1000대"/>
    <s v="01 수성"/>
    <s v="03 휴넷 LMS"/>
    <s v="통합위탁"/>
    <x v="0"/>
    <s v="01. 이러닝 - 통합위탁"/>
    <n v="7864320"/>
    <n v="1622800"/>
    <n v="400000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2. 온라인 - 법정"/>
    <x v="11"/>
    <s v="03. 이러닝 - 법정"/>
    <s v=""/>
    <n v="0"/>
    <n v="3965000"/>
    <x v="0"/>
    <s v="02 가망"/>
    <n v="4000000"/>
    <m/>
    <m/>
    <m/>
    <m/>
    <m/>
    <m/>
    <n v="2000000"/>
    <m/>
    <m/>
    <m/>
    <m/>
    <m/>
    <n v="2000000"/>
  </r>
  <r>
    <s v="기업교육1팀"/>
    <x v="6"/>
    <s v="기업교육1팀"/>
    <s v="강건모"/>
    <s v="코렌스_FLEX24"/>
    <n v="60286"/>
    <s v="04 3000대 이후"/>
    <s v="01 수성"/>
    <s v="03 휴넷 LMS"/>
    <s v="26. 정부지원사업 - HRDFLEX"/>
    <x v="10"/>
    <s v="28.구독 - 휴넷FLEX"/>
    <m/>
    <n v="1288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라인게임즈"/>
    <n v="28736"/>
    <s v="04 3000대 이후"/>
    <s v="01 수성"/>
    <s v="03 휴넷 LMS"/>
    <s v="2. 온라인 - 법정"/>
    <x v="11"/>
    <s v="03. 이러닝 - 법정"/>
    <n v="2728000"/>
    <n v="2144000"/>
    <n v="3000000"/>
    <x v="1"/>
    <s v="02 가망"/>
    <n v="3000000"/>
    <m/>
    <m/>
    <m/>
    <m/>
    <m/>
    <m/>
    <m/>
    <m/>
    <m/>
    <m/>
    <m/>
    <m/>
    <n v="3000000"/>
  </r>
  <r>
    <s v="기업교육1팀"/>
    <x v="6"/>
    <s v="기업교육1팀"/>
    <s v="강건모"/>
    <s v="LG경영연구원"/>
    <n v="6191"/>
    <s v="01 1~1000대"/>
    <s v="01 수성"/>
    <m/>
    <s v="2. 온라인 - 법정"/>
    <x v="11"/>
    <s v="03. 이러닝 - 법정"/>
    <m/>
    <n v="18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한국공항공사"/>
    <n v="3970"/>
    <s v="05 공공"/>
    <s v="01 수성"/>
    <s v="03 휴넷 LMS"/>
    <s v="통합위탁"/>
    <x v="0"/>
    <s v="01. 이러닝 - 통합위탁"/>
    <n v="99997000"/>
    <n v="99923760"/>
    <n v="100000000"/>
    <x v="0"/>
    <s v="01 확정"/>
    <n v="100000000"/>
    <m/>
    <m/>
    <n v="9000000"/>
    <n v="9000000"/>
    <n v="9000000"/>
    <n v="9000000"/>
    <n v="9000000"/>
    <n v="9000000"/>
    <n v="9000000"/>
    <n v="9000000"/>
    <n v="9000000"/>
    <n v="9000000"/>
    <n v="10000000"/>
  </r>
  <r>
    <s v="기업교육1팀"/>
    <x v="6"/>
    <s v="기업교육1팀"/>
    <s v="강건모"/>
    <s v="LG인화원 (법정)"/>
    <n v="7747"/>
    <s v="01 1~1000대"/>
    <s v="01 수성"/>
    <s v="01 자체 LMS"/>
    <s v="11. 컨텐츠 - 컨텐츠 임대/판매"/>
    <x v="3"/>
    <s v="07. 이러닝 - 컨텐츠 임대/판매"/>
    <m/>
    <n v="0"/>
    <n v="2000000"/>
    <x v="1"/>
    <s v="02 가망"/>
    <n v="2000000"/>
    <m/>
    <m/>
    <m/>
    <m/>
    <m/>
    <m/>
    <m/>
    <m/>
    <m/>
    <m/>
    <m/>
    <n v="2000000"/>
    <m/>
  </r>
  <r>
    <s v="기업교육1팀"/>
    <x v="6"/>
    <s v="기업교육1팀"/>
    <s v="강건모"/>
    <s v="한국공항공사"/>
    <n v="3970"/>
    <s v="05 공공"/>
    <s v="03 신규"/>
    <m/>
    <m/>
    <x v="2"/>
    <s v="14. 컨텐츠 - 컨텐츠 개발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국공항보안"/>
    <n v="43796"/>
    <s v="05 공공"/>
    <s v="03 신규"/>
    <m/>
    <m/>
    <x v="0"/>
    <s v="01. 이러닝 - 통합위탁"/>
    <m/>
    <n v="0"/>
    <n v="100000000"/>
    <x v="0"/>
    <s v="01 확정"/>
    <n v="100000000"/>
    <m/>
    <n v="40000000"/>
    <n v="2000000"/>
    <n v="2000000"/>
    <n v="2000000"/>
    <n v="2000000"/>
    <n v="2000000"/>
    <n v="2000000"/>
    <n v="2000000"/>
    <n v="2000000"/>
    <n v="2000000"/>
    <n v="2000000"/>
    <n v="40000000"/>
  </r>
  <r>
    <s v="기업교육1팀"/>
    <x v="6"/>
    <s v="기업교육1팀"/>
    <s v="강건모"/>
    <s v="한국공항보안_flex23"/>
    <n v="59026"/>
    <s v="05 공공"/>
    <s v="01 수성"/>
    <s v="03 휴넷 LMS"/>
    <s v="26. 정부지원사업 - HRDFLEX"/>
    <x v="10"/>
    <s v="28.구독 - 휴넷FLEX"/>
    <m/>
    <n v="6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한국원자력의학원"/>
    <n v="11729"/>
    <s v="05 공공"/>
    <s v="03 신규"/>
    <m/>
    <s v="1. 온라인 - 단과"/>
    <x v="1"/>
    <s v="02. 이러닝 - 단과"/>
    <m/>
    <n v="0"/>
    <n v="0"/>
    <x v="8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s v="03 휴넷 LMS"/>
    <s v="20. 솔루션 - AI교강사"/>
    <x v="15"/>
    <s v="17. 솔루션 - 기타"/>
    <n v="970000"/>
    <n v="4300000"/>
    <n v="2000000"/>
    <x v="1"/>
    <s v="02 가망"/>
    <n v="2000000"/>
    <m/>
    <m/>
    <m/>
    <m/>
    <m/>
    <m/>
    <m/>
    <m/>
    <m/>
    <n v="2000000"/>
    <m/>
    <m/>
    <m/>
  </r>
  <r>
    <s v="기업교육1팀"/>
    <x v="6"/>
    <s v="기업교육1팀"/>
    <s v="강건모"/>
    <s v="주식회사 STX"/>
    <n v="8320"/>
    <s v="01 1~1000대"/>
    <s v="01 수성"/>
    <s v="03 휴넷 LMS"/>
    <s v="통합위탁"/>
    <x v="1"/>
    <s v="02. 이러닝 - 단과"/>
    <s v=""/>
    <n v="770000"/>
    <n v="1460000"/>
    <x v="0"/>
    <s v="02 가망"/>
    <n v="2000000"/>
    <m/>
    <m/>
    <m/>
    <n v="2000000"/>
    <m/>
    <m/>
    <m/>
    <m/>
    <m/>
    <m/>
    <m/>
    <m/>
    <m/>
  </r>
  <r>
    <s v="기업교육1팀"/>
    <x v="6"/>
    <s v="기업교육1팀"/>
    <s v="강건모"/>
    <s v="휠라홀딩스"/>
    <n v="44261"/>
    <s v="01 1~1000대"/>
    <s v="01 수성"/>
    <s v="03 휴넷 LMS"/>
    <s v="1. 온라인 - 단과"/>
    <x v="1"/>
    <s v="02. 이러닝 - 단과"/>
    <m/>
    <n v="21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LG경영연구원"/>
    <n v="6191"/>
    <s v="01 1~1000대"/>
    <s v="03 신규"/>
    <m/>
    <m/>
    <x v="1"/>
    <s v="02. 이러닝 - 단과"/>
    <m/>
    <m/>
    <n v="520000"/>
    <x v="0"/>
    <s v="02 가망"/>
    <n v="1000000"/>
    <m/>
    <m/>
    <m/>
    <n v="1000000"/>
    <m/>
    <m/>
    <m/>
    <m/>
    <m/>
    <m/>
    <m/>
    <m/>
    <m/>
  </r>
  <r>
    <s v="기업교육1팀"/>
    <x v="6"/>
    <s v="기업교육1팀"/>
    <s v="강건모"/>
    <s v="STX엔진주식회사"/>
    <n v="7767"/>
    <s v="01 1~1000대"/>
    <s v="03 신규"/>
    <m/>
    <m/>
    <x v="7"/>
    <s v="10. 구독 - 휴넷CEO멤버십"/>
    <m/>
    <n v="0"/>
    <n v="1000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TS사료(이관)"/>
    <n v="52052"/>
    <s v="04 3000대 이후"/>
    <s v="01 수성"/>
    <s v="03 휴넷 LMS"/>
    <s v="2. 온라인 - 법정"/>
    <x v="11"/>
    <s v="03. 이러닝 - 법정"/>
    <n v="2436000"/>
    <n v="0"/>
    <n v="500000"/>
    <x v="1"/>
    <s v="02 가망"/>
    <n v="1000000"/>
    <m/>
    <m/>
    <m/>
    <m/>
    <m/>
    <m/>
    <n v="500000"/>
    <m/>
    <m/>
    <m/>
    <m/>
    <m/>
    <n v="500000"/>
  </r>
  <r>
    <s v="기업교육1팀"/>
    <x v="6"/>
    <s v="기업교육1팀"/>
    <s v="강건모"/>
    <s v="남양유업"/>
    <n v="1728"/>
    <s v="01 1~1000대"/>
    <s v="01 수성"/>
    <s v="03 휴넷 LMS"/>
    <s v="1. 온라인 - 단과"/>
    <x v="1"/>
    <s v="02. 이러닝 - 단과"/>
    <s v=""/>
    <n v="1680000"/>
    <n v="0"/>
    <x v="1"/>
    <s v="02 가망"/>
    <n v="1000000"/>
    <m/>
    <n v="1000000"/>
    <m/>
    <m/>
    <m/>
    <m/>
    <m/>
    <m/>
    <m/>
    <m/>
    <m/>
    <m/>
    <m/>
  </r>
  <r>
    <s v="기업교육1팀"/>
    <x v="6"/>
    <m/>
    <m/>
    <s v="한진"/>
    <n v="2105"/>
    <s v="01 1~1000대"/>
    <s v="01 수성"/>
    <s v="03 휴넷 LMS"/>
    <s v="6. 하이브리드러닝 - 집합형"/>
    <x v="12"/>
    <s v="09. 하이브리드러닝 - 순수 오프라인"/>
    <n v="12650000"/>
    <n v="0"/>
    <n v="7250000"/>
    <x v="1"/>
    <m/>
    <n v="0"/>
    <m/>
    <m/>
    <m/>
    <m/>
    <m/>
    <m/>
    <m/>
    <m/>
    <m/>
    <m/>
    <m/>
    <m/>
    <m/>
  </r>
  <r>
    <s v="기업교육1팀"/>
    <x v="6"/>
    <m/>
    <m/>
    <s v="현대로템(의왕연구소)"/>
    <n v="3787"/>
    <s v="01 1~1000대"/>
    <s v="01 수성"/>
    <s v="03 휴넷 LMS"/>
    <s v="6. 하이브리드러닝 - 집합형"/>
    <x v="9"/>
    <s v="08. 하이브리드러닝 - 하이브리드형 러닝"/>
    <s v=""/>
    <n v="4000000"/>
    <n v="35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10. 구독 - 휴넷CEO멤버십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전자(MS본부)"/>
    <n v="342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2. 온라인 - 법정"/>
    <x v="11"/>
    <s v="03. 이러닝 - 법정"/>
    <m/>
    <n v="1534000"/>
    <n v="1000000"/>
    <x v="1"/>
    <s v="02 가망"/>
    <n v="1000000"/>
    <m/>
    <m/>
    <m/>
    <m/>
    <m/>
    <m/>
    <m/>
    <n v="1000000"/>
    <m/>
    <m/>
    <m/>
    <m/>
    <m/>
  </r>
  <r>
    <s v="기업교육1팀"/>
    <x v="6"/>
    <s v="기업교육1팀"/>
    <s v="강건모"/>
    <s v="모티프(24년 미정산)"/>
    <n v="41692"/>
    <s v="01 1~1000대"/>
    <s v="01 수성"/>
    <s v="03 휴넷 LMS"/>
    <s v="2. 온라인 - 법정"/>
    <x v="11"/>
    <s v="03. 이러닝 - 법정"/>
    <m/>
    <n v="400000"/>
    <n v="352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LX판토스"/>
    <n v="3786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문화방송(MBC) "/>
    <n v="3857"/>
    <s v="01 1~1000대"/>
    <s v="01 수성"/>
    <s v="03 휴넷 LMS"/>
    <s v="2. 온라인 - 법정"/>
    <x v="11"/>
    <s v="03. 이러닝 - 법정"/>
    <m/>
    <n v="1640000"/>
    <n v="1000000"/>
    <x v="1"/>
    <s v="02 가망"/>
    <n v="1000000"/>
    <m/>
    <m/>
    <m/>
    <m/>
    <m/>
    <m/>
    <m/>
    <m/>
    <n v="1000000"/>
    <m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24. 기타 - 포럼"/>
    <m/>
    <m/>
    <m/>
    <x v="5"/>
    <s v="03 기회"/>
    <n v="20000000"/>
    <m/>
    <m/>
    <m/>
    <m/>
    <m/>
    <m/>
    <m/>
    <m/>
    <m/>
    <n v="20000000"/>
    <m/>
    <m/>
    <m/>
  </r>
  <r>
    <s v="기업교육1팀"/>
    <x v="6"/>
    <s v="기업교육1팀"/>
    <s v="강건모"/>
    <s v="현대로템(창원_현장신입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현대로템(창원_현장직책자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공항철도"/>
    <n v="8506"/>
    <s v="01 1~1000대"/>
    <s v="01 수성"/>
    <s v="02 경쟁사 LMS"/>
    <s v="6. 하이브리드러닝 - 집합형"/>
    <x v="9"/>
    <s v="08. 하이브리드러닝 - 하이브리드형 러닝"/>
    <n v="1750000"/>
    <n v="17000000"/>
    <n v="17000000"/>
    <x v="8"/>
    <s v="03 기회"/>
    <n v="17000000"/>
    <m/>
    <n v="17000000"/>
    <m/>
    <m/>
    <m/>
    <m/>
    <m/>
    <m/>
    <m/>
    <m/>
    <m/>
    <m/>
    <m/>
  </r>
  <r>
    <s v="기업교육1팀"/>
    <x v="6"/>
    <s v="기업교육1팀"/>
    <s v="강건모"/>
    <s v="LG CNS(리더십TF)"/>
    <n v="3864"/>
    <s v="01 1~1000대"/>
    <s v="03 신규"/>
    <m/>
    <m/>
    <x v="13"/>
    <s v="08. 하이브리드러닝 - 하이브리드형 러닝"/>
    <m/>
    <m/>
    <m/>
    <x v="5"/>
    <s v="03 기회"/>
    <n v="15000000"/>
    <m/>
    <m/>
    <m/>
    <m/>
    <n v="15000000"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1 수성"/>
    <s v="03 휴넷 LMS"/>
    <s v="4. 하이브리드러닝 - 플립형"/>
    <x v="9"/>
    <s v="08. 하이브리드러닝 - 하이브리드형 러닝"/>
    <n v="3520000"/>
    <n v="13440000"/>
    <n v="0"/>
    <x v="3"/>
    <s v="03 기회"/>
    <n v="12000000"/>
    <m/>
    <m/>
    <m/>
    <n v="12000000"/>
    <m/>
    <m/>
    <m/>
    <m/>
    <m/>
    <m/>
    <m/>
    <m/>
    <m/>
  </r>
  <r>
    <s v="기업교육1팀"/>
    <x v="6"/>
    <s v="기업교육1팀"/>
    <s v="강건모"/>
    <s v="LG인화원(MLP)"/>
    <n v="7747"/>
    <s v="01 1~1000대"/>
    <s v="01 수성"/>
    <m/>
    <s v="6. 하이브리드러닝 - 집합형"/>
    <x v="9"/>
    <s v="08. 하이브리드러닝 - 하이브리드형 러닝"/>
    <m/>
    <n v="18263000"/>
    <n v="0"/>
    <x v="2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한국영업본부)"/>
    <n v="342"/>
    <s v="01 1~1000대"/>
    <s v="01 수성"/>
    <s v="01 자체 LMS"/>
    <s v="6. 하이브리드러닝 - 집합형"/>
    <x v="9"/>
    <s v="08. 하이브리드러닝 - 하이브리드형 러닝"/>
    <n v="4200000"/>
    <n v="1600000"/>
    <n v="0"/>
    <x v="1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s v="03 휴넷 LMS"/>
    <s v="1. 온라인 - 단과"/>
    <x v="9"/>
    <s v="08. 하이브리드러닝 - 하이브리드형 러닝"/>
    <m/>
    <n v="2500000"/>
    <n v="6400000"/>
    <x v="2"/>
    <s v="03 기회"/>
    <n v="10000000"/>
    <m/>
    <m/>
    <m/>
    <m/>
    <n v="5000000"/>
    <m/>
    <m/>
    <m/>
    <n v="5000000"/>
    <m/>
    <m/>
    <m/>
    <m/>
  </r>
  <r>
    <s v="기업교육1팀"/>
    <x v="6"/>
    <s v="기업교육1팀"/>
    <s v="강건모"/>
    <s v="대한제당"/>
    <n v="2017"/>
    <s v="01 1~1000대"/>
    <s v="01 수성"/>
    <m/>
    <m/>
    <x v="12"/>
    <s v="09. 하이브리드러닝 - 순수 오프라인"/>
    <m/>
    <n v="0"/>
    <n v="0"/>
    <x v="2"/>
    <s v="03 기회"/>
    <n v="10000000"/>
    <m/>
    <m/>
    <m/>
    <n v="10000000"/>
    <m/>
    <m/>
    <m/>
    <m/>
    <m/>
    <m/>
    <m/>
    <m/>
    <m/>
  </r>
  <r>
    <s v="기업교육1팀"/>
    <x v="6"/>
    <s v="기업교육1팀"/>
    <s v="강건모"/>
    <s v="도루코"/>
    <n v="1652"/>
    <s v="02 1001~2000대"/>
    <s v="03 신규"/>
    <m/>
    <m/>
    <x v="0"/>
    <s v="01. 이러닝 - 통합위탁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스태츠칩팩코리아"/>
    <n v="7129"/>
    <s v="01 1~1000대"/>
    <s v="03 신규"/>
    <m/>
    <m/>
    <x v="0"/>
    <s v="01. 이러닝 - 통합위탁"/>
    <m/>
    <n v="0"/>
    <n v="0"/>
    <x v="3"/>
    <s v="03 기회"/>
    <n v="10000000"/>
    <m/>
    <m/>
    <m/>
    <m/>
    <m/>
    <m/>
    <m/>
    <m/>
    <n v="10000000"/>
    <m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경영연구원"/>
    <n v="6191"/>
    <s v="01 1~1000대"/>
    <s v="01 수성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인화원 (경영교육센터)"/>
    <n v="7747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08. 하이브리드러닝 - 하이브리드형 러닝"/>
    <m/>
    <m/>
    <m/>
    <x v="5"/>
    <s v="03 기회"/>
    <n v="10000000"/>
    <m/>
    <m/>
    <n v="10000000"/>
    <m/>
    <m/>
    <m/>
    <m/>
    <m/>
    <m/>
    <m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10. 구독 - 휴넷CEO멤버십"/>
    <m/>
    <m/>
    <m/>
    <x v="5"/>
    <s v="03 기회"/>
    <n v="10000000"/>
    <m/>
    <n v="10000000"/>
    <m/>
    <m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SECO"/>
    <n v="979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쌍용건설"/>
    <n v="13636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웅진씽크빅"/>
    <n v="4311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현대로템(본사)"/>
    <n v="3787"/>
    <s v="01 1~1000대"/>
    <s v="03 신규"/>
    <s v="02 경쟁사 LMS"/>
    <s v="03 신규"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s v="03 휴넷 LMS"/>
    <s v="2. 온라인 - 법정"/>
    <x v="11"/>
    <s v="03. 이러닝 - 법정"/>
    <s v=""/>
    <n v="0"/>
    <n v="9000000"/>
    <x v="2"/>
    <s v="03 기회"/>
    <n v="9000000"/>
    <m/>
    <m/>
    <m/>
    <m/>
    <m/>
    <m/>
    <m/>
    <m/>
    <m/>
    <n v="9000000"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24. 기타 - 포럼"/>
    <m/>
    <m/>
    <m/>
    <x v="5"/>
    <s v="03 기회"/>
    <n v="6000000"/>
    <m/>
    <m/>
    <m/>
    <m/>
    <m/>
    <m/>
    <m/>
    <m/>
    <m/>
    <n v="6000000"/>
    <m/>
    <m/>
    <m/>
  </r>
  <r>
    <s v="기업교육1팀"/>
    <x v="6"/>
    <s v="기업교육1팀"/>
    <s v="강건모"/>
    <s v="남양유업"/>
    <n v="1728"/>
    <s v="01 1~1000대"/>
    <s v="03 신규"/>
    <m/>
    <s v="1. 온라인 - 단과"/>
    <x v="1"/>
    <s v="02. 이러닝 - 단과"/>
    <m/>
    <n v="0"/>
    <n v="3000000"/>
    <x v="2"/>
    <s v="03 기회"/>
    <n v="5000000"/>
    <m/>
    <m/>
    <m/>
    <m/>
    <m/>
    <m/>
    <n v="5000000"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6. 하이브리드러닝 - 집합형"/>
    <x v="9"/>
    <s v="08. 하이브리드러닝 - 하이브리드형 러닝"/>
    <m/>
    <n v="6600000"/>
    <n v="5000000"/>
    <x v="2"/>
    <s v="03 기회"/>
    <n v="5000000"/>
    <m/>
    <m/>
    <m/>
    <m/>
    <m/>
    <m/>
    <m/>
    <m/>
    <n v="5000000"/>
    <m/>
    <m/>
    <m/>
    <m/>
  </r>
  <r>
    <s v="기업교육1팀"/>
    <x v="6"/>
    <s v="기업교육1팀"/>
    <s v="강건모"/>
    <s v="엘지복지재단"/>
    <n v="55032"/>
    <s v="01 1~1000대"/>
    <s v="01 수성"/>
    <m/>
    <s v="2. 온라인 - 법정"/>
    <x v="11"/>
    <s v="03. 이러닝 - 법정"/>
    <n v="3728000"/>
    <n v="3579000"/>
    <n v="0"/>
    <x v="4"/>
    <s v="03 기회"/>
    <n v="4000000"/>
    <m/>
    <m/>
    <m/>
    <m/>
    <m/>
    <m/>
    <m/>
    <m/>
    <m/>
    <n v="4000000"/>
    <m/>
    <m/>
    <m/>
  </r>
  <r>
    <s v="기업교육1팀"/>
    <x v="6"/>
    <s v="기업교육1팀"/>
    <s v="강건모"/>
    <s v="휠라코리아"/>
    <n v="3904"/>
    <s v="02 1001~2000대"/>
    <s v="03 신규"/>
    <s v="02 경쟁사 LMS"/>
    <s v="2. 온라인 - 법정"/>
    <x v="11"/>
    <s v="03. 이러닝 - 법정"/>
    <s v=""/>
    <n v="0"/>
    <n v="2000000"/>
    <x v="2"/>
    <s v="03 기회"/>
    <n v="2000000"/>
    <m/>
    <m/>
    <m/>
    <m/>
    <m/>
    <m/>
    <m/>
    <m/>
    <m/>
    <m/>
    <m/>
    <m/>
    <n v="2000000"/>
  </r>
  <r>
    <s v="기업교육1팀"/>
    <x v="7"/>
    <s v="기업교육1팀"/>
    <s v="조미희"/>
    <s v=" 현대경제연구원(atd정산) "/>
    <n v="60911"/>
    <s v="01 1~1000대"/>
    <s v="01 수성"/>
    <m/>
    <s v="36. 기타 - 기타"/>
    <x v="5"/>
    <s v="25. 기타 - 기타"/>
    <m/>
    <n v="19400000"/>
    <n v="80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4 연장"/>
    <s v="03 휴넷 LMS"/>
    <s v="2. 온라인 - 법정"/>
    <x v="11"/>
    <s v="03. 이러닝 - 법정"/>
    <m/>
    <n v="6984000"/>
    <n v="11650000"/>
    <x v="0"/>
    <s v="01 확정"/>
    <n v="12000000"/>
    <m/>
    <m/>
    <m/>
    <m/>
    <m/>
    <m/>
    <n v="6000000"/>
    <m/>
    <m/>
    <m/>
    <m/>
    <m/>
    <n v="6000000"/>
  </r>
  <r>
    <s v="기업교육1팀"/>
    <x v="7"/>
    <s v="기업교육1팀"/>
    <s v="조미희"/>
    <s v="한국원자력연료"/>
    <n v="4706"/>
    <s v="09. 하이브리드러닝 - 순수 오프라인"/>
    <s v="03 신규"/>
    <m/>
    <m/>
    <x v="12"/>
    <s v="09. 하이브리드러닝 - 순수 오프라인"/>
    <m/>
    <m/>
    <m/>
    <x v="5"/>
    <s v="03 기회"/>
    <n v="200000000"/>
    <m/>
    <m/>
    <m/>
    <m/>
    <m/>
    <m/>
    <m/>
    <m/>
    <m/>
    <m/>
    <m/>
    <n v="200000000"/>
    <m/>
  </r>
  <r>
    <s v="기업교육1팀"/>
    <x v="7"/>
    <s v="기업교육1팀"/>
    <s v="조미희"/>
    <s v="H+양지병원"/>
    <n v="23370"/>
    <s v="04 3000대 이후"/>
    <s v="04 연장"/>
    <s v="03 휴넷 LMS"/>
    <s v="14. 솔루션 - 맞춤형 LABS"/>
    <x v="8"/>
    <s v="25. 기타 - 기타"/>
    <n v="48000000"/>
    <n v="48000000"/>
    <n v="48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170000000"/>
    <x v="0"/>
    <s v="02 가망"/>
    <n v="180000000"/>
    <m/>
    <m/>
    <m/>
    <m/>
    <m/>
    <m/>
    <m/>
    <m/>
    <m/>
    <m/>
    <m/>
    <n v="180000000"/>
    <m/>
  </r>
  <r>
    <s v="기업교육1팀"/>
    <x v="7"/>
    <s v="기업교육1팀"/>
    <s v="조미희"/>
    <s v="경기도의료원"/>
    <n v="22337"/>
    <s v="05 공공"/>
    <s v="01 수성"/>
    <m/>
    <s v="통합위탁"/>
    <x v="0"/>
    <s v="01. 이러닝 - 통합위탁"/>
    <n v="186687110"/>
    <n v="89138700"/>
    <n v="59000000"/>
    <x v="7"/>
    <s v="02 가망"/>
    <n v="100000000"/>
    <m/>
    <m/>
    <n v="10000000"/>
    <n v="10000000"/>
    <n v="10000000"/>
    <n v="10000000"/>
    <n v="10000000"/>
    <n v="10000000"/>
    <n v="10000000"/>
    <n v="10000000"/>
    <n v="10000000"/>
    <n v="10000000"/>
    <m/>
  </r>
  <r>
    <s v="기업교육1팀"/>
    <x v="7"/>
    <s v="기업교육1팀"/>
    <s v="조미희"/>
    <s v="경기도의료원"/>
    <n v="22337"/>
    <s v="05 공공"/>
    <s v="01 수성"/>
    <m/>
    <s v="1. 온라인 - 단과"/>
    <x v="1"/>
    <s v="02. 이러닝 - 단과"/>
    <m/>
    <n v="19899250"/>
    <n v="3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8. 리더스아카데미 - 리더스아카데미"/>
    <x v="9"/>
    <s v="08. 하이브리드러닝 - 하이브리드형 러닝"/>
    <m/>
    <n v="6700000"/>
    <n v="152662000"/>
    <x v="0"/>
    <s v="02 가망"/>
    <n v="170000000"/>
    <m/>
    <m/>
    <m/>
    <m/>
    <m/>
    <m/>
    <n v="80000000"/>
    <m/>
    <m/>
    <m/>
    <m/>
    <n v="90000000"/>
    <m/>
  </r>
  <r>
    <s v="기업교육1팀"/>
    <x v="7"/>
    <s v="기업교육1팀"/>
    <s v="조미희"/>
    <s v="일산병원"/>
    <n v="800"/>
    <s v="05 공공"/>
    <s v="01 수성"/>
    <s v="03 휴넷 LMS"/>
    <s v="통합위탁"/>
    <x v="0"/>
    <s v="01. 이러닝 - 통합위탁"/>
    <n v="114000000"/>
    <n v="130860000"/>
    <n v="12191643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7"/>
    <s v="기업교육1팀"/>
    <s v="조미희"/>
    <s v="선거연수원"/>
    <n v="23224"/>
    <s v="05 공공"/>
    <s v="01 수성"/>
    <s v="01 자체 LMS"/>
    <s v="10. 컨텐츠 - 컨텐츠 개발"/>
    <x v="2"/>
    <s v="14. 컨텐츠 - 컨텐츠 개발"/>
    <n v="34890909"/>
    <n v="91609091"/>
    <n v="103000000"/>
    <x v="1"/>
    <s v="02 가망"/>
    <n v="100000000"/>
    <m/>
    <m/>
    <m/>
    <m/>
    <m/>
    <m/>
    <n v="50000000"/>
    <n v="50000000"/>
    <m/>
    <m/>
    <m/>
    <m/>
    <m/>
  </r>
  <r>
    <s v="기업교육1팀"/>
    <x v="7"/>
    <s v="기업교육1팀"/>
    <s v="조미희"/>
    <s v="대한적십자사혈액관리본부"/>
    <n v="62487"/>
    <s v="05 공공"/>
    <s v="03 신규"/>
    <m/>
    <s v="1. 온라인 - 단과"/>
    <x v="0"/>
    <s v="01. 이러닝 - 통합위탁"/>
    <m/>
    <n v="0"/>
    <n v="204975940"/>
    <x v="0"/>
    <s v="01 확정"/>
    <n v="205040000"/>
    <m/>
    <n v="16064060"/>
    <n v="16000000"/>
    <n v="16000000"/>
    <n v="16000000"/>
    <n v="16000000"/>
    <n v="16000000"/>
    <n v="16000000"/>
    <n v="16000000"/>
    <n v="20975940"/>
    <n v="16000000"/>
    <n v="20000000"/>
    <n v="20000000"/>
  </r>
  <r>
    <s v="기업교육1팀"/>
    <x v="7"/>
    <s v="기업교육1팀"/>
    <s v="조미희"/>
    <s v="대한적십자사혈액관리본부"/>
    <n v="7668"/>
    <s v="05 공공"/>
    <s v="03 신규"/>
    <m/>
    <s v="1. 온라인 - 단과"/>
    <x v="1"/>
    <s v="02. 이러닝 - 단과"/>
    <m/>
    <n v="0"/>
    <n v="15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도로교통공단"/>
    <n v="6661"/>
    <s v="05 공공"/>
    <s v="01 수성"/>
    <m/>
    <s v="통합위탁"/>
    <x v="0"/>
    <s v="01. 이러닝 - 통합위탁"/>
    <n v="100000000"/>
    <n v="90000000"/>
    <n v="107250000"/>
    <x v="0"/>
    <s v="02 가망"/>
    <n v="107000000"/>
    <m/>
    <m/>
    <m/>
    <n v="77000000"/>
    <m/>
    <m/>
    <m/>
    <m/>
    <m/>
    <m/>
    <m/>
    <m/>
    <n v="30000000"/>
  </r>
  <r>
    <s v="기업교육1팀"/>
    <x v="7"/>
    <s v="기업교육1팀"/>
    <s v="조미희"/>
    <s v="대한적십자사혈액관리본부"/>
    <n v="7668"/>
    <s v="05 공공"/>
    <s v="03 신규"/>
    <m/>
    <s v="10. 컨텐츠 - 컨텐츠 개발"/>
    <x v="2"/>
    <s v="14. 컨텐츠 - 컨텐츠 개발"/>
    <m/>
    <n v="0"/>
    <n v="100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97789508"/>
    <x v="0"/>
    <s v="02 가망"/>
    <n v="100000000"/>
    <m/>
    <m/>
    <m/>
    <n v="100000000"/>
    <m/>
    <m/>
    <m/>
    <m/>
    <m/>
    <m/>
    <m/>
    <m/>
    <m/>
  </r>
  <r>
    <s v="기업교육1팀"/>
    <x v="7"/>
    <s v="기업교육1팀"/>
    <s v="조미희"/>
    <s v="서울의료원"/>
    <n v="2092"/>
    <s v="05 공공"/>
    <s v="04 연장"/>
    <m/>
    <s v="1. 온라인 - 단과"/>
    <x v="0"/>
    <s v="01. 이러닝 - 통합위탁"/>
    <m/>
    <n v="71355000"/>
    <n v="71000000"/>
    <x v="0"/>
    <s v="02 가망"/>
    <n v="70000000"/>
    <m/>
    <m/>
    <m/>
    <m/>
    <m/>
    <m/>
    <m/>
    <m/>
    <m/>
    <m/>
    <m/>
    <m/>
    <n v="70000000"/>
  </r>
  <r>
    <s v="기업교육1팀"/>
    <x v="7"/>
    <s v="기업교육1팀"/>
    <s v="조미희"/>
    <s v="에코프로"/>
    <n v="20374"/>
    <s v="01 1~1000대"/>
    <s v="04 연장"/>
    <s v="03 휴넷 LMS"/>
    <s v="통합위탁"/>
    <x v="0"/>
    <s v="01. 이러닝 - 통합위탁"/>
    <n v="89308460"/>
    <n v="69571280"/>
    <n v="80286500"/>
    <x v="0"/>
    <s v="01 확정"/>
    <n v="70000000"/>
    <m/>
    <n v="5000000"/>
    <n v="5000000"/>
    <n v="5000000"/>
    <n v="5000000"/>
    <n v="5000000"/>
    <n v="5000000"/>
    <n v="5000000"/>
    <n v="5000000"/>
    <n v="10000000"/>
    <n v="10000000"/>
    <n v="5000000"/>
    <n v="5000000"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0"/>
    <n v="28050000"/>
    <x v="0"/>
    <s v="03 기회"/>
    <n v="25000000"/>
    <m/>
    <m/>
    <m/>
    <m/>
    <m/>
    <m/>
    <m/>
    <n v="25000000"/>
    <m/>
    <m/>
    <m/>
    <m/>
    <m/>
  </r>
  <r>
    <s v="기업교육1팀"/>
    <x v="7"/>
    <s v="기업교육1팀"/>
    <s v="조미희"/>
    <s v="삼성웰스토리"/>
    <n v="16974"/>
    <s v="01 1~1000대"/>
    <s v="01 수성"/>
    <m/>
    <m/>
    <x v="18"/>
    <s v="11. 구독 - 휴넷 리더십저니"/>
    <m/>
    <n v="20000000"/>
    <n v="1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지능정보사회진흥원"/>
    <n v="28822"/>
    <s v="05 공공"/>
    <s v="01 수성"/>
    <m/>
    <s v="6. 하이브리드러닝 - 집합형"/>
    <x v="9"/>
    <s v="08. 하이브리드러닝 - 하이브리드형 러닝"/>
    <n v="4203364"/>
    <n v="25018000"/>
    <n v="120000000"/>
    <x v="1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s v="8. 리더스아카데미 - 리더스아카데미"/>
    <x v="18"/>
    <s v="11. 구독 - 휴넷 리더십저니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삼우"/>
    <n v="30391"/>
    <s v="01 1~1000대"/>
    <s v="04 연장"/>
    <m/>
    <s v="1. 온라인 - 단과"/>
    <x v="0"/>
    <s v="01. 이러닝 - 통합위탁"/>
    <n v="10142200"/>
    <n v="48784440"/>
    <n v="43713900"/>
    <x v="0"/>
    <s v="01 확정"/>
    <n v="50000000"/>
    <m/>
    <n v="4000000"/>
    <n v="4000000"/>
    <n v="4000000"/>
    <n v="4000000"/>
    <n v="4000000"/>
    <n v="4000000"/>
    <n v="4000000"/>
    <n v="4000000"/>
    <n v="4000000"/>
    <n v="4000000"/>
    <n v="5000000"/>
    <n v="5000000"/>
  </r>
  <r>
    <s v="기업교육1팀"/>
    <x v="7"/>
    <s v="기업교육1팀"/>
    <s v="조미희"/>
    <s v="한솔섬유"/>
    <n v="18079"/>
    <s v="01 1~1000대"/>
    <s v="04 연장"/>
    <m/>
    <s v="1. 온라인 - 단과"/>
    <x v="1"/>
    <s v="02. 이러닝 - 단과"/>
    <n v="19455000"/>
    <n v="29702000"/>
    <n v="23208000"/>
    <x v="0"/>
    <s v="03 기회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7"/>
    <s v="기업교육1팀"/>
    <s v="조미희"/>
    <s v="삼우_FLEX"/>
    <n v="55586"/>
    <s v="01 1~1000대"/>
    <s v="01 수성"/>
    <m/>
    <s v="26. 정부지원사업 - HRDFLEX"/>
    <x v="10"/>
    <s v="28.구독 - 휴넷FLEX"/>
    <n v="1694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서울의료원"/>
    <n v="2092"/>
    <s v="05 공공"/>
    <s v="03 신규"/>
    <m/>
    <m/>
    <x v="11"/>
    <s v="03. 이러닝 - 법정"/>
    <m/>
    <n v="0"/>
    <n v="15960000"/>
    <x v="0"/>
    <s v="03 기회"/>
    <n v="16000000"/>
    <m/>
    <m/>
    <m/>
    <m/>
    <m/>
    <m/>
    <m/>
    <m/>
    <m/>
    <m/>
    <m/>
    <m/>
    <n v="16000000"/>
  </r>
  <r>
    <s v="기업교육1팀"/>
    <x v="7"/>
    <s v="기업교육1팀"/>
    <s v="조미희"/>
    <s v="에스엠엔터테이먼트"/>
    <n v="14798"/>
    <s v="01 1~1000대"/>
    <s v="03 신규"/>
    <m/>
    <m/>
    <x v="11"/>
    <s v="03. 이러닝 - 법정"/>
    <m/>
    <n v="0"/>
    <n v="15000000"/>
    <x v="2"/>
    <s v="03 기회"/>
    <n v="15000000"/>
    <m/>
    <m/>
    <m/>
    <m/>
    <m/>
    <n v="15000000"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통합위탁"/>
    <x v="0"/>
    <s v="01. 이러닝 - 통합위탁"/>
    <n v="49544380"/>
    <n v="30918900"/>
    <n v="29544800"/>
    <x v="0"/>
    <s v="03 기회"/>
    <n v="12000000"/>
    <m/>
    <m/>
    <m/>
    <m/>
    <m/>
    <m/>
    <m/>
    <n v="2000000"/>
    <n v="2000000"/>
    <n v="2000000"/>
    <n v="2000000"/>
    <n v="2000000"/>
    <n v="2000000"/>
  </r>
  <r>
    <s v="기업교육1팀"/>
    <x v="7"/>
    <s v="기업교육1팀"/>
    <s v="조미희"/>
    <s v="한국생명공학연구원"/>
    <n v="7169"/>
    <s v="05 공공"/>
    <s v="01 수성"/>
    <m/>
    <s v="통합위탁"/>
    <x v="0"/>
    <s v="01. 이러닝 - 통합위탁"/>
    <m/>
    <n v="0"/>
    <n v="36000000"/>
    <x v="1"/>
    <s v="02 가망"/>
    <n v="42000000"/>
    <m/>
    <m/>
    <m/>
    <m/>
    <m/>
    <m/>
    <m/>
    <n v="7000000"/>
    <n v="7000000"/>
    <n v="7000000"/>
    <n v="7000000"/>
    <n v="7000000"/>
    <n v="7000000"/>
  </r>
  <r>
    <s v="기업교육1팀"/>
    <x v="7"/>
    <s v="기업교육1팀"/>
    <s v="조미희"/>
    <s v="대한유화"/>
    <n v="3782"/>
    <s v="01 1~1000대"/>
    <s v="01 수성"/>
    <m/>
    <s v="6. 하이브리드러닝 - 집합형"/>
    <x v="9"/>
    <s v="08. 하이브리드러닝 - 하이브리드형 러닝"/>
    <m/>
    <n v="2225000"/>
    <n v="3000000"/>
    <x v="2"/>
    <s v="03 기회"/>
    <n v="10000000"/>
    <m/>
    <m/>
    <m/>
    <m/>
    <m/>
    <n v="7000000"/>
    <n v="3000000"/>
    <m/>
    <m/>
    <m/>
    <m/>
    <m/>
    <m/>
  </r>
  <r>
    <s v="기업교육1팀"/>
    <x v="7"/>
    <s v="기업교육1팀"/>
    <s v="조미희"/>
    <s v="삼성웰스토리"/>
    <n v="16974"/>
    <s v="01 1~1000대"/>
    <s v="01 수성"/>
    <m/>
    <s v="1. 온라인 - 단과"/>
    <x v="1"/>
    <s v="02. 이러닝 - 단과"/>
    <m/>
    <n v="0"/>
    <n v="40000000"/>
    <x v="1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삼우"/>
    <n v="30391"/>
    <s v="01 1~1000대"/>
    <s v="04 연장"/>
    <m/>
    <s v="6. 하이브리드러닝 - 집합형"/>
    <x v="9"/>
    <s v="08. 하이브리드러닝 - 하이브리드형 러닝"/>
    <n v="2600000"/>
    <n v="2100000"/>
    <n v="5000000"/>
    <x v="0"/>
    <s v="03 기회"/>
    <n v="10000000"/>
    <m/>
    <m/>
    <m/>
    <n v="5000000"/>
    <m/>
    <m/>
    <m/>
    <n v="5000000"/>
    <m/>
    <m/>
    <m/>
    <m/>
    <m/>
  </r>
  <r>
    <s v="기업교육1팀"/>
    <x v="7"/>
    <s v="기업교육1팀"/>
    <s v="조미희"/>
    <s v="세방전지"/>
    <n v="2637"/>
    <s v="01 1~1000대"/>
    <s v="01 수성"/>
    <s v="03 휴넷 LMS"/>
    <s v="2. 온라인 - 법정"/>
    <x v="11"/>
    <s v="03. 이러닝 - 법정"/>
    <s v=""/>
    <n v="2214000"/>
    <n v="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m/>
    <s v="6. 하이브리드러닝 - 집합형"/>
    <x v="12"/>
    <s v="09. 하이브리드러닝 - 순수 오프라인"/>
    <m/>
    <n v="13795000"/>
    <n v="10150000"/>
    <x v="0"/>
    <s v="03 기회"/>
    <n v="10000000"/>
    <m/>
    <m/>
    <m/>
    <n v="10000000"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9"/>
    <s v="08. 하이브리드러닝 - 하이브리드형 러닝"/>
    <m/>
    <n v="0"/>
    <n v="5000000"/>
    <x v="2"/>
    <s v="03 기회"/>
    <n v="10000000"/>
    <m/>
    <m/>
    <m/>
    <m/>
    <m/>
    <m/>
    <m/>
    <m/>
    <n v="10000000"/>
    <m/>
    <m/>
    <m/>
    <m/>
  </r>
  <r>
    <s v="기업교육1팀"/>
    <x v="7"/>
    <s v="기업교육1팀"/>
    <s v="조미희"/>
    <s v="현대건설"/>
    <n v="3707"/>
    <s v="01 1~1000대"/>
    <s v="03 신규"/>
    <m/>
    <m/>
    <x v="9"/>
    <s v="08. 하이브리드러닝 - 하이브리드형 러닝"/>
    <m/>
    <n v="0"/>
    <n v="22000000"/>
    <x v="0"/>
    <s v="02 가망"/>
    <n v="42000000"/>
    <m/>
    <m/>
    <m/>
    <m/>
    <m/>
    <m/>
    <n v="42000000"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7"/>
    <s v="10. 구독 - 휴넷CEO멤버십"/>
    <m/>
    <n v="3300000"/>
    <n v="10000000"/>
    <x v="1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세실업"/>
    <n v="3944"/>
    <s v="01 1~1000대"/>
    <s v="03 신규"/>
    <m/>
    <s v="1. 온라인 - 단과"/>
    <x v="0"/>
    <s v="10. 구독 - 휴넷CEO멤버십"/>
    <m/>
    <n v="0"/>
    <n v="30000000"/>
    <x v="2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18200000"/>
    <n v="29750000"/>
    <x v="0"/>
    <s v="02 가망"/>
    <n v="35000000"/>
    <m/>
    <m/>
    <m/>
    <m/>
    <m/>
    <m/>
    <m/>
    <n v="17000000"/>
    <m/>
    <m/>
    <m/>
    <n v="18000000"/>
    <m/>
  </r>
  <r>
    <s v="기업교육1팀"/>
    <x v="7"/>
    <s v="기업교육1팀"/>
    <s v="조미희"/>
    <s v="쿠팡"/>
    <n v="13065"/>
    <s v="01 1~1000대"/>
    <s v="01 수성"/>
    <m/>
    <s v="10. 컨텐츠 - 컨텐츠 개발"/>
    <x v="2"/>
    <s v="14. 컨텐츠 - 컨텐츠 개발"/>
    <n v="50000000"/>
    <n v="40450000"/>
    <n v="15000000"/>
    <x v="0"/>
    <s v="02 가망"/>
    <n v="30000000"/>
    <m/>
    <n v="15000000"/>
    <n v="15000000"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풀필먼트서비스"/>
    <n v="28603"/>
    <s v="01 1~1000대"/>
    <s v="01 수성"/>
    <s v="03 휴넷 LMS"/>
    <s v="3. 온라인 - 마이크로러닝"/>
    <x v="14"/>
    <s v="04. 이러닝 - 마이크로러닝"/>
    <n v="25500000"/>
    <n v="25500000"/>
    <n v="26000000"/>
    <x v="1"/>
    <s v="02 가망"/>
    <n v="25500000"/>
    <m/>
    <m/>
    <m/>
    <m/>
    <m/>
    <m/>
    <m/>
    <m/>
    <n v="5100000"/>
    <n v="5100000"/>
    <n v="5100000"/>
    <n v="5100000"/>
    <n v="5100000"/>
  </r>
  <r>
    <s v="기업교육1팀"/>
    <x v="7"/>
    <s v="기업교육1팀"/>
    <s v="조미희"/>
    <s v="에스디바이오센서"/>
    <n v="18582"/>
    <s v="01 1~1000대"/>
    <s v="01 수성"/>
    <m/>
    <s v="6. 하이브리드러닝 - 집합형"/>
    <x v="9"/>
    <s v="08. 하이브리드러닝 - 하이브리드형 러닝"/>
    <m/>
    <n v="11935955"/>
    <n v="22006000"/>
    <x v="0"/>
    <s v="02 가망"/>
    <n v="25000000"/>
    <m/>
    <m/>
    <m/>
    <n v="10000000"/>
    <n v="5000000"/>
    <n v="10000000"/>
    <m/>
    <m/>
    <m/>
    <m/>
    <m/>
    <m/>
    <m/>
  </r>
  <r>
    <s v="기업교육1팀"/>
    <x v="7"/>
    <s v="기업교육1팀"/>
    <s v="조미희"/>
    <s v="일산병원"/>
    <n v="800"/>
    <s v="05 공공"/>
    <s v="01 수성"/>
    <s v="03 휴넷 LMS"/>
    <s v="10. 컨텐츠 - 컨텐츠 개발"/>
    <x v="2"/>
    <s v="14. 컨텐츠 - 컨텐츠 개발"/>
    <n v="48000000"/>
    <n v="22190000"/>
    <n v="25454545"/>
    <x v="0"/>
    <s v="02 가망"/>
    <n v="25000000"/>
    <m/>
    <m/>
    <m/>
    <m/>
    <m/>
    <m/>
    <m/>
    <m/>
    <m/>
    <m/>
    <n v="25000000"/>
    <m/>
    <m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n v="17942000"/>
    <n v="20616000"/>
    <n v="128000"/>
    <x v="0"/>
    <s v="02 가망"/>
    <n v="20000000"/>
    <m/>
    <m/>
    <m/>
    <m/>
    <m/>
    <m/>
    <m/>
    <m/>
    <m/>
    <m/>
    <m/>
    <m/>
    <n v="20000000"/>
  </r>
  <r>
    <s v="기업교육1팀"/>
    <x v="7"/>
    <s v="기업교육1팀"/>
    <s v="조미희"/>
    <s v="H+양지병원"/>
    <n v="23370"/>
    <s v="04 3000대 이후"/>
    <s v="03 신규"/>
    <m/>
    <s v="10. 구독 - 휴넷CEO멤버십"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"/>
    <n v="13065"/>
    <s v="01 1~1000대"/>
    <s v="01 수성"/>
    <s v="01 자체 LMS"/>
    <s v="11. 컨텐츠 - 컨텐츠 임대/판매"/>
    <x v="3"/>
    <s v="07. 이러닝 - 컨텐츠 임대/판매"/>
    <m/>
    <n v="15000000"/>
    <n v="30000000"/>
    <x v="6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4 연장"/>
    <m/>
    <s v="2. 온라인 - 법정"/>
    <x v="11"/>
    <s v="03. 이러닝 - 법정"/>
    <n v="9984000"/>
    <n v="12015000"/>
    <n v="11000000"/>
    <x v="0"/>
    <s v="02 가망"/>
    <n v="11000000"/>
    <m/>
    <m/>
    <m/>
    <m/>
    <m/>
    <m/>
    <m/>
    <m/>
    <m/>
    <m/>
    <m/>
    <m/>
    <n v="11000000"/>
  </r>
  <r>
    <s v="기업교육1팀"/>
    <x v="7"/>
    <s v="기업교육1팀"/>
    <s v="조미희"/>
    <s v="쿠팡 스마트러닝"/>
    <n v="41214"/>
    <s v="01 1~1000대"/>
    <s v="01 수성"/>
    <s v="03 휴넷 LMS"/>
    <s v="3. 온라인 - 마이크로러닝"/>
    <x v="14"/>
    <s v="04. 이러닝 - 마이크로러닝"/>
    <n v="30258000"/>
    <n v="18028000"/>
    <n v="15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쿠팡 씨피엘비"/>
    <n v="46015"/>
    <s v="01 1~1000대"/>
    <s v="01 수성"/>
    <m/>
    <s v="3. 온라인 - 마이크로러닝"/>
    <x v="14"/>
    <s v="04. 이러닝 - 마이크로러닝"/>
    <n v="2250000"/>
    <n v="0"/>
    <n v="1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11"/>
    <s v="03. 이러닝 - 법정"/>
    <m/>
    <n v="0"/>
    <n v="10000000"/>
    <x v="2"/>
    <s v="02 가망"/>
    <n v="10000000"/>
    <m/>
    <m/>
    <m/>
    <m/>
    <m/>
    <m/>
    <m/>
    <m/>
    <n v="10000000"/>
    <m/>
    <m/>
    <m/>
    <m/>
  </r>
  <r>
    <s v="기업교육1팀"/>
    <x v="7"/>
    <s v="기업교육1팀"/>
    <s v="조미희"/>
    <s v="쿠팡페이"/>
    <n v="45117"/>
    <s v="01 1~1000대"/>
    <s v="01 수성"/>
    <m/>
    <s v="1. 온라인 - 단과"/>
    <x v="1"/>
    <s v="02. 이러닝 - 단과"/>
    <n v="426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2. 온라인 - 법정"/>
    <x v="11"/>
    <s v="03. 이러닝 - 법정"/>
    <m/>
    <n v="19617800"/>
    <n v="14000000"/>
    <x v="0"/>
    <s v="02 가망"/>
    <n v="9000000"/>
    <m/>
    <m/>
    <m/>
    <m/>
    <m/>
    <m/>
    <n v="4500000"/>
    <m/>
    <m/>
    <m/>
    <m/>
    <m/>
    <n v="4500000"/>
  </r>
  <r>
    <s v="기업교육1팀"/>
    <x v="7"/>
    <s v="기업교육1팀"/>
    <s v="조미희"/>
    <s v="쿠팡페이"/>
    <n v="45117"/>
    <s v="02 1001~2000대"/>
    <s v="01 수성"/>
    <s v="03 휴넷 LMS"/>
    <s v="3. 온라인 - 마이크로러닝"/>
    <x v="14"/>
    <s v="04. 이러닝 - 마이크로러닝"/>
    <n v="540000"/>
    <n v="0"/>
    <n v="6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대한유화"/>
    <n v="3782"/>
    <s v="01 1~1000대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10. 컨텐츠 - 컨텐츠 개발"/>
    <x v="2"/>
    <s v="14. 컨텐츠 - 컨텐츠 개발"/>
    <n v="15102700"/>
    <n v="8900000"/>
    <n v="10000000"/>
    <x v="1"/>
    <s v="02 가망"/>
    <n v="9000000"/>
    <m/>
    <m/>
    <m/>
    <m/>
    <m/>
    <m/>
    <m/>
    <m/>
    <m/>
    <m/>
    <m/>
    <n v="9000000"/>
    <m/>
  </r>
  <r>
    <s v="기업교육1팀"/>
    <x v="7"/>
    <s v="기업교육1팀"/>
    <s v="조미희"/>
    <s v="키스코홀딩스그룹"/>
    <n v="61288"/>
    <s v="01 1~1000대"/>
    <s v="04 연장"/>
    <m/>
    <s v="1. 온라인 - 단과"/>
    <x v="1"/>
    <s v="02. 이러닝 - 단과"/>
    <n v="6364220"/>
    <n v="8982500"/>
    <n v="15000000"/>
    <x v="0"/>
    <s v="02 가망"/>
    <n v="7000000"/>
    <m/>
    <m/>
    <m/>
    <m/>
    <m/>
    <m/>
    <m/>
    <n v="3500000"/>
    <m/>
    <m/>
    <m/>
    <m/>
    <n v="3500000"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m/>
    <n v="0"/>
    <n v="18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H+양지병원(승진자 대상)"/>
    <n v="23370"/>
    <s v="04 3000대 이후"/>
    <s v="04 연장"/>
    <m/>
    <s v="1. 온라인 - 단과"/>
    <x v="1"/>
    <s v="02. 이러닝 - 단과"/>
    <n v="8222500"/>
    <n v="5665800"/>
    <n v="5712000"/>
    <x v="0"/>
    <s v="02 가망"/>
    <n v="6000000"/>
    <m/>
    <m/>
    <m/>
    <m/>
    <m/>
    <n v="6000000"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2"/>
    <s v="09. 하이브리드러닝 - 순수 오프라인"/>
    <m/>
    <m/>
    <m/>
    <x v="5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대한적십자사혈액관리본부"/>
    <n v="7668"/>
    <s v="05 공공"/>
    <s v="01 수성"/>
    <m/>
    <s v="6. 하이브리드러닝 - 집합형"/>
    <x v="9"/>
    <s v="08. 하이브리드러닝 - 하이브리드형 러닝"/>
    <m/>
    <n v="390000"/>
    <n v="6000000"/>
    <x v="1"/>
    <s v="02 가망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n v="10000000"/>
    <m/>
    <m/>
  </r>
  <r>
    <s v="기업교육1팀"/>
    <x v="7"/>
    <s v="기업교육1팀"/>
    <s v="조미희"/>
    <s v="한국능률협회(포사이트포럼)"/>
    <n v="42175"/>
    <s v="01 1~1000대"/>
    <s v="01 수성"/>
    <m/>
    <s v="36. 기타 - 기타"/>
    <x v="21"/>
    <s v="24. 기타 - 포럼"/>
    <m/>
    <n v="500000"/>
    <n v="2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생명공학연구원"/>
    <n v="7169"/>
    <s v="05 공공"/>
    <s v="04 연장"/>
    <m/>
    <s v="통합위탁"/>
    <x v="0"/>
    <s v="01. 이러닝 - 통합위탁"/>
    <n v="29819020"/>
    <n v="80309982"/>
    <n v="36736540"/>
    <x v="0"/>
    <s v="01 확정"/>
    <n v="35000000"/>
    <m/>
    <n v="5000000"/>
    <n v="5000000"/>
    <n v="5000000"/>
    <n v="10000000"/>
    <n v="5000000"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3 신규"/>
    <m/>
    <m/>
    <x v="11"/>
    <s v="03. 이러닝 - 법정"/>
    <m/>
    <m/>
    <n v="4235000"/>
    <x v="0"/>
    <s v="02 가망"/>
    <n v="4300000"/>
    <m/>
    <m/>
    <m/>
    <m/>
    <n v="4300000"/>
    <m/>
    <m/>
    <m/>
    <m/>
    <m/>
    <m/>
    <m/>
    <m/>
  </r>
  <r>
    <s v="기업교육1팀"/>
    <x v="7"/>
    <s v="기업교육1팀"/>
    <s v="조미희"/>
    <s v="에스디바이오센서"/>
    <n v="18582"/>
    <s v="01 1~1000대"/>
    <s v="03 신규"/>
    <m/>
    <m/>
    <x v="13"/>
    <s v="10. 구독 - 휴넷CEO멤버십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굿네이버스"/>
    <n v="63346"/>
    <s v="01 1~1000대"/>
    <s v="03 신규"/>
    <m/>
    <m/>
    <x v="10"/>
    <s v="28.구독 - 휴넷FLEX"/>
    <m/>
    <m/>
    <n v="3600000"/>
    <x v="0"/>
    <s v="02 가망"/>
    <n v="3600000"/>
    <m/>
    <m/>
    <m/>
    <m/>
    <n v="36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2. 온라인 - 법정"/>
    <x v="11"/>
    <s v="03. 이러닝 - 법정"/>
    <m/>
    <n v="3290000"/>
    <n v="1000000"/>
    <x v="1"/>
    <s v="02 가망"/>
    <n v="3000000"/>
    <m/>
    <m/>
    <m/>
    <m/>
    <m/>
    <n v="3000000"/>
    <m/>
    <m/>
    <m/>
    <m/>
    <m/>
    <m/>
    <m/>
  </r>
  <r>
    <s v="기업교육1팀"/>
    <x v="7"/>
    <s v="기업교육1팀"/>
    <s v="조미희"/>
    <s v="고성그린파워"/>
    <n v="19233"/>
    <s v="01 1~1000대"/>
    <s v="04 연장"/>
    <m/>
    <s v="2. 온라인 - 법정"/>
    <x v="11"/>
    <s v="03. 이러닝 - 법정"/>
    <n v="1150000"/>
    <n v="1320000"/>
    <n v="1000000"/>
    <x v="0"/>
    <s v="02 가망"/>
    <n v="1000000"/>
    <m/>
    <m/>
    <m/>
    <m/>
    <m/>
    <m/>
    <m/>
    <m/>
    <m/>
    <m/>
    <n v="1000000"/>
    <m/>
    <m/>
  </r>
  <r>
    <s v="기업교육1팀"/>
    <x v="7"/>
    <s v="기업교육1팀"/>
    <s v="조미희"/>
    <s v="한국지능정보사회진흥원"/>
    <n v="28822"/>
    <s v="05 공공"/>
    <s v="02 윈백"/>
    <m/>
    <s v="2. 온라인 - 법정"/>
    <x v="11"/>
    <s v="03. 이러닝 - 법정"/>
    <n v="80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13"/>
    <s v="11. 구독 - 휴넷 리더십저니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이츠"/>
    <n v="49426"/>
    <s v="01 1~1000대"/>
    <s v="03 신규"/>
    <m/>
    <m/>
    <x v="14"/>
    <s v="04. 이러닝 - 마이크로러닝"/>
    <m/>
    <n v="0"/>
    <n v="900000"/>
    <x v="0"/>
    <s v="02 가망"/>
    <n v="900000"/>
    <m/>
    <n v="900000"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쿠팡"/>
    <n v="13065"/>
    <s v="01 1~1000대"/>
    <s v="03 신규"/>
    <m/>
    <m/>
    <x v="13"/>
    <s v="10. 구독 - 휴넷CEO멤버십"/>
    <m/>
    <m/>
    <m/>
    <x v="5"/>
    <s v="03 기회"/>
    <n v="10000000"/>
    <m/>
    <m/>
    <n v="10000000"/>
    <m/>
    <m/>
    <m/>
    <m/>
    <m/>
    <m/>
    <m/>
    <m/>
    <m/>
    <m/>
  </r>
  <r>
    <s v="기업교육1팀"/>
    <x v="7"/>
    <s v="기업교육1팀"/>
    <s v="조미희"/>
    <s v="크래프톤"/>
    <n v="16700"/>
    <s v="01 1~1000대"/>
    <s v="03 신규"/>
    <m/>
    <m/>
    <x v="13"/>
    <s v="11. 구독 - 휴넷 리더십저니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크래프톤"/>
    <n v="16700"/>
    <m/>
    <s v="03 신규"/>
    <m/>
    <m/>
    <x v="12"/>
    <s v="09. 하이브리드러닝 - 순수 오프라인"/>
    <m/>
    <m/>
    <m/>
    <x v="5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현대건설"/>
    <n v="3707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한솔섬유"/>
    <n v="18079"/>
    <s v="01 1~1000대"/>
    <s v="03 신규"/>
    <m/>
    <m/>
    <x v="13"/>
    <s v="11. 구독 - 휴넷 리더십저니"/>
    <m/>
    <m/>
    <m/>
    <x v="5"/>
    <s v="03 기회"/>
    <n v="10000000"/>
    <m/>
    <m/>
    <m/>
    <m/>
    <m/>
    <n v="5000000"/>
    <m/>
    <n v="5000000"/>
    <m/>
    <m/>
    <m/>
    <m/>
    <m/>
  </r>
  <r>
    <s v="기업교육1팀"/>
    <x v="7"/>
    <s v="기업교육1팀"/>
    <s v="조미희"/>
    <s v="현대아이에스씨"/>
    <n v="52860"/>
    <s v="01 1~1000대"/>
    <s v="03 신규"/>
    <m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현대건설"/>
    <n v="3707"/>
    <s v="01 1~1000대"/>
    <s v="01 수성"/>
    <m/>
    <s v="6. 하이브리드러닝 - 집합형"/>
    <x v="9"/>
    <s v="08. 하이브리드러닝 - 하이브리드형 러닝"/>
    <m/>
    <n v="500000"/>
    <n v="500000"/>
    <x v="0"/>
    <s v="08 2024년 매출"/>
    <n v="0"/>
    <m/>
    <m/>
    <m/>
    <m/>
    <m/>
    <m/>
    <m/>
    <m/>
    <n v="0"/>
    <m/>
    <m/>
    <m/>
    <m/>
  </r>
  <r>
    <s v="기업교육1팀"/>
    <x v="7"/>
    <s v="기업교육1팀"/>
    <s v="조미희"/>
    <s v="에코프로파트너스"/>
    <n v="45737"/>
    <s v="01 1~1000대"/>
    <s v="01 수성"/>
    <m/>
    <s v="2. 온라인 - 법정"/>
    <x v="11"/>
    <s v="03. 이러닝 - 법정"/>
    <m/>
    <n v="390000"/>
    <n v="1000000"/>
    <x v="1"/>
    <s v="02 가망"/>
    <n v="360000"/>
    <m/>
    <m/>
    <m/>
    <m/>
    <m/>
    <m/>
    <n v="360000"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1. 온라인 - 단과"/>
    <x v="1"/>
    <s v="02. 이러닝 - 단과"/>
    <n v="21600000"/>
    <n v="0"/>
    <n v="22000000"/>
    <x v="2"/>
    <m/>
    <n v="0"/>
    <m/>
    <m/>
    <m/>
    <m/>
    <m/>
    <m/>
    <m/>
    <m/>
    <m/>
    <m/>
    <m/>
    <m/>
    <m/>
  </r>
  <r>
    <s v="기업교육1팀"/>
    <x v="7"/>
    <s v="기업교육1팀"/>
    <s v="조미희"/>
    <s v="이원커뮤니케이션"/>
    <n v="58722"/>
    <s v="01 1~1000대"/>
    <s v="04 연장"/>
    <m/>
    <s v="2. 온라인 - 법정"/>
    <x v="11"/>
    <s v="03. 이러닝 - 법정"/>
    <n v="160000"/>
    <n v="288000"/>
    <n v="968000"/>
    <x v="0"/>
    <s v="02 가망"/>
    <n v="300000"/>
    <m/>
    <m/>
    <m/>
    <m/>
    <m/>
    <m/>
    <m/>
    <m/>
    <m/>
    <m/>
    <n v="300000"/>
    <m/>
    <m/>
  </r>
  <r>
    <s v="기업교육1팀"/>
    <x v="7"/>
    <s v="기업교육1팀"/>
    <s v="조미희"/>
    <s v="현대그룹"/>
    <n v="18491"/>
    <s v="01 1~1000대"/>
    <s v="01 수성"/>
    <m/>
    <s v="6. 하이브리드러닝 - 집합형"/>
    <x v="9"/>
    <s v="08. 하이브리드러닝 - 하이브리드형 러닝"/>
    <m/>
    <n v="2800000"/>
    <n v="500000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코퍼레이션"/>
    <n v="29617"/>
    <s v="01 1~1000대"/>
    <s v="03 신규"/>
    <m/>
    <m/>
    <x v="13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6. 하이브리드러닝 - 집합형"/>
    <x v="12"/>
    <s v="09. 하이브리드러닝 - 순수 오프라인"/>
    <m/>
    <n v="7450000"/>
    <n v="0"/>
    <x v="6"/>
    <s v="03 기회"/>
    <n v="8000000"/>
    <m/>
    <m/>
    <m/>
    <m/>
    <m/>
    <m/>
    <m/>
    <m/>
    <m/>
    <m/>
    <m/>
    <n v="8000000"/>
    <m/>
  </r>
  <r>
    <s v="기업교육1팀"/>
    <x v="7"/>
    <s v="기업교육1팀"/>
    <s v="조미희"/>
    <s v="파나소닉디바이스세일즈코리아"/>
    <n v="18326"/>
    <s v="01 1~1000대"/>
    <s v="01 수성"/>
    <m/>
    <s v="6. 하이브리드러닝 - 집합형"/>
    <x v="9"/>
    <s v="08. 하이브리드러닝 - 하이브리드형 러닝"/>
    <n v="2100000"/>
    <n v="0"/>
    <n v="6690000"/>
    <x v="0"/>
    <s v="03 기회"/>
    <n v="7000000"/>
    <m/>
    <m/>
    <m/>
    <m/>
    <m/>
    <n v="7000000"/>
    <m/>
    <m/>
    <m/>
    <m/>
    <m/>
    <m/>
    <m/>
  </r>
  <r>
    <s v="기업교육1팀"/>
    <x v="7"/>
    <s v="기업교육1팀"/>
    <s v="조미희"/>
    <s v="현대엘리베이터서비스"/>
    <n v="54502"/>
    <s v="01 1~1000대"/>
    <s v="01 수성"/>
    <m/>
    <s v="2. 온라인 - 법정"/>
    <x v="11"/>
    <s v="03. 이러닝 - 법정"/>
    <m/>
    <n v="5913600"/>
    <n v="6000000"/>
    <x v="1"/>
    <s v="03 기회"/>
    <n v="6000000"/>
    <m/>
    <m/>
    <m/>
    <m/>
    <m/>
    <m/>
    <m/>
    <m/>
    <m/>
    <m/>
    <n v="6000000"/>
    <m/>
    <m/>
  </r>
  <r>
    <s v="기업교육1팀"/>
    <x v="7"/>
    <s v="기업교육1팀"/>
    <s v="조미희"/>
    <s v="H+양지병원"/>
    <n v="23370"/>
    <s v="01 1~1000대"/>
    <s v="01 수성"/>
    <m/>
    <s v="6. 하이브리드러닝 - 집합형"/>
    <x v="9"/>
    <s v="08. 하이브리드러닝 - 하이브리드형 러닝"/>
    <m/>
    <n v="2750000"/>
    <n v="3000000"/>
    <x v="2"/>
    <s v="03 기회"/>
    <n v="5000000"/>
    <m/>
    <m/>
    <m/>
    <m/>
    <m/>
    <m/>
    <m/>
    <n v="5000000"/>
    <m/>
    <m/>
    <m/>
    <m/>
    <m/>
  </r>
  <r>
    <s v="기업교육1팀"/>
    <x v="7"/>
    <s v="기업교육1팀"/>
    <s v="조미희"/>
    <s v="현대제철"/>
    <n v="4748"/>
    <s v="01 1~1000대"/>
    <s v="01 수성"/>
    <m/>
    <s v="6. 하이브리드러닝 - 집합형"/>
    <x v="9"/>
    <s v="08. 하이브리드러닝 - 하이브리드형 러닝"/>
    <m/>
    <n v="23600000"/>
    <n v="0"/>
    <x v="3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3 신규"/>
    <m/>
    <m/>
    <x v="0"/>
    <s v="02. 이러닝 - 단과"/>
    <m/>
    <n v="0"/>
    <n v="5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디에스단석"/>
    <n v="4888"/>
    <s v="01 1~1000대"/>
    <s v="03 신규"/>
    <m/>
    <m/>
    <x v="12"/>
    <s v="09. 하이브리드러닝 - 순수 오프라인"/>
    <m/>
    <n v="0"/>
    <n v="10000000"/>
    <x v="1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롯데정밀화학"/>
    <n v="24604"/>
    <s v="01 1~1000대"/>
    <s v="03 신규"/>
    <m/>
    <s v="2. 온라인 - 법정"/>
    <x v="11"/>
    <s v="03. 이러닝 - 법정"/>
    <m/>
    <n v="0"/>
    <n v="5000000"/>
    <x v="2"/>
    <s v="03 기회"/>
    <n v="5000000"/>
    <m/>
    <m/>
    <m/>
    <m/>
    <m/>
    <m/>
    <m/>
    <m/>
    <m/>
    <m/>
    <m/>
    <n v="5000000"/>
    <m/>
  </r>
  <r>
    <s v="기업교육1팀"/>
    <x v="7"/>
    <s v="기업교육1팀"/>
    <s v="조미희"/>
    <s v="세방 (승진자 오프라인)"/>
    <n v="2851"/>
    <s v="01 1~1000대"/>
    <s v="01 수성"/>
    <s v="03 휴넷 LMS"/>
    <s v="6. 하이브리드러닝 - 집합형"/>
    <x v="9"/>
    <s v="08. 하이브리드러닝 - 하이브리드형 러닝"/>
    <n v="17865000"/>
    <n v="0"/>
    <n v="1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세방전지"/>
    <n v="2637"/>
    <s v="01 1~1000대"/>
    <s v="01 수성"/>
    <m/>
    <m/>
    <x v="9"/>
    <s v="08. 하이브리드러닝 - 하이브리드형 러닝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2"/>
    <s v="09. 하이브리드러닝 - 순수 오프라인"/>
    <m/>
    <n v="0"/>
    <n v="6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1 수성"/>
    <m/>
    <s v="1. 온라인 - 단과"/>
    <x v="1"/>
    <s v="02. 이러닝 - 단과"/>
    <n v="8323500"/>
    <n v="2920000"/>
    <n v="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m/>
    <x v="8"/>
    <s v="02. 이러닝 - 단과"/>
    <m/>
    <n v="0"/>
    <n v="10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한세실업"/>
    <n v="3944"/>
    <s v="01 1~1000대"/>
    <s v="03 신규"/>
    <m/>
    <s v="6. 하이브리드러닝 - 집합형"/>
    <x v="9"/>
    <s v="08. 하이브리드러닝 - 하이브리드형 러닝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현대엘리베이터"/>
    <n v="3878"/>
    <s v="01 1~1000대"/>
    <s v="03 신규"/>
    <m/>
    <s v="1. 온라인 - 단과"/>
    <x v="1"/>
    <s v="02. 이러닝 - 단과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7"/>
    <s v="09. 하이브리드러닝 - 순수 오프라인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서비스"/>
    <n v="54502"/>
    <s v="01 1~1000대"/>
    <s v="03 신규"/>
    <m/>
    <m/>
    <x v="12"/>
    <s v="09. 하이브리드러닝 - 순수 오프라인"/>
    <m/>
    <n v="0"/>
    <n v="1600000"/>
    <x v="0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디에스단석"/>
    <n v="4888"/>
    <s v="01 1~1000대"/>
    <s v="03 신규"/>
    <m/>
    <m/>
    <x v="13"/>
    <s v="11. 구독 - 휴넷 리더십저니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롯데정밀화학"/>
    <n v="24604"/>
    <s v="01 1~1000대"/>
    <s v="03 신규"/>
    <m/>
    <m/>
    <x v="13"/>
    <s v="10. 구독 - 휴넷CEO멤버십"/>
    <m/>
    <m/>
    <m/>
    <x v="5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세방"/>
    <n v="2851"/>
    <s v="01 1~1000대"/>
    <s v="01 수성"/>
    <m/>
    <m/>
    <x v="13"/>
    <s v="10. 구독 - 휴넷CEO멤버십"/>
    <m/>
    <m/>
    <m/>
    <x v="5"/>
    <s v="03 기회"/>
    <n v="5000000"/>
    <m/>
    <m/>
    <m/>
    <n v="5000000"/>
    <m/>
    <m/>
    <m/>
    <m/>
    <m/>
    <m/>
    <m/>
    <m/>
    <m/>
  </r>
  <r>
    <s v="기업교육1팀"/>
    <x v="7"/>
    <s v="기업교육1팀"/>
    <s v="조미희"/>
    <s v="세방전지"/>
    <n v="2637"/>
    <s v="01 1~1000대"/>
    <s v="03 신규"/>
    <m/>
    <m/>
    <x v="13"/>
    <s v="10. 구독 - 휴넷CEO멤버십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에스엔티모티브"/>
    <n v="14851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키스코홀딩스그룹"/>
    <n v="61288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10. 컨텐츠 - 컨텐츠 개발"/>
    <x v="2"/>
    <s v="14. 컨텐츠 - 컨텐츠 개발"/>
    <m/>
    <n v="0"/>
    <n v="3000000"/>
    <x v="1"/>
    <s v="03 기회"/>
    <n v="3000000"/>
    <m/>
    <m/>
    <m/>
    <m/>
    <m/>
    <n v="3000000"/>
    <m/>
    <m/>
    <m/>
    <m/>
    <m/>
    <m/>
    <m/>
  </r>
  <r>
    <s v="기업교육1팀"/>
    <x v="7"/>
    <s v="기업교육1팀"/>
    <s v="조미희"/>
    <s v="세방 (온보딩)"/>
    <n v="2851"/>
    <s v="01 1~1000대"/>
    <s v="01 수성"/>
    <s v="03 휴넷 LMS"/>
    <s v="6. 하이브리드러닝 - 집합형"/>
    <x v="9"/>
    <s v="08. 하이브리드러닝 - 하이브리드형 러닝"/>
    <m/>
    <n v="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질병관리청"/>
    <n v="43832"/>
    <s v="01 1~1000대"/>
    <s v="02 윈백"/>
    <m/>
    <s v="1. 온라인 - 단과"/>
    <x v="1"/>
    <s v="10. 구독 - 휴넷CEO멤버십"/>
    <n v="2200000"/>
    <n v="0"/>
    <n v="0"/>
    <x v="4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한전기술서비스"/>
    <n v="53537"/>
    <s v="05 공공"/>
    <s v="01 수성"/>
    <m/>
    <s v="6. 하이브리드러닝 - 집합형"/>
    <x v="9"/>
    <s v="08. 하이브리드러닝 - 하이브리드형 러닝"/>
    <n v="800000"/>
    <n v="220000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대창"/>
    <n v="16141"/>
    <s v="01 1~1000대"/>
    <s v="03 신규"/>
    <m/>
    <m/>
    <x v="13"/>
    <s v="11. 구독 - 휴넷 리더십저니"/>
    <m/>
    <m/>
    <m/>
    <x v="5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삼우"/>
    <n v="30391"/>
    <s v="01 1~1000대"/>
    <s v="03 신규"/>
    <m/>
    <m/>
    <x v="13"/>
    <s v="10. 구독 - 휴넷CEO멤버십"/>
    <m/>
    <m/>
    <m/>
    <x v="5"/>
    <s v="03 기회"/>
    <n v="2000000"/>
    <m/>
    <m/>
    <n v="2000000"/>
    <m/>
    <m/>
    <m/>
    <m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21"/>
    <s v="24. 기타 - 포럼"/>
    <m/>
    <n v="500000"/>
    <n v="2000000"/>
    <x v="2"/>
    <s v="03 기회"/>
    <n v="1000000"/>
    <m/>
    <m/>
    <m/>
    <m/>
    <m/>
    <m/>
    <m/>
    <m/>
    <m/>
    <m/>
    <n v="1000000"/>
    <m/>
    <m/>
  </r>
  <r>
    <s v="기업교육1팀"/>
    <x v="8"/>
    <s v="기업교육1팀"/>
    <s v="김도엽"/>
    <s v="경기도미래세대재단"/>
    <n v="63720"/>
    <s v="05 공공"/>
    <s v="03 신규"/>
    <s v="01 자체 LMS"/>
    <m/>
    <x v="2"/>
    <s v="14. 컨텐츠 - 컨텐츠 개발"/>
    <m/>
    <m/>
    <m/>
    <x v="7"/>
    <s v="03 기회"/>
    <n v="300000000"/>
    <m/>
    <m/>
    <m/>
    <m/>
    <m/>
    <n v="300000000"/>
    <m/>
    <m/>
    <m/>
    <m/>
    <m/>
    <m/>
    <m/>
  </r>
  <r>
    <s v="기업교육1팀"/>
    <x v="8"/>
    <s v="기업교육1팀"/>
    <s v="김도엽"/>
    <s v="울산시청"/>
    <n v="23009"/>
    <s v="05 공공"/>
    <s v="03 신규"/>
    <s v="02 경쟁사 LMS"/>
    <m/>
    <x v="0"/>
    <s v="01. 이러닝 - 통합위탁"/>
    <m/>
    <m/>
    <m/>
    <x v="5"/>
    <s v="03 기회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8"/>
    <s v="기업교육1팀"/>
    <s v="김도엽"/>
    <s v="DL건설"/>
    <n v="55714"/>
    <s v="01 1~1000대"/>
    <s v="03 신규"/>
    <s v="03 휴넷 LMS"/>
    <s v="6. 하이브리드러닝 - 집합형"/>
    <x v="9"/>
    <s v="08. 하이브리드러닝 - 하이브리드형 러닝"/>
    <n v="420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이앤씨"/>
    <n v="54464"/>
    <s v="01 1~1000대"/>
    <s v="03 신규"/>
    <s v="03 휴넷 LMS"/>
    <s v="1. 온라인 - 단과"/>
    <x v="1"/>
    <s v="02. 이러닝 - 단과"/>
    <n v="632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H그린파워(팀장리더십)"/>
    <n v="16930"/>
    <s v="01 1~1000대"/>
    <s v="03 신규"/>
    <m/>
    <s v="4. 하이브리드러닝 - 플립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울산/정기안전보건교육)"/>
    <n v="774"/>
    <s v="01 1~1000대"/>
    <s v="01 수성"/>
    <s v="01 자체 LMS"/>
    <s v="10. 컨텐츠 - 컨텐츠 개발"/>
    <x v="2"/>
    <s v="14. 컨텐츠 - 컨텐츠 개발"/>
    <n v="266731000"/>
    <n v="329000000"/>
    <n v="200000000"/>
    <x v="1"/>
    <s v="03 기회"/>
    <n v="100000000"/>
    <m/>
    <m/>
    <m/>
    <m/>
    <n v="100000000"/>
    <m/>
    <m/>
    <m/>
    <m/>
    <m/>
    <m/>
    <m/>
    <m/>
  </r>
  <r>
    <s v="기업교육1팀"/>
    <x v="8"/>
    <s v="기업교육1팀"/>
    <s v="김도엽"/>
    <s v="기아(DEI과정개발,운영)"/>
    <n v="3689"/>
    <s v="01 1~1000대"/>
    <s v="01 수성"/>
    <s v="01 자체 LMS"/>
    <s v="6. 하이브리드러닝 - 집합형"/>
    <x v="9"/>
    <s v="08. 하이브리드러닝 - 하이브리드형 러닝"/>
    <m/>
    <n v="0"/>
    <n v="2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HR아카데미)"/>
    <n v="3689"/>
    <s v="01 1~1000대"/>
    <s v="01 수성"/>
    <s v="01 자체 LMS"/>
    <s v="6. 하이브리드러닝 - 집합형"/>
    <x v="9"/>
    <s v="08. 하이브리드러닝 - 하이브리드형 러닝"/>
    <n v="69625000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한국지역정보개발원"/>
    <n v="13618"/>
    <s v="05 공공"/>
    <s v="03 신규"/>
    <s v="02 경쟁사 LMS"/>
    <m/>
    <x v="0"/>
    <s v="01. 이러닝 - 통합위탁"/>
    <m/>
    <m/>
    <m/>
    <x v="2"/>
    <s v="03 기회"/>
    <n v="100000000"/>
    <m/>
    <m/>
    <n v="100000000"/>
    <m/>
    <m/>
    <m/>
    <m/>
    <m/>
    <m/>
    <m/>
    <m/>
    <m/>
    <m/>
  </r>
  <r>
    <s v="기업교육1팀"/>
    <x v="8"/>
    <s v="기업교육1팀"/>
    <s v="김도엽"/>
    <s v="한국동서발전 (22-23년 과업)"/>
    <n v="893"/>
    <s v="05 공공"/>
    <s v="01 수성"/>
    <s v="03 휴넷 LMS"/>
    <s v="통합위탁"/>
    <x v="0"/>
    <s v="01. 이러닝 - 통합위탁"/>
    <n v="652876981"/>
    <n v="360584934"/>
    <n v="0"/>
    <x v="6"/>
    <s v="02 가망"/>
    <n v="405000000"/>
    <m/>
    <m/>
    <m/>
    <m/>
    <n v="45000000"/>
    <n v="45000000"/>
    <n v="45000000"/>
    <n v="45000000"/>
    <n v="45000000"/>
    <n v="45000000"/>
    <n v="45000000"/>
    <n v="45000000"/>
    <n v="45000000"/>
  </r>
  <r>
    <s v="기업교육1팀"/>
    <x v="8"/>
    <s v="기업교육1팀"/>
    <s v="김도엽"/>
    <s v="현대자동차 (국내사업인재육성팀)"/>
    <n v="46891"/>
    <s v="01 1~1000대"/>
    <s v="03 신규"/>
    <s v="01 자체 LMS"/>
    <s v="6. 하이브리드러닝 - 집합형"/>
    <x v="9"/>
    <s v="08. 하이브리드러닝 - 하이브리드형 러닝"/>
    <m/>
    <n v="0"/>
    <n v="50000000"/>
    <x v="2"/>
    <s v="03 기회"/>
    <n v="50000000"/>
    <m/>
    <m/>
    <m/>
    <m/>
    <m/>
    <n v="50000000"/>
    <m/>
    <m/>
    <m/>
    <m/>
    <m/>
    <m/>
    <m/>
  </r>
  <r>
    <s v="기업교육1팀"/>
    <x v="8"/>
    <s v="기업교육1팀"/>
    <s v="김도엽"/>
    <s v="기아(안전보건콘텐츠)"/>
    <n v="3689"/>
    <s v="01 1~1000대"/>
    <s v="01 수성"/>
    <s v="01 자체 LMS"/>
    <s v="10. 컨텐츠 - 컨텐츠 개발"/>
    <x v="2"/>
    <s v="14. 컨텐츠 - 컨텐츠 개발"/>
    <n v="11869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오토랜드광명/보직과장)"/>
    <n v="3689"/>
    <s v="01 1~1000대"/>
    <s v="01 수성"/>
    <s v="01 자체 LMS"/>
    <s v="6. 하이브리드러닝 - 집합형"/>
    <x v="9"/>
    <s v="08. 하이브리드러닝 - 하이브리드형 러닝"/>
    <m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사법연수원"/>
    <n v="18342"/>
    <s v="05 공공"/>
    <s v="01 수성"/>
    <s v="01 자체 LMS"/>
    <s v="23. 운영 - BPO"/>
    <x v="4"/>
    <s v="18. 운영 - BPO"/>
    <n v="205154545"/>
    <n v="186818182"/>
    <n v="186636364"/>
    <x v="0"/>
    <s v="02 가망"/>
    <n v="187000000"/>
    <m/>
    <m/>
    <n v="94000000"/>
    <m/>
    <m/>
    <m/>
    <m/>
    <m/>
    <m/>
    <m/>
    <m/>
    <m/>
    <n v="93000000"/>
  </r>
  <r>
    <s v="기업교육1팀"/>
    <x v="8"/>
    <s v="기업교육1팀"/>
    <s v="김도엽"/>
    <s v="현대자동차(남양연구소/주생시험안전교육)"/>
    <n v="46891"/>
    <s v="01 1~1000대"/>
    <s v="01 수성"/>
    <s v="01 자체 LMS"/>
    <s v="10. 컨텐츠 - 컨텐츠 개발"/>
    <x v="2"/>
    <s v="14. 컨텐츠 - 컨텐츠 개발"/>
    <n v="162400000"/>
    <n v="0"/>
    <n v="100000000"/>
    <x v="1"/>
    <s v="03 기회"/>
    <n v="50000000"/>
    <m/>
    <m/>
    <m/>
    <m/>
    <m/>
    <m/>
    <m/>
    <n v="50000000"/>
    <m/>
    <m/>
    <m/>
    <m/>
    <m/>
  </r>
  <r>
    <s v="기업교육1팀"/>
    <x v="8"/>
    <s v="기업교육1팀"/>
    <s v="김도엽"/>
    <s v="현대자동차그룹(서울/안전경영기획팀/정기안전보건교육)"/>
    <n v="774"/>
    <s v="01 1~1000대"/>
    <s v="01 수성"/>
    <s v="01 자체 LMS"/>
    <s v="10. 컨텐츠 - 컨텐츠 개발"/>
    <x v="2"/>
    <s v="14. 컨텐츠 - 컨텐츠 개발"/>
    <m/>
    <n v="0"/>
    <n v="100000000"/>
    <x v="1"/>
    <s v="03 기회"/>
    <n v="50000000"/>
    <m/>
    <m/>
    <m/>
    <m/>
    <n v="50000000"/>
    <m/>
    <m/>
    <m/>
    <m/>
    <m/>
    <m/>
    <m/>
    <m/>
  </r>
  <r>
    <s v="기업교육1팀"/>
    <x v="8"/>
    <s v="기업교육1팀"/>
    <s v="김도엽"/>
    <s v="기아(팀내재화워크숍)"/>
    <n v="3689"/>
    <s v="01 1~1000대"/>
    <s v="01 수성"/>
    <s v="01 자체 LMS"/>
    <s v="6. 하이브리드러닝 - 집합형"/>
    <x v="9"/>
    <s v="08. 하이브리드러닝 - 하이브리드형 러닝"/>
    <m/>
    <n v="519282600"/>
    <n v="100000000"/>
    <x v="7"/>
    <s v="06 사업취소"/>
    <m/>
    <m/>
    <m/>
    <m/>
    <m/>
    <m/>
    <m/>
    <m/>
    <m/>
    <m/>
    <m/>
    <m/>
    <m/>
    <m/>
  </r>
  <r>
    <s v="기업교육1팀"/>
    <x v="8"/>
    <s v="기업교육1팀"/>
    <s v="김도엽"/>
    <s v="법원도서관"/>
    <s v="등록예정"/>
    <s v="05 공공"/>
    <s v="03 신규"/>
    <m/>
    <m/>
    <x v="2"/>
    <s v="14. 컨텐츠 - 컨텐츠 개발"/>
    <m/>
    <m/>
    <n v="100000000"/>
    <x v="7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수산업협동조합중앙회"/>
    <n v="3806"/>
    <s v="02 1001~2000대"/>
    <s v="01 수성"/>
    <s v="03 휴넷 LMS"/>
    <s v="1. 온라인 - 단과"/>
    <x v="1"/>
    <s v="02. 이러닝 - 단과"/>
    <n v="131694000"/>
    <n v="222976430"/>
    <n v="169990000"/>
    <x v="0"/>
    <s v="02 가망"/>
    <n v="180000000"/>
    <m/>
    <m/>
    <m/>
    <m/>
    <m/>
    <m/>
    <m/>
    <m/>
    <m/>
    <m/>
    <n v="180000000"/>
    <m/>
    <m/>
  </r>
  <r>
    <s v="기업교육1팀"/>
    <x v="8"/>
    <s v="기업교육1팀"/>
    <s v="김도엽"/>
    <s v="애경그룹"/>
    <n v="9613"/>
    <s v="01 1~1000대"/>
    <s v="01 수성"/>
    <m/>
    <s v="4. 하이브리드러닝 - 플립형"/>
    <x v="9"/>
    <s v="08. 하이브리드러닝 - 하이브리드형 러닝"/>
    <m/>
    <n v="48807000"/>
    <n v="50000000"/>
    <x v="3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대한민국법원"/>
    <n v="15652"/>
    <s v="05 공공"/>
    <s v="01 수성"/>
    <s v="03 휴넷 LMS"/>
    <s v="통합위탁"/>
    <x v="0"/>
    <s v="01. 이러닝 - 통합위탁"/>
    <n v="154636364"/>
    <n v="151500000"/>
    <n v="151500000"/>
    <x v="0"/>
    <s v="02 가망"/>
    <n v="151000000"/>
    <m/>
    <m/>
    <n v="106000000"/>
    <m/>
    <m/>
    <m/>
    <m/>
    <m/>
    <m/>
    <m/>
    <m/>
    <m/>
    <n v="45000000"/>
  </r>
  <r>
    <s v="기업교육1팀"/>
    <x v="8"/>
    <s v="기업교육1팀"/>
    <s v="김도엽"/>
    <s v="하이트진로"/>
    <n v="10148"/>
    <s v="01 1~1000대"/>
    <s v="03 신규"/>
    <s v="02 경쟁사 LMS"/>
    <s v="3. 온라인 - 마이크로러닝"/>
    <x v="14"/>
    <s v="04. 이러닝 - 마이크로러닝"/>
    <m/>
    <n v="0"/>
    <n v="0"/>
    <x v="7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0. 구독 - 휴넷CEO멤버십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4 연장"/>
    <s v="01 자체 LMS"/>
    <s v="통합위탁"/>
    <x v="0"/>
    <s v="01. 이러닝 - 통합위탁"/>
    <n v="29322136"/>
    <n v="34837934"/>
    <n v="27635000"/>
    <x v="0"/>
    <s v="01 확정"/>
    <n v="29000000"/>
    <m/>
    <n v="2500000"/>
    <n v="1500000"/>
    <n v="2500000"/>
    <n v="2500000"/>
    <n v="2500000"/>
    <n v="2500000"/>
    <n v="2500000"/>
    <n v="2500000"/>
    <n v="2500000"/>
    <n v="2500000"/>
    <n v="2500000"/>
    <n v="2500000"/>
  </r>
  <r>
    <s v="기업교육1팀"/>
    <x v="8"/>
    <s v="기업교육1팀"/>
    <s v="김도엽"/>
    <s v="기아(뉴노멀 MBA)"/>
    <n v="3689"/>
    <s v="01 1~1000대"/>
    <s v="01 수성"/>
    <s v="01 자체 LMS"/>
    <s v="1. 온라인 - 단과"/>
    <x v="1"/>
    <s v="02. 이러닝 - 단과"/>
    <n v="30000000"/>
    <n v="101640000"/>
    <n v="100000000"/>
    <x v="0"/>
    <s v="02 가망"/>
    <n v="100000000"/>
    <m/>
    <m/>
    <m/>
    <m/>
    <m/>
    <m/>
    <m/>
    <m/>
    <m/>
    <n v="50000000"/>
    <m/>
    <n v="50000000"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1. 구독 - 휴넷 리더십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한솔홀딩스"/>
    <n v="19227"/>
    <s v="01 1~1000대"/>
    <s v="01 수성"/>
    <m/>
    <s v="4. 하이브리드러닝 - 플립형"/>
    <x v="9"/>
    <s v="08. 하이브리드러닝 - 하이브리드형 러닝"/>
    <m/>
    <n v="83200000"/>
    <n v="80000000"/>
    <x v="0"/>
    <s v="02 가망"/>
    <n v="80000000"/>
    <m/>
    <m/>
    <m/>
    <m/>
    <m/>
    <m/>
    <m/>
    <m/>
    <m/>
    <n v="80000000"/>
    <m/>
    <m/>
    <m/>
  </r>
  <r>
    <s v="기업교육1팀"/>
    <x v="8"/>
    <s v="기업교육1팀"/>
    <s v="김도엽"/>
    <s v="현대오토에버 주식회사 (자체LMS 운영)"/>
    <n v="619"/>
    <s v="01 1~1000대"/>
    <s v="04 연장"/>
    <s v="01 자체 LMS"/>
    <s v="11. 컨텐츠 - 컨텐츠 임대/판매"/>
    <x v="3"/>
    <s v="07. 이러닝 - 컨텐츠 임대/판매"/>
    <n v="76403746"/>
    <n v="0"/>
    <n v="83462818"/>
    <x v="0"/>
    <s v="02 가망"/>
    <n v="80000000"/>
    <m/>
    <n v="6500000"/>
    <n v="6500000"/>
    <n v="6500000"/>
    <n v="7500000"/>
    <n v="6500000"/>
    <n v="6500000"/>
    <n v="6500000"/>
    <n v="6500000"/>
    <n v="7500000"/>
    <n v="6500000"/>
    <n v="6500000"/>
    <n v="6500000"/>
  </r>
  <r>
    <s v="기업교육1팀"/>
    <x v="8"/>
    <s v="기업교육1팀"/>
    <s v="김도엽"/>
    <s v="국민건강보험공단(건강생활실천온라인교육)"/>
    <n v="52333"/>
    <s v="05 공공"/>
    <s v="03 신규"/>
    <s v="03 휴넷 LMS"/>
    <m/>
    <x v="0"/>
    <s v="01. 이러닝 - 통합위탁"/>
    <m/>
    <m/>
    <m/>
    <x v="5"/>
    <s v="02 가망"/>
    <n v="77000000"/>
    <m/>
    <m/>
    <n v="7000000"/>
    <n v="7000000"/>
    <n v="7000000"/>
    <n v="7000000"/>
    <n v="7000000"/>
    <n v="7000000"/>
    <n v="7000000"/>
    <n v="7000000"/>
    <n v="7000000"/>
    <n v="7000000"/>
    <n v="7000000"/>
  </r>
  <r>
    <s v="기업교육1팀"/>
    <x v="8"/>
    <s v="기업교육1팀"/>
    <s v="김도엽"/>
    <s v="아데카코리아"/>
    <n v="15040"/>
    <s v="02 1001~2000대"/>
    <s v="04 연장"/>
    <s v="03 휴넷 LMS"/>
    <s v="통합위탁"/>
    <x v="0"/>
    <s v="01. 이러닝 - 통합위탁"/>
    <n v="34792700"/>
    <n v="31536900"/>
    <n v="35363800"/>
    <x v="0"/>
    <s v="01 확정"/>
    <n v="38000000"/>
    <m/>
    <n v="3000000"/>
    <n v="3000000"/>
    <n v="5000000"/>
    <n v="3000000"/>
    <n v="3000000"/>
    <n v="3000000"/>
    <n v="3000000"/>
    <n v="3000000"/>
    <n v="3000000"/>
    <n v="3000000"/>
    <n v="3000000"/>
    <n v="3000000"/>
  </r>
  <r>
    <s v="기업교육1팀"/>
    <x v="8"/>
    <s v="기업교육1팀"/>
    <s v="김도엽"/>
    <s v="기아 (안전보건 콘텐츠개발)"/>
    <n v="3689"/>
    <s v="01 1~1000대"/>
    <s v="01 수성"/>
    <m/>
    <m/>
    <x v="2"/>
    <s v="14. 컨텐츠 - 컨텐츠 개발"/>
    <m/>
    <m/>
    <n v="0"/>
    <x v="7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기아(터닝포인트리더십)"/>
    <n v="3689"/>
    <s v="01 1~1000대"/>
    <s v="01 수성"/>
    <s v="01 자체 LMS"/>
    <s v="1. 온라인 - 단과"/>
    <x v="1"/>
    <s v="02. 이러닝 - 단과"/>
    <m/>
    <n v="0"/>
    <n v="30000000"/>
    <x v="1"/>
    <s v="03 기회"/>
    <n v="20000000"/>
    <m/>
    <m/>
    <m/>
    <m/>
    <m/>
    <m/>
    <m/>
    <m/>
    <m/>
    <m/>
    <n v="20000000"/>
    <m/>
    <m/>
  </r>
  <r>
    <s v="기업교육1팀"/>
    <x v="8"/>
    <s v="기업교육1팀"/>
    <s v="김도엽"/>
    <s v="아모레퍼시픽 (미래역량스쿨)"/>
    <n v="19211"/>
    <s v="01 1~1000대"/>
    <s v="03 신규"/>
    <s v="02 경쟁사 LMS"/>
    <m/>
    <x v="1"/>
    <s v="02. 이러닝 - 단과"/>
    <m/>
    <n v="0"/>
    <n v="45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특별안전보건)"/>
    <n v="3689"/>
    <s v="01 1~1000대"/>
    <s v="03 신규"/>
    <s v="01 자체 LMS"/>
    <s v="10. 컨텐츠 - 컨텐츠 개발"/>
    <x v="2"/>
    <s v="14. 컨텐츠 - 컨텐츠 개발"/>
    <m/>
    <n v="0"/>
    <n v="20000000"/>
    <x v="1"/>
    <s v="03 기회"/>
    <n v="20000000"/>
    <m/>
    <m/>
    <m/>
    <m/>
    <m/>
    <n v="20000000"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1. 온라인 - 단과"/>
    <x v="1"/>
    <s v="02. 이러닝 - 단과"/>
    <m/>
    <n v="0"/>
    <n v="4000000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현대자동차 (HR지원팀/법정)"/>
    <n v="46891"/>
    <s v="01 1~1000대"/>
    <s v="01 수성"/>
    <s v="01 자체 LMS"/>
    <s v="2. 온라인 - 법정"/>
    <x v="11"/>
    <s v="03. 이러닝 - 법정"/>
    <m/>
    <n v="87534233"/>
    <n v="100000000"/>
    <x v="1"/>
    <s v="02 가망"/>
    <n v="50000000"/>
    <m/>
    <m/>
    <m/>
    <m/>
    <m/>
    <m/>
    <m/>
    <m/>
    <n v="50000000"/>
    <m/>
    <m/>
    <m/>
    <m/>
  </r>
  <r>
    <s v="기업교육1팀"/>
    <x v="8"/>
    <s v="기업교육1팀"/>
    <s v="김도엽"/>
    <s v="애경케미칼(24년 미정산)"/>
    <n v="4710"/>
    <s v="01 1~1000대"/>
    <s v="01 수성"/>
    <s v="03 휴넷 LMS"/>
    <s v="2. 온라인 - 법정"/>
    <x v="11"/>
    <s v="03. 이러닝 - 법정"/>
    <m/>
    <n v="0"/>
    <n v="8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4. 하이브리드러닝 - 플립형"/>
    <x v="9"/>
    <s v="08. 하이브리드러닝 - 하이브리드형 러닝"/>
    <m/>
    <n v="0"/>
    <n v="30000000"/>
    <x v="2"/>
    <s v="03 기회"/>
    <n v="20000000"/>
    <m/>
    <m/>
    <m/>
    <m/>
    <m/>
    <m/>
    <m/>
    <m/>
    <n v="10000000"/>
    <n v="10000000"/>
    <m/>
    <m/>
    <m/>
  </r>
  <r>
    <s v="기업교육1팀"/>
    <x v="8"/>
    <s v="기업교육1팀"/>
    <s v="김도엽"/>
    <s v="엘지유플러스"/>
    <n v="3714"/>
    <s v="01 1~1000대"/>
    <s v="03 신규"/>
    <s v="01 자체 LMS"/>
    <s v="1. 온라인 - 단과"/>
    <x v="1"/>
    <s v="02. 이러닝 - 단과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엘지헬로비전"/>
    <n v="41913"/>
    <s v="01 1~1000대"/>
    <s v="04 연장"/>
    <s v="03 휴넷 LMS"/>
    <s v="통합위탁"/>
    <x v="0"/>
    <s v="01. 이러닝 - 통합위탁"/>
    <n v="98453926"/>
    <n v="80051200"/>
    <n v="53255200"/>
    <x v="0"/>
    <s v="01 확정"/>
    <n v="60000000"/>
    <m/>
    <n v="3000000"/>
    <n v="3000000"/>
    <n v="3000000"/>
    <n v="15000000"/>
    <n v="3000000"/>
    <n v="3000000"/>
    <n v="3000000"/>
    <n v="3000000"/>
    <n v="15000000"/>
    <n v="3000000"/>
    <n v="3000000"/>
    <n v="3000000"/>
  </r>
  <r>
    <s v="기업교육1팀"/>
    <x v="8"/>
    <s v="기업교육1팀"/>
    <s v="김도엽"/>
    <s v="엘지헬로비전"/>
    <n v="41913"/>
    <s v="01 1~1000대"/>
    <s v="01 수성"/>
    <m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플러스홈서비스"/>
    <n v="59553"/>
    <s v="04 3000대 이후"/>
    <s v="01 수성"/>
    <s v="03 휴넷 LMS"/>
    <s v="통합위탁"/>
    <x v="1"/>
    <s v="02. 이러닝 - 단과"/>
    <m/>
    <n v="1227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한킴벌리"/>
    <n v="1246"/>
    <s v="01 1~1000대"/>
    <s v="01 수성"/>
    <m/>
    <s v="3. 온라인 - 마이크로러닝"/>
    <x v="14"/>
    <s v="04. 이러닝 - 마이크로러닝"/>
    <n v="2700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엘지유플러스"/>
    <n v="3714"/>
    <s v="01 1~1000대"/>
    <s v="01 수성"/>
    <m/>
    <s v="6. 하이브리드러닝 - 집합형"/>
    <x v="12"/>
    <s v="09. 하이브리드러닝 - 순수 오프라인"/>
    <m/>
    <n v="18480000"/>
    <n v="0"/>
    <x v="6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기아(위험성평가 게임러닝)"/>
    <n v="3689"/>
    <s v="01 1~1000대"/>
    <s v="01 수성"/>
    <s v="01 자체 LMS"/>
    <s v="10. 컨텐츠 - 컨텐츠 개발"/>
    <x v="2"/>
    <s v="14. 컨텐츠 - 컨텐츠 개발"/>
    <m/>
    <n v="150000000"/>
    <n v="30000000"/>
    <x v="0"/>
    <s v="02 가망"/>
    <n v="30000000"/>
    <m/>
    <m/>
    <m/>
    <m/>
    <m/>
    <m/>
    <n v="30000000"/>
    <m/>
    <m/>
    <m/>
    <m/>
    <m/>
    <m/>
  </r>
  <r>
    <s v="기업교육1팀"/>
    <x v="8"/>
    <s v="기업교육1팀"/>
    <s v="김도엽"/>
    <s v="유한킴벌리"/>
    <n v="1246"/>
    <s v="01 1~1000대"/>
    <s v="01 수성"/>
    <s v="02 경쟁사 LMS"/>
    <s v="4. 하이브리드러닝 - 플립형"/>
    <x v="9"/>
    <s v="08. 하이브리드러닝 - 하이브리드형 러닝"/>
    <m/>
    <n v="2000000"/>
    <n v="40000000"/>
    <x v="2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타타대우상용차"/>
    <n v="3954"/>
    <s v="01 1~1000대"/>
    <s v="03 신규"/>
    <m/>
    <s v="1. 온라인 - 단과"/>
    <x v="0"/>
    <s v="01. 이러닝 - 통합위탁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3 신규"/>
    <s v="03 휴넷 LMS"/>
    <m/>
    <x v="9"/>
    <s v="08. 하이브리드러닝 - 하이브리드형 러닝"/>
    <m/>
    <n v="0"/>
    <n v="20000000"/>
    <x v="2"/>
    <s v="03 기회"/>
    <n v="20000000"/>
    <m/>
    <m/>
    <m/>
    <m/>
    <m/>
    <m/>
    <n v="10000000"/>
    <n v="10000000"/>
    <m/>
    <m/>
    <m/>
    <m/>
    <m/>
  </r>
  <r>
    <s v="기업교육1팀"/>
    <x v="8"/>
    <s v="기업교육1팀"/>
    <s v="김도엽"/>
    <s v="현대모비스"/>
    <n v="3699"/>
    <s v="01 1~1000대"/>
    <s v="03 신규"/>
    <s v="01 자체 LMS"/>
    <s v="1. 온라인 - 단과"/>
    <x v="1"/>
    <s v="02. 이러닝 - 단과"/>
    <n v="31680000"/>
    <n v="0"/>
    <n v="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폴리미래 주식회사(24년 미정산)"/>
    <n v="720"/>
    <s v="01 1~1000대"/>
    <s v="01 수성"/>
    <s v="01 자체 LMS"/>
    <s v="2. 온라인 - 법정"/>
    <x v="11"/>
    <s v="03. 이러닝 - 법정"/>
    <m/>
    <n v="0"/>
    <n v="49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4 연장"/>
    <s v="03 휴넷 LMS"/>
    <s v="통합위탁"/>
    <x v="0"/>
    <s v="01. 이러닝 - 통합위탁"/>
    <n v="76615580"/>
    <n v="80917800"/>
    <n v="708248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8"/>
    <s v="기업교육1팀"/>
    <s v="김도엽"/>
    <s v="현대트랜시스"/>
    <n v="3842"/>
    <s v="01 1~1000대"/>
    <s v="01 수성"/>
    <s v="01 자체 LMS"/>
    <s v="2. 온라인 - 법정"/>
    <x v="11"/>
    <s v="03. 이러닝 - 법정"/>
    <s v=""/>
    <n v="21141000"/>
    <n v="20000000"/>
    <x v="2"/>
    <s v="03 기회"/>
    <n v="20000000"/>
    <m/>
    <m/>
    <m/>
    <m/>
    <m/>
    <m/>
    <m/>
    <m/>
    <m/>
    <m/>
    <m/>
    <m/>
    <n v="20000000"/>
  </r>
  <r>
    <s v="기업교육1팀"/>
    <x v="8"/>
    <s v="기업교육1팀"/>
    <s v="김도엽"/>
    <s v="피아이첨단소재(24년 미정산)"/>
    <n v="16894"/>
    <s v="02 1001~2000대"/>
    <s v="04 연장"/>
    <s v="03 휴넷 LMS"/>
    <s v="통합위탁"/>
    <x v="0"/>
    <s v="01. 이러닝 - 통합위탁"/>
    <m/>
    <n v="0"/>
    <n v="85426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2 경쟁사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DL"/>
    <n v="8831"/>
    <s v="01 1~1000대"/>
    <s v="03 신규"/>
    <s v="01 자체 LMS"/>
    <m/>
    <x v="13"/>
    <s v="11. 구독 - 휴넷 리더십저니"/>
    <m/>
    <m/>
    <m/>
    <x v="5"/>
    <s v="03 기회"/>
    <n v="20000000"/>
    <m/>
    <m/>
    <n v="20000000"/>
    <m/>
    <m/>
    <m/>
    <m/>
    <m/>
    <m/>
    <m/>
    <m/>
    <m/>
    <m/>
  </r>
  <r>
    <s v="기업교육1팀"/>
    <x v="8"/>
    <s v="기업교육1팀"/>
    <s v="김도엽"/>
    <s v="현대자동차 (울산/화학물질 안전콘텐츠)"/>
    <n v="46891"/>
    <s v="01 1~1000대"/>
    <s v="03 신규"/>
    <m/>
    <m/>
    <x v="2"/>
    <s v="14. 컨텐츠 - 컨텐츠 개발"/>
    <m/>
    <n v="0"/>
    <n v="36500000"/>
    <x v="0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한국동서발전 (임피교육)"/>
    <n v="893"/>
    <s v="05 공공"/>
    <s v="01 수성"/>
    <s v="03 휴넷 LMS"/>
    <s v="6. 하이브리드러닝 - 집합형"/>
    <x v="9"/>
    <s v="08. 하이브리드러닝 - 하이브리드형 러닝"/>
    <n v="44761455"/>
    <n v="12024788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에스케이가스"/>
    <n v="2512"/>
    <s v="01 1~1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한국법무보호복지공단 (25년 과업)"/>
    <n v="49625"/>
    <s v="05 공공"/>
    <s v="01 수성"/>
    <m/>
    <s v="11. 컨텐츠 - 컨텐츠 임대/판매"/>
    <x v="3"/>
    <s v="07. 이러닝 - 컨텐츠 임대/판매"/>
    <m/>
    <n v="4090909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 (저성과자코칭)"/>
    <n v="46891"/>
    <s v="01 1~1000대"/>
    <s v="03 신규"/>
    <m/>
    <m/>
    <x v="2"/>
    <s v="14. 컨텐츠 - 컨텐츠 개발"/>
    <m/>
    <m/>
    <n v="33840000"/>
    <x v="0"/>
    <s v="02 가망"/>
    <n v="30000000"/>
    <m/>
    <m/>
    <m/>
    <m/>
    <m/>
    <m/>
    <n v="15000000"/>
    <m/>
    <m/>
    <m/>
    <m/>
    <m/>
    <n v="15000000"/>
  </r>
  <r>
    <s v="기업교육1팀"/>
    <x v="8"/>
    <s v="기업교육1팀"/>
    <s v="김도엽"/>
    <s v="에스케이피아이씨글로벌"/>
    <n v="42280"/>
    <s v="02 1001~2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DL"/>
    <n v="8831"/>
    <s v="01 1~1000대"/>
    <s v="01 수성"/>
    <s v="03 휴넷 LMS"/>
    <s v="11. 컨텐츠 - 컨텐츠 임대/판매"/>
    <x v="3"/>
    <s v="07. 이러닝 - 컨텐츠 임대/판매"/>
    <m/>
    <n v="28900000"/>
    <n v="5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모비스 (안전보건교육)"/>
    <n v="3699"/>
    <s v="01 1~1000대"/>
    <s v="03 신규"/>
    <s v="01 자체 LMS"/>
    <s v="10. 컨텐츠 - 컨텐츠 개발"/>
    <x v="2"/>
    <s v="14. 컨텐츠 - 컨텐츠 개발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1 수성"/>
    <s v="03 휴넷 LMS"/>
    <s v="1. 온라인 - 단과"/>
    <x v="1"/>
    <s v="02. 이러닝 - 단과"/>
    <n v="3960000"/>
    <n v="2280000"/>
    <n v="0"/>
    <x v="2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현대엔지니어링 (법정 임대)"/>
    <n v="4083"/>
    <s v="01 1~1000대"/>
    <s v="03 신규"/>
    <s v="01 자체 LMS"/>
    <s v="11. 컨텐츠 - 컨텐츠 임대/판매"/>
    <x v="3"/>
    <s v="07. 이러닝 - 컨텐츠 임대/판매"/>
    <n v="45000000"/>
    <n v="6500000"/>
    <n v="26000000"/>
    <x v="0"/>
    <s v="01 확정"/>
    <n v="24000000"/>
    <m/>
    <m/>
    <m/>
    <n v="12000000"/>
    <m/>
    <m/>
    <m/>
    <m/>
    <n v="12000000"/>
    <m/>
    <m/>
    <m/>
    <m/>
  </r>
  <r>
    <s v="기업교육1팀"/>
    <x v="8"/>
    <s v="기업교육1팀"/>
    <s v="김도엽"/>
    <s v="기아(국내사업인재교육팀)"/>
    <n v="3689"/>
    <s v="01 1~1000대"/>
    <s v="03 신규"/>
    <s v="01 자체 LMS"/>
    <s v="6. 하이브리드러닝 - 집합형"/>
    <x v="9"/>
    <s v="08. 하이브리드러닝 - 하이브리드형 러닝"/>
    <m/>
    <n v="0"/>
    <n v="2000000"/>
    <x v="2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오씨아이"/>
    <n v="21561"/>
    <m/>
    <m/>
    <m/>
    <m/>
    <x v="2"/>
    <s v="14. 컨텐츠 - 컨텐츠 개발"/>
    <m/>
    <m/>
    <n v="280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마이크로러닝)"/>
    <n v="3689"/>
    <s v="01 1~1000대"/>
    <s v="01 수성"/>
    <s v="01 자체 LMS"/>
    <s v="3. 온라인 - 마이크로러닝"/>
    <x v="14"/>
    <s v="04. 이러닝 - 마이크로러닝"/>
    <n v="60580000"/>
    <n v="1800000"/>
    <n v="10000000"/>
    <x v="2"/>
    <s v="03 기회"/>
    <n v="10000000"/>
    <m/>
    <m/>
    <m/>
    <m/>
    <m/>
    <m/>
    <m/>
    <m/>
    <m/>
    <m/>
    <m/>
    <m/>
    <n v="10000000"/>
  </r>
  <r>
    <s v="기업교육1팀"/>
    <x v="8"/>
    <s v="기업교육1팀"/>
    <s v="김도엽"/>
    <s v="유한킴벌리"/>
    <n v="1246"/>
    <s v="01 1~1000대"/>
    <s v="01 수성"/>
    <s v="03 휴넷 LMS"/>
    <s v="7. 휴넷CEO - 휴넷CEO"/>
    <x v="7"/>
    <s v="10. 구독 - 휴넷CEO멤버십"/>
    <m/>
    <n v="20699000"/>
    <n v="18720000"/>
    <x v="0"/>
    <s v="02 가망"/>
    <n v="20000000"/>
    <m/>
    <m/>
    <n v="20000000"/>
    <m/>
    <m/>
    <m/>
    <m/>
    <m/>
    <m/>
    <m/>
    <m/>
    <m/>
    <m/>
  </r>
  <r>
    <s v="기업교육1팀"/>
    <x v="8"/>
    <s v="기업교육1팀"/>
    <s v="김도엽"/>
    <s v="나이스정보통신 (오프라인)"/>
    <n v="1514"/>
    <s v="01 1~1000대"/>
    <s v="01 수성"/>
    <s v="03 휴넷 LMS"/>
    <s v="6. 하이브리드러닝 - 집합형"/>
    <x v="9"/>
    <s v="08. 하이브리드러닝 - 하이브리드형 러닝"/>
    <m/>
    <n v="12300000"/>
    <n v="9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오토에버 주식회사 (마이크로러닝 임대)"/>
    <n v="619"/>
    <s v="01 1~1000대"/>
    <s v="02 윈백"/>
    <s v="01 자체 LMS"/>
    <s v="11. 컨텐츠 - 컨텐츠 임대/판매"/>
    <x v="3"/>
    <s v="07. 이러닝 - 컨텐츠 임대/판매"/>
    <n v="20160000"/>
    <n v="0"/>
    <n v="20000000"/>
    <x v="2"/>
    <s v="02 가망"/>
    <n v="20000000"/>
    <m/>
    <m/>
    <m/>
    <m/>
    <m/>
    <m/>
    <m/>
    <m/>
    <m/>
    <m/>
    <m/>
    <m/>
    <n v="20000000"/>
  </r>
  <r>
    <s v="기업교육1팀"/>
    <x v="8"/>
    <s v="기업교육1팀"/>
    <s v="김도엽"/>
    <s v="한국동서발전"/>
    <n v="893"/>
    <s v="05 공공"/>
    <s v="01 수성"/>
    <s v="03 휴넷 LMS"/>
    <s v="10. 컨텐츠 - 컨텐츠 개발"/>
    <x v="2"/>
    <s v="14. 컨텐츠 - 컨텐츠 개발"/>
    <n v="1300000"/>
    <n v="19900000"/>
    <n v="9900000"/>
    <x v="0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자동차 (안전경영기획팀_안전정책)"/>
    <n v="46891"/>
    <s v="01 1~1000대"/>
    <s v="01 수성"/>
    <s v="01 자체 LMS"/>
    <s v="10. 컨텐츠 - 컨텐츠 개발"/>
    <x v="2"/>
    <s v="14. 컨텐츠 - 컨텐츠 개발"/>
    <m/>
    <n v="322206000"/>
    <n v="13000000"/>
    <x v="0"/>
    <s v="02 가망"/>
    <n v="20000000"/>
    <m/>
    <m/>
    <m/>
    <m/>
    <n v="20000000"/>
    <m/>
    <m/>
    <m/>
    <m/>
    <m/>
    <m/>
    <m/>
    <m/>
  </r>
  <r>
    <s v="기업교육1팀"/>
    <x v="8"/>
    <s v="기업교육1팀"/>
    <s v="김도엽"/>
    <s v="현대위아 (위아다움 집합교육)"/>
    <n v="3739"/>
    <s v="01 1~1000대"/>
    <s v="03 신규"/>
    <s v="01 자체 LMS"/>
    <s v="3. 온라인 - 마이크로러닝"/>
    <x v="9"/>
    <s v="08. 하이브리드러닝 - 하이브리드형 러닝"/>
    <s v=""/>
    <n v="0"/>
    <n v="3955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1 수성"/>
    <s v="01 자체 LMS"/>
    <s v="2. 온라인 - 법정"/>
    <x v="11"/>
    <s v="03. 이러닝 - 법정"/>
    <n v="15078000"/>
    <n v="15204000"/>
    <n v="15000000"/>
    <x v="1"/>
    <s v="02 가망"/>
    <n v="15000000"/>
    <m/>
    <m/>
    <m/>
    <m/>
    <m/>
    <m/>
    <m/>
    <m/>
    <m/>
    <n v="15000000"/>
    <m/>
    <m/>
    <m/>
  </r>
  <r>
    <s v="기업교육1팀"/>
    <x v="8"/>
    <s v="기업교육1팀"/>
    <s v="김도엽"/>
    <s v="한솔홀딩스"/>
    <n v="19227"/>
    <s v="01 1~1000대"/>
    <s v="03 신규"/>
    <m/>
    <s v="4. 하이브리드러닝 - 플립형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8"/>
    <s v="기업교육1팀"/>
    <s v="김도엽"/>
    <s v="현대자동차 (서울/보안팀/비상대피, 보안의식캠페인)"/>
    <n v="46891"/>
    <s v="01 1~1000대"/>
    <s v="03 신규"/>
    <s v="01 자체 LMS"/>
    <s v="10. 컨텐츠 - 컨텐츠 개발"/>
    <x v="2"/>
    <s v="14. 컨텐츠 - 컨텐츠 개발"/>
    <m/>
    <n v="0"/>
    <n v="69736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수산업협동조합중앙회 (금융권 정보보호교육)"/>
    <n v="3806"/>
    <s v="02 1001~2000대"/>
    <s v="01 수성"/>
    <m/>
    <s v="1. 온라인 - 단과"/>
    <x v="11"/>
    <s v="03. 이러닝 - 법정"/>
    <m/>
    <n v="0"/>
    <n v="14300000"/>
    <x v="0"/>
    <s v="02 가망"/>
    <n v="15000000"/>
    <m/>
    <m/>
    <m/>
    <m/>
    <m/>
    <m/>
    <m/>
    <m/>
    <m/>
    <m/>
    <n v="7500000"/>
    <n v="7500000"/>
    <m/>
  </r>
  <r>
    <s v="기업교육1팀"/>
    <x v="8"/>
    <s v="기업교육1팀"/>
    <s v="김도엽"/>
    <s v="현대자동차 (울산/보건팀/체스운동)"/>
    <n v="46891"/>
    <s v="01 1~1000대"/>
    <s v="01 수성"/>
    <s v="01 자체 LMS"/>
    <s v="10. 컨텐츠 - 컨텐츠 개발"/>
    <x v="2"/>
    <s v="14. 컨텐츠 - 컨텐츠 개발"/>
    <m/>
    <n v="0"/>
    <n v="14000000"/>
    <x v="1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애경케미칼"/>
    <n v="4710"/>
    <s v="01 1~1000대"/>
    <s v="01 수성"/>
    <s v="03 휴넷 LMS"/>
    <s v="2. 온라인 - 법정"/>
    <x v="11"/>
    <s v="03. 이러닝 - 법정"/>
    <n v="11491000"/>
    <n v="10727000"/>
    <n v="11000000"/>
    <x v="0"/>
    <s v="02 가망"/>
    <n v="11000000"/>
    <m/>
    <m/>
    <m/>
    <m/>
    <m/>
    <m/>
    <m/>
    <n v="5500000"/>
    <m/>
    <m/>
    <m/>
    <m/>
    <n v="5500000"/>
  </r>
  <r>
    <s v="기업교육1팀"/>
    <x v="8"/>
    <s v="기업교육1팀"/>
    <s v="김도엽"/>
    <s v="나이스정보통신"/>
    <n v="1514"/>
    <s v="01 1~1000대"/>
    <s v="01 수성"/>
    <s v="03 휴넷 LMS"/>
    <s v="6. 하이브리드러닝 - 집합형"/>
    <x v="9"/>
    <s v="08. 하이브리드러닝 - 하이브리드형 러닝"/>
    <n v="11200000"/>
    <n v="0"/>
    <n v="0"/>
    <x v="1"/>
    <s v="02 가망"/>
    <n v="10000000"/>
    <m/>
    <m/>
    <m/>
    <m/>
    <m/>
    <m/>
    <m/>
    <n v="5000000"/>
    <m/>
    <m/>
    <n v="5000000"/>
    <m/>
    <m/>
  </r>
  <r>
    <s v="기업교육1팀"/>
    <x v="8"/>
    <s v="기업교육1팀"/>
    <s v="김도엽"/>
    <s v="현대자동차 (피플앤육성팀) (ATD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3"/>
    <s v="05 Drop"/>
    <n v="0"/>
    <m/>
    <m/>
    <m/>
    <m/>
    <m/>
    <m/>
    <m/>
    <m/>
    <m/>
    <m/>
    <m/>
    <m/>
    <m/>
  </r>
  <r>
    <s v="기업교육1팀"/>
    <x v="8"/>
    <s v="기업교육1팀"/>
    <s v="김도엽"/>
    <s v="현대자동차 (피플앤육성팀) (HRD교육체계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법정 임대)"/>
    <n v="619"/>
    <s v="01 1~1000대"/>
    <s v="01 수성"/>
    <s v="01 자체 LMS"/>
    <s v="11. 컨텐츠 - 컨텐츠 임대/판매"/>
    <x v="3"/>
    <s v="07. 이러닝 - 컨텐츠 임대/판매"/>
    <n v="26000000"/>
    <n v="0"/>
    <n v="0"/>
    <x v="0"/>
    <s v="02 가망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 남양연구소"/>
    <n v="49701"/>
    <s v="02 1001~2000대"/>
    <s v="02 윈백"/>
    <m/>
    <s v="6. 하이브리드러닝 - 집합형"/>
    <x v="9"/>
    <s v="08. 하이브리드러닝 - 하이브리드형 러닝"/>
    <n v="946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엔지니어링 (임대/탄소중립)"/>
    <n v="4083"/>
    <s v="01 1~1000대"/>
    <s v="01 수성"/>
    <s v="01 자체 LMS"/>
    <s v="11. 컨텐츠 - 컨텐츠 임대/판매"/>
    <x v="3"/>
    <s v="07. 이러닝 - 컨텐츠 임대/판매"/>
    <m/>
    <n v="0"/>
    <n v="0"/>
    <x v="6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자동차(보안진단개선팀/물리보안가이드북(출판디자인))"/>
    <n v="46891"/>
    <s v="05 공공"/>
    <s v="03 신규"/>
    <s v="01 자체 LMS"/>
    <s v="1. 온라인 - 단과"/>
    <x v="1"/>
    <s v="02. 이러닝 - 단과"/>
    <m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(소방팀(울산)/PSM콘텐츠개발)"/>
    <n v="46891"/>
    <s v="05 공공"/>
    <s v="03 신규"/>
    <s v="01 자체 LMS"/>
    <s v="1. 온라인 - 단과"/>
    <x v="1"/>
    <s v="02. 이러닝 - 단과"/>
    <m/>
    <n v="0"/>
    <n v="2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노사기획팀/울산/PPT스킬업)"/>
    <n v="774"/>
    <s v="01 1~1000대"/>
    <s v="01 수성"/>
    <s v="01 자체 LMS"/>
    <s v="6. 하이브리드러닝 - 집합형"/>
    <x v="9"/>
    <s v="08. 하이브리드러닝 - 하이브리드형 러닝"/>
    <m/>
    <n v="300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안전팀/울산/영상편집특강)"/>
    <n v="774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임대: 자금세탁방지)"/>
    <n v="619"/>
    <s v="01 1~1000대"/>
    <s v="03 신규"/>
    <m/>
    <s v="11. 컨텐츠 - 컨텐츠 임대/판매"/>
    <x v="3"/>
    <s v="07. 이러닝 - 컨텐츠 임대/판매"/>
    <m/>
    <n v="0"/>
    <n v="12000000"/>
    <x v="2"/>
    <s v="03 기회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그룹 글로벌상생협력센터 (법정 임대)"/>
    <n v="46794"/>
    <s v="01 1~1000대"/>
    <s v="01 수성"/>
    <s v="01 자체 LMS"/>
    <s v="11. 컨텐츠 - 컨텐츠 임대/판매"/>
    <x v="3"/>
    <s v="07. 이러닝 - 컨텐츠 임대/판매"/>
    <n v="42000000"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인재개발원(HRD아카데미)"/>
    <n v="774"/>
    <s v="01 1~1000대"/>
    <s v="01 수성"/>
    <s v="01 자체 LMS"/>
    <m/>
    <x v="9"/>
    <s v="08. 하이브리드러닝 - 하이브리드형 러닝"/>
    <s v="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1 자체 LMS"/>
    <m/>
    <x v="9"/>
    <s v="08. 하이브리드러닝 - 하이브리드형 러닝"/>
    <m/>
    <m/>
    <m/>
    <x v="2"/>
    <s v="03 기회"/>
    <n v="10000000"/>
    <m/>
    <m/>
    <m/>
    <m/>
    <m/>
    <n v="10000000"/>
    <m/>
    <m/>
    <m/>
    <m/>
    <m/>
    <m/>
    <m/>
  </r>
  <r>
    <s v="기업교육1팀"/>
    <x v="8"/>
    <s v="기업교육1팀"/>
    <s v="김도엽"/>
    <s v="현대트랜시스"/>
    <n v="3842"/>
    <s v="01 1~1000대"/>
    <s v="01 수성"/>
    <s v="01 자체 LMS"/>
    <s v="1. 온라인 - 단과"/>
    <x v="1"/>
    <s v="02. 이러닝 - 단과"/>
    <s v=""/>
    <n v="0"/>
    <n v="3000000"/>
    <x v="8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트랜시스(팀장리더십)"/>
    <n v="3842"/>
    <s v="01 1~1000대"/>
    <s v="03 신규"/>
    <s v="01 자체 LMS"/>
    <s v="5. 하이브리드러닝 - 러닝저니"/>
    <x v="9"/>
    <s v="08. 하이브리드러닝 - 하이브리드형 러닝"/>
    <s v=""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국민건강보험공단"/>
    <n v="4257"/>
    <s v="05 공공"/>
    <s v="01 수성"/>
    <s v="01 자체 LMS"/>
    <s v="통합위탁"/>
    <x v="0"/>
    <s v="01. 이러닝 - 통합위탁"/>
    <m/>
    <m/>
    <m/>
    <x v="5"/>
    <s v="01 확정"/>
    <n v="915000000"/>
    <m/>
    <n v="100000000"/>
    <n v="100000000"/>
    <n v="100000000"/>
    <n v="100000000"/>
    <n v="100000000"/>
    <n v="100000000"/>
    <n v="100000000"/>
    <n v="100000000"/>
    <n v="100000000"/>
    <n v="15000000"/>
    <m/>
    <m/>
  </r>
  <r>
    <s v="기업교육1팀"/>
    <x v="8"/>
    <s v="기업교육1팀"/>
    <s v="김도엽"/>
    <s v="DL케미칼"/>
    <n v="14057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타타대우모빌리티"/>
    <n v="3954"/>
    <s v="02 1001~2000대"/>
    <s v="03 신규"/>
    <s v="02 경쟁사 LMS"/>
    <m/>
    <x v="0"/>
    <s v="08. 하이브리드러닝 - 하이브리드형 러닝"/>
    <m/>
    <m/>
    <m/>
    <x v="5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유한킴벌리(포사이트포럼)"/>
    <n v="1246"/>
    <s v="01 1~1000대"/>
    <s v="01 수성"/>
    <m/>
    <s v="6. 하이브리드러닝 - 집합형"/>
    <x v="21"/>
    <s v="24. 기타 - 포럼"/>
    <m/>
    <n v="6000000"/>
    <n v="5000000"/>
    <x v="2"/>
    <s v="03 기회"/>
    <n v="5000000"/>
    <m/>
    <m/>
    <m/>
    <m/>
    <m/>
    <m/>
    <m/>
    <m/>
    <m/>
    <n v="5000000"/>
    <m/>
    <m/>
    <m/>
  </r>
  <r>
    <s v="기업교육1팀"/>
    <x v="8"/>
    <s v="기업교육1팀"/>
    <s v="김도엽"/>
    <s v="기아(포사이트포럼)"/>
    <n v="3689"/>
    <s v="01 1~1000대"/>
    <s v="01 수성"/>
    <s v="01 자체 LMS"/>
    <s v="36. 기타 - 기타"/>
    <x v="21"/>
    <s v="24. 기타 - 포럼"/>
    <m/>
    <n v="3000000"/>
    <n v="3000000"/>
    <x v="2"/>
    <s v="03 기회"/>
    <n v="3000000"/>
    <m/>
    <m/>
    <m/>
    <m/>
    <m/>
    <m/>
    <m/>
    <m/>
    <m/>
    <n v="3000000"/>
    <m/>
    <m/>
    <m/>
  </r>
  <r>
    <s v="기업교육1팀"/>
    <x v="8"/>
    <s v="기업교육1팀"/>
    <s v="김도엽"/>
    <s v="현대엔지니어링 (게임러닝ARGO)"/>
    <n v="4083"/>
    <s v="01 1~1000대"/>
    <s v="01 수성"/>
    <s v="01 자체 LMS"/>
    <s v="6. 하이브리드러닝 - 집합형"/>
    <x v="9"/>
    <s v="08. 하이브리드러닝 - 하이브리드형 러닝"/>
    <m/>
    <n v="5250000"/>
    <n v="3450000"/>
    <x v="0"/>
    <s v="03 기회"/>
    <n v="3000000"/>
    <m/>
    <m/>
    <m/>
    <n v="3000000"/>
    <m/>
    <m/>
    <m/>
    <m/>
    <m/>
    <m/>
    <m/>
    <m/>
    <m/>
  </r>
  <r>
    <s v="기업교육1팀"/>
    <x v="8"/>
    <s v="기업교육1팀"/>
    <s v="김도엽"/>
    <s v="현대자동차 (피플앤육성팀) (HRD칼리지)"/>
    <n v="46891"/>
    <s v="01 1~1000대"/>
    <s v="01 수성"/>
    <s v="01 자체 LMS"/>
    <s v="6. 하이브리드러닝 - 집합형"/>
    <x v="1"/>
    <s v="02. 이러닝 - 단과"/>
    <m/>
    <n v="69706500"/>
    <n v="3500000"/>
    <x v="0"/>
    <s v="02 가망"/>
    <n v="2000000"/>
    <m/>
    <m/>
    <m/>
    <m/>
    <n v="500000"/>
    <n v="500000"/>
    <n v="500000"/>
    <n v="500000"/>
    <m/>
    <m/>
    <m/>
    <m/>
    <m/>
  </r>
  <r>
    <s v="기업교육1팀"/>
    <x v="8"/>
    <s v="기업교육1팀"/>
    <s v="김도엽"/>
    <s v="동서석유화학"/>
    <n v="3907"/>
    <s v="01 1~1000대"/>
    <s v="01 수성"/>
    <s v="03 휴넷 LMS"/>
    <s v="1. 온라인 - 단과"/>
    <x v="1"/>
    <s v="02. 이러닝 - 단과"/>
    <n v="780000"/>
    <n v="240000"/>
    <n v="2000000"/>
    <x v="1"/>
    <s v="03 기회"/>
    <n v="2000000"/>
    <m/>
    <m/>
    <m/>
    <m/>
    <m/>
    <m/>
    <m/>
    <m/>
    <m/>
    <n v="2000000"/>
    <m/>
    <m/>
    <m/>
  </r>
  <r>
    <s v="기업교육1팀"/>
    <x v="8"/>
    <s v="기업교육1팀"/>
    <s v="김도엽"/>
    <s v="현대오일터미널"/>
    <n v="59584"/>
    <s v="01 1~1000대"/>
    <s v="01 수성"/>
    <m/>
    <s v="1. 온라인 - 단과"/>
    <x v="1"/>
    <s v="02. 이러닝 - 단과"/>
    <n v="2000000"/>
    <n v="2015000"/>
    <n v="2000000"/>
    <x v="2"/>
    <s v="03 기회"/>
    <n v="2000000"/>
    <m/>
    <m/>
    <m/>
    <m/>
    <m/>
    <m/>
    <m/>
    <m/>
    <m/>
    <m/>
    <m/>
    <m/>
    <n v="2000000"/>
  </r>
  <r>
    <s v="기업교육1팀"/>
    <x v="8"/>
    <s v="기업교육1팀"/>
    <s v="김도엽"/>
    <s v="현대오토에버 주식회사 (마이크로러닝 임대, DX아카데미)"/>
    <n v="619"/>
    <s v="01 1~1000대"/>
    <s v="01 수성"/>
    <s v="01 자체 LMS"/>
    <s v="11. 컨텐츠 - 컨텐츠 임대/판매"/>
    <x v="3"/>
    <s v="07. 이러닝 - 컨텐츠 임대/판매"/>
    <n v="0"/>
    <n v="132393067"/>
    <n v="2000000"/>
    <x v="0"/>
    <s v="03 기회"/>
    <n v="2000000"/>
    <m/>
    <m/>
    <n v="2000000"/>
    <m/>
    <m/>
    <m/>
    <m/>
    <m/>
    <m/>
    <m/>
    <m/>
    <m/>
    <m/>
  </r>
  <r>
    <s v="기업교육1팀"/>
    <x v="8"/>
    <s v="기업교육1팀"/>
    <s v="김도엽"/>
    <s v="폴리미래 주식회사"/>
    <n v="720"/>
    <s v="01 1~1000대"/>
    <s v="01 수성"/>
    <s v="01 자체 LMS"/>
    <s v="1. 온라인 - 단과"/>
    <x v="1"/>
    <s v="02. 이러닝 - 단과"/>
    <n v="200000"/>
    <n v="1772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폴리미래 주식회사 (안전보건교육)"/>
    <n v="720"/>
    <s v="01 1~1000대"/>
    <s v="01 수성"/>
    <s v="01 자체 LMS"/>
    <s v="2. 온라인 - 법정"/>
    <x v="11"/>
    <s v="03. 이러닝 - 법정"/>
    <n v="1620000"/>
    <n v="2676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대한상공회의소"/>
    <n v="9342"/>
    <s v="05 공공"/>
    <s v="01 수성"/>
    <m/>
    <s v="1. 온라인 - 단과"/>
    <x v="1"/>
    <s v="02. 이러닝 - 단과"/>
    <m/>
    <n v="810000"/>
    <n v="1000000"/>
    <x v="1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애경그룹(포사이트포럼)"/>
    <n v="9613"/>
    <s v="01 1~1000대"/>
    <s v="01 수성"/>
    <m/>
    <s v="6. 하이브리드러닝 - 집합형"/>
    <x v="21"/>
    <s v="24. 기타 - 포럼"/>
    <m/>
    <n v="1000000"/>
    <n v="1000000"/>
    <x v="2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한국발전기술주식회사"/>
    <n v="18569"/>
    <s v="05 공공"/>
    <s v="02 윈백"/>
    <m/>
    <s v="1. 온라인 - 단과"/>
    <x v="1"/>
    <s v="02. 이러닝 - 단과"/>
    <n v="600000"/>
    <n v="0"/>
    <n v="1000000"/>
    <x v="2"/>
    <s v="03 기회"/>
    <n v="1000000"/>
    <m/>
    <m/>
    <m/>
    <m/>
    <m/>
    <m/>
    <m/>
    <m/>
    <n v="1000000"/>
    <m/>
    <m/>
    <m/>
    <m/>
  </r>
  <r>
    <s v="공통 DB"/>
    <x v="9"/>
    <s v="공통 DB"/>
    <s v="공통 DB"/>
    <s v="제이에이치서스테인_HRDFlex"/>
    <n v="54520"/>
    <s v="04 3000대 이후"/>
    <s v="01 수성"/>
    <m/>
    <s v="26. 정부지원사업 - HRDFLEX"/>
    <x v="10"/>
    <s v="28.구독 - 휴넷FLEX"/>
    <n v="420000"/>
    <n v="0"/>
    <n v="0"/>
    <x v="4"/>
    <m/>
    <n v="0"/>
    <m/>
    <m/>
    <m/>
    <m/>
    <m/>
    <m/>
    <m/>
    <m/>
    <m/>
    <m/>
    <m/>
    <m/>
    <m/>
  </r>
  <r>
    <s v="공통 DB"/>
    <x v="9"/>
    <s v="공통 DB"/>
    <s v="공통 DB"/>
    <s v="한국트린지오"/>
    <n v="59055"/>
    <s v="01 1~1000대"/>
    <s v="01 수성"/>
    <m/>
    <s v="2. 온라인 - 법정"/>
    <x v="11"/>
    <s v="03. 이러닝 - 법정"/>
    <m/>
    <n v="360000"/>
    <n v="0"/>
    <x v="6"/>
    <m/>
    <n v="0"/>
    <m/>
    <m/>
    <m/>
    <m/>
    <m/>
    <m/>
    <m/>
    <m/>
    <m/>
    <m/>
    <m/>
    <m/>
    <m/>
  </r>
  <r>
    <s v="기업교육1팀"/>
    <x v="10"/>
    <s v="기업교육1팀"/>
    <s v="장현아"/>
    <s v="LH중앙공동주택관리지원센터 (24년 과업)"/>
    <n v="29192"/>
    <s v="05 공공"/>
    <s v="04 연장"/>
    <s v="03 휴넷 LMS"/>
    <s v="31. B2C - 일반과정"/>
    <x v="1"/>
    <s v="02. 이러닝 - 단과"/>
    <m/>
    <n v="0"/>
    <n v="7043827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31. B2C - 일반과정"/>
    <x v="1"/>
    <s v="02. 이러닝 - 단과"/>
    <m/>
    <n v="191243560"/>
    <n v="13500000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1"/>
    <s v="기업교육1팀"/>
    <s v="이재성"/>
    <s v="한전KDN(마일리지_바이패스)"/>
    <n v="56028"/>
    <s v="05 공공"/>
    <s v="01 수성"/>
    <s v="03 휴넷 LMS"/>
    <s v="24. 운영 - 운영매출"/>
    <x v="6"/>
    <s v="19. 운영 - 운영매출"/>
    <n v="1150650676"/>
    <n v="1166764891"/>
    <n v="1221328543"/>
    <x v="0"/>
    <s v="01 확정"/>
    <n v="1150000000"/>
    <m/>
    <m/>
    <m/>
    <n v="130000000"/>
    <n v="100000000"/>
    <n v="80000000"/>
    <n v="80000000"/>
    <n v="80000000"/>
    <n v="80000000"/>
    <n v="80000000"/>
    <n v="250000000"/>
    <n v="27000000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51">
  <r>
    <n v="1"/>
    <m/>
    <m/>
    <s v="기업교육1팀"/>
    <s v="박정규"/>
    <s v="기업교육1팀"/>
    <x v="0"/>
    <m/>
    <m/>
    <s v="E1"/>
    <m/>
    <m/>
    <n v="3743"/>
    <s v="01 1~1000대"/>
    <s v="01 수성"/>
    <s v="03 휴넷 LMS"/>
    <s v="통합위탁"/>
    <s v="01. 이러닝 - 통합위탁"/>
    <s v="01. 이러닝 - 통합위탁"/>
    <s v="O"/>
    <m/>
    <n v="0"/>
    <n v="15131950"/>
    <m/>
    <s v="01 확정"/>
    <x v="0"/>
    <m/>
    <m/>
    <n v="32575640"/>
    <n v="32575640"/>
    <n v="0"/>
    <n v="2200030"/>
    <n v="2200030"/>
    <m/>
    <n v="2559410"/>
    <n v="2559410"/>
    <m/>
    <n v="2551840"/>
    <n v="2551840"/>
    <m/>
    <n v="2264360"/>
    <m/>
    <n v="3000000"/>
    <m/>
    <n v="3000000"/>
    <m/>
    <n v="2000000"/>
    <m/>
    <n v="3000000"/>
    <m/>
    <n v="3000000"/>
    <m/>
    <n v="3000000"/>
    <m/>
    <n v="3000000"/>
    <m/>
    <n v="3000000"/>
    <m/>
  </r>
  <r>
    <n v="2"/>
    <m/>
    <m/>
    <m/>
    <m/>
    <s v="기업교육1팀"/>
    <x v="0"/>
    <m/>
    <m/>
    <s v="E1"/>
    <m/>
    <m/>
    <n v="3743"/>
    <m/>
    <m/>
    <m/>
    <m/>
    <m/>
    <s v="08. 하이브리드러닝 - 하이브리드형 러닝"/>
    <m/>
    <m/>
    <m/>
    <n v="0"/>
    <m/>
    <m/>
    <x v="0"/>
    <m/>
    <m/>
    <n v="28170000"/>
    <n v="28170000"/>
    <n v="0"/>
    <m/>
    <m/>
    <m/>
    <m/>
    <m/>
    <m/>
    <n v="2850000"/>
    <n v="2850000"/>
    <m/>
    <n v="25320000"/>
    <m/>
    <m/>
    <m/>
    <m/>
    <m/>
    <m/>
    <m/>
    <m/>
    <m/>
    <m/>
    <m/>
    <m/>
    <m/>
    <m/>
    <m/>
    <m/>
    <m/>
  </r>
  <r>
    <n v="3"/>
    <s v="기업교육1팀"/>
    <s v="송승희"/>
    <m/>
    <m/>
    <s v="기업교육1팀"/>
    <x v="0"/>
    <m/>
    <m/>
    <s v="HAIMK"/>
    <m/>
    <m/>
    <n v="65888"/>
    <m/>
    <s v="03 신규"/>
    <s v="03 휴넷 LMS"/>
    <m/>
    <m/>
    <s v="02. 이러닝 - 단과"/>
    <s v="O"/>
    <m/>
    <m/>
    <n v="0"/>
    <m/>
    <m/>
    <x v="0"/>
    <m/>
    <m/>
    <n v="2293600"/>
    <n v="2293600"/>
    <n v="0"/>
    <m/>
    <m/>
    <m/>
    <m/>
    <m/>
    <m/>
    <n v="96000"/>
    <n v="96000"/>
    <m/>
    <n v="97600"/>
    <m/>
    <n v="300000"/>
    <m/>
    <m/>
    <m/>
    <n v="300000"/>
    <m/>
    <n v="300000"/>
    <m/>
    <n v="300000"/>
    <m/>
    <n v="300000"/>
    <m/>
    <n v="300000"/>
    <m/>
    <n v="300000"/>
    <m/>
  </r>
  <r>
    <n v="4"/>
    <m/>
    <m/>
    <s v="기업교육1팀"/>
    <s v="박정규"/>
    <s v="기업교육1팀"/>
    <x v="0"/>
    <m/>
    <m/>
    <s v="hl만도"/>
    <m/>
    <m/>
    <n v="2586"/>
    <s v="01 1~1000대"/>
    <s v="03 신규"/>
    <s v="03 휴넷 LMS"/>
    <m/>
    <m/>
    <s v="11. 구독 - 휴넷CEO멤버십"/>
    <m/>
    <m/>
    <m/>
    <n v="0"/>
    <m/>
    <s v="03 기회"/>
    <x v="1"/>
    <m/>
    <m/>
    <n v="20300000"/>
    <n v="20300000"/>
    <n v="0"/>
    <m/>
    <m/>
    <m/>
    <m/>
    <m/>
    <m/>
    <m/>
    <m/>
    <m/>
    <m/>
    <m/>
    <n v="20000000"/>
    <m/>
    <n v="300000"/>
    <m/>
    <m/>
    <m/>
    <m/>
    <m/>
    <m/>
    <m/>
    <m/>
    <m/>
    <m/>
    <m/>
    <m/>
    <m/>
  </r>
  <r>
    <n v="5"/>
    <m/>
    <m/>
    <m/>
    <m/>
    <s v="기업교육1팀"/>
    <x v="0"/>
    <m/>
    <m/>
    <s v="INVENI"/>
    <m/>
    <m/>
    <n v="64879"/>
    <m/>
    <m/>
    <m/>
    <m/>
    <m/>
    <s v="01. 이러닝 - 통합위탁"/>
    <m/>
    <m/>
    <m/>
    <n v="1895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"/>
    <s v="기업교육1팀"/>
    <s v="이태영"/>
    <m/>
    <m/>
    <s v="기업교육1팀"/>
    <x v="0"/>
    <m/>
    <m/>
    <s v="INVENI"/>
    <m/>
    <m/>
    <n v="64879"/>
    <m/>
    <s v="03 신규"/>
    <s v="03 휴넷 LMS"/>
    <m/>
    <m/>
    <s v="02. 이러닝 - 단과"/>
    <s v="O"/>
    <m/>
    <m/>
    <n v="0"/>
    <m/>
    <m/>
    <x v="0"/>
    <m/>
    <m/>
    <n v="3169000"/>
    <n v="3169000"/>
    <n v="0"/>
    <m/>
    <m/>
    <m/>
    <n v="300000"/>
    <n v="238600"/>
    <m/>
    <n v="231300"/>
    <n v="231300"/>
    <m/>
    <n v="299100"/>
    <m/>
    <n v="300000"/>
    <m/>
    <n v="300000"/>
    <m/>
    <n v="300000"/>
    <m/>
    <n v="300000"/>
    <m/>
    <n v="300000"/>
    <m/>
    <n v="300000"/>
    <m/>
    <n v="300000"/>
    <m/>
    <n v="300000"/>
    <m/>
  </r>
  <r>
    <n v="7"/>
    <m/>
    <m/>
    <s v="기업교육1팀"/>
    <s v="박정규"/>
    <s v="기업교육1팀"/>
    <x v="0"/>
    <m/>
    <m/>
    <s v="LS"/>
    <m/>
    <m/>
    <n v="10518"/>
    <s v="01 1~1000대"/>
    <s v="01 수성"/>
    <s v="03 휴넷 LMS"/>
    <s v="통합위탁"/>
    <s v="01. 이러닝 - 통합위탁"/>
    <s v="01. 이러닝 - 통합위탁"/>
    <s v="O"/>
    <m/>
    <n v="0"/>
    <n v="15667180"/>
    <m/>
    <s v="01 확정"/>
    <x v="0"/>
    <m/>
    <m/>
    <n v="36069520"/>
    <n v="36069520"/>
    <n v="0"/>
    <n v="2914320"/>
    <n v="2914320"/>
    <m/>
    <n v="2198300"/>
    <n v="2198300"/>
    <m/>
    <n v="3279200"/>
    <n v="3279200"/>
    <m/>
    <n v="3677700"/>
    <m/>
    <n v="3000000"/>
    <m/>
    <n v="3000000"/>
    <m/>
    <n v="3000000"/>
    <m/>
    <n v="3000000"/>
    <m/>
    <n v="3000000"/>
    <m/>
    <n v="3000000"/>
    <m/>
    <n v="3000000"/>
    <m/>
    <n v="3000000"/>
    <m/>
  </r>
  <r>
    <n v="8"/>
    <m/>
    <m/>
    <s v="기업교육1팀"/>
    <s v="박정규"/>
    <s v="기업교육1팀"/>
    <x v="0"/>
    <m/>
    <m/>
    <s v="LS ELECTRIC (안전보건교육)"/>
    <m/>
    <m/>
    <n v="3436"/>
    <s v="01 1~1000대"/>
    <s v="01 수성"/>
    <s v="03 휴넷 LMS"/>
    <s v="1. 온라인 - 단과"/>
    <s v="02. 이러닝 - 단과"/>
    <s v="02. 이러닝 - 단과"/>
    <m/>
    <m/>
    <n v="675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"/>
    <m/>
    <m/>
    <s v="기업교육1팀"/>
    <s v="박정규"/>
    <s v="기업교육1팀"/>
    <x v="0"/>
    <m/>
    <m/>
    <s v="LS EV Korea"/>
    <m/>
    <m/>
    <n v="62030"/>
    <s v="01 1~1000대"/>
    <s v="01 수성"/>
    <s v="03 휴넷 LMS"/>
    <s v="통합위탁"/>
    <s v="01. 이러닝 - 통합위탁"/>
    <s v="01. 이러닝 - 통합위탁"/>
    <s v="O"/>
    <m/>
    <n v="0"/>
    <n v="6934520"/>
    <m/>
    <s v="01 확정"/>
    <x v="0"/>
    <m/>
    <m/>
    <n v="13150180"/>
    <n v="13150180"/>
    <n v="0"/>
    <n v="632340"/>
    <n v="632340"/>
    <m/>
    <n v="1317400"/>
    <n v="1317400"/>
    <m/>
    <n v="1489320"/>
    <n v="1489320"/>
    <m/>
    <n v="1211120"/>
    <m/>
    <n v="1000000"/>
    <m/>
    <n v="1000000"/>
    <m/>
    <n v="1000000"/>
    <m/>
    <n v="1000000"/>
    <m/>
    <n v="1000000"/>
    <m/>
    <n v="1000000"/>
    <m/>
    <n v="1000000"/>
    <m/>
    <n v="1500000"/>
    <m/>
  </r>
  <r>
    <n v="10"/>
    <m/>
    <m/>
    <s v="기업교육1팀"/>
    <s v="박정규"/>
    <s v="기업교육1팀"/>
    <x v="0"/>
    <m/>
    <m/>
    <s v="LS ITC"/>
    <m/>
    <m/>
    <n v="62028"/>
    <s v="01 1~1000대"/>
    <s v="01 수성"/>
    <s v="03 휴넷 LMS"/>
    <s v="통합위탁"/>
    <s v="01. 이러닝 - 통합위탁"/>
    <s v="01. 이러닝 - 통합위탁"/>
    <s v="O"/>
    <m/>
    <n v="0"/>
    <n v="265000"/>
    <m/>
    <s v="01 확정"/>
    <x v="0"/>
    <m/>
    <m/>
    <n v="7201500"/>
    <n v="7201500"/>
    <n v="0"/>
    <m/>
    <m/>
    <m/>
    <m/>
    <m/>
    <m/>
    <m/>
    <m/>
    <m/>
    <m/>
    <m/>
    <n v="201500"/>
    <m/>
    <n v="1000000"/>
    <m/>
    <n v="1000000"/>
    <m/>
    <n v="1000000"/>
    <m/>
    <n v="1000000"/>
    <m/>
    <n v="1000000"/>
    <m/>
    <n v="1000000"/>
    <m/>
    <n v="1000000"/>
    <m/>
  </r>
  <r>
    <n v="11"/>
    <m/>
    <m/>
    <s v="기업교육1팀"/>
    <s v="박정규"/>
    <s v="기업교육1팀"/>
    <x v="0"/>
    <m/>
    <m/>
    <s v="LS MnM"/>
    <m/>
    <m/>
    <n v="62027"/>
    <s v="01 1~1000대"/>
    <s v="01 수성"/>
    <s v="03 휴넷 LMS"/>
    <s v="통합위탁"/>
    <s v="01. 이러닝 - 통합위탁"/>
    <s v="01. 이러닝 - 통합위탁"/>
    <s v="O"/>
    <m/>
    <n v="0"/>
    <n v="24195700"/>
    <m/>
    <s v="01 확정"/>
    <x v="0"/>
    <m/>
    <m/>
    <n v="46360300"/>
    <n v="46360300"/>
    <n v="0"/>
    <n v="3446220"/>
    <n v="2606220"/>
    <m/>
    <n v="2100880"/>
    <n v="2180880"/>
    <m/>
    <n v="2041900"/>
    <n v="2041900"/>
    <m/>
    <n v="2135720"/>
    <m/>
    <n v="2395580"/>
    <m/>
    <n v="5000000"/>
    <m/>
    <n v="5000000"/>
    <m/>
    <n v="5000000"/>
    <m/>
    <n v="5000000"/>
    <m/>
    <n v="5000000"/>
    <m/>
    <n v="5000000"/>
    <m/>
    <n v="5000000"/>
    <m/>
  </r>
  <r>
    <n v="12"/>
    <m/>
    <m/>
    <s v="기업교육1팀"/>
    <s v="박정규"/>
    <s v="기업교육1팀"/>
    <x v="0"/>
    <m/>
    <m/>
    <s v="LS그룹공통연수원"/>
    <m/>
    <m/>
    <n v="62031"/>
    <m/>
    <s v="01 수성"/>
    <s v="03 휴넷 LMS"/>
    <m/>
    <s v="02. 이러닝 - 단과"/>
    <s v="02. 이러닝 - 단과"/>
    <m/>
    <m/>
    <m/>
    <n v="4043000"/>
    <m/>
    <s v="01 확정"/>
    <x v="0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13"/>
    <s v="기업교육1팀"/>
    <s v="이태영"/>
    <m/>
    <m/>
    <s v="기업교육1팀"/>
    <x v="0"/>
    <m/>
    <m/>
    <s v="LS마린솔루션"/>
    <m/>
    <m/>
    <n v="65850"/>
    <m/>
    <s v="03 신규"/>
    <s v="03 휴넷 LMS"/>
    <m/>
    <m/>
    <s v="02. 이러닝 - 단과"/>
    <m/>
    <m/>
    <m/>
    <n v="0"/>
    <m/>
    <m/>
    <x v="0"/>
    <m/>
    <m/>
    <n v="10134120"/>
    <n v="10134120"/>
    <n v="0"/>
    <m/>
    <m/>
    <m/>
    <m/>
    <m/>
    <m/>
    <n v="1423400"/>
    <n v="1423400"/>
    <m/>
    <n v="1187400"/>
    <m/>
    <n v="1923320"/>
    <m/>
    <n v="800000"/>
    <m/>
    <n v="800000"/>
    <m/>
    <n v="800000"/>
    <m/>
    <n v="800000"/>
    <m/>
    <n v="800000"/>
    <m/>
    <n v="800000"/>
    <m/>
    <n v="800000"/>
    <m/>
  </r>
  <r>
    <n v="14"/>
    <s v="기업교육3팀"/>
    <s v="김지훈"/>
    <m/>
    <m/>
    <s v="기업교육1팀"/>
    <x v="0"/>
    <m/>
    <m/>
    <s v="LS머트리얼즈"/>
    <m/>
    <m/>
    <n v="65852"/>
    <m/>
    <s v="03 신규"/>
    <s v="03 휴넷 LMS"/>
    <m/>
    <m/>
    <s v="02. 이러닝 - 단과"/>
    <s v="O"/>
    <m/>
    <m/>
    <n v="0"/>
    <m/>
    <m/>
    <x v="0"/>
    <m/>
    <m/>
    <n v="7291680"/>
    <n v="7291680"/>
    <n v="0"/>
    <m/>
    <m/>
    <m/>
    <m/>
    <m/>
    <m/>
    <n v="1464010"/>
    <n v="1464010"/>
    <m/>
    <n v="955800"/>
    <m/>
    <n v="1371870"/>
    <s v="k"/>
    <n v="500000"/>
    <m/>
    <n v="500000"/>
    <m/>
    <n v="500000"/>
    <m/>
    <n v="500000"/>
    <m/>
    <n v="500000"/>
    <m/>
    <n v="500000"/>
    <m/>
    <n v="500000"/>
    <m/>
  </r>
  <r>
    <n v="15"/>
    <m/>
    <m/>
    <s v="기업교육1팀"/>
    <s v="박정규"/>
    <s v="기업교육1팀"/>
    <x v="0"/>
    <m/>
    <m/>
    <s v="LS메탈"/>
    <m/>
    <m/>
    <n v="13199"/>
    <s v="01 1~1000대"/>
    <s v="01 수성"/>
    <s v="03 휴넷 LMS"/>
    <s v="통합위탁"/>
    <s v="01. 이러닝 - 통합위탁"/>
    <s v="01. 이러닝 - 통합위탁"/>
    <s v="O"/>
    <m/>
    <n v="0"/>
    <n v="10584360"/>
    <m/>
    <s v="01 확정"/>
    <x v="0"/>
    <m/>
    <m/>
    <n v="30221820"/>
    <n v="30221820"/>
    <n v="0"/>
    <n v="2454980"/>
    <n v="2454980"/>
    <m/>
    <n v="1206720"/>
    <n v="1206720"/>
    <m/>
    <n v="1087620"/>
    <n v="1087620"/>
    <m/>
    <n v="2576100"/>
    <m/>
    <n v="1896400"/>
    <m/>
    <n v="3000000"/>
    <m/>
    <n v="3000000"/>
    <m/>
    <n v="3000000"/>
    <m/>
    <n v="3000000"/>
    <m/>
    <n v="3000000"/>
    <m/>
    <n v="3000000"/>
    <m/>
    <n v="3000000"/>
    <m/>
  </r>
  <r>
    <n v="16"/>
    <s v="기업교육3팀"/>
    <s v="김지훈"/>
    <m/>
    <m/>
    <s v="기업교육1팀"/>
    <x v="0"/>
    <m/>
    <m/>
    <s v="LS빌드윈"/>
    <m/>
    <m/>
    <n v="65853"/>
    <m/>
    <s v="03 신규"/>
    <s v="03 휴넷 LMS"/>
    <m/>
    <m/>
    <s v="02. 이러닝 - 단과"/>
    <s v="O"/>
    <m/>
    <m/>
    <n v="0"/>
    <m/>
    <m/>
    <x v="0"/>
    <m/>
    <m/>
    <n v="11200760"/>
    <n v="11200760"/>
    <n v="0"/>
    <m/>
    <m/>
    <m/>
    <m/>
    <m/>
    <m/>
    <n v="1114200"/>
    <n v="1114200"/>
    <m/>
    <n v="1225660"/>
    <m/>
    <n v="1860900"/>
    <m/>
    <n v="1000000"/>
    <m/>
    <n v="1000000"/>
    <m/>
    <n v="1000000"/>
    <m/>
    <n v="1000000"/>
    <m/>
    <n v="1000000"/>
    <m/>
    <n v="1000000"/>
    <m/>
    <n v="1000000"/>
    <m/>
  </r>
  <r>
    <n v="17"/>
    <s v="기업교육3팀"/>
    <s v="김지훈"/>
    <m/>
    <m/>
    <s v="기업교육1팀"/>
    <x v="0"/>
    <m/>
    <m/>
    <s v="LS알스코"/>
    <m/>
    <m/>
    <n v="65855"/>
    <m/>
    <s v="03 신규"/>
    <s v="03 휴넷 LMS"/>
    <m/>
    <m/>
    <s v="02. 이러닝 - 단과"/>
    <s v="O"/>
    <m/>
    <m/>
    <n v="0"/>
    <m/>
    <m/>
    <x v="0"/>
    <m/>
    <m/>
    <n v="6357850"/>
    <n v="6357850"/>
    <n v="0"/>
    <m/>
    <m/>
    <m/>
    <m/>
    <m/>
    <m/>
    <n v="1024500"/>
    <n v="1024500"/>
    <m/>
    <n v="812450"/>
    <m/>
    <n v="1020900"/>
    <m/>
    <n v="500000"/>
    <m/>
    <n v="500000"/>
    <m/>
    <n v="500000"/>
    <m/>
    <n v="500000"/>
    <m/>
    <n v="500000"/>
    <m/>
    <n v="500000"/>
    <m/>
    <n v="500000"/>
    <m/>
  </r>
  <r>
    <n v="18"/>
    <s v="기업교육1팀"/>
    <s v="이태영"/>
    <m/>
    <m/>
    <s v="기업교육1팀"/>
    <x v="0"/>
    <m/>
    <m/>
    <s v="LS에코에너지"/>
    <m/>
    <m/>
    <n v="65856"/>
    <m/>
    <s v="03 신규"/>
    <s v="03 휴넷 LMS"/>
    <m/>
    <m/>
    <s v="02. 이러닝 - 단과"/>
    <s v="O"/>
    <m/>
    <m/>
    <n v="0"/>
    <m/>
    <m/>
    <x v="0"/>
    <m/>
    <m/>
    <n v="2100000"/>
    <n v="2100000"/>
    <n v="0"/>
    <m/>
    <m/>
    <m/>
    <m/>
    <m/>
    <m/>
    <m/>
    <m/>
    <m/>
    <m/>
    <m/>
    <m/>
    <m/>
    <n v="300000"/>
    <m/>
    <n v="300000"/>
    <m/>
    <n v="300000"/>
    <m/>
    <n v="300000"/>
    <m/>
    <n v="300000"/>
    <m/>
    <n v="300000"/>
    <m/>
    <n v="300000"/>
    <m/>
  </r>
  <r>
    <n v="19"/>
    <s v="기업교육3팀"/>
    <s v="서정용"/>
    <m/>
    <m/>
    <s v="기업교육1팀"/>
    <x v="0"/>
    <m/>
    <m/>
    <s v="LS에코첨단소재"/>
    <m/>
    <m/>
    <n v="65857"/>
    <m/>
    <s v="03 신규"/>
    <s v="03 휴넷 LMS"/>
    <m/>
    <m/>
    <s v="02. 이러닝 - 단과"/>
    <s v="O"/>
    <m/>
    <m/>
    <n v="0"/>
    <m/>
    <m/>
    <x v="0"/>
    <m/>
    <m/>
    <n v="5638900"/>
    <n v="5638900"/>
    <n v="0"/>
    <m/>
    <m/>
    <m/>
    <m/>
    <m/>
    <m/>
    <n v="696200"/>
    <n v="696200"/>
    <m/>
    <n v="767200"/>
    <m/>
    <n v="675500"/>
    <m/>
    <n v="500000"/>
    <m/>
    <n v="500000"/>
    <m/>
    <n v="500000"/>
    <m/>
    <n v="500000"/>
    <m/>
    <n v="500000"/>
    <m/>
    <n v="500000"/>
    <m/>
    <n v="500000"/>
    <m/>
  </r>
  <r>
    <n v="20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s v="통합위탁"/>
    <s v="01. 이러닝 - 통합위탁"/>
    <s v="01. 이러닝 - 통합위탁"/>
    <s v="O"/>
    <m/>
    <n v="0"/>
    <n v="43956580"/>
    <m/>
    <s v="01 확정"/>
    <x v="0"/>
    <m/>
    <m/>
    <n v="92676280"/>
    <n v="92676280"/>
    <n v="0"/>
    <m/>
    <m/>
    <m/>
    <n v="6737800"/>
    <n v="6737800"/>
    <m/>
    <n v="8431100"/>
    <n v="8431100"/>
    <m/>
    <n v="8172880"/>
    <m/>
    <n v="8334500"/>
    <m/>
    <n v="8000000"/>
    <m/>
    <n v="8000000"/>
    <m/>
    <n v="7000000"/>
    <m/>
    <n v="8000000"/>
    <m/>
    <n v="8000000"/>
    <m/>
    <n v="7000000"/>
    <m/>
    <n v="15000000"/>
    <m/>
  </r>
  <r>
    <n v="21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"/>
    <m/>
    <m/>
    <s v="기업교육1팀"/>
    <s v="박정규"/>
    <s v="기업교육1팀"/>
    <x v="0"/>
    <m/>
    <m/>
    <s v="LS이모빌리티솔루션"/>
    <m/>
    <m/>
    <n v="62029"/>
    <s v="01 1~1000대"/>
    <s v="01 수성"/>
    <s v="03 휴넷 LMS"/>
    <s v="통합위탁"/>
    <s v="01. 이러닝 - 통합위탁"/>
    <s v="01. 이러닝 - 통합위탁"/>
    <s v="O"/>
    <m/>
    <n v="0"/>
    <n v="9725520"/>
    <m/>
    <s v="01 확정"/>
    <x v="0"/>
    <m/>
    <m/>
    <n v="24130560"/>
    <n v="24130560"/>
    <n v="0"/>
    <m/>
    <m/>
    <m/>
    <n v="1897100"/>
    <n v="1914380"/>
    <m/>
    <n v="2562060"/>
    <n v="2562060"/>
    <m/>
    <n v="1754960"/>
    <m/>
    <n v="1899160"/>
    <m/>
    <n v="2000000"/>
    <m/>
    <n v="2000000"/>
    <m/>
    <n v="2000000"/>
    <m/>
    <n v="2000000"/>
    <m/>
    <n v="2000000"/>
    <m/>
    <n v="2000000"/>
    <m/>
    <n v="4000000"/>
    <m/>
  </r>
  <r>
    <n v="23"/>
    <m/>
    <m/>
    <s v="기업교육1팀"/>
    <s v="박정규"/>
    <s v="기업교육1팀"/>
    <x v="0"/>
    <m/>
    <m/>
    <s v="LS일렉트릭"/>
    <m/>
    <m/>
    <n v="63600"/>
    <s v="01 1~1000대"/>
    <s v="01 수성"/>
    <s v="03 휴넷 LMS"/>
    <s v="통합위탁"/>
    <s v="01. 이러닝 - 통합위탁"/>
    <s v="01. 이러닝 - 통합위탁"/>
    <s v="O"/>
    <m/>
    <n v="0"/>
    <n v="293801000"/>
    <m/>
    <s v="01 확정"/>
    <x v="0"/>
    <m/>
    <m/>
    <n v="525857200"/>
    <n v="525857200"/>
    <n v="0"/>
    <n v="39034550"/>
    <n v="39174750"/>
    <m/>
    <n v="50000000"/>
    <n v="38321800"/>
    <m/>
    <n v="41355150"/>
    <n v="41355150"/>
    <m/>
    <n v="44002750"/>
    <m/>
    <n v="44002750"/>
    <m/>
    <n v="53000000"/>
    <m/>
    <n v="40000000"/>
    <m/>
    <n v="50000000"/>
    <m/>
    <n v="43000000"/>
    <m/>
    <n v="50000000"/>
    <m/>
    <n v="40000000"/>
    <m/>
    <n v="43000000"/>
    <m/>
  </r>
  <r>
    <n v="24"/>
    <m/>
    <m/>
    <s v="기업교육1팀"/>
    <s v="박정규"/>
    <s v="기업교육1팀"/>
    <x v="0"/>
    <m/>
    <m/>
    <s v="LS일렉트릭"/>
    <m/>
    <m/>
    <n v="3436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5"/>
    <m/>
    <m/>
    <s v="기업교육1팀"/>
    <s v="박정규"/>
    <s v="기업교육1팀"/>
    <x v="0"/>
    <m/>
    <m/>
    <s v="LS전선"/>
    <m/>
    <m/>
    <n v="63233"/>
    <s v="01 1~1000대"/>
    <s v="01 수성"/>
    <s v="03 휴넷 LMS"/>
    <s v="통합위탁"/>
    <s v="01. 이러닝 - 통합위탁"/>
    <s v="01. 이러닝 - 통합위탁"/>
    <s v="O"/>
    <m/>
    <n v="0"/>
    <n v="263593870"/>
    <m/>
    <s v="01 확정"/>
    <x v="0"/>
    <m/>
    <m/>
    <n v="452748230"/>
    <n v="452748230"/>
    <n v="0"/>
    <m/>
    <n v="1200000"/>
    <m/>
    <n v="40000000"/>
    <n v="40713300"/>
    <m/>
    <n v="42958600"/>
    <n v="42958600"/>
    <m/>
    <n v="39978010"/>
    <m/>
    <n v="52898320"/>
    <m/>
    <n v="30000000"/>
    <m/>
    <n v="40000000"/>
    <m/>
    <n v="30000000"/>
    <m/>
    <n v="35000000"/>
    <m/>
    <n v="30000000"/>
    <m/>
    <n v="40000000"/>
    <m/>
    <n v="70000000"/>
    <m/>
  </r>
  <r>
    <n v="26"/>
    <m/>
    <m/>
    <s v="기업교육1팀"/>
    <s v="박정규"/>
    <s v="기업교육1팀"/>
    <x v="0"/>
    <m/>
    <m/>
    <s v="LS전선"/>
    <m/>
    <m/>
    <n v="63233"/>
    <s v="01 1~1000대"/>
    <s v="01 수성"/>
    <s v="03 휴넷 LMS"/>
    <m/>
    <s v="14. 컨텐츠 - 컨텐츠 개발"/>
    <s v="15. 컨텐츠 - 컨텐츠 개발"/>
    <m/>
    <m/>
    <m/>
    <n v="18000000"/>
    <m/>
    <s v="01 확정"/>
    <x v="0"/>
    <m/>
    <m/>
    <n v="10000000"/>
    <n v="10000000"/>
    <n v="0"/>
    <m/>
    <m/>
    <m/>
    <m/>
    <m/>
    <m/>
    <m/>
    <m/>
    <m/>
    <n v="5000000"/>
    <m/>
    <m/>
    <m/>
    <m/>
    <m/>
    <m/>
    <m/>
    <m/>
    <m/>
    <n v="5000000"/>
    <m/>
    <m/>
    <m/>
    <m/>
    <m/>
    <m/>
    <m/>
  </r>
  <r>
    <n v="27"/>
    <m/>
    <m/>
    <m/>
    <m/>
    <s v="기업교육1팀"/>
    <x v="0"/>
    <m/>
    <m/>
    <s v="LS티라유텍 플렉스"/>
    <m/>
    <m/>
    <n v="66507"/>
    <m/>
    <m/>
    <m/>
    <m/>
    <m/>
    <s v="13. 구독 - 휴넷FLEX"/>
    <m/>
    <m/>
    <m/>
    <n v="0"/>
    <m/>
    <m/>
    <x v="0"/>
    <m/>
    <m/>
    <n v="4560000"/>
    <n v="4560000"/>
    <n v="0"/>
    <m/>
    <m/>
    <m/>
    <m/>
    <m/>
    <m/>
    <m/>
    <m/>
    <m/>
    <n v="4560000"/>
    <m/>
    <m/>
    <m/>
    <m/>
    <m/>
    <m/>
    <m/>
    <m/>
    <m/>
    <m/>
    <m/>
    <m/>
    <m/>
    <m/>
    <m/>
    <m/>
    <m/>
  </r>
  <r>
    <n v="28"/>
    <m/>
    <m/>
    <s v="기업교육1팀"/>
    <s v="박정규"/>
    <s v="기업교육1팀"/>
    <x v="0"/>
    <m/>
    <m/>
    <s v="가온전선"/>
    <m/>
    <m/>
    <n v="3893"/>
    <s v="01 1~1000대"/>
    <s v="01 수성"/>
    <s v="03 휴넷 LMS"/>
    <s v="통합위탁"/>
    <s v="01. 이러닝 - 통합위탁"/>
    <s v="01. 이러닝 - 통합위탁"/>
    <s v="O"/>
    <m/>
    <n v="0"/>
    <n v="28603310"/>
    <m/>
    <s v="01 확정"/>
    <x v="0"/>
    <m/>
    <m/>
    <n v="67199750"/>
    <n v="67199750"/>
    <n v="0"/>
    <n v="4296810"/>
    <m/>
    <m/>
    <n v="4101320"/>
    <n v="8445210"/>
    <m/>
    <n v="7473020"/>
    <n v="7473020"/>
    <m/>
    <n v="5639220"/>
    <m/>
    <n v="7642300"/>
    <m/>
    <n v="6000000"/>
    <m/>
    <n v="6000000"/>
    <m/>
    <n v="4000000"/>
    <m/>
    <n v="6000000"/>
    <m/>
    <n v="6000000"/>
    <m/>
    <n v="6000000"/>
    <m/>
    <n v="4000000"/>
    <m/>
  </r>
  <r>
    <n v="29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1. 컨텐츠 - 컨텐츠 임대/판매"/>
    <s v="07. 이러닝 - 컨텐츠 임대/판매"/>
    <s v="07. 이러닝 - 컨텐츠 임대/판매"/>
    <m/>
    <n v="350000000"/>
    <n v="357000000"/>
    <n v="356400000"/>
    <m/>
    <s v="01 확정"/>
    <x v="0"/>
    <m/>
    <m/>
    <n v="356000000"/>
    <n v="356000000"/>
    <n v="0"/>
    <m/>
    <m/>
    <m/>
    <n v="249200000"/>
    <m/>
    <m/>
    <n v="249200000"/>
    <n v="249200000"/>
    <s v="2월 미발행"/>
    <m/>
    <m/>
    <m/>
    <m/>
    <m/>
    <m/>
    <m/>
    <m/>
    <m/>
    <m/>
    <m/>
    <m/>
    <m/>
    <m/>
    <m/>
    <m/>
    <n v="106800000"/>
    <m/>
  </r>
  <r>
    <n v="30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0. 컨텐츠 - 컨텐츠 개발"/>
    <s v="14. 컨텐츠 - 컨텐츠 개발"/>
    <s v="15. 컨텐츠 - 컨텐츠 개발"/>
    <m/>
    <m/>
    <n v="0"/>
    <n v="0"/>
    <m/>
    <s v="03 기회"/>
    <x v="5"/>
    <m/>
    <m/>
    <n v="270000000"/>
    <n v="270000000"/>
    <n v="0"/>
    <m/>
    <m/>
    <m/>
    <m/>
    <m/>
    <m/>
    <m/>
    <m/>
    <m/>
    <n v="189000000"/>
    <m/>
    <m/>
    <m/>
    <m/>
    <m/>
    <m/>
    <m/>
    <m/>
    <m/>
    <m/>
    <m/>
    <m/>
    <m/>
    <m/>
    <m/>
    <n v="81000000"/>
    <m/>
  </r>
  <r>
    <n v="31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23. 운영 - BPO"/>
    <s v="18. 운영 - BPO"/>
    <s v="19. 운영 - BPO"/>
    <m/>
    <n v="679000000"/>
    <n v="714060000"/>
    <n v="756000000"/>
    <m/>
    <s v="01 확정"/>
    <x v="0"/>
    <m/>
    <m/>
    <n v="756000000"/>
    <n v="756000000"/>
    <n v="0"/>
    <m/>
    <m/>
    <m/>
    <m/>
    <m/>
    <m/>
    <m/>
    <m/>
    <m/>
    <n v="189000000"/>
    <m/>
    <m/>
    <m/>
    <m/>
    <m/>
    <n v="189000000"/>
    <m/>
    <m/>
    <m/>
    <m/>
    <m/>
    <n v="189000000"/>
    <m/>
    <m/>
    <m/>
    <n v="189000000"/>
    <m/>
  </r>
  <r>
    <n v="32"/>
    <m/>
    <m/>
    <s v="기업교육1팀"/>
    <s v="박정규"/>
    <s v="기업교육1팀"/>
    <x v="0"/>
    <m/>
    <m/>
    <s v="그랜드코리아레저"/>
    <m/>
    <m/>
    <n v="11421"/>
    <m/>
    <s v="03 신규"/>
    <s v="03 휴넷 LMS"/>
    <m/>
    <m/>
    <s v="01. 이러닝 - 통합위탁"/>
    <m/>
    <m/>
    <m/>
    <n v="0"/>
    <m/>
    <m/>
    <x v="1"/>
    <m/>
    <m/>
    <n v="189000000"/>
    <n v="189000000"/>
    <n v="0"/>
    <m/>
    <m/>
    <m/>
    <m/>
    <m/>
    <m/>
    <m/>
    <m/>
    <m/>
    <n v="21000000"/>
    <m/>
    <n v="21000000"/>
    <m/>
    <n v="21000000"/>
    <m/>
    <n v="21000000"/>
    <m/>
    <n v="21000000"/>
    <m/>
    <n v="21000000"/>
    <m/>
    <n v="21000000"/>
    <m/>
    <n v="21000000"/>
    <m/>
    <n v="21000000"/>
    <m/>
  </r>
  <r>
    <n v="33"/>
    <m/>
    <m/>
    <s v="기업교육1팀"/>
    <s v="황동현"/>
    <s v="기업교육1팀"/>
    <x v="0"/>
    <m/>
    <m/>
    <s v="그랜드코리아레저(GKL)"/>
    <m/>
    <m/>
    <n v="11421"/>
    <s v="05 공공"/>
    <s v="04 연장"/>
    <s v="03 휴넷 LMS"/>
    <s v="통합위탁"/>
    <s v="01. 이러닝 - 통합위탁"/>
    <s v="01. 이러닝 - 통합위탁"/>
    <m/>
    <n v="290712390"/>
    <n v="86969127"/>
    <n v="0"/>
    <m/>
    <s v="08 2024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"/>
    <m/>
    <m/>
    <s v="기업교육1팀"/>
    <s v="박정규"/>
    <s v="기업교육1팀"/>
    <x v="0"/>
    <m/>
    <m/>
    <s v="디와이 그룹"/>
    <m/>
    <m/>
    <n v="2969"/>
    <s v="01 1~1000대"/>
    <s v="04 연장"/>
    <s v="03 휴넷 LMS"/>
    <s v="통합위탁"/>
    <s v="01. 이러닝 - 통합위탁"/>
    <s v="01. 이러닝 - 통합위탁"/>
    <s v="O"/>
    <n v="48672490"/>
    <n v="69127840"/>
    <n v="52509400"/>
    <m/>
    <s v="01 확정"/>
    <x v="0"/>
    <m/>
    <m/>
    <n v="59996000"/>
    <n v="59996000"/>
    <n v="0"/>
    <n v="5000000"/>
    <n v="1507800"/>
    <m/>
    <n v="6000000"/>
    <n v="1773300"/>
    <m/>
    <n v="6312300"/>
    <n v="6312300"/>
    <m/>
    <n v="4698300"/>
    <m/>
    <n v="6704300"/>
    <m/>
    <n v="6000000"/>
    <m/>
    <n v="5000000"/>
    <m/>
    <n v="6000000"/>
    <m/>
    <n v="5000000"/>
    <m/>
    <n v="6000000"/>
    <m/>
    <n v="5000000"/>
    <m/>
    <n v="6000000"/>
    <m/>
  </r>
  <r>
    <n v="35"/>
    <m/>
    <m/>
    <s v="기업교육1팀"/>
    <s v="박정규"/>
    <s v="기업교육1팀"/>
    <x v="0"/>
    <m/>
    <m/>
    <s v="디와이 그룹"/>
    <m/>
    <m/>
    <n v="2969"/>
    <s v="01 1~1000대"/>
    <s v="01 수성"/>
    <s v="03 휴넷 LMS"/>
    <m/>
    <s v="10. 구독 - 휴넷CEO멤버십"/>
    <s v="11. 구독 - 휴넷CEO멤버십"/>
    <m/>
    <m/>
    <n v="0"/>
    <n v="8000000"/>
    <m/>
    <s v="01 확정"/>
    <x v="4"/>
    <m/>
    <m/>
    <n v="0"/>
    <n v="0"/>
    <n v="0"/>
    <m/>
    <m/>
    <m/>
    <n v="9000000"/>
    <m/>
    <m/>
    <m/>
    <m/>
    <m/>
    <m/>
    <m/>
    <m/>
    <m/>
    <m/>
    <m/>
    <m/>
    <m/>
    <m/>
    <m/>
    <m/>
    <m/>
    <m/>
    <m/>
    <m/>
    <m/>
    <m/>
    <m/>
  </r>
  <r>
    <n v="36"/>
    <m/>
    <m/>
    <m/>
    <m/>
    <s v="기업교육1팀"/>
    <x v="0"/>
    <m/>
    <m/>
    <s v="라이브온보훈"/>
    <m/>
    <m/>
    <n v="61134"/>
    <m/>
    <m/>
    <m/>
    <m/>
    <m/>
    <s v="16. 솔루션 - LABS"/>
    <m/>
    <m/>
    <m/>
    <n v="0"/>
    <m/>
    <m/>
    <x v="0"/>
    <m/>
    <m/>
    <n v="13200000"/>
    <n v="13200000"/>
    <n v="0"/>
    <m/>
    <m/>
    <m/>
    <m/>
    <n v="1200000"/>
    <m/>
    <n v="1200000"/>
    <n v="1200000"/>
    <m/>
    <n v="1200000"/>
    <m/>
    <n v="1200000"/>
    <m/>
    <n v="1200000"/>
    <m/>
    <n v="1200000"/>
    <m/>
    <n v="1200000"/>
    <m/>
    <n v="1200000"/>
    <m/>
    <n v="1200000"/>
    <m/>
    <n v="1200000"/>
    <m/>
    <n v="1200000"/>
    <m/>
  </r>
  <r>
    <n v="37"/>
    <m/>
    <m/>
    <m/>
    <m/>
    <s v="기업교육1팀"/>
    <x v="0"/>
    <m/>
    <m/>
    <s v="병원약학교육연구원_A25"/>
    <m/>
    <m/>
    <n v="63299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s v="10. 컨텐츠 - 컨텐츠 개발"/>
    <s v="14. 컨텐츠 - 컨텐츠 개발"/>
    <s v="15. 컨텐츠 - 컨텐츠 개발"/>
    <m/>
    <m/>
    <n v="290000000"/>
    <n v="17290000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n v="120000000"/>
    <m/>
    <m/>
    <m/>
    <m/>
    <m/>
  </r>
  <r>
    <n v="39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m/>
    <s v="19. 운영 - 운영매출"/>
    <s v="20. 운영 - 운영매출"/>
    <m/>
    <m/>
    <n v="0"/>
    <n v="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n v="60000000"/>
    <m/>
    <m/>
    <m/>
    <m/>
    <m/>
    <m/>
    <m/>
  </r>
  <r>
    <n v="40"/>
    <m/>
    <m/>
    <s v="기업교육1팀"/>
    <s v="박정규"/>
    <s v="기업교육1팀"/>
    <x v="0"/>
    <m/>
    <m/>
    <s v="비알코리아"/>
    <m/>
    <m/>
    <n v="2176"/>
    <s v="01 1~1000대"/>
    <s v="04 연장"/>
    <s v="03 휴넷 LMS"/>
    <s v="통합위탁"/>
    <s v="01. 이러닝 - 통합위탁"/>
    <s v="01. 이러닝 - 통합위탁"/>
    <s v="O"/>
    <n v="66878280"/>
    <n v="68167760"/>
    <n v="87548000"/>
    <m/>
    <s v="01 확정"/>
    <x v="0"/>
    <m/>
    <m/>
    <n v="82561600"/>
    <n v="82561600"/>
    <n v="0"/>
    <n v="4715400"/>
    <n v="4715400"/>
    <m/>
    <n v="6000000"/>
    <n v="5542000"/>
    <m/>
    <n v="6451800"/>
    <n v="6451800"/>
    <m/>
    <n v="5852400"/>
    <m/>
    <n v="6000000"/>
    <m/>
    <n v="6000000"/>
    <m/>
    <n v="6000000"/>
    <m/>
    <n v="6000000"/>
    <m/>
    <n v="6000000"/>
    <m/>
    <n v="6000000"/>
    <m/>
    <n v="6000000"/>
    <m/>
    <n v="18000000"/>
    <m/>
  </r>
  <r>
    <n v="41"/>
    <m/>
    <m/>
    <s v="기업교육1팀"/>
    <s v="박정규"/>
    <s v="기업교육1팀"/>
    <x v="0"/>
    <m/>
    <m/>
    <s v="비알코리아"/>
    <m/>
    <m/>
    <n v="2176"/>
    <s v="01 1~1000대"/>
    <s v="01 수성"/>
    <s v="02 경쟁사 LMS"/>
    <m/>
    <s v="15. 솔루션 - LABS"/>
    <s v="16. 솔루션 - LABS"/>
    <m/>
    <m/>
    <n v="0"/>
    <n v="0"/>
    <m/>
    <s v="02 가망"/>
    <x v="1"/>
    <m/>
    <m/>
    <n v="54000000"/>
    <n v="54000000"/>
    <n v="0"/>
    <m/>
    <m/>
    <m/>
    <m/>
    <m/>
    <m/>
    <m/>
    <m/>
    <m/>
    <n v="30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2"/>
    <m/>
    <m/>
    <s v="기업교육1팀"/>
    <s v="박정규"/>
    <s v="기업교육1팀"/>
    <x v="0"/>
    <m/>
    <m/>
    <s v="빗썸"/>
    <m/>
    <m/>
    <n v="40368"/>
    <s v="01 1~1000대"/>
    <s v="04 연장"/>
    <s v="03 휴넷 LMS"/>
    <s v="1. 온라인 - 단과"/>
    <s v="02. 이러닝 - 단과"/>
    <s v="02. 이러닝 - 단과"/>
    <m/>
    <n v="15205000"/>
    <n v="37035000"/>
    <n v="26790000"/>
    <m/>
    <s v="01 확정"/>
    <x v="0"/>
    <m/>
    <m/>
    <n v="28200000"/>
    <n v="28200000"/>
    <n v="0"/>
    <m/>
    <m/>
    <m/>
    <m/>
    <n v="2000000"/>
    <m/>
    <m/>
    <m/>
    <m/>
    <n v="2200000"/>
    <m/>
    <m/>
    <m/>
    <n v="7000000"/>
    <m/>
    <m/>
    <m/>
    <m/>
    <m/>
    <n v="7000000"/>
    <m/>
    <m/>
    <m/>
    <n v="10000000"/>
    <m/>
    <m/>
    <m/>
  </r>
  <r>
    <n v="43"/>
    <m/>
    <m/>
    <s v="기업교육1팀"/>
    <s v="박정규"/>
    <s v="기업교육1팀"/>
    <x v="0"/>
    <m/>
    <m/>
    <s v="빗썸"/>
    <m/>
    <m/>
    <n v="40368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"/>
    <m/>
    <m/>
    <s v="기업교육1팀"/>
    <s v="박정규"/>
    <s v="기업교육1팀"/>
    <x v="0"/>
    <m/>
    <m/>
    <s v="삼일PWC"/>
    <m/>
    <m/>
    <n v="13505"/>
    <s v="02 1001~2000대"/>
    <s v="01 수성"/>
    <s v="03 휴넷 LMS"/>
    <m/>
    <s v="02. 이러닝 - 단과"/>
    <s v="02. 이러닝 - 단과"/>
    <m/>
    <m/>
    <m/>
    <n v="27272728"/>
    <m/>
    <s v="01 확정"/>
    <x v="0"/>
    <m/>
    <m/>
    <n v="27272727.5"/>
    <n v="27272727.5"/>
    <n v="0"/>
    <n v="13636363.5"/>
    <m/>
    <m/>
    <m/>
    <m/>
    <m/>
    <m/>
    <m/>
    <m/>
    <n v="13636364"/>
    <m/>
    <m/>
    <m/>
    <m/>
    <m/>
    <m/>
    <m/>
    <m/>
    <m/>
    <m/>
    <m/>
    <m/>
    <m/>
    <m/>
    <m/>
    <n v="13636363.5"/>
    <m/>
  </r>
  <r>
    <n v="45"/>
    <m/>
    <m/>
    <s v="기업교육1팀"/>
    <s v="박정규"/>
    <s v="기업교육1팀"/>
    <x v="0"/>
    <m/>
    <m/>
    <s v="삼정회계법인(NEW)"/>
    <m/>
    <m/>
    <n v="57267"/>
    <s v="01 1~1000대"/>
    <s v="04 연장"/>
    <s v="03 휴넷 LMS"/>
    <s v="통합위탁"/>
    <s v="01. 이러닝 - 통합위탁"/>
    <s v="01. 이러닝 - 통합위탁"/>
    <s v="O"/>
    <n v="76269005"/>
    <n v="74875450"/>
    <n v="56487800"/>
    <m/>
    <s v="01 확정"/>
    <x v="0"/>
    <m/>
    <m/>
    <n v="52388400"/>
    <n v="52388400"/>
    <n v="0"/>
    <n v="2385800"/>
    <n v="2385800"/>
    <m/>
    <n v="5000000"/>
    <n v="3385900"/>
    <m/>
    <n v="3196500"/>
    <n v="3196500"/>
    <m/>
    <n v="34202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7. 휴넷CEO - 휴넷CEO"/>
    <s v="10. 구독 - 휴넷CEO멤버십"/>
    <s v="11. 구독 - 휴넷CEO멤버십"/>
    <m/>
    <m/>
    <n v="0"/>
    <n v="0"/>
    <m/>
    <s v="02 가망"/>
    <x v="4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47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14. 솔루션 - 맞춤형 LABS"/>
    <s v="15. 솔루션 - LABS"/>
    <s v="16. 솔루션 - LABS"/>
    <m/>
    <n v="3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"/>
    <m/>
    <m/>
    <s v="기업교육1팀"/>
    <s v="박정규"/>
    <s v="기업교육1팀"/>
    <x v="0"/>
    <m/>
    <m/>
    <s v="삼정회계법인(고객서비스)"/>
    <m/>
    <m/>
    <n v="45755"/>
    <s v="01 1~1000대"/>
    <s v="04 연장"/>
    <s v="03 휴넷 LMS"/>
    <s v="24. 운영 - 운영매출"/>
    <s v="19. 운영 - 운영매출"/>
    <s v="20. 운영 - 운영매출"/>
    <m/>
    <m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m/>
    <m/>
    <n v="15000000"/>
    <m/>
  </r>
  <r>
    <n v="49"/>
    <m/>
    <m/>
    <s v="기업교육1팀"/>
    <s v="박정규"/>
    <s v="기업교육1팀"/>
    <x v="0"/>
    <m/>
    <m/>
    <s v="신한금융지주"/>
    <m/>
    <m/>
    <n v="3823"/>
    <s v="01 1~1000대"/>
    <s v="03 신규"/>
    <s v="03 휴넷 LMS"/>
    <s v="11. 컨텐츠 - 컨텐츠 임대/판매"/>
    <s v="07. 이러닝 - 컨텐츠 임대/판매"/>
    <s v="07. 이러닝 - 컨텐츠 임대/판매"/>
    <m/>
    <m/>
    <n v="24442433"/>
    <n v="0"/>
    <m/>
    <s v="02 가망"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0"/>
    <m/>
    <m/>
    <s v="기업교육1팀"/>
    <s v="박정규"/>
    <s v="기업교육1팀"/>
    <x v="0"/>
    <m/>
    <m/>
    <s v="신한금융플러스"/>
    <m/>
    <m/>
    <n v="48998"/>
    <s v="01 1~1000대"/>
    <s v="04 연장"/>
    <s v="03 휴넷 LMS"/>
    <s v="14. 솔루션 - 맞춤형 LABS"/>
    <s v="15. 솔루션 - LABS"/>
    <s v="16. 솔루션 - LABS"/>
    <m/>
    <n v="27818182"/>
    <n v="24000000"/>
    <n v="24000000"/>
    <m/>
    <s v="01 확정"/>
    <x v="0"/>
    <m/>
    <m/>
    <n v="24000000"/>
    <n v="24000000"/>
    <n v="0"/>
    <n v="2000000"/>
    <n v="2000000"/>
    <m/>
    <n v="2000000"/>
    <n v="2000000"/>
    <m/>
    <n v="200000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51"/>
    <m/>
    <m/>
    <s v="기업교육1팀"/>
    <s v="박정규"/>
    <s v="기업교육1팀"/>
    <x v="0"/>
    <m/>
    <m/>
    <s v="신한금융희망재단"/>
    <m/>
    <m/>
    <n v="46945"/>
    <s v="01 1~1000대"/>
    <m/>
    <s v="03 휴넷 LMS"/>
    <s v="24. 운영 - 운영매출"/>
    <s v="19. 운영 - 운영매출"/>
    <s v="20. 운영 - 운영매출"/>
    <m/>
    <n v="150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. 온라인 - 단과"/>
    <s v="02. 이러닝 - 단과"/>
    <s v="02. 이러닝 - 단과"/>
    <m/>
    <n v="882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"/>
    <m/>
    <m/>
    <s v="기업교육1팀"/>
    <s v="박정규"/>
    <s v="기업교육1팀"/>
    <x v="0"/>
    <m/>
    <m/>
    <s v="신한라이프"/>
    <m/>
    <m/>
    <n v="3745"/>
    <s v="01 1~1000대"/>
    <s v="04 연장"/>
    <s v="03 휴넷 LMS"/>
    <m/>
    <s v="03. 이러닝 - 법정"/>
    <s v="03. 이러닝 - 법정"/>
    <m/>
    <m/>
    <m/>
    <n v="0"/>
    <m/>
    <s v="01 확정"/>
    <x v="0"/>
    <m/>
    <m/>
    <n v="21000000"/>
    <n v="21000000"/>
    <n v="0"/>
    <m/>
    <m/>
    <m/>
    <m/>
    <m/>
    <m/>
    <m/>
    <m/>
    <m/>
    <m/>
    <m/>
    <m/>
    <m/>
    <m/>
    <m/>
    <n v="21000000"/>
    <m/>
    <m/>
    <m/>
    <m/>
    <m/>
    <m/>
    <m/>
    <m/>
    <m/>
    <m/>
    <m/>
  </r>
  <r>
    <n v="54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1. 컨텐츠 - 컨텐츠 임대/판매"/>
    <s v="07. 이러닝 - 컨텐츠 임대/판매"/>
    <s v="16. 솔루션 - LABS"/>
    <m/>
    <n v="59454545"/>
    <n v="54000000"/>
    <n v="54000000"/>
    <m/>
    <s v="01 확정"/>
    <x v="0"/>
    <m/>
    <m/>
    <n v="54000000"/>
    <n v="54000000"/>
    <n v="0"/>
    <n v="4500000"/>
    <n v="4500000"/>
    <m/>
    <n v="4500000"/>
    <n v="4500000"/>
    <m/>
    <n v="450000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55"/>
    <m/>
    <m/>
    <s v="기업교육1팀"/>
    <s v="박정규"/>
    <s v="기업교육1팀"/>
    <x v="0"/>
    <m/>
    <m/>
    <s v="신한라이프(임직원)"/>
    <m/>
    <m/>
    <n v="3745"/>
    <s v="01 1~1000대"/>
    <s v="04 연장"/>
    <s v="03 휴넷 LMS"/>
    <s v="통합위탁"/>
    <s v="01. 이러닝 - 통합위탁"/>
    <s v="01. 이러닝 - 통합위탁"/>
    <s v="O"/>
    <m/>
    <n v="370049200"/>
    <n v="461407800"/>
    <m/>
    <s v="01 확정"/>
    <x v="0"/>
    <m/>
    <m/>
    <n v="408938310"/>
    <n v="408938310"/>
    <n v="0"/>
    <n v="28902770"/>
    <n v="31220560"/>
    <m/>
    <n v="35000000"/>
    <n v="31659350"/>
    <m/>
    <n v="34851730"/>
    <n v="33786330"/>
    <m/>
    <n v="42272070"/>
    <m/>
    <n v="35000000"/>
    <m/>
    <n v="35000000"/>
    <m/>
    <n v="35000000"/>
    <m/>
    <n v="30000000"/>
    <m/>
    <n v="35000000"/>
    <m/>
    <n v="35000000"/>
    <m/>
    <n v="35000000"/>
    <m/>
    <n v="30000000"/>
    <m/>
  </r>
  <r>
    <n v="56"/>
    <m/>
    <m/>
    <s v="기업교육1팀"/>
    <s v="박정규"/>
    <s v="기업교육1팀"/>
    <x v="0"/>
    <m/>
    <m/>
    <s v="신한라이프(임직원)"/>
    <m/>
    <m/>
    <n v="3745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"/>
    <m/>
    <m/>
    <s v="기업교육1팀"/>
    <s v="박정규"/>
    <s v="기업교육1팀"/>
    <x v="0"/>
    <m/>
    <m/>
    <s v="신한라이프케어"/>
    <m/>
    <m/>
    <n v="61219"/>
    <s v="01 1~1000대"/>
    <s v="04 연장"/>
    <s v="03 휴넷 LMS"/>
    <s v="1. 온라인 - 단과"/>
    <s v="02. 이러닝 - 단과"/>
    <s v="02. 이러닝 - 단과"/>
    <m/>
    <m/>
    <n v="234000"/>
    <n v="528000"/>
    <m/>
    <s v="08 2024년 매출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8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1. 온라인 - 단과"/>
    <s v="02. 이러닝 - 단과"/>
    <s v="02. 이러닝 - 단과"/>
    <m/>
    <n v="2760000"/>
    <n v="6707499"/>
    <n v="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59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29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"/>
    <m/>
    <m/>
    <s v="기업교육1팀"/>
    <s v="박정규"/>
    <s v="기업교육1팀"/>
    <x v="0"/>
    <m/>
    <m/>
    <s v="신한아이타스"/>
    <m/>
    <m/>
    <n v="11180"/>
    <s v="01 1~1000대"/>
    <s v="01 수성"/>
    <s v="03 휴넷 LMS"/>
    <s v="1. 온라인 - 단과"/>
    <s v="02. 이러닝 - 단과"/>
    <s v="02. 이러닝 - 단과"/>
    <m/>
    <n v="95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s v="11. 컨텐츠 - 컨텐츠 임대/판매"/>
    <s v="07. 이러닝 - 컨텐츠 임대/판매"/>
    <s v="07. 이러닝 - 컨텐츠 임대/판매"/>
    <m/>
    <n v="18181818"/>
    <n v="0"/>
    <n v="460000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n v="20000000"/>
    <m/>
    <m/>
    <m/>
    <m/>
    <m/>
    <m/>
    <m/>
    <m/>
    <m/>
  </r>
  <r>
    <n v="62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3"/>
    <m/>
    <m/>
    <m/>
    <m/>
    <s v="기업교육1팀"/>
    <x v="0"/>
    <m/>
    <m/>
    <s v="신한자산운용"/>
    <m/>
    <m/>
    <m/>
    <m/>
    <s v="01 수성"/>
    <s v="01 자체 LMS"/>
    <m/>
    <m/>
    <s v="02. 이러닝 - 단과"/>
    <m/>
    <m/>
    <m/>
    <n v="0"/>
    <m/>
    <m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1팀"/>
    <s v="박정규"/>
    <s v="기업교육1팀"/>
    <x v="0"/>
    <m/>
    <m/>
    <s v="신한저축은행"/>
    <m/>
    <m/>
    <n v="24161"/>
    <s v="01 1~1000대"/>
    <s v="03 신규"/>
    <s v="03 휴넷 LMS"/>
    <m/>
    <s v="02. 이러닝 - 단과"/>
    <s v="02. 이러닝 - 단과"/>
    <m/>
    <m/>
    <m/>
    <n v="2050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5"/>
    <m/>
    <m/>
    <s v="기업교육1팀"/>
    <s v="박정규"/>
    <s v="기업교육1팀"/>
    <x v="0"/>
    <m/>
    <m/>
    <s v="신한카드"/>
    <m/>
    <m/>
    <n v="3882"/>
    <s v="01 1~1000대"/>
    <s v="04 연장"/>
    <s v="03 휴넷 LMS"/>
    <s v="통합위탁"/>
    <s v="01. 이러닝 - 통합위탁"/>
    <s v="01. 이러닝 - 통합위탁"/>
    <s v="O"/>
    <n v="159931995"/>
    <n v="129256748"/>
    <n v="147993840"/>
    <m/>
    <s v="01 확정"/>
    <x v="0"/>
    <m/>
    <m/>
    <n v="122962280"/>
    <n v="122962280"/>
    <n v="0"/>
    <n v="6921840"/>
    <n v="6540840"/>
    <m/>
    <n v="6253300"/>
    <n v="6298300"/>
    <m/>
    <n v="11771460"/>
    <n v="11771460"/>
    <m/>
    <n v="9594140"/>
    <m/>
    <n v="7757540"/>
    <m/>
    <n v="8000000"/>
    <m/>
    <n v="7000000"/>
    <m/>
    <n v="8000000"/>
    <m/>
    <n v="25000000"/>
    <m/>
    <n v="8000000"/>
    <m/>
    <n v="15000000"/>
    <m/>
    <n v="10000000"/>
    <m/>
  </r>
  <r>
    <n v="66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통합위탁"/>
    <s v="01. 이러닝 - 통합위탁"/>
    <s v="01. 이러닝 - 통합위탁"/>
    <m/>
    <m/>
    <m/>
    <n v="0"/>
    <m/>
    <m/>
    <x v="4"/>
    <m/>
    <m/>
    <n v="0"/>
    <n v="0"/>
    <n v="0"/>
    <m/>
    <m/>
    <s v="확정전환"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2. 온라인 - 법정"/>
    <s v="03. 이러닝 - 법정"/>
    <s v="03. 이러닝 - 법정"/>
    <m/>
    <n v="39307000"/>
    <n v="42582000"/>
    <n v="26124000"/>
    <m/>
    <s v="01 확정"/>
    <x v="4"/>
    <m/>
    <m/>
    <n v="40000000"/>
    <n v="40000000"/>
    <n v="0"/>
    <m/>
    <m/>
    <m/>
    <m/>
    <m/>
    <m/>
    <m/>
    <m/>
    <m/>
    <m/>
    <m/>
    <m/>
    <m/>
    <n v="15000000"/>
    <m/>
    <m/>
    <m/>
    <m/>
    <m/>
    <n v="15000000"/>
    <m/>
    <m/>
    <m/>
    <n v="10000000"/>
    <m/>
    <m/>
    <m/>
  </r>
  <r>
    <n v="68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3. 온라인 - 마이크로러닝"/>
    <s v="04. 이러닝 - 마이크로러닝"/>
    <s v="04. 이러닝 - 마이크로러닝"/>
    <m/>
    <n v="60000000"/>
    <n v="60000000"/>
    <n v="60000000"/>
    <m/>
    <s v="01 확정"/>
    <x v="0"/>
    <m/>
    <m/>
    <n v="20000000"/>
    <n v="20000000"/>
    <n v="0"/>
    <n v="5000000"/>
    <n v="5000000"/>
    <m/>
    <n v="5000000"/>
    <n v="5000000"/>
    <m/>
    <n v="5000000"/>
    <n v="5000000"/>
    <m/>
    <n v="5000000"/>
    <m/>
    <m/>
    <m/>
    <m/>
    <m/>
    <m/>
    <m/>
    <m/>
    <m/>
    <m/>
    <m/>
    <m/>
    <m/>
    <m/>
    <m/>
    <m/>
    <m/>
  </r>
  <r>
    <n v="69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10. 컨텐츠 - 컨텐츠 개발"/>
    <s v="14. 컨텐츠 - 컨텐츠 개발"/>
    <s v="15. 컨텐츠 - 컨텐츠 개발"/>
    <m/>
    <m/>
    <n v="0"/>
    <n v="5400000"/>
    <m/>
    <s v="02 가망"/>
    <x v="0"/>
    <m/>
    <m/>
    <n v="7400000"/>
    <n v="7400000"/>
    <n v="0"/>
    <m/>
    <m/>
    <m/>
    <m/>
    <m/>
    <m/>
    <n v="5400000"/>
    <m/>
    <m/>
    <n v="5400000"/>
    <m/>
    <m/>
    <m/>
    <m/>
    <m/>
    <n v="2000000"/>
    <m/>
    <m/>
    <m/>
    <m/>
    <m/>
    <m/>
    <m/>
    <m/>
    <m/>
    <m/>
    <m/>
  </r>
  <r>
    <n v="70"/>
    <m/>
    <m/>
    <s v="기업교육1팀"/>
    <s v="박정규"/>
    <s v="기업교육1팀"/>
    <x v="0"/>
    <m/>
    <m/>
    <s v="신한카드(SM)"/>
    <m/>
    <m/>
    <n v="42782"/>
    <s v="01 1~1000대"/>
    <s v="04 연장"/>
    <s v="03 휴넷 LMS"/>
    <s v="14. 솔루션 - 맞춤형 LABS"/>
    <s v="15. 솔루션 - LABS"/>
    <s v="16. 솔루션 - LABS"/>
    <m/>
    <n v="13311000"/>
    <n v="18641000"/>
    <n v="23581000"/>
    <m/>
    <s v="01 확정"/>
    <x v="0"/>
    <m/>
    <m/>
    <n v="24000000"/>
    <n v="24000000"/>
    <n v="0"/>
    <m/>
    <m/>
    <m/>
    <m/>
    <m/>
    <m/>
    <m/>
    <m/>
    <m/>
    <m/>
    <m/>
    <m/>
    <m/>
    <n v="12000000"/>
    <m/>
    <m/>
    <m/>
    <m/>
    <m/>
    <m/>
    <m/>
    <n v="12000000"/>
    <m/>
    <m/>
    <m/>
    <m/>
    <m/>
  </r>
  <r>
    <n v="71"/>
    <m/>
    <m/>
    <s v="기업교육1팀"/>
    <s v="박정규"/>
    <s v="기업교육1팀"/>
    <x v="0"/>
    <m/>
    <m/>
    <s v="신한투자증권"/>
    <m/>
    <m/>
    <n v="46076"/>
    <s v="01 1~1000대"/>
    <s v="04 연장"/>
    <s v="03 휴넷 LMS"/>
    <s v="통합위탁"/>
    <s v="01. 이러닝 - 통합위탁"/>
    <s v="01. 이러닝 - 통합위탁"/>
    <s v="O"/>
    <n v="200134396"/>
    <n v="195137580"/>
    <n v="140881440"/>
    <m/>
    <s v="01 확정"/>
    <x v="0"/>
    <m/>
    <m/>
    <n v="113000000"/>
    <n v="113000000"/>
    <n v="0"/>
    <m/>
    <m/>
    <m/>
    <m/>
    <m/>
    <m/>
    <m/>
    <m/>
    <m/>
    <n v="38000000"/>
    <m/>
    <m/>
    <m/>
    <m/>
    <m/>
    <n v="25000000"/>
    <m/>
    <m/>
    <m/>
    <m/>
    <m/>
    <n v="25000000"/>
    <m/>
    <m/>
    <m/>
    <n v="25000000"/>
    <m/>
  </r>
  <r>
    <n v="72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통합위탁"/>
    <s v="01. 이러닝 - 통합위탁"/>
    <s v="01. 이러닝 - 통합위탁"/>
    <m/>
    <m/>
    <n v="0"/>
    <n v="0"/>
    <m/>
    <s v="02 가망"/>
    <x v="4"/>
    <m/>
    <m/>
    <n v="90000000"/>
    <n v="90000000"/>
    <n v="0"/>
    <m/>
    <m/>
    <m/>
    <m/>
    <m/>
    <m/>
    <m/>
    <m/>
    <m/>
    <m/>
    <m/>
    <m/>
    <m/>
    <m/>
    <m/>
    <n v="30000000"/>
    <m/>
    <m/>
    <m/>
    <m/>
    <m/>
    <n v="30000000"/>
    <m/>
    <m/>
    <m/>
    <n v="30000000"/>
    <m/>
  </r>
  <r>
    <n v="73"/>
    <m/>
    <m/>
    <s v="기업교육1팀"/>
    <s v="박정규"/>
    <s v="기업교육1팀"/>
    <x v="0"/>
    <m/>
    <m/>
    <s v="신한투자증권"/>
    <m/>
    <m/>
    <n v="46076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4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10. 컨텐츠 - 컨텐츠 개발"/>
    <s v="14. 컨텐츠 - 컨텐츠 개발"/>
    <s v="15. 컨텐츠 - 컨텐츠 개발"/>
    <m/>
    <m/>
    <n v="6742500"/>
    <n v="40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5"/>
    <m/>
    <m/>
    <s v="기업교육1팀"/>
    <s v="박정규"/>
    <s v="기업교육1팀"/>
    <x v="0"/>
    <m/>
    <m/>
    <s v="신한펀드파트너스"/>
    <m/>
    <m/>
    <n v="58628"/>
    <s v="01 1~1000대"/>
    <s v="04 연장"/>
    <s v="03 휴넷 LMS"/>
    <s v="통합위탁"/>
    <s v="01. 이러닝 - 통합위탁"/>
    <s v="01. 이러닝 - 통합위탁"/>
    <m/>
    <n v="3455820"/>
    <n v="0"/>
    <n v="0"/>
    <m/>
    <s v="01 확정"/>
    <x v="0"/>
    <m/>
    <m/>
    <n v="3000000"/>
    <n v="3000000"/>
    <n v="0"/>
    <m/>
    <m/>
    <m/>
    <m/>
    <m/>
    <m/>
    <m/>
    <m/>
    <m/>
    <m/>
    <m/>
    <m/>
    <m/>
    <m/>
    <m/>
    <n v="1000000"/>
    <m/>
    <m/>
    <m/>
    <n v="1000000"/>
    <m/>
    <m/>
    <m/>
    <n v="1000000"/>
    <m/>
    <m/>
    <m/>
  </r>
  <r>
    <n v="76"/>
    <m/>
    <m/>
    <s v="기업교육1팀"/>
    <s v="박정규"/>
    <s v="기업교육1팀"/>
    <x v="0"/>
    <m/>
    <m/>
    <s v="신한펀드파트너스"/>
    <m/>
    <m/>
    <n v="58628"/>
    <s v="01 1~1000대"/>
    <s v="04 연장"/>
    <m/>
    <s v="6. 하이브리드러닝 - 집합형"/>
    <s v="08. 하이브리드러닝 - 하이브리드형 러닝"/>
    <s v="08. 하이브리드러닝 - 하이브리드형 러닝"/>
    <m/>
    <n v="7200000"/>
    <n v="0"/>
    <n v="0"/>
    <m/>
    <s v="02 가망"/>
    <x v="4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77"/>
    <m/>
    <m/>
    <m/>
    <m/>
    <s v="기업교육1팀"/>
    <x v="0"/>
    <m/>
    <m/>
    <s v="에스피씨 gfs"/>
    <m/>
    <m/>
    <s v="신규등록"/>
    <m/>
    <m/>
    <m/>
    <m/>
    <m/>
    <s v="01. 이러닝 - 통합위탁"/>
    <m/>
    <m/>
    <m/>
    <n v="0"/>
    <m/>
    <m/>
    <x v="0"/>
    <m/>
    <m/>
    <n v="29000000"/>
    <n v="29000000"/>
    <n v="0"/>
    <m/>
    <m/>
    <m/>
    <m/>
    <m/>
    <m/>
    <m/>
    <m/>
    <m/>
    <m/>
    <m/>
    <n v="4000000"/>
    <m/>
    <n v="4000000"/>
    <m/>
    <n v="4000000"/>
    <m/>
    <n v="3000000"/>
    <m/>
    <n v="4000000"/>
    <m/>
    <n v="3000000"/>
    <m/>
    <n v="4000000"/>
    <m/>
    <n v="3000000"/>
    <m/>
  </r>
  <r>
    <n v="78"/>
    <m/>
    <m/>
    <s v="기업교육1팀"/>
    <s v="박정규"/>
    <s v="기업교육1팀"/>
    <x v="0"/>
    <m/>
    <m/>
    <s v="에스피씨 삼립"/>
    <m/>
    <m/>
    <n v="57803"/>
    <s v="01 1~1000대"/>
    <s v="04 연장"/>
    <s v="03 휴넷 LMS"/>
    <s v="1. 온라인 - 단과"/>
    <s v="01. 이러닝 - 통합위탁"/>
    <s v="01. 이러닝 - 통합위탁"/>
    <s v="O"/>
    <n v="34758092"/>
    <n v="97799622"/>
    <n v="109304300"/>
    <m/>
    <s v="01 확정"/>
    <x v="0"/>
    <m/>
    <m/>
    <n v="96329420"/>
    <n v="96329420"/>
    <n v="0"/>
    <n v="7416100"/>
    <n v="10204500"/>
    <m/>
    <n v="6000000"/>
    <n v="7915300"/>
    <m/>
    <n v="7450380"/>
    <n v="7450380"/>
    <m/>
    <n v="7759240"/>
    <m/>
    <n v="6000000"/>
    <m/>
    <n v="6000000"/>
    <m/>
    <n v="6000000"/>
    <m/>
    <n v="7000000"/>
    <m/>
    <n v="6000000"/>
    <m/>
    <n v="7000000"/>
    <m/>
    <n v="15000000"/>
    <m/>
    <n v="10000000"/>
    <m/>
  </r>
  <r>
    <n v="79"/>
    <m/>
    <m/>
    <s v="기업교육1팀"/>
    <s v="박정규"/>
    <s v="기업교육1팀"/>
    <x v="0"/>
    <m/>
    <m/>
    <s v="에스피씨 삼립"/>
    <m/>
    <m/>
    <n v="4654"/>
    <s v="01 1~1000대"/>
    <s v="04 연장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0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통합위탁"/>
    <s v="02. 이러닝 - 단과"/>
    <s v="02. 이러닝 - 단과"/>
    <m/>
    <n v="17248000"/>
    <n v="13000000"/>
    <n v="9015000"/>
    <m/>
    <s v="01 확정"/>
    <x v="4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81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n v="50000000"/>
    <n v="37000000"/>
    <n v="50000000"/>
    <m/>
    <s v="01 확정"/>
    <x v="0"/>
    <m/>
    <m/>
    <n v="20000000"/>
    <n v="20000000"/>
    <n v="0"/>
    <n v="4000000"/>
    <n v="4000000"/>
    <m/>
    <n v="4000000"/>
    <n v="4000000"/>
    <m/>
    <n v="4000000"/>
    <n v="4000000"/>
    <m/>
    <n v="4000000"/>
    <m/>
    <n v="4000000"/>
    <m/>
    <m/>
    <m/>
    <m/>
    <m/>
    <m/>
    <m/>
    <m/>
    <m/>
    <m/>
    <m/>
    <m/>
    <m/>
    <m/>
    <m/>
  </r>
  <r>
    <n v="82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m/>
    <m/>
    <n v="0"/>
    <m/>
    <m/>
    <x v="4"/>
    <m/>
    <m/>
    <n v="30000000"/>
    <n v="30000000"/>
    <n v="0"/>
    <m/>
    <m/>
    <m/>
    <m/>
    <m/>
    <m/>
    <m/>
    <m/>
    <m/>
    <m/>
    <m/>
    <m/>
    <m/>
    <n v="5000000"/>
    <m/>
    <n v="4000000"/>
    <m/>
    <n v="4000000"/>
    <m/>
    <n v="4000000"/>
    <m/>
    <n v="4000000"/>
    <m/>
    <n v="5000000"/>
    <m/>
    <n v="4000000"/>
    <m/>
  </r>
  <r>
    <n v="83"/>
    <m/>
    <m/>
    <s v="기업교육1팀"/>
    <s v="박정규"/>
    <s v="기업교육1팀"/>
    <x v="0"/>
    <m/>
    <m/>
    <s v="에스피씨캠퍼스"/>
    <m/>
    <m/>
    <n v="46253"/>
    <s v="01 1~1000대"/>
    <s v="04 연장"/>
    <s v="03 휴넷 LMS"/>
    <s v="11. 컨텐츠 - 컨텐츠 임대/판매"/>
    <s v="07. 이러닝 - 컨텐츠 임대/판매"/>
    <s v="07. 이러닝 - 컨텐츠 임대/판매"/>
    <m/>
    <n v="12000000"/>
    <n v="9500000"/>
    <n v="10197000"/>
    <m/>
    <s v="01 확정"/>
    <x v="1"/>
    <m/>
    <m/>
    <n v="11000000"/>
    <n v="11000000"/>
    <n v="0"/>
    <m/>
    <m/>
    <m/>
    <m/>
    <m/>
    <m/>
    <m/>
    <m/>
    <m/>
    <m/>
    <m/>
    <n v="5000000"/>
    <m/>
    <m/>
    <m/>
    <m/>
    <m/>
    <n v="6000000"/>
    <m/>
    <m/>
    <m/>
    <m/>
    <m/>
    <m/>
    <m/>
    <m/>
    <m/>
  </r>
  <r>
    <n v="84"/>
    <m/>
    <m/>
    <s v="기업교육1팀"/>
    <s v="박정규"/>
    <s v="기업교육1팀"/>
    <x v="0"/>
    <m/>
    <m/>
    <s v="에스피씨팩"/>
    <m/>
    <m/>
    <n v="18365"/>
    <s v="04 3000대 이후"/>
    <s v="04 연장"/>
    <s v="03 휴넷 LMS"/>
    <s v="1. 온라인 - 단과"/>
    <s v="02. 이러닝 - 단과"/>
    <s v="02. 이러닝 - 단과"/>
    <s v="O"/>
    <n v="5144000"/>
    <n v="9164000"/>
    <n v="2511000"/>
    <m/>
    <s v="01 확정"/>
    <x v="0"/>
    <m/>
    <m/>
    <n v="9000000"/>
    <n v="9000000"/>
    <n v="0"/>
    <m/>
    <m/>
    <m/>
    <n v="100000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85"/>
    <m/>
    <m/>
    <s v="기업교육1팀"/>
    <s v="박정규"/>
    <s v="기업교육1팀"/>
    <x v="0"/>
    <m/>
    <m/>
    <s v="엘에스일렉트릭"/>
    <m/>
    <m/>
    <n v="58702"/>
    <s v="01 1~1000대"/>
    <s v="01 수성"/>
    <s v="01 자체 LMS"/>
    <s v="10. 컨텐츠 - 컨텐츠 개발"/>
    <s v="14. 컨텐츠 - 컨텐츠 개발"/>
    <s v="15. 컨텐츠 - 컨텐츠 개발"/>
    <m/>
    <n v="19000000"/>
    <n v="9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"/>
    <m/>
    <m/>
    <s v="기업교육1팀"/>
    <s v="박정규"/>
    <s v="기업교육1팀"/>
    <x v="0"/>
    <m/>
    <m/>
    <s v="엘에스전선"/>
    <m/>
    <m/>
    <n v="2156"/>
    <m/>
    <m/>
    <m/>
    <m/>
    <m/>
    <s v="01. 이러닝 - 통합위탁"/>
    <m/>
    <m/>
    <m/>
    <n v="149963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1팀"/>
    <s v="박정규"/>
    <s v="기업교육1팀"/>
    <x v="0"/>
    <m/>
    <m/>
    <s v="엘에스전선"/>
    <m/>
    <m/>
    <n v="2156"/>
    <s v="01 1~1000대"/>
    <s v="01 수성"/>
    <s v="01 자체 LMS"/>
    <s v="1. 온라인 - 단과"/>
    <s v="02. 이러닝 - 단과"/>
    <s v="02. 이러닝 - 단과"/>
    <m/>
    <n v="43214200"/>
    <n v="1386712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1팀"/>
    <s v="박정규"/>
    <s v="기업교육1팀"/>
    <x v="0"/>
    <m/>
    <m/>
    <s v="엘에스전선"/>
    <m/>
    <m/>
    <n v="2156"/>
    <s v="01 1~1000대"/>
    <m/>
    <s v="01 자체 LMS"/>
    <s v="10. 컨텐츠 - 컨텐츠 개발"/>
    <s v="14. 컨텐츠 - 컨텐츠 개발"/>
    <s v="15. 컨텐츠 - 컨텐츠 개발"/>
    <m/>
    <m/>
    <n v="31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"/>
    <m/>
    <m/>
    <s v="기업교육1팀"/>
    <s v="박정규"/>
    <s v="기업교육1팀"/>
    <x v="0"/>
    <m/>
    <m/>
    <s v="엘에스전선 (LS-tuber)"/>
    <m/>
    <m/>
    <n v="2156"/>
    <s v="01 1~1000대"/>
    <s v="01 수성"/>
    <m/>
    <s v="6. 하이브리드러닝 - 집합형"/>
    <s v="08. 하이브리드러닝 - 하이브리드형 러닝"/>
    <s v="08. 하이브리드러닝 - 하이브리드형 러닝"/>
    <m/>
    <n v="2200000"/>
    <n v="2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"/>
    <m/>
    <m/>
    <s v="기업교육1팀"/>
    <s v="박정규"/>
    <s v="기업교육1팀"/>
    <x v="0"/>
    <m/>
    <m/>
    <s v="엘에스전선 (글로벌연수원)"/>
    <m/>
    <m/>
    <n v="2156"/>
    <s v="01 1~1000대"/>
    <m/>
    <m/>
    <s v="3. 온라인 - 마이크로러닝"/>
    <s v="04. 이러닝 - 마이크로러닝"/>
    <s v="04. 이러닝 - 마이크로러닝"/>
    <m/>
    <n v="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"/>
    <m/>
    <m/>
    <s v="기업교육3팀"/>
    <s v="최영기"/>
    <s v="기업교육1팀"/>
    <x v="0"/>
    <m/>
    <m/>
    <s v="엘에스증권"/>
    <m/>
    <m/>
    <n v="2027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2"/>
    <m/>
    <m/>
    <s v="기업교육3팀"/>
    <s v="김지훈"/>
    <s v="기업교육1팀"/>
    <x v="0"/>
    <m/>
    <m/>
    <s v="엘에스증권"/>
    <m/>
    <m/>
    <n v="20272"/>
    <m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통합위탁"/>
    <s v="01. 이러닝 - 통합위탁"/>
    <s v="01. 이러닝 - 통합위탁"/>
    <s v="O"/>
    <m/>
    <n v="0"/>
    <n v="0"/>
    <m/>
    <s v="01 확정"/>
    <x v="0"/>
    <m/>
    <m/>
    <n v="22473630"/>
    <n v="22473630"/>
    <n v="0"/>
    <n v="1280060"/>
    <m/>
    <m/>
    <n v="984900"/>
    <n v="984900"/>
    <m/>
    <n v="1625740"/>
    <n v="1625740"/>
    <m/>
    <n v="424950"/>
    <m/>
    <n v="1438040"/>
    <m/>
    <n v="3000000"/>
    <m/>
    <n v="3000000"/>
    <m/>
    <n v="3000000"/>
    <m/>
    <n v="3000000"/>
    <m/>
    <n v="2000000"/>
    <m/>
    <n v="2000000"/>
    <m/>
    <n v="2000000"/>
    <m/>
  </r>
  <r>
    <n v="94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1. 온라인 - 단과"/>
    <s v="02. 이러닝 - 단과"/>
    <s v="02. 이러닝 - 단과"/>
    <m/>
    <n v="700000"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"/>
    <m/>
    <m/>
    <s v="기업교육1팀"/>
    <s v="박정규"/>
    <s v="기업교육1팀"/>
    <x v="0"/>
    <m/>
    <m/>
    <s v="이수건설"/>
    <m/>
    <m/>
    <n v="2595"/>
    <s v="01 1~1000대"/>
    <s v="01 수성"/>
    <m/>
    <s v="5. 하이브리드러닝 - 러닝저니"/>
    <s v="08. 하이브리드러닝 - 하이브리드형 러닝"/>
    <s v="08. 하이브리드러닝 - 하이브리드형 러닝"/>
    <m/>
    <m/>
    <n v="15330000"/>
    <n v="822000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n v="5000000"/>
    <m/>
    <m/>
    <m/>
    <m/>
    <m/>
  </r>
  <r>
    <n v="96"/>
    <m/>
    <m/>
    <s v="기업교육1팀"/>
    <s v="박정규"/>
    <s v="기업교육1팀"/>
    <x v="0"/>
    <m/>
    <m/>
    <s v="이수그룹"/>
    <m/>
    <m/>
    <n v="1409"/>
    <s v="01 1~1000대"/>
    <s v="03 신규"/>
    <m/>
    <s v="통합위탁"/>
    <s v="01. 이러닝 - 통합위탁"/>
    <s v="01. 이러닝 - 통합위탁"/>
    <m/>
    <m/>
    <n v="0"/>
    <n v="0"/>
    <m/>
    <s v="03 기회"/>
    <x v="1"/>
    <m/>
    <m/>
    <n v="75000000"/>
    <n v="75000000"/>
    <n v="0"/>
    <m/>
    <m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</r>
  <r>
    <n v="97"/>
    <m/>
    <m/>
    <s v="기업교육1팀"/>
    <s v="박정규"/>
    <s v="기업교육1팀"/>
    <x v="0"/>
    <m/>
    <m/>
    <s v="이수그룹"/>
    <m/>
    <m/>
    <n v="1409"/>
    <s v="01 1~1000대"/>
    <s v="01 수성"/>
    <m/>
    <s v="6. 하이브리드러닝 - 집합형"/>
    <s v="08. 하이브리드러닝 - 하이브리드형 러닝"/>
    <s v="08. 하이브리드러닝 - 하이브리드형 러닝"/>
    <m/>
    <m/>
    <n v="110000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98"/>
    <m/>
    <m/>
    <s v="기업교육1팀"/>
    <s v="박정규"/>
    <s v="기업교육1팀"/>
    <x v="0"/>
    <m/>
    <m/>
    <s v="이수화학"/>
    <m/>
    <m/>
    <n v="2594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"/>
    <m/>
    <m/>
    <s v="기업교육1팀"/>
    <s v="박정규"/>
    <s v="기업교육1팀"/>
    <x v="0"/>
    <m/>
    <m/>
    <s v="인천e배움캠퍼스 "/>
    <m/>
    <m/>
    <n v="29087"/>
    <s v="05 공공"/>
    <m/>
    <s v="03 휴넷 LMS"/>
    <s v="1. 온라인 - 단과"/>
    <s v="01. 이러닝 - 통합위탁"/>
    <s v="01. 이러닝 - 통합위탁"/>
    <m/>
    <n v="267000000"/>
    <n v="267300000"/>
    <n v="259000000"/>
    <m/>
    <s v="01 확정"/>
    <x v="5"/>
    <m/>
    <m/>
    <n v="78000000"/>
    <n v="78000000"/>
    <n v="0"/>
    <m/>
    <m/>
    <m/>
    <n v="182000000"/>
    <m/>
    <m/>
    <m/>
    <m/>
    <m/>
    <m/>
    <m/>
    <m/>
    <m/>
    <m/>
    <m/>
    <m/>
    <m/>
    <m/>
    <m/>
    <m/>
    <m/>
    <m/>
    <m/>
    <m/>
    <m/>
    <n v="78000000"/>
    <m/>
  </r>
  <r>
    <n v="100"/>
    <s v="기업교육3팀"/>
    <s v="서정용"/>
    <m/>
    <m/>
    <s v="기업교육1팀"/>
    <x v="0"/>
    <m/>
    <m/>
    <s v="지앤피"/>
    <m/>
    <m/>
    <n v="65859"/>
    <m/>
    <s v="03 신규"/>
    <s v="03 휴넷 LMS"/>
    <m/>
    <m/>
    <s v="02. 이러닝 - 단과"/>
    <s v="O"/>
    <m/>
    <m/>
    <n v="0"/>
    <m/>
    <m/>
    <x v="0"/>
    <m/>
    <m/>
    <n v="8980400"/>
    <n v="8980400"/>
    <n v="0"/>
    <m/>
    <m/>
    <m/>
    <m/>
    <m/>
    <m/>
    <n v="189000"/>
    <m/>
    <m/>
    <n v="5024800"/>
    <m/>
    <n v="455600"/>
    <m/>
    <n v="500000"/>
    <m/>
    <n v="500000"/>
    <m/>
    <n v="500000"/>
    <m/>
    <n v="500000"/>
    <m/>
    <n v="500000"/>
    <m/>
    <n v="500000"/>
    <m/>
    <n v="500000"/>
    <m/>
  </r>
  <r>
    <n v="101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통합위탁"/>
    <s v="01. 이러닝 - 통합위탁"/>
    <s v="01. 이러닝 - 통합위탁"/>
    <m/>
    <n v="47033280"/>
    <n v="2368000"/>
    <n v="7893000"/>
    <m/>
    <s v="01 확정"/>
    <x v="1"/>
    <m/>
    <m/>
    <n v="10000000"/>
    <n v="10000000"/>
    <n v="0"/>
    <m/>
    <m/>
    <m/>
    <m/>
    <m/>
    <m/>
    <m/>
    <m/>
    <m/>
    <m/>
    <m/>
    <n v="3000000"/>
    <m/>
    <n v="3000000"/>
    <m/>
    <m/>
    <m/>
    <m/>
    <m/>
    <m/>
    <m/>
    <n v="4000000"/>
    <m/>
    <m/>
    <m/>
    <m/>
    <m/>
  </r>
  <r>
    <n v="102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m/>
    <s v="03. 이러닝 - 법정"/>
    <m/>
    <m/>
    <m/>
    <n v="0"/>
    <m/>
    <m/>
    <x v="0"/>
    <m/>
    <m/>
    <n v="12800000"/>
    <n v="12800000"/>
    <n v="0"/>
    <m/>
    <m/>
    <m/>
    <m/>
    <m/>
    <m/>
    <m/>
    <m/>
    <m/>
    <m/>
    <m/>
    <m/>
    <m/>
    <m/>
    <m/>
    <n v="10000000"/>
    <m/>
    <m/>
    <m/>
    <m/>
    <m/>
    <n v="2800000"/>
    <m/>
    <m/>
    <m/>
    <m/>
    <m/>
  </r>
  <r>
    <n v="103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21183273"/>
    <n v="72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m/>
    <m/>
    <n v="3000000"/>
    <m/>
    <m/>
    <m/>
    <m/>
    <m/>
  </r>
  <r>
    <n v="104"/>
    <s v="기업교육3팀"/>
    <s v="서정용"/>
    <m/>
    <m/>
    <s v="기업교육1팀"/>
    <x v="0"/>
    <m/>
    <m/>
    <s v="평택ENP"/>
    <m/>
    <m/>
    <n v="65698"/>
    <m/>
    <s v="03 신규"/>
    <s v="03 휴넷 LMS"/>
    <m/>
    <m/>
    <s v="02. 이러닝 - 단과"/>
    <s v="O"/>
    <m/>
    <m/>
    <n v="0"/>
    <m/>
    <m/>
    <x v="0"/>
    <m/>
    <m/>
    <n v="8761450"/>
    <n v="8761450"/>
    <n v="0"/>
    <n v="854450"/>
    <n v="854450"/>
    <m/>
    <n v="800000"/>
    <n v="274600"/>
    <m/>
    <n v="453000"/>
    <n v="453000"/>
    <m/>
    <n v="779400"/>
    <m/>
    <n v="800000"/>
    <m/>
    <n v="800000"/>
    <m/>
    <n v="800000"/>
    <m/>
    <n v="800000"/>
    <m/>
    <n v="800000"/>
    <m/>
    <n v="800000"/>
    <m/>
    <n v="800000"/>
    <m/>
    <n v="800000"/>
    <m/>
  </r>
  <r>
    <n v="105"/>
    <m/>
    <m/>
    <s v="기업교육1팀"/>
    <s v="박정규"/>
    <s v="기업교육1팀"/>
    <x v="0"/>
    <m/>
    <m/>
    <s v="피비파트너즈"/>
    <m/>
    <m/>
    <n v="28071"/>
    <s v="03 2001~3000대"/>
    <s v="04 연장"/>
    <s v="03 휴넷 LMS"/>
    <s v="2. 온라인 - 법정"/>
    <s v="03. 이러닝 - 법정"/>
    <s v="03. 이러닝 - 법정"/>
    <m/>
    <n v="25000000"/>
    <n v="25000000"/>
    <n v="25000000"/>
    <m/>
    <s v="01 확정"/>
    <x v="0"/>
    <m/>
    <m/>
    <n v="25000000"/>
    <n v="25000000"/>
    <n v="0"/>
    <m/>
    <m/>
    <m/>
    <m/>
    <m/>
    <m/>
    <m/>
    <m/>
    <m/>
    <m/>
    <m/>
    <m/>
    <m/>
    <m/>
    <m/>
    <n v="15000000"/>
    <m/>
    <m/>
    <m/>
    <m/>
    <m/>
    <m/>
    <m/>
    <n v="10000000"/>
    <m/>
    <m/>
    <m/>
  </r>
  <r>
    <n v="106"/>
    <m/>
    <m/>
    <s v="기업교육1팀"/>
    <s v="박정규"/>
    <s v="기업교육1팀"/>
    <x v="0"/>
    <m/>
    <m/>
    <s v="한국건설엔지니어링협회"/>
    <m/>
    <m/>
    <n v="26318"/>
    <s v="01 1~1000대"/>
    <s v="04 연장"/>
    <m/>
    <s v="10. 컨텐츠 - 컨텐츠 개발"/>
    <s v="14. 컨텐츠 - 컨텐츠 개발"/>
    <s v="15. 컨텐츠 - 컨텐츠 개발"/>
    <m/>
    <n v="36000000"/>
    <n v="44545455"/>
    <n v="169288182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1팀"/>
    <s v="박정규"/>
    <s v="기업교육1팀"/>
    <x v="0"/>
    <m/>
    <m/>
    <s v="한국건설엔지니어링협회"/>
    <m/>
    <m/>
    <n v="26318"/>
    <s v="05 공공"/>
    <s v="04 연장"/>
    <s v="03 휴넷 LMS"/>
    <s v="14. 솔루션 - 맞춤형 LABS"/>
    <s v="15. 솔루션 - LABS"/>
    <s v="16. 솔루션 - LABS"/>
    <m/>
    <n v="711692000"/>
    <n v="687100909"/>
    <n v="643658000"/>
    <m/>
    <s v="01 확정"/>
    <x v="0"/>
    <m/>
    <m/>
    <n v="674110000"/>
    <n v="674110000"/>
    <n v="0"/>
    <n v="60000000"/>
    <n v="79810000"/>
    <m/>
    <n v="50000000"/>
    <n v="64850000"/>
    <m/>
    <n v="53700000"/>
    <n v="69420000"/>
    <m/>
    <n v="40030000"/>
    <m/>
    <n v="60000000"/>
    <m/>
    <n v="50000000"/>
    <m/>
    <n v="60000000"/>
    <m/>
    <n v="50000000"/>
    <m/>
    <n v="60000000"/>
    <m/>
    <n v="50000000"/>
    <m/>
    <n v="50000000"/>
    <m/>
    <n v="40000000"/>
    <m/>
  </r>
  <r>
    <n v="108"/>
    <s v="기업교육3팀"/>
    <s v="서정용"/>
    <m/>
    <m/>
    <s v="기업교육1팀"/>
    <x v="0"/>
    <m/>
    <m/>
    <s v="한국미래소재"/>
    <m/>
    <m/>
    <n v="65860"/>
    <m/>
    <s v="03 신규"/>
    <s v="03 휴넷 LMS"/>
    <m/>
    <m/>
    <s v="02. 이러닝 - 단과"/>
    <s v="O"/>
    <m/>
    <m/>
    <n v="0"/>
    <m/>
    <m/>
    <x v="0"/>
    <m/>
    <m/>
    <n v="3221500"/>
    <n v="3221500"/>
    <n v="0"/>
    <m/>
    <n v="118000"/>
    <m/>
    <m/>
    <m/>
    <m/>
    <n v="159000"/>
    <n v="159000"/>
    <m/>
    <n v="544500"/>
    <m/>
    <n v="300000"/>
    <m/>
    <n v="300000"/>
    <m/>
    <n v="300000"/>
    <m/>
    <n v="300000"/>
    <m/>
    <n v="300000"/>
    <m/>
    <n v="300000"/>
    <m/>
    <n v="300000"/>
    <m/>
    <n v="300000"/>
    <m/>
  </r>
  <r>
    <n v="109"/>
    <m/>
    <m/>
    <s v="기업교육1팀"/>
    <s v="박정규"/>
    <s v="기업교육1팀"/>
    <x v="0"/>
    <m/>
    <m/>
    <s v="한국미래소재"/>
    <m/>
    <m/>
    <n v="61984"/>
    <m/>
    <m/>
    <m/>
    <m/>
    <s v="02. 이러닝 - 단과"/>
    <s v="02. 이러닝 - 단과"/>
    <m/>
    <m/>
    <m/>
    <n v="2014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m/>
    <m/>
    <s v="기업교육1팀"/>
    <x v="0"/>
    <m/>
    <m/>
    <s v="한국병원약사회"/>
    <m/>
    <m/>
    <n v="9602"/>
    <m/>
    <m/>
    <m/>
    <m/>
    <m/>
    <s v="15. 컨텐츠 - 컨텐츠 개발"/>
    <m/>
    <m/>
    <m/>
    <n v="87500000"/>
    <m/>
    <m/>
    <x v="0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11"/>
    <m/>
    <m/>
    <m/>
    <m/>
    <s v="기업교육1팀"/>
    <x v="0"/>
    <m/>
    <m/>
    <s v="한국병원약사회_A25"/>
    <m/>
    <m/>
    <n v="63298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1. 온라인 - 단과"/>
    <s v="02. 이러닝 - 단과"/>
    <s v="02. 이러닝 - 단과"/>
    <m/>
    <n v="4018000"/>
    <n v="616000"/>
    <n v="8272000"/>
    <m/>
    <s v="01 확정"/>
    <x v="0"/>
    <m/>
    <m/>
    <n v="9724000"/>
    <n v="9724000"/>
    <n v="0"/>
    <m/>
    <m/>
    <m/>
    <m/>
    <m/>
    <m/>
    <n v="7724000"/>
    <n v="7724000"/>
    <m/>
    <m/>
    <m/>
    <m/>
    <m/>
    <m/>
    <m/>
    <m/>
    <m/>
    <m/>
    <m/>
    <m/>
    <m/>
    <n v="2000000"/>
    <m/>
    <m/>
    <m/>
    <m/>
    <m/>
  </r>
  <r>
    <n v="113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3. 온라인 - 마이크로러닝"/>
    <s v="04. 이러닝 - 마이크로러닝"/>
    <s v="04. 이러닝 - 마이크로러닝"/>
    <m/>
    <n v="78000000"/>
    <n v="78000000"/>
    <n v="78000000"/>
    <m/>
    <s v="01 확정"/>
    <x v="0"/>
    <m/>
    <m/>
    <n v="78000000"/>
    <n v="78000000"/>
    <n v="0"/>
    <n v="6500000"/>
    <n v="6500000"/>
    <m/>
    <n v="6500000"/>
    <n v="6500000"/>
    <m/>
    <n v="6500000"/>
    <n v="650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114"/>
    <m/>
    <m/>
    <s v="기업교육1팀"/>
    <s v="박정규"/>
    <s v="기업교육1팀"/>
    <x v="0"/>
    <m/>
    <m/>
    <s v="한라엔컴"/>
    <m/>
    <m/>
    <n v="15109"/>
    <s v="02 1001~2000대"/>
    <s v="04 연장"/>
    <s v="03 휴넷 LMS"/>
    <s v="2. 온라인 - 법정"/>
    <s v="03. 이러닝 - 법정"/>
    <s v="03. 이러닝 - 법정"/>
    <m/>
    <n v="8500000"/>
    <n v="8863000"/>
    <n v="9099000"/>
    <m/>
    <s v="01 확정"/>
    <x v="0"/>
    <m/>
    <m/>
    <n v="10380000"/>
    <n v="10380000"/>
    <n v="0"/>
    <m/>
    <m/>
    <m/>
    <m/>
    <m/>
    <m/>
    <n v="2880000"/>
    <n v="2880000"/>
    <m/>
    <m/>
    <m/>
    <m/>
    <m/>
    <m/>
    <m/>
    <n v="2000000"/>
    <m/>
    <m/>
    <m/>
    <m/>
    <m/>
    <n v="3000000"/>
    <m/>
    <m/>
    <m/>
    <n v="2500000"/>
    <m/>
  </r>
  <r>
    <n v="115"/>
    <m/>
    <m/>
    <s v="기업교육1팀"/>
    <s v="박정규"/>
    <s v="기업교육1팀"/>
    <x v="0"/>
    <m/>
    <m/>
    <s v="한라인재개발원"/>
    <m/>
    <m/>
    <n v="16408"/>
    <s v="01 1~1000대"/>
    <m/>
    <m/>
    <s v="1. 온라인 - 단과"/>
    <s v="01. 이러닝 - 통합위탁"/>
    <s v="01. 이러닝 - 통합위탁"/>
    <m/>
    <n v="126890333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1팀"/>
    <s v="이재성"/>
    <s v="기업교육1팀"/>
    <x v="1"/>
    <m/>
    <m/>
    <s v="KCC글라스"/>
    <m/>
    <m/>
    <n v="12080"/>
    <s v="01 1~1000대"/>
    <s v="03 신규"/>
    <s v="03 휴넷 LMS"/>
    <s v="1. 온라인 - 단과"/>
    <s v="01. 이러닝 - 통합위탁"/>
    <s v="01. 이러닝 - 통합위탁"/>
    <s v="O"/>
    <s v=""/>
    <n v="0"/>
    <n v="127496280"/>
    <m/>
    <s v="01 확정"/>
    <x v="0"/>
    <m/>
    <m/>
    <n v="115815046"/>
    <n v="115815046"/>
    <n v="0"/>
    <m/>
    <m/>
    <s v="12월 교육비 활성화비로 차감"/>
    <n v="8000000"/>
    <n v="819926"/>
    <m/>
    <n v="4990000"/>
    <n v="4995120"/>
    <m/>
    <n v="9000000"/>
    <m/>
    <n v="12000000"/>
    <m/>
    <n v="12000000"/>
    <m/>
    <n v="12000000"/>
    <m/>
    <n v="12000000"/>
    <m/>
    <n v="12000000"/>
    <m/>
    <n v="12000000"/>
    <m/>
    <n v="15000000"/>
    <m/>
    <n v="14000000"/>
    <m/>
  </r>
  <r>
    <n v="117"/>
    <m/>
    <m/>
    <s v="기업교육1팀"/>
    <s v="이재성"/>
    <s v="기업교육1팀"/>
    <x v="1"/>
    <m/>
    <m/>
    <s v="LH(한국토지주택공사)"/>
    <m/>
    <m/>
    <n v="3708"/>
    <s v="05 공공"/>
    <s v="01 수성"/>
    <m/>
    <s v="1. 온라인 - 단과"/>
    <s v="02. 이러닝 - 단과"/>
    <s v="02. 이러닝 - 단과"/>
    <m/>
    <n v="84791494"/>
    <n v="0"/>
    <n v="0"/>
    <m/>
    <s v="02 가망"/>
    <x v="0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m/>
    <m/>
    <n v="100000000"/>
    <m/>
  </r>
  <r>
    <n v="118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11. 컨텐츠 - 컨텐츠 임대/판매"/>
    <s v="07. 이러닝 - 컨텐츠 임대/판매"/>
    <s v="07. 이러닝 - 컨텐츠 임대/판매"/>
    <m/>
    <m/>
    <n v="148595000"/>
    <n v="21995300"/>
    <m/>
    <s v="01 확정"/>
    <x v="0"/>
    <m/>
    <m/>
    <n v="21595000"/>
    <n v="21595000"/>
    <n v="0"/>
    <m/>
    <n v="7945000"/>
    <m/>
    <m/>
    <n v="6195000"/>
    <m/>
    <m/>
    <n v="7455000"/>
    <m/>
    <m/>
    <m/>
    <m/>
    <m/>
    <m/>
    <m/>
    <m/>
    <m/>
    <m/>
    <m/>
    <m/>
    <m/>
    <m/>
    <m/>
    <m/>
    <m/>
    <m/>
    <m/>
  </r>
  <r>
    <n v="119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6344999.999999998"/>
    <n v="24210000"/>
    <n v="7030000"/>
    <m/>
    <s v="02 가망"/>
    <x v="4"/>
    <m/>
    <m/>
    <n v="26000000"/>
    <n v="26000000"/>
    <n v="0"/>
    <m/>
    <m/>
    <m/>
    <m/>
    <m/>
    <m/>
    <m/>
    <m/>
    <m/>
    <m/>
    <m/>
    <m/>
    <m/>
    <m/>
    <m/>
    <m/>
    <m/>
    <m/>
    <m/>
    <n v="13000000"/>
    <m/>
    <n v="13000000"/>
    <m/>
    <m/>
    <m/>
    <m/>
    <m/>
  </r>
  <r>
    <n v="120"/>
    <m/>
    <m/>
    <s v="기업교육1팀"/>
    <s v="이재성"/>
    <s v="기업교육1팀"/>
    <x v="1"/>
    <m/>
    <m/>
    <s v="LH분쟁조정위원회"/>
    <m/>
    <m/>
    <n v="29192"/>
    <s v="05 공공"/>
    <s v="01 수성"/>
    <m/>
    <s v="10. 컨텐츠 - 컨텐츠 개발"/>
    <s v="14. 컨텐츠 - 컨텐츠 개발"/>
    <s v="15. 컨텐츠 - 컨텐츠 개발"/>
    <m/>
    <m/>
    <n v="50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21"/>
    <m/>
    <m/>
    <s v="기업교육1팀"/>
    <s v="이재성"/>
    <s v="기업교육1팀"/>
    <x v="1"/>
    <m/>
    <m/>
    <s v="LH주거복지정보"/>
    <m/>
    <m/>
    <n v="40006"/>
    <s v="05 공공"/>
    <m/>
    <s v="01 자체 LMS"/>
    <s v="6. 하이브리드러닝 - 집합형"/>
    <s v="08. 하이브리드러닝 - 하이브리드형 러닝"/>
    <s v="08. 하이브리드러닝 - 하이브리드형 러닝"/>
    <m/>
    <n v="4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31. B2C - 일반과정"/>
    <s v="02. 이러닝 - 단과"/>
    <s v="02. 이러닝 - 단과"/>
    <m/>
    <m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m/>
    <s v="14. 솔루션 - 맞춤형 LABS"/>
    <s v="15. 솔루션 - LABS"/>
    <s v="16. 솔루션 - LABS"/>
    <m/>
    <n v="1951099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24. 운영 - 운영매출"/>
    <s v="19. 운영 - 운영매출"/>
    <s v="20. 운영 - 운영매출"/>
    <m/>
    <n v="20066109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1팀"/>
    <s v="장현아"/>
    <s v="기업교육1팀"/>
    <x v="1"/>
    <m/>
    <m/>
    <s v="LH중앙공동주택관리지원센터 (24년 과업)"/>
    <m/>
    <m/>
    <n v="29192"/>
    <s v="05 공공"/>
    <s v="04 연장"/>
    <s v="03 휴넷 LMS"/>
    <s v="31. B2C - 일반과정"/>
    <s v="02. 이러닝 - 단과"/>
    <s v="02. 이러닝 - 단과"/>
    <m/>
    <m/>
    <n v="0"/>
    <n v="78875175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6"/>
    <m/>
    <m/>
    <s v="기업교육1팀"/>
    <s v="이재성"/>
    <s v="기업교육1팀"/>
    <x v="1"/>
    <m/>
    <m/>
    <s v="LH중앙공동주택관리지원센터 (24년 과업)"/>
    <m/>
    <m/>
    <n v="29192"/>
    <s v="05 공공"/>
    <s v="04 연장"/>
    <s v="03 휴넷 LMS"/>
    <s v="24. 운영 - 운영매출"/>
    <s v="19. 운영 - 운영매출"/>
    <s v="20. 운영 - 운영매출"/>
    <m/>
    <m/>
    <n v="0"/>
    <n v="1308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1팀"/>
    <s v="이재성"/>
    <s v="기업교육1팀"/>
    <x v="1"/>
    <m/>
    <m/>
    <s v="LH중앙공동주택관리지원센터 (25년 과업)"/>
    <m/>
    <m/>
    <n v="29192"/>
    <s v="05 공공"/>
    <s v="01 수성"/>
    <s v="03 휴넷 LMS"/>
    <s v="24. 운영 - 운영매출"/>
    <s v="19. 운영 - 운영매출"/>
    <s v="20. 운영 - 운영매출"/>
    <m/>
    <m/>
    <n v="247470000"/>
    <n v="129670000"/>
    <m/>
    <s v="01 확정"/>
    <x v="0"/>
    <m/>
    <m/>
    <n v="130000000"/>
    <n v="130000000"/>
    <n v="0"/>
    <m/>
    <m/>
    <m/>
    <m/>
    <m/>
    <m/>
    <m/>
    <m/>
    <m/>
    <n v="65000000"/>
    <m/>
    <m/>
    <m/>
    <m/>
    <m/>
    <n v="65000000"/>
    <m/>
    <m/>
    <m/>
    <m/>
    <m/>
    <m/>
    <m/>
    <m/>
    <m/>
    <m/>
    <m/>
  </r>
  <r>
    <n v="128"/>
    <m/>
    <m/>
    <s v="기업교육1팀"/>
    <s v="이재성"/>
    <s v="기업교육1팀"/>
    <x v="1"/>
    <m/>
    <m/>
    <s v="LH중앙공동주택관리지원센터 (26년 과업)"/>
    <m/>
    <m/>
    <n v="29192"/>
    <s v="05 공공"/>
    <s v="01 수성"/>
    <s v="03 휴넷 LMS"/>
    <m/>
    <s v="19. 운영 - 운영매출"/>
    <s v="20. 운영 - 운영매출"/>
    <m/>
    <m/>
    <m/>
    <n v="0"/>
    <m/>
    <m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n v="65000000"/>
    <m/>
    <m/>
    <m/>
    <n v="65000000"/>
    <m/>
  </r>
  <r>
    <n v="129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통합위탁"/>
    <s v="01. 이러닝 - 통합위탁"/>
    <s v="01. 이러닝 - 통합위탁"/>
    <m/>
    <n v="86916000"/>
    <n v="67284000"/>
    <n v="0"/>
    <m/>
    <s v="04 실주"/>
    <x v="0"/>
    <m/>
    <m/>
    <n v="59053500"/>
    <n v="59053500"/>
    <n v="0"/>
    <m/>
    <m/>
    <m/>
    <n v="5400000"/>
    <n v="5233500"/>
    <m/>
    <n v="10800000"/>
    <n v="5220000"/>
    <m/>
    <n v="5400000"/>
    <m/>
    <n v="5400000"/>
    <m/>
    <n v="5400000"/>
    <m/>
    <n v="5400000"/>
    <m/>
    <n v="5400000"/>
    <m/>
    <n v="5400000"/>
    <m/>
    <n v="5400000"/>
    <m/>
    <n v="5400000"/>
    <m/>
    <n v="5400000"/>
    <m/>
  </r>
  <r>
    <n v="130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2. 온라인 - 법정"/>
    <s v="03. 이러닝 - 법정"/>
    <s v="03. 이러닝 - 법정"/>
    <m/>
    <n v="19645000"/>
    <n v="19491000"/>
    <n v="1107000"/>
    <m/>
    <s v="04 실주"/>
    <x v="0"/>
    <m/>
    <m/>
    <n v="26740000"/>
    <n v="26740000"/>
    <n v="0"/>
    <m/>
    <m/>
    <m/>
    <m/>
    <m/>
    <m/>
    <m/>
    <m/>
    <m/>
    <m/>
    <m/>
    <m/>
    <m/>
    <n v="13370000"/>
    <m/>
    <m/>
    <m/>
    <m/>
    <m/>
    <m/>
    <m/>
    <m/>
    <m/>
    <m/>
    <m/>
    <n v="13370000"/>
    <m/>
  </r>
  <r>
    <n v="131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6. 하이브리드러닝 - 집합형"/>
    <s v="09. 하이브리드러닝 - 순수 오프라인"/>
    <s v="09. 하이브리드러닝 - 순수 오프라인"/>
    <m/>
    <m/>
    <n v="32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2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36. 기타 - 기타"/>
    <s v="25. 기타 - 기타"/>
    <s v="24. 기타 - 기타"/>
    <m/>
    <m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1팀"/>
    <s v="이재성"/>
    <s v="기업교육1팀"/>
    <x v="1"/>
    <m/>
    <m/>
    <s v="가온종합건설"/>
    <m/>
    <m/>
    <n v="59912"/>
    <s v="01 1~1000대"/>
    <s v="04 연장"/>
    <s v="03 휴넷 LMS"/>
    <s v="2. 온라인 - 법정"/>
    <s v="03. 이러닝 - 법정"/>
    <s v="03. 이러닝 - 법정"/>
    <m/>
    <m/>
    <n v="28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1팀"/>
    <s v="이재성"/>
    <s v="기업교육1팀"/>
    <x v="1"/>
    <m/>
    <m/>
    <s v="가톨릭관동대학교 국제성모병원"/>
    <m/>
    <m/>
    <n v="17964"/>
    <s v="04 3000대 이후"/>
    <s v="01 수성"/>
    <s v="03 휴넷 LMS"/>
    <s v="2. 온라인 - 법정"/>
    <s v="03. 이러닝 - 법정"/>
    <s v="03. 이러닝 - 법정"/>
    <m/>
    <n v="8300000"/>
    <n v="8300000"/>
    <n v="9252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5"/>
    <m/>
    <m/>
    <s v="기업교육1팀"/>
    <s v="이재성"/>
    <s v="기업교육1팀"/>
    <x v="1"/>
    <m/>
    <m/>
    <s v="가톨릭관동대학교 의료기술협력단"/>
    <m/>
    <m/>
    <n v="58453"/>
    <s v="01 1~1000대"/>
    <s v="01 수성"/>
    <s v="03 휴넷 LMS"/>
    <s v="2. 온라인 - 법정"/>
    <s v="03. 이러닝 - 법정"/>
    <s v="03. 이러닝 - 법정"/>
    <m/>
    <n v="515000"/>
    <n v="33500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6"/>
    <m/>
    <m/>
    <s v="기업교육1팀"/>
    <s v="이재성"/>
    <s v="기업교육1팀"/>
    <x v="1"/>
    <m/>
    <m/>
    <s v="가톨릭대학교 산학협력단(안전보건)"/>
    <m/>
    <m/>
    <n v="63339"/>
    <s v="04 3000대 이후"/>
    <s v="03 신규"/>
    <s v="03 휴넷 LMS"/>
    <m/>
    <s v="03. 이러닝 - 법정"/>
    <s v="03. 이러닝 - 법정"/>
    <m/>
    <m/>
    <n v="0"/>
    <n v="56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7"/>
    <m/>
    <m/>
    <m/>
    <m/>
    <s v="기업교육1팀"/>
    <x v="1"/>
    <m/>
    <m/>
    <s v="가톨릭대학교서울성모병원"/>
    <m/>
    <m/>
    <n v="8714"/>
    <m/>
    <m/>
    <m/>
    <m/>
    <m/>
    <s v="03. 이러닝 - 법정"/>
    <m/>
    <m/>
    <m/>
    <n v="19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1팀"/>
    <s v="이재성"/>
    <s v="기업교육1팀"/>
    <x v="1"/>
    <m/>
    <m/>
    <s v="가톨릭대학교서울성모병원"/>
    <m/>
    <m/>
    <n v="8714"/>
    <s v="04 3000대 이후"/>
    <s v="01 수성"/>
    <s v="03 휴넷 LMS"/>
    <s v="10. 컨텐츠 - 컨텐츠 개발"/>
    <s v="14. 컨텐츠 - 컨텐츠 개발"/>
    <s v="15. 컨텐츠 - 컨텐츠 개발"/>
    <m/>
    <n v="21000000"/>
    <n v="12000000"/>
    <n v="17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139"/>
    <m/>
    <m/>
    <s v="기업교육1팀"/>
    <s v="이재성"/>
    <s v="기업교육1팀"/>
    <x v="1"/>
    <m/>
    <m/>
    <s v="가톨릭대학교인천성모병원"/>
    <m/>
    <m/>
    <n v="16390"/>
    <s v="04 3000대 이후"/>
    <s v="01 수성"/>
    <s v="03 휴넷 LMS"/>
    <s v="2. 온라인 - 법정"/>
    <s v="03. 이러닝 - 법정"/>
    <s v="03. 이러닝 - 법정"/>
    <m/>
    <n v="11600000"/>
    <n v="11600000"/>
    <n v="130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40"/>
    <m/>
    <m/>
    <s v="기업교육1팀"/>
    <s v="이재성"/>
    <s v="기업교육1팀"/>
    <x v="1"/>
    <m/>
    <m/>
    <s v="가톨릭중앙의료원"/>
    <m/>
    <m/>
    <n v="7653"/>
    <s v="04 3000대 이후"/>
    <s v="04 연장"/>
    <s v="03 휴넷 LMS"/>
    <s v="통합위탁"/>
    <s v="01. 이러닝 - 통합위탁"/>
    <s v="01. 이러닝 - 통합위탁"/>
    <m/>
    <n v="81144000"/>
    <n v="88818182"/>
    <n v="84800000"/>
    <m/>
    <s v="01 확정"/>
    <x v="0"/>
    <m/>
    <m/>
    <n v="84500000"/>
    <n v="84500000"/>
    <n v="0"/>
    <m/>
    <m/>
    <m/>
    <n v="42000000"/>
    <n v="42500000"/>
    <m/>
    <m/>
    <m/>
    <m/>
    <m/>
    <m/>
    <n v="42000000"/>
    <m/>
    <m/>
    <m/>
    <m/>
    <m/>
    <m/>
    <m/>
    <m/>
    <m/>
    <m/>
    <m/>
    <m/>
    <m/>
    <m/>
    <m/>
  </r>
  <r>
    <n v="141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m/>
    <m/>
    <s v="03. 이러닝 - 법정"/>
    <m/>
    <m/>
    <m/>
    <n v="0"/>
    <m/>
    <m/>
    <x v="0"/>
    <m/>
    <m/>
    <n v="51974500"/>
    <n v="51974500"/>
    <n v="0"/>
    <m/>
    <n v="212500"/>
    <m/>
    <m/>
    <m/>
    <m/>
    <m/>
    <n v="1962000"/>
    <m/>
    <m/>
    <m/>
    <m/>
    <m/>
    <n v="25000000"/>
    <m/>
    <m/>
    <m/>
    <m/>
    <m/>
    <m/>
    <m/>
    <m/>
    <m/>
    <m/>
    <m/>
    <n v="24800000"/>
    <m/>
  </r>
  <r>
    <n v="142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s v="10. 컨텐츠 - 컨텐츠 개발"/>
    <s v="14. 컨텐츠 - 컨텐츠 개발"/>
    <s v="15. 컨텐츠 - 컨텐츠 개발"/>
    <m/>
    <n v="10000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43"/>
    <m/>
    <m/>
    <m/>
    <m/>
    <s v="기업교육1팀"/>
    <x v="1"/>
    <m/>
    <m/>
    <s v="관세인재개발원"/>
    <m/>
    <m/>
    <n v="42659"/>
    <m/>
    <m/>
    <m/>
    <m/>
    <m/>
    <s v="07. 이러닝 - 컨텐츠 임대/판매"/>
    <m/>
    <m/>
    <m/>
    <n v="19818182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4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145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46"/>
    <m/>
    <m/>
    <s v="기업교육1팀"/>
    <s v="이재성"/>
    <s v="기업교육1팀"/>
    <x v="1"/>
    <m/>
    <m/>
    <s v="관세인재개발원"/>
    <m/>
    <m/>
    <n v="42659"/>
    <s v="05 공공"/>
    <s v="01 수성"/>
    <m/>
    <s v="36. 기타 - 기타"/>
    <s v="25. 기타 - 기타"/>
    <s v="24. 기타 - 기타"/>
    <m/>
    <m/>
    <n v="12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7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통합위탁"/>
    <s v="01. 이러닝 - 통합위탁"/>
    <s v="01. 이러닝 - 통합위탁"/>
    <m/>
    <n v="77364942"/>
    <n v="64629700"/>
    <n v="78937727"/>
    <m/>
    <s v="01 확정"/>
    <x v="0"/>
    <m/>
    <m/>
    <n v="72000000"/>
    <n v="72000000"/>
    <n v="0"/>
    <m/>
    <m/>
    <m/>
    <m/>
    <m/>
    <m/>
    <m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</r>
  <r>
    <n v="148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2. 온라인 - 법정"/>
    <s v="03. 이러닝 - 법정"/>
    <s v="03. 이러닝 - 법정"/>
    <m/>
    <m/>
    <n v="18000000"/>
    <n v="1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m/>
    <m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m/>
    <m/>
    <n v="0"/>
    <m/>
    <m/>
    <x v="0"/>
    <m/>
    <m/>
    <n v="19295455"/>
    <n v="19295455"/>
    <n v="0"/>
    <m/>
    <m/>
    <m/>
    <m/>
    <n v="19295455"/>
    <m/>
    <m/>
    <m/>
    <m/>
    <m/>
    <m/>
    <m/>
    <m/>
    <m/>
    <m/>
    <m/>
    <m/>
    <m/>
    <m/>
    <m/>
    <m/>
    <m/>
    <m/>
    <m/>
    <m/>
    <m/>
    <m/>
  </r>
  <r>
    <n v="150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n v="79545454"/>
    <n v="94018182"/>
    <n v="97522727"/>
    <m/>
    <s v="01 확정"/>
    <x v="0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151"/>
    <m/>
    <m/>
    <s v="기업교육1팀"/>
    <s v="이재성"/>
    <s v="기업교육1팀"/>
    <x v="1"/>
    <m/>
    <m/>
    <s v="국립암센터"/>
    <m/>
    <m/>
    <n v="11662"/>
    <s v="05 공공"/>
    <s v="01 수성"/>
    <s v="03 휴넷 LMS"/>
    <s v="10. 컨텐츠 - 컨텐츠 개발"/>
    <s v="14. 컨텐츠 - 컨텐츠 개발"/>
    <s v="15. 컨텐츠 - 컨텐츠 개발"/>
    <m/>
    <m/>
    <n v="9824787"/>
    <n v="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152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289090909"/>
    <m/>
    <s v="01 확정"/>
    <x v="0"/>
    <m/>
    <m/>
    <n v="19909091"/>
    <n v="19909091"/>
    <n v="0"/>
    <m/>
    <m/>
    <m/>
    <m/>
    <m/>
    <m/>
    <m/>
    <n v="19909091"/>
    <m/>
    <m/>
    <m/>
    <m/>
    <m/>
    <m/>
    <m/>
    <m/>
    <m/>
    <m/>
    <m/>
    <m/>
    <m/>
    <m/>
    <m/>
    <m/>
    <m/>
    <m/>
    <m/>
  </r>
  <r>
    <n v="153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0"/>
    <m/>
    <s v="01 확정"/>
    <x v="4"/>
    <m/>
    <m/>
    <n v="241000000"/>
    <n v="241000000"/>
    <n v="0"/>
    <m/>
    <m/>
    <m/>
    <m/>
    <m/>
    <m/>
    <m/>
    <m/>
    <m/>
    <m/>
    <m/>
    <n v="181000000"/>
    <m/>
    <m/>
    <m/>
    <m/>
    <m/>
    <m/>
    <m/>
    <m/>
    <m/>
    <m/>
    <m/>
    <m/>
    <m/>
    <n v="60000000"/>
    <m/>
  </r>
  <r>
    <n v="154"/>
    <m/>
    <m/>
    <s v="기업교육1팀"/>
    <s v="이재성"/>
    <s v="기업교육1팀"/>
    <x v="1"/>
    <m/>
    <m/>
    <s v="그레이터스(한전KPS프로젝트)"/>
    <m/>
    <m/>
    <n v="59283"/>
    <s v="01 1~1000대"/>
    <s v="02 윈백"/>
    <m/>
    <s v="2. 온라인 - 법정"/>
    <s v="03. 이러닝 - 법정"/>
    <s v="03. 이러닝 - 법정"/>
    <m/>
    <n v="2592000"/>
    <n v="0"/>
    <n v="0"/>
    <m/>
    <s v="07 2023년 매출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55"/>
    <m/>
    <m/>
    <s v="기업교육1팀"/>
    <s v="이재성"/>
    <s v="기업교육1팀"/>
    <x v="1"/>
    <m/>
    <m/>
    <s v="글로벌알앤씨(한전KPS정산용)"/>
    <m/>
    <m/>
    <n v="58204"/>
    <s v="01 1~1000대"/>
    <s v="02 윈백"/>
    <m/>
    <s v="10. 컨텐츠 - 컨텐츠 개발"/>
    <s v="14. 컨텐츠 - 컨텐츠 개발"/>
    <s v="15. 컨텐츠 - 컨텐츠 개발"/>
    <m/>
    <n v="2000000"/>
    <n v="0"/>
    <n v="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1팀"/>
    <s v="이재성"/>
    <s v="기업교육1팀"/>
    <x v="1"/>
    <m/>
    <m/>
    <s v="바텍이우홀딩스"/>
    <m/>
    <m/>
    <n v="17400"/>
    <m/>
    <m/>
    <m/>
    <s v="6. 하이브리드러닝 - 집합형"/>
    <s v="08. 하이브리드러닝 - 하이브리드형 러닝"/>
    <s v="08. 하이브리드러닝 - 하이브리드형 러닝"/>
    <m/>
    <m/>
    <n v="78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4팀"/>
    <s v="김성경"/>
    <s v="기업교육1팀"/>
    <x v="1"/>
    <m/>
    <m/>
    <s v="삼성디스플레이"/>
    <m/>
    <m/>
    <n v="16117"/>
    <s v="01 1~1000대"/>
    <s v="04 연장"/>
    <s v="03 휴넷 LMS"/>
    <s v="1. 온라인 - 단과"/>
    <s v="01. 이러닝 - 통합위탁"/>
    <s v="01. 이러닝 - 통합위탁"/>
    <m/>
    <m/>
    <n v="80160000"/>
    <n v="80160000"/>
    <m/>
    <s v="01 확정"/>
    <x v="0"/>
    <m/>
    <m/>
    <n v="79040000"/>
    <n v="79040000"/>
    <n v="0"/>
    <n v="7000000"/>
    <n v="6680000"/>
    <m/>
    <n v="7000000"/>
    <n v="6680000"/>
    <m/>
    <n v="6680000"/>
    <n v="6680000"/>
    <m/>
    <n v="7000000"/>
    <m/>
    <n v="7000000"/>
    <m/>
    <n v="7000000"/>
    <m/>
    <n v="7000000"/>
    <m/>
    <n v="7000000"/>
    <m/>
    <n v="7000000"/>
    <m/>
    <n v="7000000"/>
    <m/>
    <n v="7000000"/>
    <m/>
    <n v="3000000"/>
    <m/>
  </r>
  <r>
    <n v="158"/>
    <m/>
    <m/>
    <s v="기업교육1팀"/>
    <s v="이재성"/>
    <s v="기업교육1팀"/>
    <x v="1"/>
    <m/>
    <m/>
    <s v="삼성디스플레이"/>
    <m/>
    <m/>
    <n v="16117"/>
    <s v="01 1~1000대"/>
    <s v="01 수성"/>
    <s v="03 휴넷 LMS"/>
    <s v="6. 하이브리드러닝 - 집합형"/>
    <s v="09. 하이브리드러닝 - 순수 오프라인"/>
    <s v="09. 하이브리드러닝 - 순수 오프라인"/>
    <m/>
    <n v="500000"/>
    <n v="1500000"/>
    <n v="800000"/>
    <m/>
    <s v="01 확정"/>
    <x v="4"/>
    <m/>
    <m/>
    <n v="2000000"/>
    <n v="2000000"/>
    <n v="0"/>
    <m/>
    <m/>
    <m/>
    <m/>
    <m/>
    <m/>
    <m/>
    <m/>
    <m/>
    <m/>
    <m/>
    <n v="1000000"/>
    <m/>
    <m/>
    <m/>
    <m/>
    <m/>
    <m/>
    <m/>
    <m/>
    <m/>
    <n v="1000000"/>
    <m/>
    <m/>
    <m/>
    <m/>
    <m/>
  </r>
  <r>
    <n v="159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0"/>
    <m/>
    <m/>
    <n v="900000"/>
    <n v="900000"/>
    <n v="0"/>
    <m/>
    <m/>
    <m/>
    <m/>
    <m/>
    <m/>
    <m/>
    <m/>
    <m/>
    <n v="900000"/>
    <m/>
    <m/>
    <m/>
    <m/>
    <m/>
    <m/>
    <m/>
    <m/>
    <m/>
    <m/>
    <m/>
    <m/>
    <m/>
    <m/>
    <m/>
    <m/>
    <m/>
  </r>
  <r>
    <n v="160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n v="19000000"/>
    <n v="5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1팀"/>
    <s v="이재성"/>
    <s v="기업교육1팀"/>
    <x v="1"/>
    <m/>
    <m/>
    <s v="삼성전기"/>
    <m/>
    <m/>
    <n v="51"/>
    <s v="01 1~1000대"/>
    <s v="01 수성"/>
    <m/>
    <s v="6. 하이브리드러닝 - 집합형"/>
    <s v="09. 하이브리드러닝 - 순수 오프라인"/>
    <s v="09. 하이브리드러닝 - 순수 오프라인"/>
    <m/>
    <m/>
    <n v="4000000"/>
    <n v="1200000"/>
    <m/>
    <s v="02 가망"/>
    <x v="0"/>
    <m/>
    <m/>
    <n v="1050000"/>
    <n v="1050000"/>
    <n v="0"/>
    <m/>
    <m/>
    <m/>
    <n v="5000000"/>
    <n v="1050000"/>
    <m/>
    <m/>
    <m/>
    <m/>
    <m/>
    <m/>
    <m/>
    <m/>
    <m/>
    <m/>
    <m/>
    <m/>
    <m/>
    <m/>
    <m/>
    <m/>
    <m/>
    <m/>
    <m/>
    <m/>
    <m/>
    <m/>
  </r>
  <r>
    <n v="162"/>
    <m/>
    <m/>
    <s v="기업교육1팀"/>
    <s v="이재성"/>
    <s v="기업교육1팀"/>
    <x v="1"/>
    <m/>
    <m/>
    <s v="삼성전자로지텍"/>
    <m/>
    <m/>
    <n v="3808"/>
    <s v="01 1~1000대"/>
    <s v="02 윈백"/>
    <s v="03 휴넷 LMS"/>
    <m/>
    <s v="02. 이러닝 - 단과"/>
    <s v="02. 이러닝 - 단과"/>
    <m/>
    <n v="1342400"/>
    <n v="1391900"/>
    <n v="7779400"/>
    <m/>
    <s v="01 확정"/>
    <x v="0"/>
    <m/>
    <m/>
    <n v="10690100"/>
    <n v="10690100"/>
    <n v="0"/>
    <m/>
    <n v="1031450"/>
    <m/>
    <m/>
    <n v="482650"/>
    <m/>
    <n v="176000"/>
    <n v="29400"/>
    <s v="12월 일괄발행 협의"/>
    <m/>
    <m/>
    <m/>
    <m/>
    <m/>
    <m/>
    <m/>
    <m/>
    <m/>
    <m/>
    <m/>
    <m/>
    <m/>
    <m/>
    <m/>
    <m/>
    <n v="9146600"/>
    <m/>
  </r>
  <r>
    <n v="163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통합위탁"/>
    <s v="01. 이러닝 - 통합위탁"/>
    <s v="01. 이러닝 - 통합위탁"/>
    <m/>
    <n v="202382600"/>
    <n v="157061970"/>
    <n v="256480300"/>
    <m/>
    <s v="01 확정"/>
    <x v="5"/>
    <m/>
    <m/>
    <n v="-18000000"/>
    <n v="-18000000"/>
    <n v="0"/>
    <m/>
    <m/>
    <m/>
    <m/>
    <m/>
    <m/>
    <n v="-18000000"/>
    <n v="-18000000"/>
    <s v="25년 오발행 건"/>
    <m/>
    <m/>
    <m/>
    <m/>
    <m/>
    <m/>
    <m/>
    <m/>
    <m/>
    <m/>
    <m/>
    <m/>
    <m/>
    <m/>
    <m/>
    <m/>
    <m/>
    <m/>
  </r>
  <r>
    <n v="164"/>
    <m/>
    <m/>
    <s v="기업교육1팀"/>
    <s v="이재성"/>
    <s v="기업교육1팀"/>
    <x v="1"/>
    <m/>
    <m/>
    <s v="서울아산병원"/>
    <m/>
    <m/>
    <n v="2584"/>
    <s v="04 3000대 이후"/>
    <s v="01 수성"/>
    <m/>
    <s v="통합위탁"/>
    <s v="01. 이러닝 - 통합위탁"/>
    <s v="01. 이러닝 - 통합위탁"/>
    <m/>
    <m/>
    <n v="0"/>
    <n v="0"/>
    <m/>
    <s v="02 가망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2. 온라인 - 법정"/>
    <s v="03. 이러닝 - 법정"/>
    <s v="03. 이러닝 - 법정"/>
    <m/>
    <n v="37635000"/>
    <n v="68146000"/>
    <n v="34132000"/>
    <m/>
    <s v="01 확정"/>
    <x v="4"/>
    <m/>
    <m/>
    <n v="34000000"/>
    <n v="34000000"/>
    <n v="0"/>
    <m/>
    <m/>
    <m/>
    <m/>
    <m/>
    <m/>
    <m/>
    <m/>
    <m/>
    <m/>
    <m/>
    <m/>
    <m/>
    <m/>
    <m/>
    <n v="17000000"/>
    <m/>
    <m/>
    <m/>
    <m/>
    <m/>
    <m/>
    <m/>
    <m/>
    <m/>
    <n v="17000000"/>
    <m/>
  </r>
  <r>
    <n v="166"/>
    <m/>
    <m/>
    <s v="기업교육1팀"/>
    <s v="이재성"/>
    <s v="기업교육1팀"/>
    <x v="1"/>
    <m/>
    <m/>
    <s v="서울아산병원"/>
    <m/>
    <m/>
    <n v="2584"/>
    <s v="04 3000대 이후"/>
    <s v="01 수성"/>
    <m/>
    <s v="6. 하이브리드러닝 - 집합형"/>
    <s v="09. 하이브리드러닝 - 순수 오프라인"/>
    <s v="09. 하이브리드러닝 - 순수 오프라인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8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9"/>
    <m/>
    <m/>
    <s v="기업교육1팀"/>
    <s v="이재성"/>
    <s v="기업교육1팀"/>
    <x v="1"/>
    <m/>
    <m/>
    <s v="서울아산병원"/>
    <m/>
    <m/>
    <n v="2584"/>
    <s v="04 3000대 이후"/>
    <s v="01 수성"/>
    <m/>
    <s v="10. 컨텐츠 - 컨텐츠 개발"/>
    <s v="14. 컨텐츠 - 컨텐츠 개발"/>
    <s v="15. 컨텐츠 - 컨텐츠 개발"/>
    <m/>
    <n v="8000000"/>
    <n v="1150000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70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1"/>
    <m/>
    <m/>
    <s v="기업교육1팀"/>
    <s v="이재성"/>
    <s v="기업교육1팀"/>
    <x v="1"/>
    <m/>
    <m/>
    <s v="서울아산병원 내과"/>
    <m/>
    <m/>
    <n v="52015"/>
    <s v="04 3000대 이후"/>
    <s v="04 연장"/>
    <s v="03 휴넷 LMS"/>
    <m/>
    <m/>
    <s v="16. 솔루션 - LABS"/>
    <m/>
    <m/>
    <m/>
    <n v="0"/>
    <m/>
    <s v="01 확정"/>
    <x v="0"/>
    <m/>
    <m/>
    <n v="3605500"/>
    <n v="3605500"/>
    <n v="0"/>
    <m/>
    <n v="3605500"/>
    <m/>
    <m/>
    <m/>
    <m/>
    <m/>
    <m/>
    <m/>
    <m/>
    <m/>
    <m/>
    <m/>
    <m/>
    <m/>
    <m/>
    <m/>
    <m/>
    <m/>
    <m/>
    <m/>
    <m/>
    <m/>
    <m/>
    <m/>
    <m/>
    <m/>
  </r>
  <r>
    <n v="172"/>
    <m/>
    <m/>
    <s v="기업교육1팀"/>
    <s v="이재성"/>
    <s v="기업교육1팀"/>
    <x v="1"/>
    <m/>
    <m/>
    <s v="서울아산병원 임상연구보호센터"/>
    <m/>
    <m/>
    <n v="21047"/>
    <s v="04 3000대 이후"/>
    <s v="04 연장"/>
    <s v="03 휴넷 LMS"/>
    <s v="18. 솔루션 - 라이브클래스"/>
    <s v="17. 솔루션 - 기타"/>
    <s v="18. 솔루션 - 기타"/>
    <m/>
    <n v="19711500"/>
    <n v="23262500"/>
    <n v="20328000"/>
    <m/>
    <s v="01 확정"/>
    <x v="0"/>
    <m/>
    <m/>
    <n v="8415500"/>
    <n v="8415500"/>
    <n v="0"/>
    <m/>
    <m/>
    <m/>
    <m/>
    <m/>
    <m/>
    <n v="5000000"/>
    <m/>
    <s v="4월발행"/>
    <n v="3415500"/>
    <m/>
    <m/>
    <m/>
    <m/>
    <m/>
    <m/>
    <m/>
    <m/>
    <m/>
    <m/>
    <m/>
    <m/>
    <m/>
    <m/>
    <m/>
    <n v="5000000"/>
    <m/>
  </r>
  <r>
    <n v="173"/>
    <m/>
    <m/>
    <s v="기업교육1팀"/>
    <s v="이재성"/>
    <s v="기업교육1팀"/>
    <x v="1"/>
    <m/>
    <m/>
    <s v="스마일게이트"/>
    <m/>
    <m/>
    <n v="16207"/>
    <s v="01 1~1000대"/>
    <s v="04 연장"/>
    <s v="01 자체 LMS"/>
    <s v="통합위탁"/>
    <s v="01. 이러닝 - 통합위탁"/>
    <s v="01. 이러닝 - 통합위탁"/>
    <s v="O"/>
    <m/>
    <n v="112399340"/>
    <n v="95743600"/>
    <m/>
    <s v="01 확정"/>
    <x v="0"/>
    <m/>
    <m/>
    <n v="111017300"/>
    <n v="111017300"/>
    <n v="0"/>
    <n v="7000000"/>
    <n v="2610000"/>
    <m/>
    <n v="7000000"/>
    <n v="4044000"/>
    <m/>
    <n v="12000000"/>
    <n v="5363300"/>
    <m/>
    <n v="7000000"/>
    <m/>
    <n v="12000000"/>
    <m/>
    <n v="15000000"/>
    <m/>
    <n v="9000000"/>
    <m/>
    <n v="9000000"/>
    <m/>
    <n v="12000000"/>
    <m/>
    <n v="12000000"/>
    <m/>
    <n v="15000000"/>
    <m/>
    <n v="8000000"/>
    <m/>
  </r>
  <r>
    <n v="174"/>
    <m/>
    <m/>
    <s v="기업교육1팀"/>
    <s v="이재성"/>
    <s v="기업교육1팀"/>
    <x v="1"/>
    <m/>
    <m/>
    <s v="스마일게이트"/>
    <m/>
    <m/>
    <n v="16207"/>
    <s v="01 1~1000대"/>
    <s v="01 수성"/>
    <m/>
    <s v="2. 온라인 - 법정"/>
    <s v="03. 이러닝 - 법정"/>
    <s v="03. 이러닝 - 법정"/>
    <m/>
    <m/>
    <n v="11801000"/>
    <n v="16428000"/>
    <m/>
    <s v="01 확정"/>
    <x v="4"/>
    <m/>
    <m/>
    <n v="35000000"/>
    <n v="35000000"/>
    <n v="0"/>
    <m/>
    <m/>
    <m/>
    <m/>
    <m/>
    <m/>
    <m/>
    <m/>
    <m/>
    <m/>
    <m/>
    <n v="7000000"/>
    <m/>
    <m/>
    <m/>
    <m/>
    <m/>
    <n v="7000000"/>
    <m/>
    <m/>
    <m/>
    <n v="7000000"/>
    <m/>
    <n v="7000000"/>
    <m/>
    <n v="7000000"/>
    <m/>
  </r>
  <r>
    <n v="175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6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7"/>
    <m/>
    <m/>
    <s v="기업교육1팀"/>
    <s v="이재성"/>
    <s v="기업교육1팀"/>
    <x v="1"/>
    <m/>
    <m/>
    <s v="스마일게이트"/>
    <m/>
    <m/>
    <n v="16207"/>
    <s v="01 1~1000대"/>
    <s v="01 수성"/>
    <m/>
    <s v="10. 컨텐츠 - 컨텐츠 개발"/>
    <s v="14. 컨텐츠 - 컨텐츠 개발"/>
    <s v="15. 컨텐츠 - 컨텐츠 개발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178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9"/>
    <m/>
    <m/>
    <s v="기업교육1팀"/>
    <s v="이재성"/>
    <s v="기업교육1팀"/>
    <x v="1"/>
    <m/>
    <m/>
    <s v="에스케이티엔에스"/>
    <m/>
    <m/>
    <n v="44105"/>
    <s v="03 2001~3000대"/>
    <s v="04 연장"/>
    <s v="01 자체 LMS"/>
    <s v="통합위탁"/>
    <s v="01. 이러닝 - 통합위탁"/>
    <s v="01. 이러닝 - 통합위탁"/>
    <s v="O"/>
    <n v="63722690"/>
    <n v="117411914"/>
    <n v="78526300"/>
    <m/>
    <s v="01 확정"/>
    <x v="0"/>
    <m/>
    <m/>
    <n v="104222300"/>
    <n v="104222300"/>
    <n v="0"/>
    <m/>
    <n v="10944300"/>
    <m/>
    <n v="5000000"/>
    <n v="4322300"/>
    <m/>
    <n v="5000000"/>
    <n v="3955700"/>
    <m/>
    <n v="5000000"/>
    <m/>
    <n v="5000000"/>
    <m/>
    <n v="15000000"/>
    <s v="AI Ready Leadership 온라인"/>
    <n v="7000000"/>
    <m/>
    <n v="9000000"/>
    <m/>
    <n v="10000000"/>
    <m/>
    <n v="10000000"/>
    <m/>
    <n v="10000000"/>
    <m/>
    <n v="14000000"/>
    <m/>
  </r>
  <r>
    <n v="180"/>
    <m/>
    <m/>
    <s v="기업교육1팀"/>
    <s v="이재성"/>
    <s v="기업교육1팀"/>
    <x v="1"/>
    <m/>
    <m/>
    <s v="에스케이티엔에스"/>
    <m/>
    <m/>
    <n v="44105"/>
    <s v="03 2001~3000대"/>
    <s v="01 수성"/>
    <m/>
    <m/>
    <s v="08. 하이브리드러닝 - 하이브리드형 러닝"/>
    <s v="08. 하이브리드러닝 - 하이브리드형 러닝"/>
    <m/>
    <m/>
    <n v="0"/>
    <n v="31677760"/>
    <m/>
    <s v="02 가망"/>
    <x v="4"/>
    <m/>
    <m/>
    <n v="32000000"/>
    <n v="32000000"/>
    <n v="0"/>
    <m/>
    <m/>
    <m/>
    <m/>
    <m/>
    <m/>
    <m/>
    <m/>
    <m/>
    <n v="12000000"/>
    <m/>
    <n v="5000000"/>
    <m/>
    <m/>
    <m/>
    <m/>
    <m/>
    <n v="5000000"/>
    <m/>
    <m/>
    <m/>
    <m/>
    <m/>
    <n v="10000000"/>
    <m/>
    <m/>
    <m/>
  </r>
  <r>
    <n v="181"/>
    <m/>
    <m/>
    <s v="기업교육1팀"/>
    <s v="이재성"/>
    <s v="기업교육1팀"/>
    <x v="1"/>
    <m/>
    <m/>
    <s v="에스케이티엔에스"/>
    <m/>
    <m/>
    <n v="44105"/>
    <s v="03 2001~3000대"/>
    <s v="01 수성"/>
    <s v="01 자체 LMS"/>
    <s v="6. 하이브리드러닝 - 집합형"/>
    <s v="08. 하이브리드러닝 - 하이브리드형 러닝"/>
    <s v="08. 하이브리드러닝 - 하이브리드형 러닝"/>
    <m/>
    <n v="25820000"/>
    <n v="64195455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1팀"/>
    <s v="이재성"/>
    <s v="기업교육1팀"/>
    <x v="1"/>
    <m/>
    <m/>
    <s v="우체국물류지원단"/>
    <m/>
    <m/>
    <n v="15633"/>
    <s v="05 공공"/>
    <s v="01 수성"/>
    <m/>
    <s v="2. 온라인 - 법정"/>
    <s v="03. 이러닝 - 법정"/>
    <s v="03. 이러닝 - 법정"/>
    <m/>
    <n v="408000"/>
    <n v="2072000"/>
    <n v="209200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83"/>
    <m/>
    <m/>
    <s v="기업교육1팀"/>
    <s v="이재성"/>
    <s v="기업교육1팀"/>
    <x v="1"/>
    <m/>
    <m/>
    <s v="자이가이스트"/>
    <m/>
    <m/>
    <n v="61724"/>
    <s v="01 1~1000대"/>
    <s v="03 신규"/>
    <s v="03 휴넷 LMS"/>
    <m/>
    <s v="02. 이러닝 - 단과"/>
    <s v="02. 이러닝 - 단과"/>
    <m/>
    <m/>
    <n v="0"/>
    <n v="6267850"/>
    <m/>
    <s v="01 확정"/>
    <x v="0"/>
    <m/>
    <m/>
    <n v="9578000"/>
    <n v="9578000"/>
    <n v="0"/>
    <m/>
    <n v="325000"/>
    <m/>
    <m/>
    <n v="471000"/>
    <m/>
    <n v="675000"/>
    <n v="253000"/>
    <m/>
    <n v="529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84"/>
    <m/>
    <m/>
    <s v="기업교육1팀"/>
    <s v="이재성"/>
    <s v="기업교육1팀"/>
    <x v="1"/>
    <m/>
    <m/>
    <s v="자이가이스트"/>
    <m/>
    <m/>
    <n v="61724"/>
    <s v="01 1~1000대"/>
    <s v="02 윈백"/>
    <m/>
    <s v="2. 온라인 - 법정"/>
    <s v="03. 이러닝 - 법정"/>
    <s v="03. 이러닝 - 법정"/>
    <m/>
    <m/>
    <n v="2809400"/>
    <n v="0"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185"/>
    <m/>
    <m/>
    <s v="기업교육1팀"/>
    <s v="이재성"/>
    <s v="기업교육1팀"/>
    <x v="1"/>
    <m/>
    <m/>
    <s v="재이스타일"/>
    <m/>
    <m/>
    <n v="28926"/>
    <s v="01 1~1000대"/>
    <s v="01 수성"/>
    <m/>
    <s v="2. 온라인 - 법정"/>
    <s v="03. 이러닝 - 법정"/>
    <s v="03. 이러닝 - 법정"/>
    <m/>
    <n v="189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6"/>
    <m/>
    <m/>
    <s v="기업교육1팀"/>
    <s v="이재성"/>
    <s v="기업교육1팀"/>
    <x v="1"/>
    <m/>
    <m/>
    <s v="주택관리공단"/>
    <m/>
    <m/>
    <n v="3987"/>
    <s v="05 공공"/>
    <s v="03 신규"/>
    <s v="03 휴넷 LMS"/>
    <m/>
    <s v="01. 이러닝 - 통합위탁"/>
    <s v="01. 이러닝 - 통합위탁"/>
    <m/>
    <m/>
    <m/>
    <n v="93636363"/>
    <m/>
    <s v="01 확정"/>
    <x v="0"/>
    <m/>
    <m/>
    <n v="60000000"/>
    <n v="60000000"/>
    <n v="0"/>
    <m/>
    <m/>
    <m/>
    <m/>
    <m/>
    <m/>
    <m/>
    <m/>
    <m/>
    <n v="60000000"/>
    <m/>
    <m/>
    <m/>
    <m/>
    <m/>
    <m/>
    <m/>
    <m/>
    <m/>
    <m/>
    <m/>
    <m/>
    <m/>
    <m/>
    <m/>
    <m/>
    <m/>
  </r>
  <r>
    <n v="187"/>
    <m/>
    <m/>
    <s v="기업교육1팀"/>
    <s v="이재성"/>
    <s v="기업교육1팀"/>
    <x v="1"/>
    <m/>
    <m/>
    <s v="주택관리공단"/>
    <m/>
    <m/>
    <n v="3987"/>
    <s v="05 공공"/>
    <s v="01 수성"/>
    <s v="01 자체 LMS"/>
    <s v="3. 온라인 - 마이크로러닝"/>
    <s v="04. 이러닝 - 마이크로러닝"/>
    <s v="04. 이러닝 - 마이크로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8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통합위탁"/>
    <s v="01. 이러닝 - 통합위탁"/>
    <s v="01. 이러닝 - 통합위탁"/>
    <s v="O"/>
    <n v="480096819"/>
    <n v="614675776"/>
    <n v="665292870"/>
    <m/>
    <s v="01 확정"/>
    <x v="0"/>
    <m/>
    <m/>
    <n v="711956480"/>
    <n v="711956480"/>
    <n v="0"/>
    <n v="60000000"/>
    <n v="46098430"/>
    <m/>
    <n v="60000000"/>
    <n v="47784160"/>
    <m/>
    <n v="60000000"/>
    <n v="54073890"/>
    <m/>
    <n v="60000000"/>
    <m/>
    <n v="60000000"/>
    <m/>
    <n v="65000000"/>
    <m/>
    <n v="65000000"/>
    <m/>
    <n v="65000000"/>
    <m/>
    <n v="65000000"/>
    <m/>
    <n v="64000000"/>
    <m/>
    <n v="60000000"/>
    <m/>
    <n v="60000000"/>
    <m/>
  </r>
  <r>
    <n v="189"/>
    <m/>
    <m/>
    <s v="기업교육1팀"/>
    <s v="이재성"/>
    <s v="기업교육1팀"/>
    <x v="1"/>
    <m/>
    <m/>
    <s v="지에스건설"/>
    <m/>
    <m/>
    <n v="49835"/>
    <s v="01 1~1000대"/>
    <s v="01 수성"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3. 온라인 - 마이크로러닝"/>
    <s v="04. 이러닝 - 마이크로러닝"/>
    <s v="04. 이러닝 - 마이크로러닝"/>
    <m/>
    <n v="15000000"/>
    <n v="20000000"/>
    <n v="21250000"/>
    <m/>
    <s v="01 확정"/>
    <x v="0"/>
    <m/>
    <m/>
    <n v="20000000"/>
    <n v="20000000"/>
    <n v="0"/>
    <m/>
    <m/>
    <m/>
    <m/>
    <m/>
    <m/>
    <n v="5000000"/>
    <n v="5000000"/>
    <m/>
    <m/>
    <m/>
    <m/>
    <m/>
    <n v="5000000"/>
    <m/>
    <m/>
    <m/>
    <m/>
    <m/>
    <n v="5000000"/>
    <m/>
    <m/>
    <m/>
    <m/>
    <m/>
    <n v="5000000"/>
    <m/>
  </r>
  <r>
    <n v="191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n v="7200000"/>
    <n v="0"/>
    <n v="17000000"/>
    <m/>
    <s v="01 확정"/>
    <x v="0"/>
    <m/>
    <m/>
    <n v="29150000"/>
    <n v="29150000"/>
    <n v="0"/>
    <m/>
    <m/>
    <m/>
    <n v="2600000"/>
    <n v="3000000"/>
    <m/>
    <n v="5600000"/>
    <n v="5350000"/>
    <m/>
    <n v="2600000"/>
    <m/>
    <n v="2600000"/>
    <m/>
    <n v="2600000"/>
    <m/>
    <n v="2600000"/>
    <m/>
    <n v="2600000"/>
    <m/>
    <n v="2600000"/>
    <m/>
    <n v="2600000"/>
    <m/>
    <n v="2600000"/>
    <m/>
    <m/>
    <m/>
  </r>
  <r>
    <n v="192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4"/>
    <m/>
    <m/>
    <n v="9000000"/>
    <n v="9000000"/>
    <n v="0"/>
    <m/>
    <m/>
    <m/>
    <m/>
    <m/>
    <m/>
    <m/>
    <m/>
    <m/>
    <m/>
    <m/>
    <m/>
    <m/>
    <m/>
    <m/>
    <n v="3000000"/>
    <m/>
    <m/>
    <m/>
    <n v="3000000"/>
    <m/>
    <n v="3000000"/>
    <m/>
    <m/>
    <m/>
    <m/>
    <m/>
  </r>
  <r>
    <n v="193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4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5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96"/>
    <m/>
    <m/>
    <s v="기업교육1팀"/>
    <s v="이재성"/>
    <s v="기업교육1팀"/>
    <x v="1"/>
    <m/>
    <m/>
    <s v="지에스건설(계열사)"/>
    <m/>
    <m/>
    <n v="49835"/>
    <s v="01 1~1000대"/>
    <s v="01 수성"/>
    <m/>
    <s v="2. 온라인 - 법정"/>
    <s v="03. 이러닝 - 법정"/>
    <s v="03. 이러닝 - 법정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7"/>
    <m/>
    <m/>
    <s v="기업교육1팀"/>
    <s v="이재성"/>
    <s v="기업교육1팀"/>
    <x v="1"/>
    <m/>
    <m/>
    <s v="청주성모병원"/>
    <m/>
    <m/>
    <n v="45971"/>
    <m/>
    <m/>
    <m/>
    <m/>
    <s v="03. 이러닝 - 법정"/>
    <s v="03. 이러닝 - 법정"/>
    <m/>
    <m/>
    <m/>
    <n v="3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8"/>
    <m/>
    <m/>
    <m/>
    <m/>
    <s v="기업교육1팀"/>
    <x v="1"/>
    <m/>
    <m/>
    <s v="케이씨씨 중앙연구소"/>
    <m/>
    <m/>
    <n v="4209"/>
    <m/>
    <m/>
    <m/>
    <m/>
    <m/>
    <s v="09. 하이브리드러닝 - 순수 오프라인"/>
    <m/>
    <m/>
    <m/>
    <n v="25550000"/>
    <m/>
    <m/>
    <x v="0"/>
    <m/>
    <m/>
    <n v="68011000"/>
    <n v="68011000"/>
    <n v="0"/>
    <m/>
    <n v="1050000"/>
    <m/>
    <n v="12000000"/>
    <m/>
    <m/>
    <n v="11961000"/>
    <n v="11961000"/>
    <m/>
    <m/>
    <s v="교육일정연기"/>
    <n v="55000000"/>
    <m/>
    <m/>
    <m/>
    <m/>
    <m/>
    <m/>
    <m/>
    <m/>
    <m/>
    <m/>
    <m/>
    <m/>
    <m/>
    <m/>
    <m/>
  </r>
  <r>
    <n v="199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s v="09. 하이브리드러닝 - 순수 오프라인"/>
    <s v="09. 하이브리드러닝 - 순수 오프라인"/>
    <m/>
    <m/>
    <m/>
    <n v="0"/>
    <m/>
    <s v="01 확정"/>
    <x v="4"/>
    <m/>
    <m/>
    <n v="20000000"/>
    <n v="20000000"/>
    <n v="0"/>
    <m/>
    <m/>
    <m/>
    <n v="10000000"/>
    <m/>
    <m/>
    <m/>
    <m/>
    <m/>
    <m/>
    <m/>
    <n v="10000000"/>
    <m/>
    <m/>
    <m/>
    <n v="10000000"/>
    <m/>
    <m/>
    <m/>
    <m/>
    <m/>
    <m/>
    <m/>
    <m/>
    <m/>
    <m/>
    <m/>
  </r>
  <r>
    <n v="200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1. 구독 - 휴넷CEO멤버십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1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2"/>
    <m/>
    <m/>
    <s v="기업교육1팀"/>
    <s v="이재성"/>
    <s v="기업교육1팀"/>
    <x v="1"/>
    <m/>
    <m/>
    <s v="케이피에스파트너스"/>
    <m/>
    <m/>
    <n v="43878"/>
    <s v="01 1~1000대"/>
    <s v="03 신규"/>
    <s v="03 휴넷 LMS"/>
    <m/>
    <s v="03. 이러닝 - 법정"/>
    <s v="03. 이러닝 - 법정"/>
    <m/>
    <m/>
    <n v="0"/>
    <n v="25000"/>
    <m/>
    <s v="01 확정"/>
    <x v="0"/>
    <m/>
    <m/>
    <n v="1020000"/>
    <n v="1020000"/>
    <n v="0"/>
    <m/>
    <n v="30000"/>
    <m/>
    <m/>
    <n v="15000"/>
    <m/>
    <m/>
    <n v="5000"/>
    <m/>
    <m/>
    <m/>
    <m/>
    <m/>
    <m/>
    <m/>
    <m/>
    <m/>
    <m/>
    <m/>
    <m/>
    <m/>
    <m/>
    <m/>
    <n v="970000"/>
    <m/>
    <m/>
    <m/>
  </r>
  <r>
    <n v="203"/>
    <m/>
    <m/>
    <s v="기업교육1팀"/>
    <s v="이재성"/>
    <s v="기업교육1팀"/>
    <x v="1"/>
    <m/>
    <m/>
    <s v="포스코아이에이치"/>
    <m/>
    <m/>
    <n v="32150"/>
    <s v="04 3000대 이후"/>
    <s v="02 윈백"/>
    <m/>
    <s v="3. 온라인 - 마이크로러닝"/>
    <s v="04. 이러닝 - 마이크로러닝"/>
    <s v="04. 이러닝 - 마이크로러닝"/>
    <m/>
    <n v="16600000"/>
    <n v="0"/>
    <n v="8300000"/>
    <m/>
    <s v="02 가망"/>
    <x v="0"/>
    <m/>
    <m/>
    <n v="0"/>
    <n v="0"/>
    <n v="0"/>
    <n v="8000000"/>
    <m/>
    <m/>
    <m/>
    <m/>
    <m/>
    <m/>
    <m/>
    <m/>
    <m/>
    <m/>
    <m/>
    <m/>
    <m/>
    <m/>
    <m/>
    <m/>
    <m/>
    <m/>
    <m/>
    <m/>
    <m/>
    <m/>
    <m/>
    <m/>
    <m/>
    <m/>
  </r>
  <r>
    <n v="204"/>
    <m/>
    <m/>
    <s v="기업교육1팀"/>
    <s v="이재성"/>
    <s v="기업교육1팀"/>
    <x v="1"/>
    <m/>
    <m/>
    <s v="포스코인재창조원"/>
    <m/>
    <m/>
    <n v="15725"/>
    <s v="01 1~1000대"/>
    <s v="04 연장"/>
    <s v="01 자체 LMS"/>
    <s v="11. 컨텐츠 - 컨텐츠 임대/판매"/>
    <s v="07. 이러닝 - 컨텐츠 임대/판매"/>
    <s v="07. 이러닝 - 컨텐츠 임대/판매"/>
    <m/>
    <n v="126590000"/>
    <n v="134140000"/>
    <n v="87200000"/>
    <m/>
    <s v="01 확정"/>
    <x v="0"/>
    <m/>
    <m/>
    <n v="115000000"/>
    <n v="115000000"/>
    <n v="0"/>
    <m/>
    <m/>
    <m/>
    <m/>
    <m/>
    <m/>
    <n v="15000000"/>
    <m/>
    <s v="25년 선발행금 처리 중"/>
    <m/>
    <m/>
    <m/>
    <m/>
    <m/>
    <m/>
    <n v="30000000"/>
    <m/>
    <m/>
    <m/>
    <m/>
    <m/>
    <m/>
    <m/>
    <n v="25000000"/>
    <m/>
    <n v="60000000"/>
    <m/>
  </r>
  <r>
    <n v="205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6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1팀"/>
    <s v="이재성"/>
    <s v="기업교육1팀"/>
    <x v="1"/>
    <m/>
    <m/>
    <s v="포스코인재창조원"/>
    <m/>
    <m/>
    <n v="15725"/>
    <s v="01 1~1000대"/>
    <s v="01 수성"/>
    <m/>
    <s v="10. 컨텐츠 - 컨텐츠 개발"/>
    <s v="14. 컨텐츠 - 컨텐츠 개발"/>
    <s v="15. 컨텐츠 - 컨텐츠 개발"/>
    <m/>
    <n v="600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8"/>
    <m/>
    <m/>
    <s v="기업교육1팀"/>
    <s v="이재성"/>
    <s v="기업교육1팀"/>
    <x v="1"/>
    <m/>
    <m/>
    <s v="포항성모병원"/>
    <m/>
    <m/>
    <n v="996"/>
    <s v="04 3000대 이후"/>
    <s v="01 수성"/>
    <s v="03 휴넷 LMS"/>
    <s v="2. 온라인 - 법정"/>
    <s v="03. 이러닝 - 법정"/>
    <s v="03. 이러닝 - 법정"/>
    <m/>
    <n v="4610000"/>
    <n v="14942500"/>
    <n v="105275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09"/>
    <m/>
    <m/>
    <s v="기업교육1팀"/>
    <s v="이재성"/>
    <s v="기업교육1팀"/>
    <x v="1"/>
    <m/>
    <m/>
    <s v="하이브"/>
    <m/>
    <m/>
    <n v="30541"/>
    <s v="01 1~1000대"/>
    <s v="03 신규"/>
    <m/>
    <s v="통합위탁"/>
    <s v="02. 이러닝 - 단과"/>
    <s v="02. 이러닝 - 단과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0"/>
    <m/>
    <m/>
    <s v="기업교육1팀"/>
    <s v="이재성"/>
    <s v="기업교육1팀"/>
    <x v="1"/>
    <m/>
    <m/>
    <s v="하이브"/>
    <m/>
    <m/>
    <n v="30541"/>
    <s v="01 1~1000대"/>
    <s v="03 신규"/>
    <s v="03 휴넷 LMS"/>
    <m/>
    <s v="04. 이러닝 - 마이크로러닝"/>
    <s v="04. 이러닝 - 마이크로러닝"/>
    <m/>
    <m/>
    <n v="0"/>
    <n v="62500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211"/>
    <m/>
    <m/>
    <s v="기업교육1팀"/>
    <s v="이재성"/>
    <s v="기업교육1팀"/>
    <x v="1"/>
    <m/>
    <m/>
    <s v="하이브"/>
    <m/>
    <m/>
    <n v="305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1팀"/>
    <s v="이재성"/>
    <s v="기업교육1팀"/>
    <x v="1"/>
    <m/>
    <m/>
    <s v="하임랩 주식회사"/>
    <m/>
    <m/>
    <n v="55514"/>
    <s v="04 3000대 이후"/>
    <s v="04 연장"/>
    <s v="03 휴넷 LMS"/>
    <s v="2. 온라인 - 법정"/>
    <s v="03. 이러닝 - 법정"/>
    <s v="03. 이러닝 - 법정"/>
    <m/>
    <n v="1055000"/>
    <n v="585000"/>
    <n v="920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213"/>
    <m/>
    <m/>
    <s v="기업교육1팀"/>
    <s v="이재성"/>
    <s v="기업교육1팀"/>
    <x v="1"/>
    <m/>
    <m/>
    <s v="한국경비협회"/>
    <m/>
    <m/>
    <n v="17898"/>
    <s v="01 1~1000대"/>
    <s v="02 윈백"/>
    <m/>
    <s v="1. 온라인 - 단과"/>
    <s v="02. 이러닝 - 단과"/>
    <s v="02. 이러닝 - 단과"/>
    <m/>
    <m/>
    <n v="276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1팀"/>
    <s v="이재성"/>
    <s v="기업교육1팀"/>
    <x v="1"/>
    <m/>
    <m/>
    <s v="한국남동발전"/>
    <m/>
    <m/>
    <n v="66326"/>
    <s v="05 공공"/>
    <s v="02 윈백"/>
    <s v="03 휴넷 LMS"/>
    <s v="통합위탁"/>
    <s v="01. 이러닝 - 통합위탁"/>
    <s v="01. 이러닝 - 통합위탁"/>
    <s v="O"/>
    <n v="551451211"/>
    <n v="0"/>
    <n v="0"/>
    <m/>
    <s v="04 실주"/>
    <x v="0"/>
    <m/>
    <m/>
    <n v="500000000"/>
    <n v="500000000"/>
    <n v="0"/>
    <m/>
    <m/>
    <m/>
    <m/>
    <m/>
    <m/>
    <n v="15000000"/>
    <m/>
    <s v="신청월 익월 발행"/>
    <n v="15000000"/>
    <m/>
    <n v="15000000"/>
    <m/>
    <n v="15000000"/>
    <m/>
    <n v="30000000"/>
    <m/>
    <n v="30000000"/>
    <m/>
    <n v="30000000"/>
    <m/>
    <n v="45000000"/>
    <m/>
    <n v="320000000"/>
    <m/>
    <m/>
    <m/>
  </r>
  <r>
    <n v="215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3. 온라인 - 마이크로러닝"/>
    <s v="04. 이러닝 - 마이크로러닝"/>
    <s v="04. 이러닝 - 마이크로러닝"/>
    <m/>
    <n v="137563636.000000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6"/>
    <m/>
    <m/>
    <m/>
    <m/>
    <s v="기업교육1팀"/>
    <x v="1"/>
    <m/>
    <m/>
    <s v="한국남동발전"/>
    <m/>
    <m/>
    <n v="29759"/>
    <m/>
    <m/>
    <m/>
    <m/>
    <m/>
    <s v="07. 이러닝 - 컨텐츠 임대/판매"/>
    <m/>
    <m/>
    <m/>
    <n v="19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1팀"/>
    <s v="이재성"/>
    <s v="기업교육1팀"/>
    <x v="1"/>
    <m/>
    <m/>
    <s v="한국남동발전"/>
    <m/>
    <m/>
    <n v="29759"/>
    <s v="05 공공"/>
    <s v="01 수성"/>
    <s v="01 자체 LMS"/>
    <s v="10. 컨텐츠 - 컨텐츠 개발"/>
    <s v="14. 컨텐츠 - 컨텐츠 개발"/>
    <s v="15. 컨텐츠 - 컨텐츠 개발"/>
    <m/>
    <n v="8300000"/>
    <n v="8300000"/>
    <n v="8954545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18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18. 솔루션 - 라이브클래스"/>
    <s v="17. 솔루션 - 기타"/>
    <s v="18. 솔루션 - 기타"/>
    <m/>
    <n v="15681817.909090908"/>
    <n v="0"/>
    <n v="0"/>
    <m/>
    <s v="07 2023년 매출"/>
    <x v="4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219"/>
    <m/>
    <m/>
    <s v="기업교육1팀"/>
    <s v="이재성"/>
    <s v="기업교육1팀"/>
    <x v="1"/>
    <m/>
    <m/>
    <s v="한국남동발전(전사 리더십 교육)"/>
    <m/>
    <m/>
    <n v="29759"/>
    <s v="05 공공"/>
    <s v="02 윈백"/>
    <s v="01 자체 LMS"/>
    <s v="6. 하이브리드러닝 - 집합형"/>
    <s v="09. 하이브리드러닝 - 순수 오프라인"/>
    <s v="09. 하이브리드러닝 - 순수 오프라인"/>
    <m/>
    <n v="1305100"/>
    <n v="0"/>
    <n v="1960000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1팀"/>
    <s v="이재성"/>
    <s v="기업교육1팀"/>
    <x v="1"/>
    <m/>
    <m/>
    <s v="한국남동발전(힐링프로그램)"/>
    <m/>
    <m/>
    <n v="66326"/>
    <s v="04 3000대 이후"/>
    <s v="02 윈백"/>
    <s v="03 휴넷 LMS"/>
    <s v="24. 운영 - 운영매출"/>
    <s v="19. 운영 - 운영매출"/>
    <s v="20. 운영 - 운영매출"/>
    <m/>
    <m/>
    <m/>
    <n v="0"/>
    <m/>
    <m/>
    <x v="0"/>
    <m/>
    <m/>
    <n v="200000000"/>
    <n v="200000000"/>
    <n v="0"/>
    <m/>
    <m/>
    <m/>
    <m/>
    <m/>
    <m/>
    <n v="20000000"/>
    <m/>
    <s v="신청월 익월 발행"/>
    <n v="20000000"/>
    <m/>
    <n v="20000000"/>
    <m/>
    <n v="20000000"/>
    <m/>
    <n v="20000000"/>
    <m/>
    <n v="20000000"/>
    <m/>
    <n v="20000000"/>
    <m/>
    <n v="50000000"/>
    <m/>
    <n v="30000000"/>
    <m/>
    <m/>
    <m/>
  </r>
  <r>
    <n v="221"/>
    <m/>
    <m/>
    <s v="기업교육1팀"/>
    <s v="이재성"/>
    <s v="기업교육1팀"/>
    <x v="1"/>
    <m/>
    <m/>
    <s v="한전CSC"/>
    <m/>
    <m/>
    <n v="44405"/>
    <s v="05 공공"/>
    <s v="02 윈백"/>
    <m/>
    <s v="1. 온라인 - 단과"/>
    <s v="02. 이러닝 - 단과"/>
    <s v="02. 이러닝 - 단과"/>
    <m/>
    <n v="20831000"/>
    <n v="0"/>
    <n v="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5000000"/>
    <m/>
    <m/>
    <m/>
    <m/>
    <m/>
    <n v="5000000"/>
    <m/>
    <m/>
    <m/>
  </r>
  <r>
    <n v="222"/>
    <m/>
    <m/>
    <s v="기업교육1팀"/>
    <s v="이재성"/>
    <s v="기업교육1팀"/>
    <x v="1"/>
    <m/>
    <m/>
    <s v="한전FMS"/>
    <m/>
    <m/>
    <n v="40020"/>
    <s v="05 공공"/>
    <s v="01 수성"/>
    <s v="02 경쟁사 LMS"/>
    <s v="2. 온라인 - 법정"/>
    <s v="03. 이러닝 - 법정"/>
    <s v="03. 이러닝 - 법정"/>
    <m/>
    <s v=""/>
    <n v="3407000"/>
    <n v="2242000"/>
    <m/>
    <s v="01 확정"/>
    <x v="0"/>
    <m/>
    <m/>
    <n v="5150000"/>
    <n v="5150000"/>
    <n v="0"/>
    <m/>
    <n v="540000"/>
    <m/>
    <m/>
    <n v="60000"/>
    <m/>
    <m/>
    <n v="90000"/>
    <m/>
    <m/>
    <m/>
    <m/>
    <m/>
    <m/>
    <m/>
    <m/>
    <m/>
    <m/>
    <m/>
    <m/>
    <m/>
    <n v="4460000"/>
    <m/>
    <m/>
    <m/>
    <m/>
    <m/>
  </r>
  <r>
    <n v="223"/>
    <m/>
    <m/>
    <m/>
    <m/>
    <s v="기업교육1팀"/>
    <x v="1"/>
    <m/>
    <m/>
    <s v="한전FMS"/>
    <m/>
    <m/>
    <n v="40020"/>
    <m/>
    <m/>
    <m/>
    <m/>
    <m/>
    <s v="09. 하이브리드러닝 - 순수 오프라인"/>
    <m/>
    <m/>
    <m/>
    <n v="45495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1팀"/>
    <s v="이재성"/>
    <s v="기업교육1팀"/>
    <x v="1"/>
    <m/>
    <m/>
    <s v="한전KDN"/>
    <m/>
    <m/>
    <n v="56027"/>
    <s v="05 공공"/>
    <s v="01 수성"/>
    <m/>
    <s v="6. 하이브리드러닝 - 집합형"/>
    <s v="09. 하이브리드러닝 - 순수 오프라인"/>
    <s v="09. 하이브리드러닝 - 순수 오프라인"/>
    <m/>
    <s v=""/>
    <n v="0"/>
    <n v="185071853"/>
    <m/>
    <s v="02 가망"/>
    <x v="0"/>
    <m/>
    <m/>
    <n v="40660000"/>
    <n v="40660000"/>
    <n v="0"/>
    <n v="6000000"/>
    <n v="6400000"/>
    <m/>
    <n v="2000000"/>
    <n v="2000000"/>
    <m/>
    <n v="4000000"/>
    <n v="7260000"/>
    <m/>
    <n v="5000000"/>
    <m/>
    <n v="5000000"/>
    <m/>
    <n v="5000000"/>
    <m/>
    <m/>
    <m/>
    <m/>
    <m/>
    <n v="5000000"/>
    <m/>
    <n v="5000000"/>
    <m/>
    <m/>
    <m/>
    <m/>
    <m/>
  </r>
  <r>
    <n v="225"/>
    <m/>
    <m/>
    <s v="기업교육1팀"/>
    <s v="이재성"/>
    <s v="기업교육1팀"/>
    <x v="1"/>
    <m/>
    <m/>
    <s v="한전KDN"/>
    <m/>
    <m/>
    <n v="56027"/>
    <s v="05 공공"/>
    <s v="04 연장"/>
    <s v="03 휴넷 LMS"/>
    <s v="1. 온라인 - 단과"/>
    <s v="09. 하이브리드러닝 - 순수 오프라인"/>
    <s v="09. 하이브리드러닝 - 순수 오프라인"/>
    <m/>
    <m/>
    <n v="7260000"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10000000"/>
    <m/>
    <n v="10000000"/>
    <m/>
    <m/>
    <m/>
    <m/>
    <m/>
    <m/>
    <m/>
  </r>
  <r>
    <n v="226"/>
    <m/>
    <m/>
    <s v="기업교육1팀"/>
    <s v="이재성"/>
    <s v="기업교육1팀"/>
    <x v="1"/>
    <m/>
    <m/>
    <s v="한전KDN"/>
    <m/>
    <m/>
    <n v="56027"/>
    <s v="05 공공"/>
    <s v="03 신규"/>
    <s v="03 휴넷 LMS"/>
    <s v="6. 하이브리드러닝 - 집합형"/>
    <s v="09. 하이브리드러닝 - 순수 오프라인"/>
    <s v="09. 하이브리드러닝 - 순수 오프라인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7"/>
    <m/>
    <m/>
    <s v="기업교육1팀"/>
    <s v="이재성"/>
    <s v="기업교육1팀"/>
    <x v="1"/>
    <m/>
    <m/>
    <s v="한전KDN"/>
    <m/>
    <m/>
    <n v="847"/>
    <s v="05 공공"/>
    <s v="01 수성"/>
    <s v="03 휴넷 LMS"/>
    <s v="6. 하이브리드러닝 - 집합형"/>
    <s v="09. 하이브리드러닝 - 순수 오프라인"/>
    <s v="09. 하이브리드러닝 - 순수 오프라인"/>
    <m/>
    <n v="18245000"/>
    <n v="99618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8"/>
    <m/>
    <m/>
    <s v="기업교육1팀"/>
    <s v="이재성"/>
    <s v="기업교육1팀"/>
    <x v="1"/>
    <m/>
    <m/>
    <s v="한전KDN"/>
    <m/>
    <m/>
    <n v="56027"/>
    <m/>
    <m/>
    <m/>
    <m/>
    <m/>
    <s v="15. 컨텐츠 - 컨텐츠 개발"/>
    <m/>
    <m/>
    <m/>
    <n v="28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9"/>
    <m/>
    <m/>
    <s v="기업교육1팀"/>
    <s v="이재성"/>
    <s v="기업교육1팀"/>
    <x v="1"/>
    <m/>
    <m/>
    <s v="한전KDN (24년)"/>
    <m/>
    <m/>
    <n v="56027"/>
    <s v="05 공공"/>
    <s v="04 연장"/>
    <s v="03 휴넷 LMS"/>
    <s v="통합위탁"/>
    <s v="01. 이러닝 - 통합위탁"/>
    <s v="01. 이러닝 - 통합위탁"/>
    <m/>
    <n v="544607850"/>
    <n v="0"/>
    <n v="82798459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1팀"/>
    <s v="이재성"/>
    <s v="기업교육1팀"/>
    <x v="1"/>
    <m/>
    <m/>
    <s v="한전KDN (25년)"/>
    <m/>
    <m/>
    <n v="56027"/>
    <s v="05 공공"/>
    <s v="01 수성"/>
    <s v="03 휴넷 LMS"/>
    <s v="통합위탁"/>
    <s v="01. 이러닝 - 통합위탁"/>
    <s v="01. 이러닝 - 통합위탁"/>
    <s v="O"/>
    <s v=""/>
    <n v="572760380"/>
    <n v="537545879"/>
    <m/>
    <s v="01 확정"/>
    <x v="0"/>
    <m/>
    <m/>
    <n v="770896105"/>
    <n v="770896105"/>
    <n v="0"/>
    <m/>
    <m/>
    <s v="12월 교육비 12월 발행"/>
    <n v="70000000"/>
    <n v="42660245"/>
    <m/>
    <n v="77000000"/>
    <n v="77235860"/>
    <m/>
    <n v="77000000"/>
    <m/>
    <n v="77000000"/>
    <m/>
    <n v="77000000"/>
    <m/>
    <n v="70000000"/>
    <m/>
    <n v="70000000"/>
    <m/>
    <n v="70000000"/>
    <m/>
    <n v="70000000"/>
    <m/>
    <n v="70000000"/>
    <m/>
    <n v="70000000"/>
    <m/>
  </r>
  <r>
    <n v="231"/>
    <m/>
    <m/>
    <s v="기업교육1팀"/>
    <s v="이재성"/>
    <s v="기업교육1팀"/>
    <x v="1"/>
    <m/>
    <m/>
    <s v="한전KDN(AI아카데미)"/>
    <m/>
    <m/>
    <n v="56027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0"/>
    <n v="112671336"/>
    <m/>
    <s v="01 확정"/>
    <x v="0"/>
    <m/>
    <m/>
    <n v="123368000"/>
    <n v="123368000"/>
    <n v="0"/>
    <m/>
    <m/>
    <m/>
    <m/>
    <m/>
    <m/>
    <m/>
    <n v="3368000"/>
    <m/>
    <n v="15000000"/>
    <m/>
    <n v="15000000"/>
    <m/>
    <n v="15000000"/>
    <m/>
    <n v="15000000"/>
    <m/>
    <n v="15000000"/>
    <m/>
    <n v="15000000"/>
    <m/>
    <n v="15000000"/>
    <m/>
    <n v="15000000"/>
    <m/>
    <m/>
    <m/>
  </r>
  <r>
    <n v="232"/>
    <m/>
    <m/>
    <m/>
    <m/>
    <s v="기업교육1팀"/>
    <x v="1"/>
    <m/>
    <m/>
    <s v="한전KDN(AI아카데미)"/>
    <m/>
    <m/>
    <n v="56027"/>
    <m/>
    <m/>
    <m/>
    <m/>
    <m/>
    <m/>
    <m/>
    <m/>
    <m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1팀"/>
    <s v="이재성"/>
    <s v="기업교육1팀"/>
    <x v="1"/>
    <m/>
    <m/>
    <s v="한전KDN(마일리지)"/>
    <m/>
    <m/>
    <n v="56028"/>
    <s v="05 공공"/>
    <s v="01 수성"/>
    <s v="03 휴넷 LMS"/>
    <s v="24. 운영 - 운영매출"/>
    <s v="19. 운영 - 운영매출"/>
    <s v="20. 운영 - 운영매출"/>
    <m/>
    <m/>
    <n v="0"/>
    <n v="34799352"/>
    <m/>
    <s v="01 확정"/>
    <x v="0"/>
    <m/>
    <m/>
    <n v="54942672"/>
    <n v="54942672"/>
    <n v="0"/>
    <m/>
    <m/>
    <s v="2월 통합발행"/>
    <n v="10000000"/>
    <n v="4971336"/>
    <m/>
    <n v="5000000"/>
    <n v="4971336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234"/>
    <m/>
    <m/>
    <s v="기업교육1팀"/>
    <s v="이재성"/>
    <s v="기업교육1팀"/>
    <x v="1"/>
    <m/>
    <m/>
    <s v="한전KDN(마일리지_24년)"/>
    <m/>
    <m/>
    <n v="56028"/>
    <s v="05 공공"/>
    <s v="01 수성"/>
    <s v="03 휴넷 LMS"/>
    <m/>
    <s v="19. 운영 - 운영매출"/>
    <s v="20. 운영 - 운영매출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1팀"/>
    <s v="이재성"/>
    <s v="기업교육1팀"/>
    <x v="1"/>
    <m/>
    <m/>
    <s v="한전KPS"/>
    <m/>
    <m/>
    <n v="2647"/>
    <s v="05 공공"/>
    <s v="01 수성"/>
    <s v="03 휴넷 LMS"/>
    <s v="통합위탁"/>
    <s v="01. 이러닝 - 통합위탁"/>
    <s v="01. 이러닝 - 통합위탁"/>
    <m/>
    <m/>
    <n v="0"/>
    <n v="0"/>
    <m/>
    <s v="04 실주"/>
    <x v="5"/>
    <m/>
    <m/>
    <n v="0"/>
    <n v="0"/>
    <n v="0"/>
    <m/>
    <m/>
    <m/>
    <n v="200000000"/>
    <m/>
    <m/>
    <m/>
    <m/>
    <m/>
    <m/>
    <m/>
    <m/>
    <m/>
    <m/>
    <m/>
    <m/>
    <m/>
    <m/>
    <m/>
    <m/>
    <m/>
    <m/>
    <m/>
    <m/>
    <m/>
    <m/>
    <m/>
  </r>
  <r>
    <n v="236"/>
    <m/>
    <m/>
    <s v="기업교육1팀"/>
    <s v="이재성"/>
    <s v="기업교육1팀"/>
    <x v="1"/>
    <m/>
    <m/>
    <s v="한전KPS"/>
    <m/>
    <m/>
    <n v="2647"/>
    <s v="05 공공"/>
    <s v="02 윈백"/>
    <m/>
    <s v="통합위탁"/>
    <s v="01. 이러닝 - 통합위탁"/>
    <s v="01. 이러닝 - 통합위탁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1팀"/>
    <s v="이재성"/>
    <s v="기업교육1팀"/>
    <x v="1"/>
    <m/>
    <m/>
    <s v="한전KPS 협력사"/>
    <m/>
    <m/>
    <n v="43878"/>
    <s v="05 공공"/>
    <s v="01 수성"/>
    <m/>
    <s v="1. 온라인 - 단과"/>
    <s v="02. 이러닝 - 단과"/>
    <s v="02. 이러닝 - 단과"/>
    <m/>
    <m/>
    <n v="0"/>
    <n v="0"/>
    <m/>
    <s v="03 기회"/>
    <x v="4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238"/>
    <m/>
    <m/>
    <s v="기업교육1팀"/>
    <s v="이재성"/>
    <s v="기업교육1팀"/>
    <x v="1"/>
    <m/>
    <m/>
    <s v="한전산업개발"/>
    <m/>
    <m/>
    <n v="4095"/>
    <s v="05 공공"/>
    <s v="01 수성"/>
    <s v="02 경쟁사 LMS"/>
    <s v="1. 온라인 - 단과"/>
    <s v="02. 이러닝 - 단과"/>
    <s v="02. 이러닝 - 단과"/>
    <m/>
    <s v=""/>
    <n v="1741000"/>
    <n v="0"/>
    <m/>
    <s v="03 기회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239"/>
    <m/>
    <m/>
    <s v="기업교육1팀"/>
    <s v="이재성"/>
    <s v="기업교육1팀"/>
    <x v="1"/>
    <m/>
    <m/>
    <s v="한전씨에스씨_FLEX23"/>
    <m/>
    <m/>
    <s v="58428/58489"/>
    <s v="05 공공"/>
    <s v="01 수성"/>
    <s v="03 휴넷 LMS"/>
    <s v="26. 정부지원사업 - HRDFLEX"/>
    <s v="28.구독 - 휴넷FLEX"/>
    <s v="13. 구독 - 휴넷FLEX"/>
    <m/>
    <n v="1722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0"/>
    <m/>
    <m/>
    <s v="기업교육1팀"/>
    <s v="이재성"/>
    <s v="기업교육1팀"/>
    <x v="1"/>
    <m/>
    <m/>
    <s v="현대오일뱅크서울지점"/>
    <m/>
    <m/>
    <n v="1374"/>
    <s v="01 1~1000대"/>
    <s v="01 수성"/>
    <s v="02 경쟁사 LMS"/>
    <m/>
    <s v="19. 운영 - 운영매출"/>
    <s v="20. 운영 - 운영매출"/>
    <m/>
    <m/>
    <n v="0"/>
    <n v="1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41"/>
    <m/>
    <m/>
    <s v="기업교육1팀"/>
    <s v="이재성"/>
    <s v="기업교육1팀"/>
    <x v="1"/>
    <m/>
    <m/>
    <s v="현대오일뱅크서울지점 (생산전문직 과정개발)"/>
    <m/>
    <m/>
    <n v="1374"/>
    <s v="01 1~1000대"/>
    <s v="04 연장"/>
    <s v="01 자체 LMS"/>
    <s v="6. 하이브리드러닝 - 집합형"/>
    <s v="09. 하이브리드러닝 - 순수 오프라인"/>
    <s v="09. 하이브리드러닝 - 순수 오프라인"/>
    <m/>
    <n v="44122500"/>
    <n v="85291000"/>
    <n v="37394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42"/>
    <m/>
    <m/>
    <s v="기업교육1팀"/>
    <s v="이재성"/>
    <s v="기업교육1팀"/>
    <x v="1"/>
    <m/>
    <m/>
    <s v="현대오일뱅크서울지점 (신규입사자)"/>
    <m/>
    <m/>
    <n v="1374"/>
    <s v="01 1~1000대"/>
    <s v="04 연장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0"/>
    <m/>
    <m/>
    <n v="21955000"/>
    <n v="21955000"/>
    <n v="0"/>
    <m/>
    <n v="1700000"/>
    <m/>
    <m/>
    <m/>
    <m/>
    <n v="20255000"/>
    <n v="20255000"/>
    <m/>
    <m/>
    <m/>
    <m/>
    <m/>
    <m/>
    <m/>
    <m/>
    <m/>
    <m/>
    <m/>
    <m/>
    <m/>
    <m/>
    <m/>
    <m/>
    <m/>
    <m/>
    <m/>
  </r>
  <r>
    <n v="243"/>
    <m/>
    <m/>
    <s v="기업교육1팀"/>
    <s v="황동현"/>
    <s v="기업교육1팀"/>
    <x v="2"/>
    <m/>
    <m/>
    <s v="(중진공 창업처)청년장병교육"/>
    <m/>
    <m/>
    <n v="58760"/>
    <s v="05 공공"/>
    <m/>
    <s v="03 휴넷 LMS"/>
    <s v="1. 온라인 - 단과"/>
    <s v="02. 이러닝 - 단과"/>
    <s v="02. 이러닝 - 단과"/>
    <m/>
    <n v="969756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4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1. 이러닝 - 통합위탁"/>
    <s v="01. 이러닝 - 통합위탁"/>
    <s v="O"/>
    <n v="127367508"/>
    <n v="126577610"/>
    <n v="107101690"/>
    <m/>
    <s v="01 확정"/>
    <x v="0"/>
    <m/>
    <m/>
    <n v="122902870"/>
    <n v="122902870"/>
    <n v="0"/>
    <n v="13409180"/>
    <n v="13409180"/>
    <m/>
    <n v="10000000"/>
    <n v="9481690"/>
    <m/>
    <n v="3332000"/>
    <n v="3332000"/>
    <m/>
    <n v="16680000"/>
    <m/>
    <n v="10000000"/>
    <m/>
    <n v="10000000"/>
    <m/>
    <n v="10000000"/>
    <m/>
    <n v="10000000"/>
    <m/>
    <n v="10000000"/>
    <m/>
    <n v="10000000"/>
    <m/>
    <n v="10000000"/>
    <m/>
    <n v="10000000"/>
    <m/>
  </r>
  <r>
    <n v="245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8. 하이브리드러닝 - 하이브리드형 러닝"/>
    <s v="08. 하이브리드러닝 - 하이브리드형 러닝"/>
    <m/>
    <n v="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s v="11. 컨텐츠 - 컨텐츠 임대/판매"/>
    <s v="07. 이러닝 - 컨텐츠 임대/판매"/>
    <s v="07. 이러닝 - 컨텐츠 임대/판매"/>
    <m/>
    <n v="177272727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7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s v="08. 하이브리드러닝 - 하이브리드형 러닝"/>
    <s v="08. 하이브리드러닝 - 하이브리드형 러닝"/>
    <m/>
    <m/>
    <m/>
    <n v="268409091"/>
    <m/>
    <s v="01 확정"/>
    <x v="0"/>
    <m/>
    <m/>
    <n v="230000000"/>
    <n v="240000000"/>
    <n v="-10000000"/>
    <m/>
    <m/>
    <m/>
    <m/>
    <m/>
    <m/>
    <m/>
    <m/>
    <m/>
    <m/>
    <m/>
    <n v="160000000"/>
    <m/>
    <m/>
    <m/>
    <m/>
    <m/>
    <n v="70000000"/>
    <m/>
    <m/>
    <m/>
    <m/>
    <m/>
    <m/>
    <m/>
    <m/>
    <m/>
  </r>
  <r>
    <n v="248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m/>
    <s v="15. 컨텐츠 - 컨텐츠 개발"/>
    <m/>
    <m/>
    <n v="0"/>
    <n v="0"/>
    <m/>
    <m/>
    <x v="3"/>
    <m/>
    <m/>
    <n v="182000000"/>
    <n v="182000000"/>
    <n v="0"/>
    <m/>
    <m/>
    <m/>
    <m/>
    <m/>
    <m/>
    <m/>
    <m/>
    <m/>
    <n v="100000000"/>
    <m/>
    <m/>
    <m/>
    <m/>
    <m/>
    <m/>
    <m/>
    <n v="82000000"/>
    <m/>
    <m/>
    <m/>
    <m/>
    <m/>
    <m/>
    <m/>
    <m/>
    <m/>
  </r>
  <r>
    <n v="249"/>
    <m/>
    <m/>
    <s v="기업교육1팀"/>
    <s v="황동현"/>
    <s v="기업교육1팀"/>
    <x v="2"/>
    <m/>
    <m/>
    <s v="경기도청"/>
    <m/>
    <m/>
    <n v="62518"/>
    <s v="05 공공"/>
    <s v="01 수성"/>
    <s v="01 자체 LMS"/>
    <m/>
    <s v="18. 운영 - BPO"/>
    <s v="19. 운영 - BPO"/>
    <m/>
    <m/>
    <n v="0"/>
    <n v="1643165008"/>
    <n v="1646346825"/>
    <s v="01 확정"/>
    <x v="0"/>
    <m/>
    <m/>
    <n v="2346456364"/>
    <n v="2346456364"/>
    <n v="0"/>
    <m/>
    <n v="276027273"/>
    <m/>
    <n v="180000000"/>
    <n v="149590910"/>
    <m/>
    <n v="139609091"/>
    <n v="139609091"/>
    <m/>
    <n v="180000000"/>
    <m/>
    <n v="180000000"/>
    <m/>
    <n v="220000000"/>
    <m/>
    <n v="180000000"/>
    <m/>
    <n v="180000000"/>
    <m/>
    <n v="180000000"/>
    <m/>
    <n v="180000000"/>
    <m/>
    <n v="180000000"/>
    <m/>
    <n v="301229090"/>
    <m/>
  </r>
  <r>
    <n v="250"/>
    <m/>
    <m/>
    <s v="기업교육1팀"/>
    <s v="황동현"/>
    <s v="기업교육1팀"/>
    <x v="2"/>
    <m/>
    <m/>
    <s v="고려대학교의료원"/>
    <m/>
    <m/>
    <n v="4578"/>
    <s v="04 3000대 이후"/>
    <s v="01 수성"/>
    <s v="03 휴넷 LMS"/>
    <s v="통합위탁"/>
    <s v="01. 이러닝 - 통합위탁"/>
    <s v="01. 이러닝 - 통합위탁"/>
    <m/>
    <n v="68500000"/>
    <n v="104207000"/>
    <n v="99000000"/>
    <m/>
    <s v="01 확정"/>
    <x v="0"/>
    <m/>
    <m/>
    <n v="101861000"/>
    <n v="101861000"/>
    <n v="0"/>
    <m/>
    <m/>
    <m/>
    <n v="49500000"/>
    <n v="52361000"/>
    <m/>
    <m/>
    <m/>
    <m/>
    <m/>
    <m/>
    <m/>
    <m/>
    <m/>
    <m/>
    <m/>
    <m/>
    <m/>
    <m/>
    <m/>
    <m/>
    <n v="49500000"/>
    <m/>
    <m/>
    <m/>
    <m/>
    <m/>
  </r>
  <r>
    <n v="251"/>
    <m/>
    <m/>
    <s v="기업교육1팀"/>
    <s v="황동현"/>
    <s v="기업교육1팀"/>
    <x v="2"/>
    <m/>
    <m/>
    <s v="고려대학교의료원"/>
    <m/>
    <m/>
    <n v="4578"/>
    <s v="04 3000대 이후"/>
    <s v="03 신규"/>
    <s v="03 휴넷 LMS"/>
    <s v="통합위탁"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52"/>
    <m/>
    <m/>
    <s v="기업교육1팀"/>
    <s v="황동현"/>
    <s v="기업교육1팀"/>
    <x v="2"/>
    <m/>
    <m/>
    <s v="고려대학교의료원 산학협력단"/>
    <m/>
    <m/>
    <n v="57958"/>
    <s v="04 3000대 이후"/>
    <s v="01 수성"/>
    <s v="03 휴넷 LMS"/>
    <s v="2. 온라인 - 법정"/>
    <s v="03. 이러닝 - 법정"/>
    <s v="03. 이러닝 - 법정"/>
    <m/>
    <n v="10209000"/>
    <n v="2334000"/>
    <n v="8010000"/>
    <m/>
    <s v="01 확정"/>
    <x v="0"/>
    <m/>
    <m/>
    <n v="3000000"/>
    <n v="3000000"/>
    <n v="0"/>
    <m/>
    <m/>
    <m/>
    <m/>
    <m/>
    <m/>
    <n v="0"/>
    <m/>
    <m/>
    <m/>
    <m/>
    <m/>
    <m/>
    <m/>
    <m/>
    <m/>
    <m/>
    <m/>
    <m/>
    <m/>
    <m/>
    <m/>
    <m/>
    <n v="3000000"/>
    <m/>
    <m/>
    <m/>
  </r>
  <r>
    <n v="253"/>
    <m/>
    <m/>
    <s v="기업교육1팀"/>
    <s v="황동현"/>
    <s v="기업교육1팀"/>
    <x v="2"/>
    <m/>
    <m/>
    <s v="국방기술품질원"/>
    <m/>
    <m/>
    <n v="10460"/>
    <s v="05 공공"/>
    <s v="01 수성"/>
    <s v="02 경쟁사 LMS"/>
    <s v="통합위탁"/>
    <s v="01. 이러닝 - 통합위탁"/>
    <s v="01. 이러닝 - 통합위탁"/>
    <m/>
    <s v=""/>
    <n v="0"/>
    <n v="118558380"/>
    <m/>
    <s v="01 확정"/>
    <x v="0"/>
    <m/>
    <m/>
    <n v="130441620"/>
    <n v="130441620"/>
    <n v="0"/>
    <m/>
    <m/>
    <m/>
    <m/>
    <m/>
    <m/>
    <n v="20441620"/>
    <n v="20441620"/>
    <m/>
    <m/>
    <m/>
    <m/>
    <m/>
    <n v="40000000"/>
    <m/>
    <m/>
    <m/>
    <m/>
    <m/>
    <n v="40000000"/>
    <m/>
    <m/>
    <m/>
    <m/>
    <m/>
    <n v="30000000"/>
    <m/>
  </r>
  <r>
    <n v="254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s v="03. 이러닝 - 법정"/>
    <s v="03. 이러닝 - 법정"/>
    <m/>
    <n v="10275000"/>
    <n v="13875000"/>
    <n v="14862500"/>
    <n v="12037500"/>
    <s v="01 확정"/>
    <x v="0"/>
    <m/>
    <m/>
    <n v="8545000"/>
    <n v="8545000"/>
    <n v="0"/>
    <n v="5000"/>
    <n v="5000"/>
    <m/>
    <m/>
    <m/>
    <m/>
    <n v="4840000"/>
    <n v="40000"/>
    <m/>
    <m/>
    <m/>
    <m/>
    <m/>
    <m/>
    <m/>
    <m/>
    <m/>
    <m/>
    <m/>
    <m/>
    <m/>
    <m/>
    <m/>
    <m/>
    <m/>
    <n v="8500000"/>
    <m/>
  </r>
  <r>
    <n v="255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m/>
    <s v="08. 하이브리드러닝 - 하이브리드형 러닝"/>
    <m/>
    <m/>
    <m/>
    <n v="0"/>
    <m/>
    <m/>
    <x v="0"/>
    <m/>
    <m/>
    <n v="3150000"/>
    <n v="3150000"/>
    <n v="0"/>
    <m/>
    <m/>
    <m/>
    <n v="3000000"/>
    <n v="3150000"/>
    <m/>
    <n v="2700000"/>
    <n v="0"/>
    <m/>
    <m/>
    <m/>
    <m/>
    <m/>
    <m/>
    <m/>
    <m/>
    <m/>
    <m/>
    <m/>
    <m/>
    <m/>
    <m/>
    <m/>
    <m/>
    <m/>
    <m/>
    <m/>
  </r>
  <r>
    <n v="256"/>
    <m/>
    <m/>
    <m/>
    <m/>
    <s v="기업교육1팀"/>
    <x v="2"/>
    <m/>
    <m/>
    <s v="대한조선"/>
    <m/>
    <m/>
    <n v="55755"/>
    <m/>
    <m/>
    <m/>
    <m/>
    <m/>
    <s v="03. 이러닝 - 법정"/>
    <m/>
    <m/>
    <m/>
    <n v="372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1팀"/>
    <s v="황동현"/>
    <s v="기업교육1팀"/>
    <x v="2"/>
    <m/>
    <m/>
    <s v="대한조선"/>
    <m/>
    <m/>
    <n v="55755"/>
    <s v="01 1~1000대"/>
    <s v="01 수성"/>
    <m/>
    <s v="26. 정부지원사업 - HRDFLEX"/>
    <s v="26. 이러닝 - 정부지원사업"/>
    <s v="06. 이러닝 - 정부지원사업"/>
    <m/>
    <m/>
    <n v="1806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1팀"/>
    <s v="황동현"/>
    <s v="기업교육1팀"/>
    <x v="2"/>
    <m/>
    <m/>
    <s v="대한조선(HRD아카이브)"/>
    <m/>
    <m/>
    <n v="12913"/>
    <s v="01 1~1000대"/>
    <s v="01 수성"/>
    <s v="02 경쟁사 LMS"/>
    <s v="1. 온라인 - 단과"/>
    <s v="26. 이러닝 - 정부지원사업"/>
    <s v="06. 이러닝 - 정부지원사업"/>
    <m/>
    <n v="7132700"/>
    <n v="5411100"/>
    <n v="8680000"/>
    <m/>
    <s v="01 확정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259"/>
    <m/>
    <m/>
    <s v="기업교육1팀"/>
    <s v="황동현"/>
    <s v="기업교육1팀"/>
    <x v="2"/>
    <m/>
    <m/>
    <s v="비씨카드"/>
    <m/>
    <m/>
    <n v="465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8800000"/>
    <n v="66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60"/>
    <m/>
    <m/>
    <s v="기업교육1팀"/>
    <s v="황동현"/>
    <s v="기업교육1팀"/>
    <x v="2"/>
    <m/>
    <m/>
    <s v="비씨카드"/>
    <m/>
    <m/>
    <n v="46587"/>
    <s v="01 1~1000대"/>
    <s v="01 수성"/>
    <m/>
    <s v="10. 컨텐츠 - 컨텐츠 개발"/>
    <s v="14. 컨텐츠 - 컨텐츠 개발"/>
    <s v="15. 컨텐츠 - 컨텐츠 개발"/>
    <m/>
    <n v="6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1"/>
    <m/>
    <m/>
    <s v="기업교육1팀"/>
    <s v="황동현"/>
    <s v="기업교육1팀"/>
    <x v="2"/>
    <m/>
    <m/>
    <s v="비씨카드(1~6월)"/>
    <m/>
    <m/>
    <n v="46587"/>
    <s v="01 1~1000대"/>
    <s v="04 연장"/>
    <s v="03 휴넷 LMS"/>
    <s v="통합위탁"/>
    <s v="01. 이러닝 - 통합위탁"/>
    <s v="01. 이러닝 - 통합위탁"/>
    <s v="O"/>
    <n v="94955349"/>
    <n v="107682588"/>
    <n v="145855620"/>
    <m/>
    <s v="01 확정"/>
    <x v="0"/>
    <m/>
    <m/>
    <n v="54267410"/>
    <n v="54267410"/>
    <n v="0"/>
    <n v="7708220"/>
    <n v="7708220"/>
    <m/>
    <n v="10000000"/>
    <n v="9785700"/>
    <m/>
    <n v="6773490"/>
    <n v="6773490"/>
    <m/>
    <n v="10000000"/>
    <m/>
    <n v="10000000"/>
    <m/>
    <n v="10000000"/>
    <m/>
    <m/>
    <m/>
    <m/>
    <m/>
    <m/>
    <m/>
    <m/>
    <m/>
    <m/>
    <m/>
    <m/>
    <m/>
  </r>
  <r>
    <n v="262"/>
    <m/>
    <m/>
    <s v="기업교육1팀"/>
    <s v="황동현"/>
    <s v="기업교육1팀"/>
    <x v="2"/>
    <m/>
    <m/>
    <s v="비씨카드(7~12월)"/>
    <m/>
    <m/>
    <n v="46587"/>
    <s v="01 1~1000대"/>
    <s v="01 수성"/>
    <m/>
    <s v="통합위탁"/>
    <s v="01. 이러닝 - 통합위탁"/>
    <s v="01. 이러닝 - 통합위탁"/>
    <m/>
    <m/>
    <n v="0"/>
    <n v="0"/>
    <m/>
    <s v="06 사업취소"/>
    <x v="4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263"/>
    <m/>
    <m/>
    <s v="기업교육1팀"/>
    <s v="황동현"/>
    <s v="기업교육1팀"/>
    <x v="2"/>
    <m/>
    <m/>
    <s v="삼성물산 건설부문"/>
    <m/>
    <m/>
    <n v="787"/>
    <s v="01 1~1000대"/>
    <s v="03 신규"/>
    <s v="02 경쟁사 LMS"/>
    <s v="1. 온라인 - 단과"/>
    <s v="02. 이러닝 - 단과"/>
    <s v="02. 이러닝 - 단과"/>
    <m/>
    <n v="73348060"/>
    <n v="0"/>
    <n v="0"/>
    <m/>
    <s v="03 기회"/>
    <x v="0"/>
    <m/>
    <m/>
    <n v="25000000"/>
    <n v="25000000"/>
    <n v="0"/>
    <m/>
    <m/>
    <m/>
    <m/>
    <m/>
    <m/>
    <m/>
    <m/>
    <m/>
    <m/>
    <m/>
    <m/>
    <m/>
    <m/>
    <m/>
    <n v="25000000"/>
    <m/>
    <m/>
    <m/>
    <m/>
    <m/>
    <m/>
    <m/>
    <m/>
    <m/>
    <m/>
    <m/>
  </r>
  <r>
    <n v="264"/>
    <m/>
    <m/>
    <s v="기업교육1팀"/>
    <s v="황동현"/>
    <s v="기업교육1팀"/>
    <x v="2"/>
    <m/>
    <m/>
    <s v="삼성물산 건설부문"/>
    <m/>
    <m/>
    <n v="787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8448000"/>
    <n v="3330000"/>
    <m/>
    <s v="03 기회"/>
    <x v="1"/>
    <m/>
    <m/>
    <n v="30000000"/>
    <n v="30000000"/>
    <n v="0"/>
    <m/>
    <m/>
    <m/>
    <m/>
    <m/>
    <m/>
    <m/>
    <m/>
    <m/>
    <m/>
    <m/>
    <n v="10000000"/>
    <m/>
    <m/>
    <m/>
    <m/>
    <m/>
    <n v="10000000"/>
    <m/>
    <m/>
    <m/>
    <m/>
    <m/>
    <n v="10000000"/>
    <m/>
    <m/>
    <m/>
  </r>
  <r>
    <n v="265"/>
    <m/>
    <m/>
    <s v="기업교육1팀"/>
    <s v="황동현"/>
    <s v="기업교육1팀"/>
    <x v="2"/>
    <m/>
    <m/>
    <s v="삼성물산 건설부문(안전)"/>
    <m/>
    <m/>
    <n v="787"/>
    <s v="01 1~1000대"/>
    <s v="03 신규"/>
    <s v="02 경쟁사 LMS"/>
    <s v="10. 컨텐츠 - 컨텐츠 개발"/>
    <s v="14. 컨텐츠 - 컨텐츠 개발"/>
    <s v="15. 컨텐츠 - 컨텐츠 개발"/>
    <m/>
    <s v=""/>
    <n v="0"/>
    <n v="697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66"/>
    <m/>
    <m/>
    <s v="기업교육1팀"/>
    <s v="황동현"/>
    <s v="기업교육1팀"/>
    <x v="2"/>
    <m/>
    <m/>
    <s v="삼성물산 건설부문(윤리)"/>
    <m/>
    <m/>
    <n v="787"/>
    <s v="01 1~1000대"/>
    <s v="01 수성"/>
    <s v="02 경쟁사 LMS"/>
    <s v="10. 컨텐츠 - 컨텐츠 개발"/>
    <s v="14. 컨텐츠 - 컨텐츠 개발"/>
    <s v="15. 컨텐츠 - 컨텐츠 개발"/>
    <m/>
    <s v=""/>
    <n v="84100000"/>
    <n v="0"/>
    <m/>
    <s v="01 확정"/>
    <x v="5"/>
    <m/>
    <m/>
    <n v="65000000"/>
    <n v="65000000"/>
    <n v="0"/>
    <m/>
    <m/>
    <m/>
    <m/>
    <m/>
    <m/>
    <m/>
    <m/>
    <m/>
    <m/>
    <m/>
    <m/>
    <m/>
    <m/>
    <m/>
    <m/>
    <m/>
    <m/>
    <m/>
    <n v="65000000"/>
    <m/>
    <m/>
    <m/>
    <m/>
    <m/>
    <m/>
    <m/>
  </r>
  <r>
    <n v="267"/>
    <m/>
    <m/>
    <s v="기업교육2팀"/>
    <s v="황재연"/>
    <s v="기업교육1팀"/>
    <x v="2"/>
    <m/>
    <m/>
    <s v="시흥시청(평생교육원)"/>
    <m/>
    <m/>
    <n v="46973"/>
    <s v="05 공공"/>
    <s v="01 수성"/>
    <s v="03 휴넷 LMS"/>
    <s v="10. 컨텐츠 - 컨텐츠 개발"/>
    <s v="14. 컨텐츠 - 컨텐츠 개발"/>
    <s v="15. 컨텐츠 - 컨텐츠 개발"/>
    <m/>
    <m/>
    <n v="114000000"/>
    <n v="0"/>
    <m/>
    <s v="02 가망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68"/>
    <m/>
    <m/>
    <s v="기업교육2팀"/>
    <s v="황재연"/>
    <s v="기업교육1팀"/>
    <x v="2"/>
    <m/>
    <m/>
    <s v="시흥시청(평생교육원)"/>
    <m/>
    <m/>
    <n v="46973"/>
    <s v="05 공공"/>
    <m/>
    <m/>
    <m/>
    <s v="18. 운영 - BPO"/>
    <s v="19. 운영 - BPO"/>
    <m/>
    <m/>
    <n v="0"/>
    <n v="0"/>
    <m/>
    <s v="02 가망"/>
    <x v="3"/>
    <m/>
    <m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n v="170000000"/>
    <m/>
  </r>
  <r>
    <n v="269"/>
    <m/>
    <m/>
    <s v="기업교육1팀"/>
    <s v="황동현"/>
    <s v="기업교육1팀"/>
    <x v="2"/>
    <m/>
    <m/>
    <s v="에이치엔씨네트워크"/>
    <m/>
    <m/>
    <n v="27194"/>
    <s v="01 1~1000대"/>
    <s v="01 수성"/>
    <s v="03 휴넷 LMS"/>
    <s v="2. 온라인 - 법정"/>
    <s v="03. 이러닝 - 법정"/>
    <s v="03. 이러닝 - 법정"/>
    <m/>
    <m/>
    <n v="0"/>
    <n v="7357500"/>
    <m/>
    <s v="01 확정"/>
    <x v="3"/>
    <m/>
    <m/>
    <n v="7500000"/>
    <n v="7500000"/>
    <n v="0"/>
    <m/>
    <m/>
    <m/>
    <m/>
    <m/>
    <m/>
    <m/>
    <m/>
    <m/>
    <m/>
    <m/>
    <m/>
    <m/>
    <m/>
    <m/>
    <m/>
    <m/>
    <m/>
    <m/>
    <m/>
    <m/>
    <m/>
    <m/>
    <m/>
    <m/>
    <n v="7500000"/>
    <m/>
  </r>
  <r>
    <n v="270"/>
    <m/>
    <m/>
    <s v="기업교육1팀"/>
    <s v="황동현"/>
    <s v="기업교육1팀"/>
    <x v="2"/>
    <m/>
    <m/>
    <s v="오리온 상생아카데미"/>
    <m/>
    <m/>
    <n v="49976"/>
    <s v="01 1~1000대"/>
    <s v="01 수성"/>
    <s v="03 휴넷 LMS"/>
    <s v="1. 온라인 - 단과"/>
    <s v="02. 이러닝 - 단과"/>
    <s v="02. 이러닝 - 단과"/>
    <m/>
    <n v="8000000"/>
    <n v="8000000"/>
    <n v="4000000"/>
    <n v="0"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1팀"/>
    <s v="황동현"/>
    <s v="기업교육1팀"/>
    <x v="2"/>
    <m/>
    <m/>
    <s v="오리온(1~6월)"/>
    <m/>
    <m/>
    <n v="3640"/>
    <s v="01 1~1000대"/>
    <s v="04 연장"/>
    <s v="03 휴넷 LMS"/>
    <s v="통합위탁"/>
    <s v="01. 이러닝 - 통합위탁"/>
    <s v="01. 이러닝 - 통합위탁"/>
    <s v="O"/>
    <n v="189992708"/>
    <n v="201131700"/>
    <n v="243218555"/>
    <m/>
    <s v="01 확정"/>
    <x v="0"/>
    <m/>
    <m/>
    <n v="106538580"/>
    <n v="106538580"/>
    <n v="0"/>
    <n v="19749105"/>
    <n v="15749105"/>
    <m/>
    <n v="15000000"/>
    <n v="22157575"/>
    <m/>
    <n v="23631900"/>
    <n v="23631900"/>
    <m/>
    <n v="15000000"/>
    <m/>
    <n v="15000000"/>
    <m/>
    <n v="15000000"/>
    <m/>
    <m/>
    <m/>
    <m/>
    <m/>
    <m/>
    <m/>
    <m/>
    <m/>
    <m/>
    <m/>
    <m/>
    <m/>
  </r>
  <r>
    <n v="272"/>
    <m/>
    <m/>
    <s v="기업교육1팀"/>
    <s v="황동현"/>
    <s v="기업교육1팀"/>
    <x v="2"/>
    <m/>
    <m/>
    <s v="오리온(7~12월)"/>
    <m/>
    <m/>
    <n v="3640"/>
    <s v="01 1~1000대"/>
    <s v="01 수성"/>
    <s v="03 휴넷 LMS"/>
    <s v="통합위탁"/>
    <s v="08. 하이브리드러닝 - 하이브리드형 러닝"/>
    <s v="08. 하이브리드러닝 - 하이브리드형 러닝"/>
    <m/>
    <m/>
    <n v="0"/>
    <n v="0"/>
    <m/>
    <s v="03 기회"/>
    <x v="4"/>
    <m/>
    <m/>
    <n v="90000000"/>
    <n v="90000000"/>
    <n v="0"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  <n v="15000000"/>
    <m/>
  </r>
  <r>
    <n v="273"/>
    <m/>
    <m/>
    <s v="기업교육1팀"/>
    <s v="황동현"/>
    <s v="기업교육1팀"/>
    <x v="2"/>
    <m/>
    <m/>
    <s v="이어드림스쿨"/>
    <m/>
    <m/>
    <n v="4710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500000"/>
    <n v="965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m/>
    <m/>
    <s v="기업교육1팀"/>
    <x v="2"/>
    <m/>
    <m/>
    <s v="중소벤처기업진흥공단"/>
    <m/>
    <m/>
    <n v="42940"/>
    <m/>
    <m/>
    <m/>
    <m/>
    <m/>
    <s v="01. 이러닝 - 통합위탁"/>
    <m/>
    <m/>
    <m/>
    <n v="159405700"/>
    <n v="0"/>
    <m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1팀"/>
    <s v="황동현"/>
    <s v="기업교육1팀"/>
    <x v="2"/>
    <m/>
    <m/>
    <s v="중진공 (기업연수처)_이러닝 임대판매"/>
    <m/>
    <m/>
    <n v="7740"/>
    <s v="05 공공"/>
    <s v="04 연장"/>
    <s v="01 자체 LMS"/>
    <s v="11. 컨텐츠 - 컨텐츠 임대/판매"/>
    <s v="07. 이러닝 - 컨텐츠 임대/판매"/>
    <s v="07. 이러닝 - 컨텐츠 임대/판매"/>
    <m/>
    <n v="27130232"/>
    <n v="155823387"/>
    <n v="17050636"/>
    <m/>
    <s v="01 확정"/>
    <x v="0"/>
    <m/>
    <m/>
    <n v="15000000"/>
    <n v="15000000"/>
    <n v="0"/>
    <m/>
    <m/>
    <m/>
    <m/>
    <m/>
    <m/>
    <m/>
    <m/>
    <m/>
    <n v="5000000"/>
    <m/>
    <m/>
    <m/>
    <m/>
    <m/>
    <m/>
    <m/>
    <n v="5000000"/>
    <m/>
    <m/>
    <m/>
    <m/>
    <m/>
    <m/>
    <m/>
    <n v="5000000"/>
    <m/>
  </r>
  <r>
    <n v="276"/>
    <m/>
    <m/>
    <s v="기업교육1팀"/>
    <s v="황동현"/>
    <s v="기업교육1팀"/>
    <x v="2"/>
    <m/>
    <m/>
    <s v="중진공(리더십및직무)"/>
    <m/>
    <m/>
    <n v="42940"/>
    <s v="05 공공"/>
    <s v="01 수성"/>
    <s v="03 휴넷 LMS"/>
    <s v="6. 하이브리드러닝 - 집합형"/>
    <s v="08. 하이브리드러닝 - 하이브리드형 러닝"/>
    <s v="08. 하이브리드러닝 - 하이브리드형 러닝"/>
    <m/>
    <s v=""/>
    <n v="106631818"/>
    <n v="30836836"/>
    <m/>
    <s v="04 실주"/>
    <x v="5"/>
    <m/>
    <m/>
    <n v="220000000"/>
    <n v="220000000"/>
    <n v="0"/>
    <m/>
    <m/>
    <m/>
    <m/>
    <m/>
    <m/>
    <m/>
    <m/>
    <m/>
    <m/>
    <m/>
    <n v="190000000"/>
    <m/>
    <m/>
    <m/>
    <m/>
    <m/>
    <m/>
    <m/>
    <m/>
    <m/>
    <m/>
    <m/>
    <m/>
    <m/>
    <n v="30000000"/>
    <m/>
  </r>
  <r>
    <n v="277"/>
    <m/>
    <m/>
    <s v="기업교육1팀"/>
    <s v="황동현"/>
    <s v="기업교육1팀"/>
    <x v="2"/>
    <m/>
    <m/>
    <s v="중진공(스마트러닝)"/>
    <m/>
    <m/>
    <n v="42940"/>
    <s v="05 공공"/>
    <s v="01 수성"/>
    <s v="03 휴넷 LMS"/>
    <s v="통합위탁"/>
    <s v="04. 이러닝 - 마이크로러닝"/>
    <s v="01. 이러닝 - 통합위탁"/>
    <m/>
    <n v="204578707"/>
    <n v="179197380"/>
    <n v="0"/>
    <n v="150970800"/>
    <s v="01 확정"/>
    <x v="0"/>
    <m/>
    <m/>
    <n v="131080000"/>
    <n v="131080000"/>
    <n v="0"/>
    <m/>
    <m/>
    <m/>
    <m/>
    <m/>
    <m/>
    <n v="1080000"/>
    <n v="1080000"/>
    <m/>
    <m/>
    <m/>
    <n v="40000000"/>
    <m/>
    <m/>
    <m/>
    <m/>
    <m/>
    <n v="40000000"/>
    <m/>
    <m/>
    <m/>
    <m/>
    <m/>
    <n v="50000000"/>
    <m/>
    <m/>
    <m/>
  </r>
  <r>
    <n v="278"/>
    <m/>
    <m/>
    <s v="기업교육1팀"/>
    <s v="황동현"/>
    <s v="기업교육1팀"/>
    <x v="2"/>
    <m/>
    <m/>
    <s v="중진공_마이크로러닝 임차"/>
    <m/>
    <m/>
    <n v="7740"/>
    <s v="05 공공"/>
    <s v="01 수성"/>
    <s v="03 휴넷 LMS"/>
    <s v="11. 컨텐츠 - 컨텐츠 임대/판매"/>
    <s v="07. 이러닝 - 컨텐츠 임대/판매"/>
    <s v="07. 이러닝 - 컨텐츠 임대/판매"/>
    <m/>
    <n v="96000000"/>
    <n v="0"/>
    <n v="130909091"/>
    <m/>
    <s v="01 확정"/>
    <x v="0"/>
    <m/>
    <m/>
    <n v="130000000"/>
    <n v="130000000"/>
    <n v="0"/>
    <m/>
    <m/>
    <m/>
    <m/>
    <m/>
    <m/>
    <m/>
    <m/>
    <m/>
    <m/>
    <m/>
    <n v="90000000"/>
    <m/>
    <m/>
    <m/>
    <m/>
    <m/>
    <m/>
    <m/>
    <m/>
    <m/>
    <m/>
    <m/>
    <m/>
    <m/>
    <n v="40000000"/>
    <m/>
  </r>
  <r>
    <n v="279"/>
    <m/>
    <m/>
    <m/>
    <m/>
    <s v="기업교육1팀"/>
    <x v="2"/>
    <m/>
    <m/>
    <s v="중진공파트너스"/>
    <m/>
    <m/>
    <n v="63615"/>
    <m/>
    <m/>
    <m/>
    <m/>
    <m/>
    <s v="03. 이러닝 - 법정"/>
    <m/>
    <m/>
    <m/>
    <n v="6789000"/>
    <m/>
    <m/>
    <x v="0"/>
    <m/>
    <m/>
    <n v="4100000"/>
    <n v="4100000"/>
    <n v="0"/>
    <m/>
    <m/>
    <m/>
    <m/>
    <m/>
    <m/>
    <m/>
    <m/>
    <m/>
    <n v="4100000"/>
    <m/>
    <m/>
    <m/>
    <m/>
    <m/>
    <m/>
    <m/>
    <m/>
    <m/>
    <m/>
    <m/>
    <m/>
    <m/>
    <m/>
    <m/>
    <m/>
    <m/>
  </r>
  <r>
    <n v="280"/>
    <m/>
    <m/>
    <s v="기업교육1팀"/>
    <s v="황동현"/>
    <s v="기업교육1팀"/>
    <x v="2"/>
    <m/>
    <m/>
    <s v="창신INC"/>
    <m/>
    <m/>
    <n v="1829"/>
    <s v="01 1~1000대"/>
    <s v="03 신규"/>
    <s v="03 휴넷 LMS"/>
    <s v="1. 온라인 - 단과"/>
    <s v="01. 이러닝 - 통합위탁"/>
    <s v="02. 이러닝 - 단과"/>
    <m/>
    <n v="14620000"/>
    <n v="0"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81"/>
    <m/>
    <m/>
    <s v="기업교육1팀"/>
    <s v="황동현"/>
    <s v="기업교육1팀"/>
    <x v="2"/>
    <m/>
    <m/>
    <s v="창신INC(EX-MBA)"/>
    <m/>
    <m/>
    <n v="1829"/>
    <s v="01 1~1000대"/>
    <s v="01 수성"/>
    <m/>
    <s v="7. 휴넷CEO - 휴넷CEO"/>
    <s v="10. 구독 - 휴넷CEO멤버십"/>
    <s v="11. 구독 - 휴넷CEO멤버십"/>
    <m/>
    <m/>
    <n v="2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2"/>
    <m/>
    <m/>
    <s v="기업교육1팀"/>
    <s v="황동현"/>
    <s v="기업교육1팀"/>
    <x v="2"/>
    <m/>
    <m/>
    <s v="창신INC(주재원)"/>
    <m/>
    <m/>
    <n v="1829"/>
    <s v="01 1~1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3"/>
    <m/>
    <m/>
    <s v="기업교육1팀"/>
    <s v="황동현"/>
    <s v="기업교육1팀"/>
    <x v="2"/>
    <m/>
    <m/>
    <s v="켑코솔라"/>
    <m/>
    <m/>
    <n v="58658"/>
    <s v="05 공공"/>
    <m/>
    <s v="01 자체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1팀"/>
    <s v="황동현"/>
    <s v="기업교육1팀"/>
    <x v="2"/>
    <m/>
    <m/>
    <s v="한국남부발전"/>
    <m/>
    <m/>
    <n v="1347"/>
    <s v="05 공공"/>
    <s v="03 신규"/>
    <m/>
    <s v="통합위탁"/>
    <s v="01. 이러닝 - 통합위탁"/>
    <s v="01. 이러닝 - 통합위탁"/>
    <m/>
    <m/>
    <n v="0"/>
    <n v="0"/>
    <m/>
    <s v="04 실주"/>
    <x v="5"/>
    <m/>
    <m/>
    <n v="200000000"/>
    <n v="200000000"/>
    <n v="0"/>
    <m/>
    <m/>
    <m/>
    <m/>
    <m/>
    <m/>
    <n v="300000000"/>
    <m/>
    <m/>
    <m/>
    <m/>
    <m/>
    <m/>
    <m/>
    <m/>
    <m/>
    <m/>
    <m/>
    <m/>
    <m/>
    <m/>
    <m/>
    <m/>
    <m/>
    <m/>
    <n v="200000000"/>
    <m/>
  </r>
  <r>
    <n v="285"/>
    <m/>
    <m/>
    <s v="기업교육1팀"/>
    <s v="황동현"/>
    <s v="기업교육1팀"/>
    <x v="2"/>
    <m/>
    <m/>
    <s v="한국남부발전"/>
    <m/>
    <m/>
    <n v="1347"/>
    <s v="05 공공"/>
    <s v="03 신규"/>
    <s v="02 경쟁사 LMS"/>
    <s v="11. 컨텐츠 - 컨텐츠 임대/판매"/>
    <s v="07. 이러닝 - 컨텐츠 임대/판매"/>
    <s v="07. 이러닝 - 컨텐츠 임대/판매"/>
    <m/>
    <n v="0"/>
    <n v="0"/>
    <n v="99003500"/>
    <m/>
    <s v="01 확정"/>
    <x v="0"/>
    <m/>
    <m/>
    <n v="27811026"/>
    <n v="27811026"/>
    <n v="0"/>
    <n v="8848276"/>
    <n v="8848276"/>
    <m/>
    <n v="8000000"/>
    <n v="9197935"/>
    <m/>
    <n v="9764815"/>
    <n v="9764815"/>
    <m/>
    <m/>
    <m/>
    <m/>
    <m/>
    <m/>
    <m/>
    <m/>
    <m/>
    <m/>
    <m/>
    <m/>
    <m/>
    <m/>
    <m/>
    <m/>
    <m/>
    <m/>
    <m/>
  </r>
  <r>
    <n v="286"/>
    <m/>
    <m/>
    <s v="기업교육1팀"/>
    <s v="황동현"/>
    <s v="기업교육1팀"/>
    <x v="2"/>
    <m/>
    <m/>
    <s v="한국남부발전"/>
    <m/>
    <m/>
    <n v="1347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0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1팀"/>
    <s v="황동현"/>
    <s v="기업교육1팀"/>
    <x v="2"/>
    <m/>
    <m/>
    <s v="한국남부발전"/>
    <m/>
    <m/>
    <n v="1347"/>
    <s v="05 공공"/>
    <s v="01 수성"/>
    <m/>
    <s v="10. 컨텐츠 - 컨텐츠 개발"/>
    <s v="14. 컨텐츠 - 컨텐츠 개발"/>
    <s v="15. 컨텐츠 - 컨텐츠 개발"/>
    <m/>
    <n v="2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1팀"/>
    <s v="황동현"/>
    <s v="기업교육1팀"/>
    <x v="2"/>
    <m/>
    <m/>
    <s v="한국토요타자동차"/>
    <m/>
    <m/>
    <n v="2165"/>
    <s v="03 2001~3000대"/>
    <s v="03 신규"/>
    <s v="03 휴넷 LMS"/>
    <s v="2. 온라인 - 법정"/>
    <s v="03. 이러닝 - 법정"/>
    <s v="03. 이러닝 - 법정"/>
    <m/>
    <n v="2160000"/>
    <n v="1944000"/>
    <n v="1735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289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1팀"/>
    <s v="황동현"/>
    <s v="기업교육1팀"/>
    <x v="2"/>
    <m/>
    <m/>
    <s v="한림제약"/>
    <m/>
    <m/>
    <n v="6010"/>
    <s v="02 1001~2000대"/>
    <s v="04 연장"/>
    <s v="03 휴넷 LMS"/>
    <s v="4. 하이브리드러닝 - 플립형"/>
    <s v="08. 하이브리드러닝 - 하이브리드형 러닝"/>
    <s v="08. 하이브리드러닝 - 하이브리드형 러닝"/>
    <m/>
    <n v="78576000"/>
    <n v="81322050"/>
    <n v="104788120"/>
    <m/>
    <s v="01 확정"/>
    <x v="0"/>
    <m/>
    <m/>
    <n v="71107900"/>
    <n v="71107900"/>
    <n v="0"/>
    <n v="254300"/>
    <n v="254300"/>
    <m/>
    <m/>
    <n v="226800"/>
    <m/>
    <n v="626800"/>
    <n v="626800"/>
    <m/>
    <n v="20000000"/>
    <m/>
    <m/>
    <m/>
    <n v="5000000"/>
    <m/>
    <n v="20000000"/>
    <m/>
    <m/>
    <m/>
    <n v="5000000"/>
    <m/>
    <n v="15000000"/>
    <m/>
    <m/>
    <m/>
    <n v="5000000"/>
    <m/>
  </r>
  <r>
    <n v="292"/>
    <m/>
    <m/>
    <s v="기업교육1팀"/>
    <s v="황동현"/>
    <s v="기업교육1팀"/>
    <x v="2"/>
    <m/>
    <m/>
    <s v="한성자동차"/>
    <m/>
    <m/>
    <n v="4084"/>
    <s v="01 1~1000대"/>
    <s v="04 연장"/>
    <s v="03 휴넷 LMS"/>
    <s v="통합위탁"/>
    <s v="01. 이러닝 - 통합위탁"/>
    <s v="01. 이러닝 - 통합위탁"/>
    <m/>
    <n v="6020000"/>
    <n v="69290400"/>
    <n v="59513000"/>
    <m/>
    <s v="01 확정"/>
    <x v="0"/>
    <m/>
    <m/>
    <n v="53895000"/>
    <n v="53895000"/>
    <n v="0"/>
    <n v="560000"/>
    <n v="560000"/>
    <m/>
    <m/>
    <n v="795000"/>
    <m/>
    <n v="2540000"/>
    <n v="2540000"/>
    <m/>
    <m/>
    <m/>
    <m/>
    <m/>
    <m/>
    <m/>
    <m/>
    <m/>
    <m/>
    <m/>
    <m/>
    <m/>
    <n v="30000000"/>
    <m/>
    <n v="20000000"/>
    <m/>
    <m/>
    <m/>
  </r>
  <r>
    <n v="293"/>
    <m/>
    <m/>
    <s v="기업교육1팀"/>
    <s v="황동현"/>
    <s v="기업교육1팀"/>
    <x v="2"/>
    <m/>
    <m/>
    <s v="한화/글로벌"/>
    <m/>
    <m/>
    <n v="45181"/>
    <s v="01 1~1000대"/>
    <s v="01 수성"/>
    <s v="03 휴넷 LMS"/>
    <s v="2. 온라인 - 법정"/>
    <s v="03. 이러닝 - 법정"/>
    <s v="03. 이러닝 - 법정"/>
    <m/>
    <n v="6976000"/>
    <n v="12187000"/>
    <n v="915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4"/>
    <m/>
    <m/>
    <s v="기업교육1팀"/>
    <s v="김신정"/>
    <s v="기업교육1팀"/>
    <x v="2"/>
    <m/>
    <m/>
    <s v="한화_협력사"/>
    <m/>
    <m/>
    <n v="63777"/>
    <s v="01 1~1000대"/>
    <s v="03 신규"/>
    <m/>
    <m/>
    <s v="01. 이러닝 - 통합위탁"/>
    <s v="01. 이러닝 - 통합위탁"/>
    <m/>
    <m/>
    <m/>
    <n v="1184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295"/>
    <m/>
    <m/>
    <m/>
    <m/>
    <s v="기업교육1팀"/>
    <x v="2"/>
    <m/>
    <m/>
    <s v="한화63시티"/>
    <m/>
    <m/>
    <n v="16913"/>
    <m/>
    <m/>
    <m/>
    <m/>
    <m/>
    <s v="03. 이러닝 - 법정"/>
    <m/>
    <m/>
    <m/>
    <n v="259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3. 이러닝 - 법정"/>
    <s v="03. 이러닝 - 법정"/>
    <m/>
    <n v="19980000"/>
    <n v="15130000"/>
    <n v="12020000"/>
    <m/>
    <s v="02 가망"/>
    <x v="4"/>
    <m/>
    <m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297"/>
    <m/>
    <m/>
    <s v="기업교육1팀"/>
    <s v="황동현"/>
    <s v="기업교육1팀"/>
    <x v="2"/>
    <m/>
    <m/>
    <s v="한화건설"/>
    <m/>
    <m/>
    <n v="16688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36000000"/>
    <n v="28375000"/>
    <n v="23450000"/>
    <m/>
    <s v="01 확정"/>
    <x v="0"/>
    <m/>
    <m/>
    <n v="28010000"/>
    <n v="28010000"/>
    <n v="0"/>
    <m/>
    <m/>
    <m/>
    <m/>
    <m/>
    <m/>
    <n v="3010000"/>
    <n v="3010000"/>
    <m/>
    <m/>
    <m/>
    <m/>
    <m/>
    <m/>
    <m/>
    <m/>
    <m/>
    <m/>
    <m/>
    <n v="25000000"/>
    <m/>
    <m/>
    <m/>
    <m/>
    <m/>
    <m/>
    <m/>
  </r>
  <r>
    <n v="298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10. 컨텐츠 - 컨텐츠 개발"/>
    <s v="14. 컨텐츠 - 컨텐츠 개발"/>
    <s v="15. 컨텐츠 - 컨텐츠 개발"/>
    <m/>
    <n v="25500000"/>
    <n v="255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1팀"/>
    <s v="황동현"/>
    <s v="기업교육1팀"/>
    <x v="2"/>
    <m/>
    <m/>
    <s v="한화생명보험"/>
    <m/>
    <m/>
    <n v="12801"/>
    <s v="01 1~1000대"/>
    <s v="01 수성"/>
    <m/>
    <s v="1. 온라인 - 단과"/>
    <s v="02. 이러닝 - 단과"/>
    <s v="02. 이러닝 - 단과"/>
    <m/>
    <n v="2200000"/>
    <n v="0"/>
    <n v="1335600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1"/>
    <m/>
    <m/>
    <s v="기업교육1팀"/>
    <s v="황동현"/>
    <s v="기업교육1팀"/>
    <x v="2"/>
    <m/>
    <m/>
    <s v="한화생명보험"/>
    <m/>
    <m/>
    <n v="12801"/>
    <s v="01 1~1000대"/>
    <s v="03 신규"/>
    <s v="03 휴넷 LMS"/>
    <s v="11. 컨텐츠 - 컨텐츠 임대/판매"/>
    <s v="07. 이러닝 - 컨텐츠 임대/판매"/>
    <s v="07. 이러닝 - 컨텐츠 임대/판매"/>
    <m/>
    <s v=""/>
    <n v="10400000"/>
    <n v="0"/>
    <m/>
    <s v="03 기회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302"/>
    <m/>
    <m/>
    <s v="기업교육1팀"/>
    <s v="황동현"/>
    <s v="기업교육1팀"/>
    <x v="2"/>
    <m/>
    <m/>
    <s v="한화생명보험"/>
    <m/>
    <m/>
    <n v="12801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15979999"/>
    <n v="8250000"/>
    <m/>
    <s v="01 확정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03"/>
    <m/>
    <m/>
    <s v="기업교육1팀"/>
    <s v="황동현"/>
    <s v="기업교육1팀"/>
    <x v="2"/>
    <m/>
    <m/>
    <s v="한화세미텍"/>
    <m/>
    <m/>
    <n v="40230"/>
    <s v="02 1001~2000대"/>
    <s v="01 수성"/>
    <s v="03 휴넷 LMS"/>
    <s v="1. 온라인 - 단과"/>
    <s v="02. 이러닝 - 단과"/>
    <s v="02. 이러닝 - 단과"/>
    <m/>
    <n v="27456960"/>
    <n v="31589460"/>
    <n v="17266400"/>
    <m/>
    <s v="01 확정"/>
    <x v="0"/>
    <m/>
    <m/>
    <n v="16532600"/>
    <n v="16532600"/>
    <n v="0"/>
    <n v="1266800"/>
    <n v="1266800"/>
    <m/>
    <n v="1500000"/>
    <n v="772800"/>
    <m/>
    <n v="993000"/>
    <n v="993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</r>
  <r>
    <n v="304"/>
    <m/>
    <m/>
    <s v="기업교육1팀"/>
    <s v="황동현"/>
    <s v="기업교육1팀"/>
    <x v="2"/>
    <m/>
    <m/>
    <s v="한화솔루션"/>
    <m/>
    <m/>
    <n v="28673"/>
    <s v="01 1~1000대"/>
    <s v="01 수성"/>
    <s v="03 휴넷 LMS"/>
    <s v="2. 온라인 - 법정"/>
    <s v="03. 이러닝 - 법정"/>
    <s v="03. 이러닝 - 법정"/>
    <m/>
    <n v="10738000"/>
    <n v="11448000"/>
    <n v="803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05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32657600"/>
    <n v="23923900"/>
    <n v="23571400"/>
    <m/>
    <s v="01 확정"/>
    <x v="0"/>
    <m/>
    <m/>
    <n v="22019000"/>
    <n v="22019000"/>
    <n v="0"/>
    <n v="11649000"/>
    <n v="11229000"/>
    <m/>
    <n v="1000000"/>
    <n v="1280000"/>
    <m/>
    <n v="510000"/>
    <n v="51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306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945200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2. 온라인 - 법정"/>
    <s v="03. 이러닝 - 법정"/>
    <s v="03. 이러닝 - 법정"/>
    <m/>
    <n v="18306000"/>
    <n v="15238000"/>
    <n v="7119000"/>
    <m/>
    <s v="02 가망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08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3. 온라인 - 마이크로러닝"/>
    <s v="04. 이러닝 - 마이크로러닝"/>
    <s v="04. 이러닝 - 마이크로러닝"/>
    <m/>
    <n v="18000000"/>
    <n v="9000000"/>
    <n v="9000000"/>
    <m/>
    <s v="01 확정"/>
    <x v="4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309"/>
    <m/>
    <m/>
    <s v="기업교육1팀"/>
    <s v="황동현"/>
    <s v="기업교육1팀"/>
    <x v="2"/>
    <m/>
    <m/>
    <s v="한화에어로스페이스"/>
    <m/>
    <m/>
    <n v="9288"/>
    <s v="01 1~1000대"/>
    <s v="01 수성"/>
    <s v="03 휴넷 LMS"/>
    <s v="1. 온라인 - 단과"/>
    <s v="01. 이러닝 - 통합위탁"/>
    <s v="01. 이러닝 - 통합위탁"/>
    <m/>
    <n v="170472310"/>
    <n v="25446630"/>
    <n v="304579800"/>
    <m/>
    <s v="01 확정"/>
    <x v="0"/>
    <m/>
    <m/>
    <n v="291870100"/>
    <n v="291870100"/>
    <n v="0"/>
    <n v="29960100"/>
    <n v="29960100"/>
    <m/>
    <n v="23000000"/>
    <n v="29970000"/>
    <m/>
    <n v="21970000"/>
    <n v="21970000"/>
    <m/>
    <n v="25970000"/>
    <m/>
    <n v="23000000"/>
    <m/>
    <n v="23000000"/>
    <m/>
    <n v="23000000"/>
    <m/>
    <n v="23000000"/>
    <m/>
    <n v="23000000"/>
    <m/>
    <n v="23000000"/>
    <m/>
    <n v="23000000"/>
    <m/>
    <n v="23000000"/>
    <m/>
  </r>
  <r>
    <n v="310"/>
    <m/>
    <m/>
    <s v="기업교육1팀"/>
    <s v="황동현"/>
    <s v="기업교육1팀"/>
    <x v="2"/>
    <m/>
    <m/>
    <s v="한화에어로스페이스"/>
    <m/>
    <m/>
    <n v="9288"/>
    <s v="01 1~1000대"/>
    <s v="02 윈백"/>
    <s v="03 휴넷 LMS"/>
    <s v="2. 온라인 - 법정"/>
    <s v="03. 이러닝 - 법정"/>
    <s v="03. 이러닝 - 법정"/>
    <m/>
    <n v="20004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1"/>
    <m/>
    <m/>
    <s v="기업교육2팀"/>
    <s v="황재연"/>
    <s v="기업교육1팀"/>
    <x v="2"/>
    <m/>
    <m/>
    <s v="한화엔진"/>
    <m/>
    <m/>
    <n v="30380"/>
    <s v="02 1001~2000대"/>
    <s v="01 수성"/>
    <s v="03 휴넷 LMS"/>
    <s v="1. 온라인 - 단과"/>
    <s v="02. 이러닝 - 단과"/>
    <s v="02. 이러닝 - 단과"/>
    <s v="O"/>
    <n v="27011300"/>
    <n v="26376482"/>
    <n v="28754480"/>
    <m/>
    <s v="01 확정"/>
    <x v="0"/>
    <m/>
    <m/>
    <n v="20637460"/>
    <n v="20637460"/>
    <n v="0"/>
    <n v="789300"/>
    <n v="789300"/>
    <m/>
    <n v="2000000"/>
    <n v="854200"/>
    <m/>
    <n v="993960"/>
    <n v="99396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312"/>
    <m/>
    <m/>
    <m/>
    <m/>
    <s v="기업교육1팀"/>
    <x v="2"/>
    <m/>
    <m/>
    <s v="한화엔진"/>
    <m/>
    <m/>
    <n v="30380"/>
    <s v="02 1001~2000대"/>
    <s v="01 수성"/>
    <s v="03 휴넷 LMS"/>
    <m/>
    <m/>
    <s v="03. 이러닝 - 법정"/>
    <m/>
    <m/>
    <m/>
    <n v="0"/>
    <m/>
    <m/>
    <x v="0"/>
    <m/>
    <m/>
    <n v="4520000"/>
    <n v="4520000"/>
    <n v="0"/>
    <m/>
    <m/>
    <m/>
    <m/>
    <m/>
    <m/>
    <m/>
    <m/>
    <m/>
    <m/>
    <m/>
    <m/>
    <m/>
    <n v="2260000"/>
    <m/>
    <m/>
    <m/>
    <m/>
    <m/>
    <m/>
    <m/>
    <m/>
    <m/>
    <m/>
    <m/>
    <n v="2260000"/>
    <m/>
  </r>
  <r>
    <n v="313"/>
    <m/>
    <m/>
    <s v="기업교육2팀"/>
    <s v="황재연"/>
    <s v="기업교육1팀"/>
    <x v="2"/>
    <m/>
    <m/>
    <s v="한화엔진"/>
    <m/>
    <m/>
    <n v="30380"/>
    <m/>
    <m/>
    <m/>
    <s v="10. 컨텐츠 - 컨텐츠 개발"/>
    <s v="14. 컨텐츠 - 컨텐츠 개발"/>
    <s v="15. 컨텐츠 - 컨텐츠 개발"/>
    <m/>
    <m/>
    <n v="400000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314"/>
    <m/>
    <m/>
    <s v="기업교육1팀"/>
    <s v="황동현"/>
    <s v="기업교육1팀"/>
    <x v="2"/>
    <m/>
    <m/>
    <s v="한화오션"/>
    <m/>
    <m/>
    <n v="391"/>
    <s v="01 1~1000대"/>
    <s v="03 신규"/>
    <s v="02 경쟁사 LMS"/>
    <s v="통합위탁"/>
    <s v="01. 이러닝 - 통합위탁"/>
    <s v="01. 이러닝 - 통합위탁"/>
    <m/>
    <m/>
    <m/>
    <n v="0"/>
    <m/>
    <s v="06 사업취소"/>
    <x v="5"/>
    <m/>
    <m/>
    <n v="270000000"/>
    <n v="270000000"/>
    <n v="0"/>
    <m/>
    <m/>
    <m/>
    <n v="3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5"/>
    <m/>
    <m/>
    <s v="기업교육1팀"/>
    <s v="황동현"/>
    <s v="기업교육1팀"/>
    <x v="2"/>
    <m/>
    <m/>
    <s v="한화오션"/>
    <m/>
    <m/>
    <n v="391"/>
    <s v="01 1~1000대"/>
    <s v="03 신규"/>
    <s v="03 휴넷 LMS"/>
    <s v="1. 온라인 - 단과"/>
    <s v="02. 이러닝 - 단과"/>
    <s v="02. 이러닝 - 단과"/>
    <m/>
    <n v="193056428"/>
    <n v="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1팀"/>
    <s v="황동현"/>
    <s v="기업교육1팀"/>
    <x v="2"/>
    <m/>
    <m/>
    <s v="한화오션(상반기)"/>
    <m/>
    <m/>
    <n v="3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16735872"/>
    <n v="171341273"/>
    <m/>
    <s v="01 확정"/>
    <x v="5"/>
    <m/>
    <m/>
    <n v="80000000"/>
    <n v="80000000"/>
    <n v="0"/>
    <m/>
    <m/>
    <m/>
    <m/>
    <m/>
    <m/>
    <m/>
    <m/>
    <m/>
    <m/>
    <m/>
    <n v="20000000"/>
    <m/>
    <n v="10000000"/>
    <m/>
    <n v="30000000"/>
    <m/>
    <n v="20000000"/>
    <m/>
    <m/>
    <m/>
    <m/>
    <m/>
    <m/>
    <m/>
    <m/>
    <m/>
  </r>
  <r>
    <n v="317"/>
    <m/>
    <m/>
    <s v="기업교육1팀"/>
    <s v="황동현"/>
    <s v="기업교육1팀"/>
    <x v="2"/>
    <m/>
    <m/>
    <s v="한화오션(하반기)"/>
    <m/>
    <m/>
    <n v="39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0"/>
    <n v="0"/>
    <n v="0"/>
    <m/>
    <s v="02 가망"/>
    <x v="5"/>
    <m/>
    <m/>
    <n v="70000000"/>
    <n v="70000000"/>
    <n v="0"/>
    <m/>
    <m/>
    <m/>
    <m/>
    <m/>
    <m/>
    <m/>
    <m/>
    <m/>
    <m/>
    <m/>
    <m/>
    <m/>
    <m/>
    <m/>
    <m/>
    <m/>
    <m/>
    <m/>
    <m/>
    <m/>
    <n v="20000000"/>
    <m/>
    <n v="20000000"/>
    <m/>
    <n v="30000000"/>
    <m/>
  </r>
  <r>
    <n v="318"/>
    <m/>
    <m/>
    <s v="기업교육1팀"/>
    <s v="황동현"/>
    <s v="기업교육1팀"/>
    <x v="2"/>
    <m/>
    <m/>
    <s v="한화오션디지털"/>
    <m/>
    <m/>
    <n v="23842"/>
    <s v="01 1~1000대"/>
    <s v="04 연장"/>
    <s v="03 휴넷 LMS"/>
    <s v="1. 온라인 - 단과"/>
    <s v="02. 이러닝 - 단과"/>
    <s v="02. 이러닝 - 단과"/>
    <m/>
    <n v="2485930"/>
    <n v="34494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1팀"/>
    <s v="황동현"/>
    <s v="기업교육1팀"/>
    <x v="2"/>
    <m/>
    <m/>
    <s v="한화인재경영원(CH.HPlus)"/>
    <m/>
    <m/>
    <n v="40260"/>
    <s v="01 1~1000대"/>
    <s v="01 수성"/>
    <s v="01 자체 LMS"/>
    <s v="11. 컨텐츠 - 컨텐츠 임대/판매"/>
    <s v="07. 이러닝 - 컨텐츠 임대/판매"/>
    <s v="07. 이러닝 - 컨텐츠 임대/판매"/>
    <m/>
    <s v=""/>
    <n v="0"/>
    <n v="12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320"/>
    <m/>
    <m/>
    <s v="기업교육1팀"/>
    <s v="황동현"/>
    <s v="기업교육1팀"/>
    <x v="2"/>
    <m/>
    <m/>
    <s v="한화인재경영원(CH.HPlus)"/>
    <m/>
    <m/>
    <n v="40260"/>
    <s v="01 1~1000대"/>
    <s v="01 수성"/>
    <m/>
    <s v="10. 컨텐츠 - 컨텐츠 개발"/>
    <s v="14. 컨텐츠 - 컨텐츠 개발"/>
    <s v="15. 컨텐츠 - 컨텐츠 개발"/>
    <m/>
    <n v="75500000"/>
    <n v="25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1"/>
    <m/>
    <m/>
    <m/>
    <m/>
    <s v="기업교육1팀"/>
    <x v="2"/>
    <m/>
    <m/>
    <s v="한화첨단소재"/>
    <m/>
    <m/>
    <n v="23546"/>
    <m/>
    <m/>
    <m/>
    <m/>
    <m/>
    <s v="02. 이러닝 - 단과"/>
    <m/>
    <m/>
    <m/>
    <n v="8091000"/>
    <n v="7713500"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1팀"/>
    <s v="황동현"/>
    <s v="기업교육1팀"/>
    <x v="2"/>
    <m/>
    <m/>
    <s v="한화첨단소재"/>
    <m/>
    <m/>
    <n v="23546"/>
    <s v="01 1~1000대"/>
    <s v="01 수성"/>
    <s v="03 휴넷 LMS"/>
    <s v="1. 온라인 - 단과"/>
    <s v="02. 이러닝 - 단과"/>
    <s v="03. 이러닝 - 법정"/>
    <m/>
    <n v="7333500"/>
    <n v="16142900"/>
    <n v="0"/>
    <m/>
    <s v="01 확정"/>
    <x v="0"/>
    <m/>
    <m/>
    <n v="3045000"/>
    <n v="3045000"/>
    <n v="0"/>
    <m/>
    <m/>
    <m/>
    <m/>
    <m/>
    <m/>
    <n v="722500"/>
    <n v="345000"/>
    <m/>
    <m/>
    <m/>
    <m/>
    <m/>
    <m/>
    <m/>
    <m/>
    <m/>
    <m/>
    <m/>
    <m/>
    <m/>
    <m/>
    <m/>
    <n v="2700000"/>
    <m/>
    <m/>
    <m/>
  </r>
  <r>
    <n v="323"/>
    <m/>
    <m/>
    <s v="기업교육1팀"/>
    <s v="황동현"/>
    <s v="기업교육1팀"/>
    <x v="2"/>
    <m/>
    <m/>
    <s v="한화파워시스템"/>
    <m/>
    <m/>
    <n v="39970"/>
    <m/>
    <m/>
    <m/>
    <m/>
    <s v="02. 이러닝 - 단과"/>
    <s v="02. 이러닝 - 단과"/>
    <m/>
    <m/>
    <m/>
    <n v="6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1팀"/>
    <s v="황동현"/>
    <s v="기업교육1팀"/>
    <x v="2"/>
    <m/>
    <m/>
    <s v="한화파워시스템"/>
    <m/>
    <m/>
    <n v="39970"/>
    <s v="02 1001~2000대"/>
    <s v="03 신규"/>
    <s v="02 경쟁사 LMS"/>
    <m/>
    <m/>
    <s v="03. 이러닝 - 법정"/>
    <m/>
    <n v="0"/>
    <n v="0"/>
    <n v="0"/>
    <m/>
    <s v="05 Drop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25"/>
    <m/>
    <m/>
    <s v="기업교육1팀"/>
    <s v="황동현"/>
    <s v="기업교육1팀"/>
    <x v="2"/>
    <m/>
    <m/>
    <s v="해태제과식품"/>
    <m/>
    <m/>
    <n v="448"/>
    <s v="02 1001~2000대"/>
    <s v="04 연장"/>
    <s v="03 휴넷 LMS"/>
    <s v="1. 온라인 - 단과"/>
    <s v="01. 이러닝 - 통합위탁"/>
    <s v="01. 이러닝 - 통합위탁"/>
    <m/>
    <n v="87171200"/>
    <n v="86209000"/>
    <n v="71244400"/>
    <m/>
    <s v="01 확정"/>
    <x v="0"/>
    <m/>
    <m/>
    <n v="70000000"/>
    <n v="80000000"/>
    <n v="-10000000"/>
    <m/>
    <m/>
    <m/>
    <m/>
    <m/>
    <m/>
    <m/>
    <m/>
    <m/>
    <m/>
    <m/>
    <m/>
    <m/>
    <n v="35000000"/>
    <m/>
    <m/>
    <m/>
    <m/>
    <m/>
    <m/>
    <m/>
    <m/>
    <m/>
    <n v="35000000"/>
    <m/>
    <m/>
    <m/>
  </r>
  <r>
    <n v="326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1. 이러닝 - 통합위탁"/>
    <s v="01. 이러닝 - 통합위탁"/>
    <m/>
    <n v="143250000"/>
    <n v="150884000"/>
    <n v="128423000"/>
    <m/>
    <s v="02 가망"/>
    <x v="4"/>
    <m/>
    <m/>
    <n v="150000000"/>
    <n v="150000000"/>
    <n v="0"/>
    <m/>
    <m/>
    <m/>
    <m/>
    <m/>
    <m/>
    <m/>
    <m/>
    <m/>
    <m/>
    <m/>
    <m/>
    <m/>
    <m/>
    <m/>
    <m/>
    <m/>
    <m/>
    <m/>
    <m/>
    <m/>
    <n v="150000000"/>
    <m/>
    <m/>
    <m/>
    <m/>
    <m/>
  </r>
  <r>
    <n v="327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3. 이러닝 - 법정"/>
    <s v="03. 이러닝 - 법정"/>
    <m/>
    <m/>
    <n v="0"/>
    <n v="6858000"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m/>
    <m/>
    <s v="기업교육1팀"/>
    <x v="3"/>
    <m/>
    <m/>
    <s v="(주)이건창호"/>
    <m/>
    <m/>
    <n v="13041"/>
    <m/>
    <m/>
    <m/>
    <m/>
    <s v="03. 이러닝 - 법정"/>
    <s v="03. 이러닝 - 법정"/>
    <m/>
    <m/>
    <m/>
    <n v="0"/>
    <m/>
    <s v="09 2025년 매출"/>
    <x v="0"/>
    <m/>
    <m/>
    <n v="-126000"/>
    <n v="-126000"/>
    <n v="0"/>
    <n v="2615000"/>
    <n v="-126000"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1팀"/>
    <s v="장지웅"/>
    <s v="기업교육1팀"/>
    <x v="3"/>
    <m/>
    <m/>
    <s v="경기도시장상권진흥원"/>
    <m/>
    <m/>
    <n v="40926"/>
    <s v="05 공공"/>
    <s v="03 신규"/>
    <s v="01 자체 LMS"/>
    <s v="11. 컨텐츠 - 컨텐츠 임대/판매"/>
    <s v="07. 이러닝 - 컨텐츠 임대/판매"/>
    <s v="07. 이러닝 - 컨텐츠 임대/판매"/>
    <m/>
    <n v="102727273"/>
    <n v="0"/>
    <n v="0"/>
    <m/>
    <s v="07 2023년 매출"/>
    <x v="1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330"/>
    <m/>
    <m/>
    <m/>
    <m/>
    <s v="기업교육1팀"/>
    <x v="3"/>
    <m/>
    <m/>
    <s v="경기신용보증재단"/>
    <m/>
    <m/>
    <n v="13764"/>
    <m/>
    <m/>
    <m/>
    <m/>
    <m/>
    <s v="07. 이러닝 - 컨텐츠 임대/판매"/>
    <m/>
    <m/>
    <m/>
    <n v="123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s v="10. 컨텐츠 - 컨텐츠 개발"/>
    <s v="14. 컨텐츠 - 컨텐츠 개발"/>
    <s v="15. 컨텐츠 - 컨텐츠 개발"/>
    <m/>
    <n v="9328400"/>
    <n v="0"/>
    <n v="0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32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33"/>
    <m/>
    <m/>
    <s v="기업교육1팀"/>
    <s v="장지웅"/>
    <s v="기업교육1팀"/>
    <x v="3"/>
    <m/>
    <m/>
    <s v="경기신용보증재단(성장지원부)"/>
    <m/>
    <m/>
    <n v="49331"/>
    <s v="05 공공"/>
    <s v="04 연장"/>
    <s v="03 휴넷 LMS"/>
    <s v="24. 운영 - 운영매출"/>
    <s v="19. 운영 - 운영매출"/>
    <s v="20. 운영 - 운영매출"/>
    <m/>
    <n v="40518000"/>
    <n v="36127000"/>
    <n v="10034500"/>
    <m/>
    <s v="01 확정"/>
    <x v="4"/>
    <m/>
    <m/>
    <n v="27000000"/>
    <n v="27000000"/>
    <n v="0"/>
    <m/>
    <m/>
    <m/>
    <m/>
    <m/>
    <m/>
    <m/>
    <m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34"/>
    <m/>
    <m/>
    <s v="기업교육1팀"/>
    <s v="장지웅"/>
    <s v="기업교육1팀"/>
    <x v="3"/>
    <m/>
    <m/>
    <s v="경남신용보증재단"/>
    <m/>
    <m/>
    <n v="13764"/>
    <s v="05 공공"/>
    <s v="04 연장"/>
    <s v="03 휴넷 LMS"/>
    <s v="1. 온라인 - 단과"/>
    <s v="02. 이러닝 - 단과"/>
    <s v="02. 이러닝 - 단과"/>
    <m/>
    <s v=""/>
    <n v="27315400"/>
    <n v="2098978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335"/>
    <m/>
    <m/>
    <s v="기업교육1팀"/>
    <s v="장지웅"/>
    <s v="기업교육1팀"/>
    <x v="3"/>
    <m/>
    <m/>
    <s v="경남신용보증재단"/>
    <m/>
    <m/>
    <n v="13764"/>
    <s v="05 공공"/>
    <s v="03 신규"/>
    <s v="03 휴넷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336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2. 온라인 - 법정"/>
    <s v="03. 이러닝 - 법정"/>
    <s v="03. 이러닝 - 법정"/>
    <m/>
    <n v="10000000"/>
    <n v="24839000"/>
    <n v="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37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6. 하이브리드러닝 - 집합형"/>
    <s v="08. 하이브리드러닝 - 하이브리드형 러닝"/>
    <s v="08. 하이브리드러닝 - 하이브리드형 러닝"/>
    <m/>
    <s v=""/>
    <n v="3429000"/>
    <n v="23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38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통합위탁"/>
    <s v="01. 이러닝 - 통합위탁"/>
    <s v="01. 이러닝 - 통합위탁"/>
    <s v="O"/>
    <n v="77255240"/>
    <n v="65664920"/>
    <n v="51651600"/>
    <m/>
    <s v="01 확정"/>
    <x v="0"/>
    <m/>
    <m/>
    <n v="56202000"/>
    <n v="56202000"/>
    <n v="0"/>
    <n v="4040000"/>
    <n v="4040000"/>
    <m/>
    <n v="3120000"/>
    <n v="3120000"/>
    <m/>
    <n v="4042000"/>
    <n v="4042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39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1. 온라인 - 단과"/>
    <s v="02. 이러닝 - 단과"/>
    <s v="02. 이러닝 - 단과"/>
    <m/>
    <m/>
    <n v="391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0"/>
    <m/>
    <m/>
    <s v="기업교육1팀"/>
    <s v="장지웅"/>
    <s v="기업교육1팀"/>
    <x v="3"/>
    <m/>
    <m/>
    <s v="고려제강"/>
    <m/>
    <m/>
    <n v="3912"/>
    <s v="01 1~1000대"/>
    <s v="03 신규"/>
    <s v="02 경쟁사 LMS"/>
    <s v="통합위탁"/>
    <s v="10. 구독 - 휴넷CEO멤버십"/>
    <s v="11. 구독 - 휴넷CEO멤버십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41"/>
    <m/>
    <m/>
    <s v="기업교육1팀"/>
    <s v="장지웅"/>
    <s v="기업교육1팀"/>
    <x v="3"/>
    <m/>
    <m/>
    <s v="광주교통공사"/>
    <m/>
    <m/>
    <n v="4255"/>
    <s v="05 공공"/>
    <s v="03 신규"/>
    <s v="03 휴넷 LMS"/>
    <s v="통합위탁"/>
    <s v="01. 이러닝 - 통합위탁"/>
    <s v="01. 이러닝 - 통합위탁"/>
    <m/>
    <n v="48500000"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03. 이러닝 - 법정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343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4"/>
    <m/>
    <m/>
    <s v="기업교육1팀"/>
    <s v="박정규"/>
    <s v="기업교육1팀"/>
    <x v="3"/>
    <m/>
    <m/>
    <s v="국민건강보험공단"/>
    <m/>
    <m/>
    <n v="4257"/>
    <s v="05 공공"/>
    <s v="02 윈백"/>
    <s v="03 휴넷 LMS"/>
    <s v="통합위탁"/>
    <s v="01. 이러닝 - 통합위탁"/>
    <s v="01. 이러닝 - 통합위탁"/>
    <m/>
    <n v="1032718000"/>
    <n v="0"/>
    <n v="787927000"/>
    <m/>
    <s v="01 확정"/>
    <x v="0"/>
    <m/>
    <m/>
    <n v="910000000"/>
    <n v="910000000"/>
    <n v="0"/>
    <n v="0"/>
    <m/>
    <s v="공단 매출 익월 발행"/>
    <n v="145000000"/>
    <m/>
    <m/>
    <n v="149735200"/>
    <n v="149735200"/>
    <s v="건강보험공단 계산서 발행 이월"/>
    <n v="100000000"/>
    <m/>
    <n v="100000000"/>
    <m/>
    <n v="100000000"/>
    <m/>
    <n v="100000000"/>
    <m/>
    <n v="100000000"/>
    <m/>
    <n v="100000000"/>
    <m/>
    <n v="79735200"/>
    <m/>
    <n v="70000000"/>
    <m/>
    <n v="10529600"/>
    <m/>
  </r>
  <r>
    <n v="345"/>
    <m/>
    <m/>
    <s v="기업교육1팀"/>
    <s v="박정규"/>
    <s v="기업교육1팀"/>
    <x v="3"/>
    <m/>
    <m/>
    <s v="국민건강보험공단"/>
    <m/>
    <m/>
    <n v="4257"/>
    <s v="05 공공"/>
    <s v="01 수성"/>
    <m/>
    <s v="36. 기타 - 기타"/>
    <s v="25. 기타 - 기타"/>
    <s v="24. 기타 - 기타"/>
    <m/>
    <m/>
    <n v="8818182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6"/>
    <m/>
    <m/>
    <s v="기업교육1팀"/>
    <s v="김도엽"/>
    <s v="기업교육1팀"/>
    <x v="3"/>
    <m/>
    <m/>
    <s v="국민건강보험공단(건강생활실천온라인교육)"/>
    <m/>
    <m/>
    <n v="52333"/>
    <s v="05 공공"/>
    <s v="01 수성"/>
    <s v="03 휴넷 LMS"/>
    <m/>
    <s v="01. 이러닝 - 통합위탁"/>
    <s v="01. 이러닝 - 통합위탁"/>
    <m/>
    <m/>
    <m/>
    <n v="0"/>
    <m/>
    <m/>
    <x v="0"/>
    <m/>
    <m/>
    <n v="90000000"/>
    <n v="90000000"/>
    <n v="0"/>
    <n v="7500000"/>
    <n v="7500000"/>
    <m/>
    <n v="7500000"/>
    <n v="7500000"/>
    <m/>
    <n v="0"/>
    <m/>
    <s v="건생실지 계산서 발행 이월"/>
    <n v="7500000"/>
    <m/>
    <n v="7500000"/>
    <m/>
    <n v="7500000"/>
    <m/>
    <n v="7500000"/>
    <m/>
    <n v="7500000"/>
    <m/>
    <n v="7500000"/>
    <m/>
    <n v="7500000"/>
    <m/>
    <n v="7500000"/>
    <m/>
    <n v="15000000"/>
    <m/>
  </r>
  <r>
    <n v="347"/>
    <m/>
    <m/>
    <s v="기업교육1팀"/>
    <s v="박정규"/>
    <s v="기업교육1팀"/>
    <x v="3"/>
    <m/>
    <m/>
    <s v="국민건강보험공단(건강생활실천온라인교육)"/>
    <m/>
    <m/>
    <n v="52333"/>
    <s v="05 공공"/>
    <s v="01 수성"/>
    <s v="03 휴넷 LMS"/>
    <s v="24. 운영 - 운영매출"/>
    <s v="19. 운영 - 운영매출"/>
    <s v="20. 운영 - 운영매출"/>
    <m/>
    <n v="155999998"/>
    <n v="63960000"/>
    <n v="949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8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09. 하이브리드러닝 - 순수 오프라인"/>
    <m/>
    <m/>
    <m/>
    <n v="632000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49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0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1"/>
    <m/>
    <m/>
    <s v="기업교육1팀"/>
    <s v="장지웅"/>
    <s v="기업교육1팀"/>
    <x v="3"/>
    <m/>
    <m/>
    <s v="대구광역시 공무원교육원"/>
    <m/>
    <m/>
    <n v="10461"/>
    <s v="05 공공"/>
    <s v="01 수성"/>
    <s v="03 휴넷 LMS"/>
    <s v="통합위탁"/>
    <s v="01. 이러닝 - 통합위탁"/>
    <s v="01. 이러닝 - 통합위탁"/>
    <m/>
    <n v="80000000"/>
    <n v="87272727"/>
    <n v="101818181"/>
    <m/>
    <s v="01 확정"/>
    <x v="0"/>
    <m/>
    <m/>
    <n v="110000000"/>
    <n v="110000000"/>
    <n v="0"/>
    <m/>
    <m/>
    <m/>
    <m/>
    <m/>
    <m/>
    <m/>
    <m/>
    <m/>
    <m/>
    <m/>
    <m/>
    <m/>
    <m/>
    <m/>
    <n v="60000000"/>
    <m/>
    <m/>
    <m/>
    <m/>
    <m/>
    <m/>
    <m/>
    <m/>
    <m/>
    <n v="50000000"/>
    <m/>
  </r>
  <r>
    <n v="352"/>
    <m/>
    <m/>
    <s v="기업교육1팀"/>
    <s v="장지웅"/>
    <s v="기업교육1팀"/>
    <x v="3"/>
    <m/>
    <m/>
    <s v="동아대학교 bk사업단(임차)"/>
    <m/>
    <m/>
    <n v="61976"/>
    <s v="05 공공"/>
    <s v="03 신규"/>
    <s v="01 자체 LMS"/>
    <s v="11. 컨텐츠 - 컨텐츠 임대/판매"/>
    <s v="07. 이러닝 - 컨텐츠 임대/판매"/>
    <s v="07. 이러닝 - 컨텐츠 임대/판매"/>
    <m/>
    <m/>
    <n v="6000000"/>
    <n v="0"/>
    <m/>
    <s v="08 2024년 매출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353"/>
    <m/>
    <m/>
    <s v="기업교육1팀"/>
    <s v="장지웅"/>
    <s v="기업교육1팀"/>
    <x v="3"/>
    <m/>
    <m/>
    <s v="롯데카드"/>
    <m/>
    <m/>
    <n v="3889"/>
    <s v="01 1~1000대"/>
    <s v="01 수성"/>
    <s v="02 경쟁사 LMS"/>
    <s v="10. 컨텐츠 - 컨텐츠 개발"/>
    <s v="14. 컨텐츠 - 컨텐츠 개발"/>
    <s v="15. 컨텐츠 - 컨텐츠 개발"/>
    <m/>
    <s v=""/>
    <n v="90000000"/>
    <n v="35200000"/>
    <m/>
    <s v="02 가망"/>
    <x v="0"/>
    <m/>
    <m/>
    <n v="7818182"/>
    <n v="7818182"/>
    <n v="0"/>
    <m/>
    <m/>
    <m/>
    <m/>
    <m/>
    <m/>
    <n v="1818182"/>
    <n v="1818182"/>
    <m/>
    <m/>
    <m/>
    <m/>
    <m/>
    <m/>
    <m/>
    <m/>
    <m/>
    <m/>
    <m/>
    <n v="0"/>
    <m/>
    <m/>
    <m/>
    <n v="6000000"/>
    <m/>
    <m/>
    <m/>
  </r>
  <r>
    <n v="354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통합위탁"/>
    <s v="01. 이러닝 - 통합위탁"/>
    <s v="01. 이러닝 - 통합위탁"/>
    <s v="O"/>
    <n v="55850920"/>
    <n v="57024600"/>
    <n v="55690100"/>
    <m/>
    <s v="01 확정"/>
    <x v="0"/>
    <m/>
    <m/>
    <n v="48985000"/>
    <n v="48985000"/>
    <n v="0"/>
    <n v="765400"/>
    <n v="765400"/>
    <m/>
    <n v="1333000"/>
    <n v="1333000"/>
    <m/>
    <n v="1886600"/>
    <n v="18866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55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2. 온라인 - 법정"/>
    <s v="03. 이러닝 - 법정"/>
    <s v="03. 이러닝 - 법정"/>
    <m/>
    <n v="3252500"/>
    <n v="0"/>
    <n v="0"/>
    <m/>
    <s v="01 확정"/>
    <x v="4"/>
    <m/>
    <m/>
    <n v="25000000"/>
    <n v="25000000"/>
    <n v="0"/>
    <m/>
    <m/>
    <m/>
    <m/>
    <m/>
    <m/>
    <m/>
    <m/>
    <m/>
    <m/>
    <m/>
    <m/>
    <m/>
    <m/>
    <m/>
    <m/>
    <m/>
    <m/>
    <m/>
    <n v="25000000"/>
    <m/>
    <m/>
    <m/>
    <m/>
    <m/>
    <m/>
    <m/>
  </r>
  <r>
    <n v="356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09. 하이브리드러닝 - 순수 오프라인"/>
    <m/>
    <m/>
    <m/>
    <n v="0"/>
    <m/>
    <m/>
    <x v="0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57"/>
    <m/>
    <m/>
    <s v="기업교육1팀"/>
    <s v="장지웅"/>
    <s v="기업교육1팀"/>
    <x v="3"/>
    <m/>
    <m/>
    <s v="벽산"/>
    <m/>
    <m/>
    <n v="1261"/>
    <s v="02 1001~2000대"/>
    <s v="01 수성"/>
    <s v="03 휴넷 LMS"/>
    <s v="통합위탁"/>
    <s v="11. 구독 - 휴넷 리더십저니"/>
    <s v="12. 구독 - 휴넷 리더십저니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8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359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s v="02. 이러닝 - 단과"/>
    <s v="02. 이러닝 - 단과"/>
    <m/>
    <m/>
    <m/>
    <n v="0"/>
    <m/>
    <s v="01 확정"/>
    <x v="0"/>
    <m/>
    <m/>
    <n v="27000000"/>
    <n v="27000000"/>
    <n v="0"/>
    <m/>
    <m/>
    <m/>
    <m/>
    <m/>
    <m/>
    <m/>
    <m/>
    <m/>
    <m/>
    <m/>
    <m/>
    <m/>
    <m/>
    <m/>
    <m/>
    <m/>
    <m/>
    <m/>
    <m/>
    <m/>
    <n v="27000000"/>
    <m/>
    <m/>
    <m/>
    <m/>
    <m/>
  </r>
  <r>
    <n v="360"/>
    <m/>
    <m/>
    <s v="기업교육1팀"/>
    <s v="장지웅"/>
    <s v="기업교육1팀"/>
    <x v="3"/>
    <m/>
    <m/>
    <s v="서울신용보증재단"/>
    <m/>
    <m/>
    <n v="14087"/>
    <s v="05 공공"/>
    <s v="04 연장"/>
    <s v="03 휴넷 LMS"/>
    <s v="2. 온라인 - 법정"/>
    <s v="03. 이러닝 - 법정"/>
    <s v="03. 이러닝 - 법정"/>
    <m/>
    <n v="32888000"/>
    <n v="11300000"/>
    <n v="9169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61"/>
    <m/>
    <m/>
    <m/>
    <m/>
    <s v="기업교육1팀"/>
    <x v="3"/>
    <m/>
    <m/>
    <s v="서울신용보증재단"/>
    <m/>
    <m/>
    <n v="14087"/>
    <m/>
    <m/>
    <m/>
    <m/>
    <m/>
    <s v="08. 하이브리드러닝 - 하이브리드형 러닝"/>
    <m/>
    <m/>
    <m/>
    <n v="3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63"/>
    <m/>
    <m/>
    <m/>
    <m/>
    <s v="기업교육1팀"/>
    <x v="3"/>
    <m/>
    <m/>
    <s v="서울신용보증재단"/>
    <m/>
    <m/>
    <n v="14087"/>
    <m/>
    <m/>
    <m/>
    <m/>
    <m/>
    <s v="13. 구독 - 휴넷FLEX"/>
    <m/>
    <m/>
    <m/>
    <n v="208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5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36. 기타 - 기타"/>
    <s v="25. 기타 - 기타"/>
    <s v="03. 이러닝 - 법정"/>
    <m/>
    <m/>
    <n v="750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6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6. 하이브리드러닝 - 집합형"/>
    <s v="09. 하이브리드러닝 - 순수 오프라인"/>
    <s v="09. 하이브리드러닝 - 순수 오프라인"/>
    <m/>
    <m/>
    <n v="0"/>
    <n v="4000000"/>
    <m/>
    <s v="01 확정"/>
    <x v="1"/>
    <m/>
    <m/>
    <n v="8000000"/>
    <n v="8000000"/>
    <n v="0"/>
    <m/>
    <m/>
    <m/>
    <m/>
    <m/>
    <m/>
    <m/>
    <m/>
    <m/>
    <m/>
    <m/>
    <n v="4000000"/>
    <m/>
    <m/>
    <m/>
    <m/>
    <m/>
    <m/>
    <m/>
    <n v="4000000"/>
    <m/>
    <m/>
    <m/>
    <m/>
    <m/>
    <m/>
    <m/>
  </r>
  <r>
    <n v="367"/>
    <m/>
    <m/>
    <s v="기업교육1팀"/>
    <s v="장지웅"/>
    <s v="기업교육1팀"/>
    <x v="3"/>
    <m/>
    <m/>
    <s v="선진"/>
    <m/>
    <m/>
    <n v="7665"/>
    <s v="01 1~1000대"/>
    <s v="03 신규"/>
    <m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8"/>
    <m/>
    <m/>
    <s v="기업교육1팀"/>
    <s v="장지웅"/>
    <s v="기업교육1팀"/>
    <x v="3"/>
    <m/>
    <m/>
    <s v="선진FS"/>
    <m/>
    <m/>
    <n v="42955"/>
    <s v="01 1~1000대"/>
    <s v="03 신규"/>
    <s v="02 경쟁사 LMS"/>
    <s v="36. 기타 - 기타"/>
    <s v="25. 기타 - 기타"/>
    <s v="03. 이러닝 - 법정"/>
    <m/>
    <m/>
    <n v="2500000"/>
    <n v="0"/>
    <m/>
    <s v="08 2024년 매출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69"/>
    <m/>
    <m/>
    <s v="기업교육1팀"/>
    <s v="장지웅"/>
    <s v="기업교육1팀"/>
    <x v="3"/>
    <m/>
    <m/>
    <s v="세메스"/>
    <m/>
    <m/>
    <n v="4059"/>
    <s v="01 1~1000대"/>
    <s v="04 연장"/>
    <s v="01 자체 LMS"/>
    <s v="1. 온라인 - 단과"/>
    <s v="02. 이러닝 - 단과"/>
    <s v="02. 이러닝 - 단과"/>
    <m/>
    <n v="13296600"/>
    <n v="21031720"/>
    <n v="15364700"/>
    <m/>
    <s v="01 확정"/>
    <x v="0"/>
    <m/>
    <m/>
    <n v="10200000"/>
    <n v="10200000"/>
    <n v="0"/>
    <m/>
    <m/>
    <m/>
    <m/>
    <m/>
    <m/>
    <n v="2200000"/>
    <n v="2200000"/>
    <m/>
    <n v="4000000"/>
    <m/>
    <n v="0"/>
    <m/>
    <n v="2000000"/>
    <m/>
    <n v="0"/>
    <m/>
    <n v="2000000"/>
    <m/>
    <n v="0"/>
    <m/>
    <m/>
    <m/>
    <m/>
    <m/>
    <m/>
    <m/>
  </r>
  <r>
    <n v="370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3. 온라인 - 마이크로러닝"/>
    <s v="04. 이러닝 - 마이크로러닝"/>
    <s v="04. 이러닝 - 마이크로러닝"/>
    <m/>
    <n v="33759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1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6. 하이브리드러닝 - 집합형"/>
    <s v="09. 하이브리드러닝 - 순수 오프라인"/>
    <s v="09. 하이브리드러닝 - 순수 오프라인"/>
    <m/>
    <n v="7574220"/>
    <n v="0"/>
    <n v="300000"/>
    <m/>
    <s v="01 확정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72"/>
    <m/>
    <m/>
    <s v="기업교육1팀"/>
    <s v="장지웅"/>
    <s v="기업교육1팀"/>
    <x v="3"/>
    <m/>
    <m/>
    <s v="세메스"/>
    <m/>
    <m/>
    <n v="4059"/>
    <s v="01 1~1000대"/>
    <s v="03 신규"/>
    <s v="01 자체 LMS"/>
    <s v="10. 컨텐츠 - 컨텐츠 개발"/>
    <s v="14. 컨텐츠 - 컨텐츠 개발"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1팀"/>
    <s v="장지웅"/>
    <s v="기업교육1팀"/>
    <x v="3"/>
    <m/>
    <m/>
    <s v="송현홀딩스"/>
    <m/>
    <m/>
    <n v="53744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16800000"/>
    <n v="0"/>
    <n v="0"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1팀"/>
    <s v="장지웅"/>
    <s v="기업교육1팀"/>
    <x v="3"/>
    <m/>
    <m/>
    <s v="시사점(시민사이버학습센터)"/>
    <m/>
    <m/>
    <n v="20943"/>
    <s v="05 공공"/>
    <s v="03 신규"/>
    <s v="03 휴넷 LMS"/>
    <s v="통합위탁"/>
    <s v="07. 이러닝 - 컨텐츠 임대/판매"/>
    <s v="07. 이러닝 - 컨텐츠 임대/판매"/>
    <m/>
    <n v="98181820"/>
    <n v="99000000"/>
    <n v="0"/>
    <m/>
    <s v="06 사업취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375"/>
    <m/>
    <m/>
    <s v="기업교육1팀"/>
    <s v="장지웅"/>
    <s v="기업교육1팀"/>
    <x v="3"/>
    <m/>
    <m/>
    <s v="신용보증재단중앙회"/>
    <m/>
    <m/>
    <n v="2943"/>
    <s v="05 공공"/>
    <s v="04 연장"/>
    <s v="03 휴넷 LMS"/>
    <s v="통합위탁"/>
    <s v="01. 이러닝 - 통합위탁"/>
    <s v="01. 이러닝 - 통합위탁"/>
    <m/>
    <n v="41204800"/>
    <n v="38925260"/>
    <n v="16733700"/>
    <m/>
    <s v="01 확정"/>
    <x v="0"/>
    <m/>
    <m/>
    <n v="34097800"/>
    <n v="34097800"/>
    <n v="0"/>
    <m/>
    <m/>
    <m/>
    <n v="3282800"/>
    <n v="3282800"/>
    <m/>
    <n v="4135500"/>
    <n v="3815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76"/>
    <m/>
    <m/>
    <s v="기업교육1팀"/>
    <s v="장지웅"/>
    <s v="기업교육1팀"/>
    <x v="3"/>
    <m/>
    <m/>
    <s v="아이엠금융지주"/>
    <m/>
    <m/>
    <n v="17786"/>
    <m/>
    <m/>
    <m/>
    <m/>
    <m/>
    <s v="01. 이러닝 - 통합위탁"/>
    <s v="O"/>
    <m/>
    <m/>
    <n v="3543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1. 온라인 - 단과"/>
    <s v="02. 이러닝 - 단과"/>
    <s v="02. 이러닝 - 단과"/>
    <m/>
    <n v="12774640"/>
    <n v="23182420"/>
    <n v="24723946"/>
    <m/>
    <s v="01 확정"/>
    <x v="0"/>
    <m/>
    <m/>
    <n v="19375600"/>
    <n v="19375600"/>
    <n v="0"/>
    <m/>
    <m/>
    <m/>
    <m/>
    <m/>
    <m/>
    <n v="0"/>
    <m/>
    <s v="아이엠금융지주 계산서 발행 이월"/>
    <n v="4375600"/>
    <m/>
    <m/>
    <m/>
    <n v="5000000"/>
    <m/>
    <m/>
    <m/>
    <m/>
    <m/>
    <n v="5000000"/>
    <m/>
    <m/>
    <m/>
    <m/>
    <m/>
    <n v="5000000"/>
    <m/>
  </r>
  <r>
    <n v="378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2. 온라인 - 법정"/>
    <s v="03. 이러닝 - 법정"/>
    <s v="03. 이러닝 - 법정"/>
    <m/>
    <n v="3350000"/>
    <n v="4062500"/>
    <n v="2710000"/>
    <m/>
    <s v="01 확정"/>
    <x v="4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79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6900000"/>
    <n v="4230000"/>
    <n v="293040"/>
    <m/>
    <s v="01 확정"/>
    <x v="1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380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1"/>
    <m/>
    <m/>
    <n v="9000000"/>
    <n v="9000000"/>
    <n v="0"/>
    <m/>
    <m/>
    <m/>
    <m/>
    <m/>
    <m/>
    <m/>
    <m/>
    <m/>
    <m/>
    <m/>
    <m/>
    <m/>
    <n v="3000000"/>
    <m/>
    <m/>
    <m/>
    <m/>
    <m/>
    <n v="3000000"/>
    <m/>
    <m/>
    <m/>
    <m/>
    <m/>
    <n v="3000000"/>
    <m/>
  </r>
  <r>
    <n v="381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82"/>
    <m/>
    <m/>
    <s v="기업교육1팀"/>
    <s v="장지웅"/>
    <s v="기업교육1팀"/>
    <x v="3"/>
    <m/>
    <m/>
    <s v="아이엠데이터시스템"/>
    <m/>
    <m/>
    <n v="45447"/>
    <s v="01 1~1000대"/>
    <s v="01 수성"/>
    <s v="03 휴넷 LMS"/>
    <s v="1. 온라인 - 단과"/>
    <s v="02. 이러닝 - 단과"/>
    <s v="02. 이러닝 - 단과"/>
    <m/>
    <s v=""/>
    <n v="0"/>
    <n v="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83"/>
    <m/>
    <m/>
    <s v="기업교육1팀"/>
    <s v="장지웅"/>
    <s v="기업교육1팀"/>
    <x v="3"/>
    <m/>
    <m/>
    <s v="아이엠데이터시스템"/>
    <m/>
    <m/>
    <n v="45447"/>
    <s v="01 1~1000대"/>
    <s v="03 신규"/>
    <s v="03 휴넷 LMS"/>
    <s v="14. 솔루션 - 맞춤형 LABS"/>
    <s v="15. 솔루션 - LABS"/>
    <s v="16. 솔루션 - LABS"/>
    <m/>
    <s v=""/>
    <n v="0"/>
    <n v="0"/>
    <m/>
    <s v="02 가망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384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0"/>
    <m/>
    <m/>
    <x v="0"/>
    <m/>
    <m/>
    <n v="10000000"/>
    <n v="10000000"/>
    <n v="0"/>
    <m/>
    <m/>
    <m/>
    <m/>
    <m/>
    <m/>
    <m/>
    <m/>
    <m/>
    <n v="5000000"/>
    <m/>
    <m/>
    <m/>
    <n v="5000000"/>
    <m/>
    <m/>
    <m/>
    <m/>
    <m/>
    <m/>
    <m/>
    <m/>
    <m/>
    <m/>
    <m/>
    <m/>
    <m/>
  </r>
  <r>
    <n v="385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29302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s v="O"/>
    <s v=""/>
    <n v="128387660"/>
    <n v="143483898"/>
    <m/>
    <s v="01 확정"/>
    <x v="0"/>
    <m/>
    <m/>
    <n v="166445700"/>
    <n v="166445700"/>
    <n v="0"/>
    <n v="19242000"/>
    <n v="19242000"/>
    <m/>
    <n v="15242200"/>
    <n v="15242200"/>
    <m/>
    <n v="0"/>
    <m/>
    <s v="아이엠뱅크 3월 계산서 이월 발행"/>
    <n v="27961500"/>
    <m/>
    <n v="15000000"/>
    <m/>
    <n v="15000000"/>
    <m/>
    <n v="15000000"/>
    <m/>
    <n v="15000000"/>
    <m/>
    <n v="15000000"/>
    <m/>
    <n v="15000000"/>
    <m/>
    <n v="14000000"/>
    <m/>
    <m/>
    <m/>
  </r>
  <r>
    <n v="387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m/>
    <n v="17424414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8"/>
    <m/>
    <m/>
    <s v="기업교육1팀"/>
    <s v="장지웅"/>
    <s v="기업교육1팀"/>
    <x v="3"/>
    <m/>
    <m/>
    <s v="아이엠뱅크"/>
    <m/>
    <m/>
    <n v="1886"/>
    <m/>
    <m/>
    <m/>
    <m/>
    <m/>
    <s v="08. 하이브리드러닝 - 하이브리드형 러닝"/>
    <m/>
    <m/>
    <m/>
    <n v="34770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9"/>
    <m/>
    <m/>
    <s v="기업교육1팀"/>
    <s v="장지웅"/>
    <s v="기업교육1팀"/>
    <x v="3"/>
    <m/>
    <m/>
    <s v="아이엠뱅크"/>
    <m/>
    <m/>
    <n v="1886"/>
    <s v="01 1~1000대"/>
    <s v="01 수성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0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14. 솔루션 - 맞춤형 LABS"/>
    <s v="15. 솔루션 - LABS"/>
    <s v="16. 솔루션 - LABS"/>
    <m/>
    <s v=""/>
    <n v="30000000"/>
    <n v="30000000"/>
    <m/>
    <s v="01 확정"/>
    <x v="0"/>
    <m/>
    <m/>
    <n v="30000000"/>
    <n v="30000000"/>
    <n v="0"/>
    <n v="30000000"/>
    <n v="30000000"/>
    <m/>
    <m/>
    <m/>
    <m/>
    <m/>
    <m/>
    <m/>
    <m/>
    <m/>
    <m/>
    <m/>
    <m/>
    <m/>
    <m/>
    <m/>
    <m/>
    <m/>
    <m/>
    <m/>
    <m/>
    <m/>
    <m/>
    <m/>
    <m/>
    <m/>
  </r>
  <r>
    <n v="391"/>
    <m/>
    <m/>
    <m/>
    <m/>
    <s v="기업교육1팀"/>
    <x v="3"/>
    <m/>
    <m/>
    <s v="아이엠유페이"/>
    <m/>
    <m/>
    <n v="53292"/>
    <m/>
    <m/>
    <m/>
    <m/>
    <m/>
    <s v="01. 이러닝 - 통합위탁"/>
    <m/>
    <m/>
    <m/>
    <n v="1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2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s v="통합위탁"/>
    <s v="02. 이러닝 - 단과"/>
    <s v="02. 이러닝 - 단과"/>
    <m/>
    <s v=""/>
    <n v="7010500"/>
    <n v="6352000"/>
    <m/>
    <s v="01 확정"/>
    <x v="0"/>
    <m/>
    <m/>
    <n v="14000000"/>
    <n v="14000000"/>
    <n v="0"/>
    <m/>
    <m/>
    <m/>
    <m/>
    <m/>
    <m/>
    <n v="0"/>
    <m/>
    <m/>
    <n v="1000000"/>
    <m/>
    <n v="2000000"/>
    <m/>
    <n v="1000000"/>
    <m/>
    <n v="2000000"/>
    <m/>
    <n v="2000000"/>
    <m/>
    <n v="1000000"/>
    <m/>
    <n v="2000000"/>
    <m/>
    <n v="2000000"/>
    <m/>
    <n v="1000000"/>
    <m/>
  </r>
  <r>
    <n v="393"/>
    <m/>
    <m/>
    <s v="기업교육1팀"/>
    <s v="장지웅"/>
    <s v="기업교육1팀"/>
    <x v="3"/>
    <m/>
    <m/>
    <s v="아이엠유페이"/>
    <m/>
    <m/>
    <n v="53292"/>
    <s v="01 1~1000대"/>
    <s v="01 수성"/>
    <s v="03 휴넷 LMS"/>
    <s v="1. 온라인 - 단과"/>
    <s v="02. 이러닝 - 단과"/>
    <s v="02. 이러닝 - 단과"/>
    <m/>
    <n v="175382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4"/>
    <m/>
    <m/>
    <m/>
    <m/>
    <s v="기업교육1팀"/>
    <x v="3"/>
    <m/>
    <m/>
    <s v="아이엠유페이"/>
    <m/>
    <m/>
    <n v="53292"/>
    <m/>
    <m/>
    <m/>
    <m/>
    <m/>
    <s v="09. 하이브리드러닝 - 순수 오프라인"/>
    <m/>
    <m/>
    <m/>
    <n v="17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5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m/>
    <m/>
    <s v="14. 구독 - 기타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6"/>
    <m/>
    <m/>
    <s v="기업교육1팀"/>
    <s v="장지웅"/>
    <s v="기업교육1팀"/>
    <x v="3"/>
    <m/>
    <m/>
    <s v="아이엠증권"/>
    <m/>
    <m/>
    <n v="4713"/>
    <s v="03 2001~3000대"/>
    <s v="04 연장"/>
    <s v="03 휴넷 LMS"/>
    <s v="1. 온라인 - 단과"/>
    <s v="02. 이러닝 - 단과"/>
    <s v="02. 이러닝 - 단과"/>
    <m/>
    <n v="7509260"/>
    <n v="3480000"/>
    <n v="560000"/>
    <m/>
    <s v="01 확정"/>
    <x v="4"/>
    <m/>
    <m/>
    <n v="7000000"/>
    <n v="7000000"/>
    <n v="0"/>
    <m/>
    <m/>
    <m/>
    <m/>
    <m/>
    <m/>
    <m/>
    <m/>
    <m/>
    <m/>
    <m/>
    <n v="3500000"/>
    <m/>
    <m/>
    <m/>
    <m/>
    <m/>
    <m/>
    <m/>
    <n v="3500000"/>
    <m/>
    <m/>
    <m/>
    <m/>
    <m/>
    <m/>
    <m/>
  </r>
  <r>
    <n v="397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1. 온라인 - 단과"/>
    <s v="02. 이러닝 - 단과"/>
    <s v="06. 이러닝 - 정부지원사업"/>
    <m/>
    <m/>
    <m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8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s v=""/>
    <n v="0"/>
    <n v="29302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99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1. 온라인 - 단과"/>
    <s v="02. 이러닝 - 단과"/>
    <s v="02. 이러닝 - 단과"/>
    <m/>
    <n v="20757000"/>
    <n v="5870900"/>
    <n v="9767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400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2. 온라인 - 법정"/>
    <s v="03. 이러닝 - 법정"/>
    <s v="03. 이러닝 - 법정"/>
    <m/>
    <s v=""/>
    <n v="13245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n v="15000000"/>
    <m/>
    <m/>
    <m/>
  </r>
  <r>
    <n v="401"/>
    <m/>
    <m/>
    <s v="기업교육1팀"/>
    <s v="장지웅"/>
    <s v="기업교육1팀"/>
    <x v="3"/>
    <m/>
    <m/>
    <s v="아이엠캐피탈"/>
    <m/>
    <m/>
    <n v="24013"/>
    <s v="01 1~1000대"/>
    <s v="01 수성"/>
    <s v="03 휴넷 LMS"/>
    <m/>
    <s v="09. 하이브리드러닝 - 순수 오프라인"/>
    <s v="09. 하이브리드러닝 - 순수 오프라인"/>
    <m/>
    <m/>
    <m/>
    <n v="150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2"/>
    <m/>
    <m/>
    <s v="기업교육1팀"/>
    <s v="장지웅"/>
    <s v="기업교육1팀"/>
    <x v="3"/>
    <m/>
    <m/>
    <s v="에스비에스"/>
    <m/>
    <m/>
    <n v="3846"/>
    <s v="01 1~1000대"/>
    <s v="03 신규"/>
    <s v="03 휴넷 LMS"/>
    <m/>
    <m/>
    <s v="02. 이러닝 - 단과"/>
    <m/>
    <m/>
    <m/>
    <n v="20142000"/>
    <m/>
    <m/>
    <x v="1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403"/>
    <m/>
    <m/>
    <s v="기업교육1팀"/>
    <s v="장지웅"/>
    <s v="기업교육1팀"/>
    <x v="3"/>
    <m/>
    <m/>
    <s v="에스비에스"/>
    <m/>
    <m/>
    <n v="3846"/>
    <s v="01 1~1000대"/>
    <s v="01 수성"/>
    <s v="03 휴넷 LMS"/>
    <s v="1. 온라인 - 단과"/>
    <s v="02. 이러닝 - 단과"/>
    <s v="03. 이러닝 - 법정"/>
    <m/>
    <n v="15904240"/>
    <n v="7720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04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s v="02. 이러닝 - 단과"/>
    <s v="01. 이러닝 - 통합위탁"/>
    <s v="O"/>
    <n v="28416440"/>
    <n v="25596380"/>
    <n v="0"/>
    <m/>
    <s v="01 확정"/>
    <x v="0"/>
    <m/>
    <m/>
    <n v="21602500"/>
    <n v="21602500"/>
    <n v="0"/>
    <n v="1297000"/>
    <n v="1297000"/>
    <m/>
    <n v="1261500"/>
    <n v="1261500"/>
    <m/>
    <n v="1044000"/>
    <n v="1044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05"/>
    <m/>
    <m/>
    <s v="기업교육1팀"/>
    <s v="장지웅"/>
    <s v="기업교육1팀"/>
    <x v="3"/>
    <m/>
    <m/>
    <s v="에스케이이노베이션"/>
    <m/>
    <m/>
    <n v="786"/>
    <m/>
    <m/>
    <m/>
    <m/>
    <m/>
    <s v="02. 이러닝 - 단과"/>
    <m/>
    <m/>
    <m/>
    <n v="223369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m/>
    <s v="08. 하이브리드러닝 - 하이브리드형 러닝"/>
    <m/>
    <m/>
    <m/>
    <n v="0"/>
    <m/>
    <m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7"/>
    <m/>
    <m/>
    <s v="기업교육1팀"/>
    <s v="장지웅"/>
    <s v="기업교육1팀"/>
    <x v="3"/>
    <m/>
    <m/>
    <s v="에스케이이노베이션"/>
    <m/>
    <m/>
    <n v="786"/>
    <m/>
    <m/>
    <m/>
    <m/>
    <m/>
    <s v="12. 구독 - 휴넷 리더십저니"/>
    <m/>
    <m/>
    <m/>
    <n v="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1팀"/>
    <s v="장지웅"/>
    <s v="기업교육1팀"/>
    <x v="3"/>
    <m/>
    <m/>
    <s v="에큐온저축은행"/>
    <m/>
    <m/>
    <n v="30428"/>
    <s v="02 1001~2000대"/>
    <s v="03 신규"/>
    <s v="03 휴넷 LMS"/>
    <m/>
    <s v="02. 이러닝 - 단과"/>
    <s v="02. 이러닝 - 단과"/>
    <m/>
    <m/>
    <n v="0"/>
    <n v="0"/>
    <m/>
    <s v="03 기회"/>
    <x v="1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409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. 온라인 - 단과"/>
    <s v="03. 이러닝 - 법정"/>
    <s v="03. 이러닝 - 법정"/>
    <m/>
    <m/>
    <m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410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4. 솔루션 - 맞춤형 LABS"/>
    <s v="15. 솔루션 - LABS"/>
    <s v="16. 솔루션 - LABS"/>
    <m/>
    <n v="38000000"/>
    <n v="38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2. 온라인 - 법정"/>
    <s v="03. 이러닝 - 법정"/>
    <s v="03. 이러닝 - 법정"/>
    <m/>
    <n v="9760000"/>
    <n v="0"/>
    <n v="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12"/>
    <m/>
    <m/>
    <s v="기업교육1팀"/>
    <s v="장지웅"/>
    <s v="기업교육1팀"/>
    <x v="3"/>
    <m/>
    <m/>
    <s v="엔씨소프트"/>
    <m/>
    <m/>
    <n v="1210"/>
    <m/>
    <m/>
    <m/>
    <m/>
    <m/>
    <s v="07. 이러닝 - 컨텐츠 임대/판매"/>
    <m/>
    <m/>
    <m/>
    <n v="1382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10. 컨텐츠 - 컨텐츠 개발"/>
    <s v="14. 컨텐츠 - 컨텐츠 개발"/>
    <s v="15. 컨텐츠 - 컨텐츠 개발"/>
    <m/>
    <n v="24000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414"/>
    <m/>
    <m/>
    <s v="기업교육1팀"/>
    <s v="장지웅"/>
    <s v="기업교육1팀"/>
    <x v="3"/>
    <m/>
    <m/>
    <s v="엔씨소프트서비스"/>
    <m/>
    <m/>
    <n v="10740"/>
    <s v="01 1~1000대"/>
    <s v="03 신규"/>
    <s v="03 휴넷 LMS"/>
    <s v="2. 온라인 - 법정"/>
    <s v="03. 이러닝 - 법정"/>
    <s v="03. 이러닝 - 법정"/>
    <m/>
    <m/>
    <n v="1880000"/>
    <n v="0"/>
    <m/>
    <s v="08 2024년 매출"/>
    <x v="4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415"/>
    <m/>
    <m/>
    <s v="기업교육1팀"/>
    <s v="장지웅"/>
    <s v="기업교육1팀"/>
    <x v="3"/>
    <m/>
    <m/>
    <s v="오케이저축은행"/>
    <m/>
    <m/>
    <n v="16684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400000"/>
    <n v="0"/>
    <n v="0"/>
    <m/>
    <s v="07 2023년 매출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416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통합위탁"/>
    <s v="01. 이러닝 - 통합위탁"/>
    <s v="01. 이러닝 - 통합위탁"/>
    <s v="O"/>
    <n v="32975906"/>
    <n v="38394980"/>
    <n v="33047300"/>
    <m/>
    <s v="01 확정"/>
    <x v="0"/>
    <m/>
    <m/>
    <n v="49254880"/>
    <n v="49254880"/>
    <n v="0"/>
    <n v="1686120"/>
    <n v="1885080"/>
    <m/>
    <n v="985400"/>
    <n v="985400"/>
    <m/>
    <n v="5884400"/>
    <n v="58844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417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2. 온라인 - 법정"/>
    <s v="03. 이러닝 - 법정"/>
    <s v="03. 이러닝 - 법정"/>
    <m/>
    <n v="10000000"/>
    <n v="10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8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n v="10000000"/>
    <n v="13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9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m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420"/>
    <m/>
    <m/>
    <m/>
    <m/>
    <s v="기업교육1팀"/>
    <x v="3"/>
    <m/>
    <m/>
    <s v="우미건설"/>
    <m/>
    <m/>
    <n v="5024"/>
    <m/>
    <m/>
    <m/>
    <m/>
    <m/>
    <s v="18. 솔루션 - 기타"/>
    <m/>
    <m/>
    <m/>
    <n v="22746194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1팀"/>
    <s v="장지웅"/>
    <s v="기업교육1팀"/>
    <x v="3"/>
    <m/>
    <m/>
    <s v="우미건설"/>
    <m/>
    <m/>
    <n v="502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22"/>
    <m/>
    <m/>
    <m/>
    <m/>
    <s v="기업교육1팀"/>
    <x v="3"/>
    <m/>
    <m/>
    <s v="웃는땅콩어린이재단"/>
    <m/>
    <m/>
    <n v="60969"/>
    <m/>
    <m/>
    <m/>
    <m/>
    <m/>
    <s v="02. 이러닝 - 단과"/>
    <m/>
    <m/>
    <m/>
    <n v="5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m/>
    <s v="01. 이러닝 - 통합위탁"/>
    <s v="01. 이러닝 - 통합위탁"/>
    <m/>
    <m/>
    <m/>
    <n v="0"/>
    <m/>
    <s v="01 확정"/>
    <x v="0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24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636364"/>
    <n v="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1팀"/>
    <s v="장지웅"/>
    <s v="기업교육1팀"/>
    <x v="3"/>
    <m/>
    <m/>
    <s v="전남대학교병원(24년 미정산)"/>
    <m/>
    <m/>
    <n v="3835"/>
    <s v="05 공공"/>
    <s v="01 수성"/>
    <s v="03 휴넷 LMS"/>
    <s v="통합위탁"/>
    <s v="01. 이러닝 - 통합위탁"/>
    <s v="01. 이러닝 - 통합위탁"/>
    <m/>
    <n v="123636364"/>
    <n v="0"/>
    <n v="8136363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6"/>
    <m/>
    <m/>
    <s v="기업교육1팀"/>
    <s v="장지웅"/>
    <s v="기업교육1팀"/>
    <x v="3"/>
    <m/>
    <m/>
    <s v="전남신용보증재단"/>
    <m/>
    <m/>
    <n v="12169"/>
    <s v="05 공공"/>
    <s v="01 수성"/>
    <s v="03 휴넷 LMS"/>
    <m/>
    <s v="02. 이러닝 - 단과"/>
    <s v="02. 이러닝 - 단과"/>
    <m/>
    <m/>
    <n v="0"/>
    <n v="925000"/>
    <m/>
    <s v="01 확정"/>
    <x v="0"/>
    <m/>
    <m/>
    <n v="19405500"/>
    <n v="19405500"/>
    <n v="0"/>
    <m/>
    <m/>
    <m/>
    <n v="1085000"/>
    <n v="1085000"/>
    <m/>
    <n v="320500"/>
    <n v="3205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27"/>
    <m/>
    <m/>
    <s v="기업교육1팀"/>
    <s v="장지웅"/>
    <s v="기업교육1팀"/>
    <x v="3"/>
    <m/>
    <m/>
    <s v="전북신용보증재단"/>
    <m/>
    <m/>
    <n v="10239"/>
    <s v="05 공공"/>
    <s v="03 신규"/>
    <s v="03 휴넷 LMS"/>
    <m/>
    <s v="02. 이러닝 - 단과"/>
    <s v="02. 이러닝 - 단과"/>
    <m/>
    <m/>
    <m/>
    <n v="9856400"/>
    <m/>
    <s v="01 확정"/>
    <x v="4"/>
    <m/>
    <m/>
    <n v="6000000"/>
    <n v="6000000"/>
    <n v="0"/>
    <m/>
    <m/>
    <m/>
    <m/>
    <m/>
    <m/>
    <m/>
    <m/>
    <m/>
    <m/>
    <m/>
    <m/>
    <m/>
    <n v="3000000"/>
    <m/>
    <m/>
    <m/>
    <m/>
    <m/>
    <n v="3000000"/>
    <m/>
    <m/>
    <m/>
    <m/>
    <m/>
    <m/>
    <m/>
  </r>
  <r>
    <n v="428"/>
    <m/>
    <m/>
    <s v="기업교육1팀"/>
    <s v="장지웅"/>
    <s v="기업교육1팀"/>
    <x v="3"/>
    <m/>
    <m/>
    <s v="제주신용보증재단"/>
    <m/>
    <m/>
    <n v="16603"/>
    <s v="05 공공"/>
    <s v="04 연장"/>
    <s v="03 휴넷 LMS"/>
    <s v="1. 온라인 - 단과"/>
    <s v="02. 이러닝 - 단과"/>
    <s v="02. 이러닝 - 단과"/>
    <m/>
    <s v=""/>
    <n v="35836440"/>
    <n v="20952300"/>
    <m/>
    <s v="01 확정"/>
    <x v="0"/>
    <m/>
    <m/>
    <n v="2300000"/>
    <n v="2300000"/>
    <n v="0"/>
    <m/>
    <m/>
    <m/>
    <m/>
    <m/>
    <m/>
    <n v="0"/>
    <m/>
    <m/>
    <m/>
    <m/>
    <n v="2300000"/>
    <m/>
    <m/>
    <m/>
    <m/>
    <m/>
    <m/>
    <m/>
    <m/>
    <m/>
    <m/>
    <m/>
    <m/>
    <m/>
    <m/>
    <m/>
  </r>
  <r>
    <n v="429"/>
    <m/>
    <m/>
    <m/>
    <m/>
    <s v="기업교육1팀"/>
    <x v="3"/>
    <m/>
    <m/>
    <s v="주식회사 아이엠에셋자산운용"/>
    <m/>
    <m/>
    <n v="54158"/>
    <m/>
    <m/>
    <m/>
    <m/>
    <m/>
    <s v="08. 하이브리드러닝 - 하이브리드형 러닝"/>
    <m/>
    <m/>
    <m/>
    <n v="9767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m/>
    <m/>
    <s v="기업교육1팀"/>
    <x v="3"/>
    <m/>
    <m/>
    <s v="주식회사 테크타카"/>
    <m/>
    <m/>
    <n v="62138"/>
    <m/>
    <m/>
    <m/>
    <m/>
    <m/>
    <s v="02. 이러닝 - 단과"/>
    <m/>
    <m/>
    <m/>
    <n v="61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1팀"/>
    <s v="장지웅"/>
    <s v="기업교육1팀"/>
    <x v="3"/>
    <m/>
    <m/>
    <s v="주식회사 피유엠피"/>
    <m/>
    <m/>
    <n v="62261"/>
    <s v="01 1~1000대"/>
    <s v="03 신규"/>
    <s v="03 휴넷 LMS"/>
    <s v="2. 온라인 - 법정"/>
    <s v="03. 이러닝 - 법정"/>
    <s v="03. 이러닝 - 법정"/>
    <m/>
    <m/>
    <n v="2675000"/>
    <n v="3020000"/>
    <m/>
    <s v="08 2024년 매출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432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1. 온라인 - 단과"/>
    <s v="02. 이러닝 - 단과"/>
    <s v="02. 이러닝 - 단과"/>
    <m/>
    <m/>
    <m/>
    <n v="9700000"/>
    <m/>
    <m/>
    <x v="0"/>
    <m/>
    <m/>
    <n v="15008000"/>
    <n v="15008000"/>
    <n v="0"/>
    <m/>
    <n v="8000"/>
    <m/>
    <m/>
    <m/>
    <m/>
    <m/>
    <m/>
    <m/>
    <m/>
    <m/>
    <m/>
    <m/>
    <n v="7500000"/>
    <m/>
    <m/>
    <m/>
    <m/>
    <m/>
    <m/>
    <m/>
    <m/>
    <m/>
    <n v="7500000"/>
    <m/>
    <m/>
    <m/>
  </r>
  <r>
    <n v="433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2. 온라인 - 법정"/>
    <s v="03. 이러닝 - 법정"/>
    <s v="03. 이러닝 - 법정"/>
    <m/>
    <n v="10070000"/>
    <n v="23318000"/>
    <n v="0"/>
    <m/>
    <s v="01 확정"/>
    <x v="4"/>
    <m/>
    <m/>
    <n v="7500000"/>
    <n v="7500000"/>
    <n v="0"/>
    <m/>
    <m/>
    <m/>
    <m/>
    <m/>
    <m/>
    <m/>
    <m/>
    <m/>
    <m/>
    <m/>
    <m/>
    <m/>
    <m/>
    <m/>
    <n v="7500000"/>
    <m/>
    <m/>
    <m/>
    <m/>
    <m/>
    <m/>
    <m/>
    <n v="0"/>
    <m/>
    <m/>
    <m/>
  </r>
  <r>
    <n v="434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통합위탁"/>
    <s v="01. 이러닝 - 통합위탁"/>
    <s v="01. 이러닝 - 통합위탁"/>
    <m/>
    <s v=""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. 온라인 - 법정"/>
    <s v="03. 이러닝 - 법정"/>
    <s v="03. 이러닝 - 법정"/>
    <m/>
    <n v="3000000"/>
    <n v="0"/>
    <n v="3000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36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04. 이러닝 - 마이크로러닝"/>
    <s v="04. 이러닝 - 마이크로러닝"/>
    <m/>
    <n v="218692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38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6. 정부지원사업 - HRDFLEX"/>
    <s v="28.구독 - 휴넷FLEX"/>
    <s v="13. 구독 - 휴넷FLEX"/>
    <m/>
    <s v=""/>
    <n v="434000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439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13. 구독 - Wisdom spring"/>
    <s v="14. 구독 - 기타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40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5. 운영 - 대관"/>
    <s v="19. 운영 - 운영매출"/>
    <s v="20. 운영 - 운영매출"/>
    <m/>
    <n v="2800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1"/>
    <m/>
    <m/>
    <m/>
    <m/>
    <s v="기업교육1팀"/>
    <x v="3"/>
    <m/>
    <m/>
    <s v="코원에너지서비스"/>
    <m/>
    <m/>
    <n v="14023"/>
    <s v="01 1~1000대"/>
    <s v="03 신규"/>
    <m/>
    <m/>
    <m/>
    <s v="09. 하이브리드러닝 - 순수 오프라인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42"/>
    <m/>
    <m/>
    <s v="기업교육1팀"/>
    <s v="장지웅"/>
    <s v="기업교육1팀"/>
    <x v="3"/>
    <m/>
    <m/>
    <s v="티시스아이티"/>
    <m/>
    <m/>
    <n v="21595"/>
    <m/>
    <m/>
    <m/>
    <m/>
    <m/>
    <s v="01. 이러닝 - 통합위탁"/>
    <m/>
    <m/>
    <m/>
    <n v="2471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3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s v="2. 온라인 - 법정"/>
    <s v="09. 하이브리드러닝 - 순수 오프라인"/>
    <s v="09. 하이브리드러닝 - 순수 오프라인"/>
    <m/>
    <s v=""/>
    <n v="29022000"/>
    <n v="2207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44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445"/>
    <m/>
    <m/>
    <s v="기업교육1팀"/>
    <s v="장지웅"/>
    <s v="기업교육1팀"/>
    <x v="3"/>
    <m/>
    <m/>
    <s v="티시스아이티"/>
    <m/>
    <m/>
    <n v="21595"/>
    <s v="01 1~1000대"/>
    <s v="01 수성"/>
    <s v="03 휴넷 LMS"/>
    <s v="2. 온라인 - 법정"/>
    <s v="14. 컨텐츠 - 컨텐츠 개발"/>
    <s v="15. 컨텐츠 - 컨텐츠 개발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46"/>
    <m/>
    <m/>
    <s v="기업교육1팀"/>
    <s v="장지웅"/>
    <s v="기업교육1팀"/>
    <x v="3"/>
    <m/>
    <m/>
    <s v="팜스코"/>
    <m/>
    <m/>
    <n v="408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5520000"/>
    <n v="0"/>
    <n v="0"/>
    <m/>
    <s v="07 2023년 매출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447"/>
    <m/>
    <m/>
    <s v="기업교육1팀"/>
    <s v="장지웅"/>
    <s v="기업교육1팀"/>
    <x v="3"/>
    <m/>
    <m/>
    <s v="팜스코"/>
    <m/>
    <m/>
    <n v="4081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통합위탁"/>
    <s v="01. 이러닝 - 통합위탁"/>
    <s v="01. 이러닝 - 통합위탁"/>
    <m/>
    <n v="675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9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3. 온라인 - 마이크로러닝"/>
    <s v="04. 이러닝 - 마이크로러닝"/>
    <s v="04. 이러닝 - 마이크로러닝"/>
    <m/>
    <n v="825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1팀"/>
    <s v="장지웅"/>
    <s v="기업교육1팀"/>
    <x v="3"/>
    <m/>
    <m/>
    <s v="하나금융티아이"/>
    <m/>
    <m/>
    <n v="12659"/>
    <s v="01 1~1000대"/>
    <s v="03 신규"/>
    <s v="03 휴넷 LMS"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1팀"/>
    <s v="장지웅"/>
    <s v="기업교육1팀"/>
    <x v="3"/>
    <m/>
    <m/>
    <s v="하림지주"/>
    <m/>
    <m/>
    <n v="42841"/>
    <s v="01 1~1000대"/>
    <s v="02 윈백"/>
    <s v="02 경쟁사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2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s v="03. 이러닝 - 법정"/>
    <s v="03. 이러닝 - 법정"/>
    <m/>
    <m/>
    <n v="0"/>
    <n v="1368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54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5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7. 솔루션 - 러닝메이커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56"/>
    <m/>
    <m/>
    <s v="기업교육1팀"/>
    <s v="장지웅"/>
    <s v="기업교육1팀"/>
    <x v="3"/>
    <m/>
    <m/>
    <s v="하이엠솔루텍"/>
    <m/>
    <m/>
    <n v="13756"/>
    <s v="03 2001~3000대"/>
    <s v="04 연장"/>
    <s v="03 휴넷 LMS"/>
    <s v="통합위탁"/>
    <s v="01. 이러닝 - 통합위탁"/>
    <s v="01. 이러닝 - 통합위탁"/>
    <s v="O"/>
    <n v="40245500"/>
    <n v="38256100"/>
    <n v="30992900"/>
    <m/>
    <s v="01 확정"/>
    <x v="0"/>
    <m/>
    <m/>
    <n v="35509900"/>
    <n v="35509900"/>
    <n v="0"/>
    <n v="2525000"/>
    <n v="2525000"/>
    <m/>
    <n v="3089400"/>
    <n v="3089400"/>
    <m/>
    <n v="2895500"/>
    <n v="28955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57"/>
    <m/>
    <m/>
    <s v="기업교육1팀"/>
    <s v="장지웅"/>
    <s v="기업교육1팀"/>
    <x v="3"/>
    <m/>
    <m/>
    <s v="하이엠솔루텍"/>
    <m/>
    <m/>
    <n v="13756"/>
    <s v="03 2001~3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8"/>
    <m/>
    <m/>
    <s v="기업교육1팀"/>
    <s v="장지웅"/>
    <s v="기업교육1팀"/>
    <x v="3"/>
    <m/>
    <m/>
    <s v="하이케어솔루션"/>
    <m/>
    <m/>
    <n v="49808"/>
    <s v="02 1001~2000대"/>
    <s v="01 수성"/>
    <s v="03 휴넷 LMS"/>
    <s v="통합위탁"/>
    <s v="01. 이러닝 - 통합위탁"/>
    <s v="01. 이러닝 - 통합위탁"/>
    <m/>
    <n v="826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1팀"/>
    <s v="장지웅"/>
    <s v="기업교육1팀"/>
    <x v="3"/>
    <m/>
    <m/>
    <s v="한국보훈복지의료공단"/>
    <m/>
    <m/>
    <n v="3829"/>
    <s v="05 공공"/>
    <s v="01 수성"/>
    <s v="01 자체 LMS"/>
    <s v="통합위탁"/>
    <s v="01. 이러닝 - 통합위탁"/>
    <s v="01. 이러닝 - 통합위탁"/>
    <m/>
    <n v="292000000"/>
    <n v="185000000"/>
    <n v="171705150"/>
    <m/>
    <s v="01 확정"/>
    <x v="4"/>
    <m/>
    <m/>
    <n v="190000000"/>
    <n v="190000000"/>
    <n v="0"/>
    <m/>
    <m/>
    <m/>
    <m/>
    <m/>
    <m/>
    <m/>
    <m/>
    <m/>
    <m/>
    <m/>
    <m/>
    <m/>
    <n v="10000000"/>
    <m/>
    <n v="30000000"/>
    <m/>
    <n v="30000000"/>
    <m/>
    <n v="30000000"/>
    <m/>
    <n v="30000000"/>
    <m/>
    <n v="30000000"/>
    <m/>
    <n v="30000000"/>
    <m/>
  </r>
  <r>
    <n v="460"/>
    <m/>
    <m/>
    <s v="기업교육1팀"/>
    <s v="장지웅"/>
    <s v="기업교육1팀"/>
    <x v="3"/>
    <m/>
    <m/>
    <s v="한국부동산원"/>
    <m/>
    <m/>
    <n v="50222"/>
    <s v="05 공공"/>
    <s v="01 수성"/>
    <s v="03 휴넷 LMS"/>
    <s v="1. 온라인 - 단과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61"/>
    <m/>
    <m/>
    <s v="기업교육1팀"/>
    <s v="장지웅"/>
    <s v="기업교육1팀"/>
    <x v="3"/>
    <m/>
    <m/>
    <s v="한국승강기안전공단"/>
    <m/>
    <m/>
    <n v="22869"/>
    <s v="05 공공"/>
    <s v="03 신규"/>
    <m/>
    <m/>
    <m/>
    <s v="03. 이러닝 - 법정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2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1. 온라인 - 단과"/>
    <s v="02. 이러닝 - 단과"/>
    <s v="02. 이러닝 - 단과"/>
    <m/>
    <n v="12479000"/>
    <n v="0"/>
    <n v="0"/>
    <m/>
    <s v="02 가망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463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0"/>
    <m/>
    <m/>
    <n v="56000000"/>
    <n v="56000000"/>
    <n v="0"/>
    <m/>
    <m/>
    <m/>
    <m/>
    <m/>
    <m/>
    <n v="6000000"/>
    <n v="6000000"/>
    <m/>
    <m/>
    <m/>
    <m/>
    <m/>
    <m/>
    <m/>
    <m/>
    <m/>
    <n v="50000000"/>
    <m/>
    <m/>
    <m/>
    <m/>
    <m/>
    <m/>
    <m/>
    <m/>
    <m/>
  </r>
  <r>
    <n v="464"/>
    <m/>
    <m/>
    <s v="기업교육1팀"/>
    <s v="황동현"/>
    <s v="기업교육1팀"/>
    <x v="3"/>
    <m/>
    <m/>
    <s v="한국항공우주산업주식회사"/>
    <m/>
    <m/>
    <n v="1429"/>
    <s v="01 1~1000대"/>
    <s v="01 수성"/>
    <s v="01 자체 LMS"/>
    <s v="6. 하이브리드러닝 - 집합형"/>
    <s v="02. 이러닝 - 단과"/>
    <s v="02. 이러닝 - 단과"/>
    <m/>
    <m/>
    <m/>
    <n v="78300000"/>
    <m/>
    <s v="01 확정"/>
    <x v="4"/>
    <m/>
    <m/>
    <n v="50000000"/>
    <n v="50000000"/>
    <n v="0"/>
    <m/>
    <m/>
    <m/>
    <m/>
    <m/>
    <m/>
    <m/>
    <m/>
    <m/>
    <m/>
    <m/>
    <n v="15000000"/>
    <m/>
    <n v="35000000"/>
    <m/>
    <m/>
    <m/>
    <m/>
    <m/>
    <m/>
    <m/>
    <m/>
    <m/>
    <m/>
    <m/>
    <m/>
    <m/>
  </r>
  <r>
    <n v="465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2. 이러닝 - 단과"/>
    <s v="02. 이러닝 - 단과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6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527273"/>
    <n v="0"/>
    <m/>
    <s v="02 가망"/>
    <x v="0"/>
    <m/>
    <m/>
    <n v="4411896"/>
    <n v="4411896"/>
    <n v="0"/>
    <n v="4411896"/>
    <n v="4411896"/>
    <m/>
    <m/>
    <m/>
    <m/>
    <m/>
    <m/>
    <m/>
    <m/>
    <m/>
    <m/>
    <m/>
    <m/>
    <m/>
    <m/>
    <m/>
    <m/>
    <m/>
    <n v="0"/>
    <m/>
    <m/>
    <m/>
    <m/>
    <m/>
    <m/>
    <m/>
  </r>
  <r>
    <n v="467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68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9"/>
    <m/>
    <m/>
    <s v="기업교육1팀"/>
    <s v="장지웅"/>
    <s v="기업교육1팀"/>
    <x v="3"/>
    <m/>
    <m/>
    <s v="한화손해보험"/>
    <m/>
    <m/>
    <n v="8229"/>
    <s v="01 1~1000대"/>
    <s v="01 수성"/>
    <s v="03 휴넷 LMS"/>
    <m/>
    <s v="02. 이러닝 - 단과"/>
    <s v="02. 이러닝 - 단과"/>
    <m/>
    <m/>
    <m/>
    <n v="49665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m/>
    <m/>
    <s v="기업교육1팀"/>
    <x v="3"/>
    <m/>
    <m/>
    <s v="한화손해보험"/>
    <m/>
    <m/>
    <n v="8229"/>
    <s v="01 1~1000대"/>
    <s v="01 수성"/>
    <s v="03 휴넷 LMS"/>
    <s v="2. 온라인 - 법정"/>
    <s v="03. 이러닝 - 법정"/>
    <s v="03. 이러닝 - 법정"/>
    <m/>
    <n v="42054000"/>
    <n v="51772000"/>
    <n v="0"/>
    <m/>
    <s v="02 가망"/>
    <x v="4"/>
    <m/>
    <m/>
    <n v="50000000"/>
    <n v="50000000"/>
    <n v="0"/>
    <m/>
    <m/>
    <m/>
    <m/>
    <m/>
    <m/>
    <m/>
    <m/>
    <m/>
    <m/>
    <m/>
    <m/>
    <m/>
    <n v="15000000"/>
    <m/>
    <m/>
    <m/>
    <m/>
    <m/>
    <m/>
    <m/>
    <m/>
    <m/>
    <n v="35000000"/>
    <m/>
    <m/>
    <m/>
  </r>
  <r>
    <n v="471"/>
    <m/>
    <m/>
    <s v="기업교육1팀"/>
    <s v="장지웅"/>
    <s v="기업교육1팀"/>
    <x v="3"/>
    <m/>
    <m/>
    <s v="한화손해보험"/>
    <m/>
    <m/>
    <n v="8229"/>
    <m/>
    <m/>
    <m/>
    <m/>
    <m/>
    <s v="09. 하이브리드러닝 - 순수 오프라인"/>
    <m/>
    <m/>
    <m/>
    <n v="31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1팀"/>
    <s v="장지웅"/>
    <s v="기업교육1팀"/>
    <x v="3"/>
    <m/>
    <m/>
    <s v="한화손해보험"/>
    <m/>
    <m/>
    <n v="8229"/>
    <s v="01 1~1000대"/>
    <s v="03 신규"/>
    <s v="03 휴넷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n v="3000000"/>
    <m/>
    <n v="3000000"/>
    <m/>
    <m/>
    <m/>
    <n v="3000000"/>
    <m/>
    <m/>
    <m/>
    <n v="3000000"/>
    <m/>
    <n v="3000000"/>
    <m/>
    <m/>
    <m/>
    <m/>
    <m/>
  </r>
  <r>
    <n v="473"/>
    <m/>
    <m/>
    <m/>
    <m/>
    <s v="기업교육1팀"/>
    <x v="3"/>
    <m/>
    <m/>
    <s v="한화솔루션 인사이트"/>
    <m/>
    <m/>
    <n v="28670"/>
    <s v="03 2001~3000대"/>
    <s v="03 신규"/>
    <s v="03 휴넷 LMS"/>
    <s v="2. 온라인 - 법정"/>
    <s v="03. 이러닝 - 법정"/>
    <s v="03. 이러닝 - 법정"/>
    <m/>
    <n v="2970000"/>
    <n v="0"/>
    <n v="0"/>
    <m/>
    <s v="02 가망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74"/>
    <m/>
    <m/>
    <s v="기업교육1팀"/>
    <s v="장지웅"/>
    <s v="기업교육1팀"/>
    <x v="3"/>
    <m/>
    <m/>
    <s v="한화에너지㈜"/>
    <m/>
    <m/>
    <n v="16169"/>
    <m/>
    <m/>
    <m/>
    <m/>
    <s v="03. 이러닝 - 법정"/>
    <s v="03. 이러닝 - 법정"/>
    <m/>
    <m/>
    <m/>
    <n v="0"/>
    <m/>
    <s v="09 2025년 매출"/>
    <x v="0"/>
    <m/>
    <m/>
    <n v="3278000"/>
    <n v="3278000"/>
    <n v="0"/>
    <n v="2282000"/>
    <n v="3278000"/>
    <m/>
    <m/>
    <m/>
    <m/>
    <m/>
    <m/>
    <m/>
    <m/>
    <m/>
    <m/>
    <m/>
    <m/>
    <m/>
    <m/>
    <m/>
    <m/>
    <m/>
    <m/>
    <m/>
    <m/>
    <m/>
    <m/>
    <m/>
    <m/>
    <m/>
  </r>
  <r>
    <n v="475"/>
    <m/>
    <m/>
    <s v="기업교육1팀"/>
    <s v="장지웅"/>
    <s v="기업교육1팀"/>
    <x v="3"/>
    <m/>
    <m/>
    <s v="한화에스테이트서비스"/>
    <m/>
    <m/>
    <n v="43110"/>
    <s v="01 1~1000대"/>
    <s v="01 수성"/>
    <s v="03 휴넷 LMS"/>
    <s v="2. 온라인 - 법정"/>
    <s v="03. 이러닝 - 법정"/>
    <s v="03. 이러닝 - 법정"/>
    <m/>
    <m/>
    <n v="896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m/>
    <m/>
    <s v="기업교육1팀"/>
    <x v="3"/>
    <m/>
    <m/>
    <s v="한화투자증권"/>
    <m/>
    <m/>
    <n v="16703"/>
    <s v="01 1~1000대"/>
    <s v="01 수성"/>
    <s v="03 휴넷 LMS"/>
    <s v="2. 온라인 - 법정"/>
    <s v="03. 이러닝 - 법정"/>
    <s v="03. 이러닝 - 법정"/>
    <m/>
    <n v="14967000"/>
    <n v="13598000"/>
    <n v="13951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7"/>
    <m/>
    <m/>
    <s v="기업교육1팀"/>
    <s v="장지웅"/>
    <s v="기업교육1팀"/>
    <x v="3"/>
    <m/>
    <m/>
    <s v="한화투자증권"/>
    <m/>
    <m/>
    <n v="16703"/>
    <m/>
    <m/>
    <m/>
    <m/>
    <m/>
    <s v="09. 하이브리드러닝 - 순수 오프라인"/>
    <m/>
    <m/>
    <m/>
    <n v="49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1팀"/>
    <s v="장지웅"/>
    <s v="기업교육1팀"/>
    <x v="3"/>
    <m/>
    <m/>
    <s v="한화호텔앤드리조트"/>
    <m/>
    <m/>
    <n v="14630"/>
    <s v="01 1~1000대"/>
    <s v="01 수성"/>
    <s v="03 휴넷 LMS"/>
    <s v="통합위탁"/>
    <s v="01. 이러닝 - 통합위탁"/>
    <s v="01. 이러닝 - 통합위탁"/>
    <m/>
    <m/>
    <n v="16182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1팀"/>
    <s v="장지웅"/>
    <s v="기업교육1팀"/>
    <x v="3"/>
    <m/>
    <m/>
    <s v="한화호텔앤드리조트"/>
    <m/>
    <m/>
    <n v="14630"/>
    <s v="02 1001~2000대"/>
    <s v="01 수성"/>
    <s v="03 휴넷 LMS"/>
    <s v="2. 온라인 - 법정"/>
    <s v="03. 이러닝 - 법정"/>
    <s v="03. 이러닝 - 법정"/>
    <m/>
    <n v="15497500"/>
    <n v="0"/>
    <n v="5363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80"/>
    <m/>
    <m/>
    <m/>
    <m/>
    <s v="기업교육1팀"/>
    <x v="3"/>
    <m/>
    <m/>
    <s v="한화호텔앤드리조트"/>
    <m/>
    <m/>
    <n v="14630"/>
    <s v="01 1~1000대"/>
    <s v="03 신규"/>
    <s v="03 휴넷 LMS"/>
    <m/>
    <m/>
    <s v="14. 구독 - 기타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s v="2. 온라인 - 법정"/>
    <s v="03. 이러닝 - 법정"/>
    <s v="01. 이러닝 - 통합위탁"/>
    <m/>
    <n v="52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1. 이러닝 - 통합위탁"/>
    <s v="03. 이러닝 - 법정"/>
    <m/>
    <m/>
    <n v="0"/>
    <n v="0"/>
    <m/>
    <s v="03 기회"/>
    <x v="0"/>
    <m/>
    <m/>
    <n v="19005000"/>
    <n v="19005000"/>
    <n v="0"/>
    <m/>
    <m/>
    <m/>
    <m/>
    <m/>
    <m/>
    <n v="5000"/>
    <n v="5000"/>
    <m/>
    <n v="0"/>
    <m/>
    <n v="0"/>
    <m/>
    <n v="0"/>
    <m/>
    <n v="0"/>
    <m/>
    <n v="0"/>
    <m/>
    <n v="0"/>
    <m/>
    <n v="19000000"/>
    <m/>
    <n v="0"/>
    <m/>
    <n v="0"/>
    <m/>
  </r>
  <r>
    <n v="483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84"/>
    <m/>
    <m/>
    <s v="기업교육1팀"/>
    <s v="이태원"/>
    <s v="기업교육1팀"/>
    <x v="4"/>
    <m/>
    <m/>
    <s v="KT alpha"/>
    <m/>
    <m/>
    <n v="4372"/>
    <m/>
    <m/>
    <m/>
    <m/>
    <m/>
    <s v="02. 이러닝 - 단과"/>
    <m/>
    <m/>
    <m/>
    <n v="287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s v="2. 온라인 - 법정"/>
    <s v="03. 이러닝 - 법정"/>
    <s v="03. 이러닝 - 법정"/>
    <m/>
    <n v="23914000"/>
    <n v="33039000"/>
    <n v="31007000"/>
    <m/>
    <s v="01 확정"/>
    <x v="0"/>
    <m/>
    <m/>
    <n v="30000000"/>
    <n v="30000000"/>
    <n v="0"/>
    <m/>
    <m/>
    <m/>
    <m/>
    <m/>
    <m/>
    <m/>
    <m/>
    <m/>
    <m/>
    <m/>
    <n v="6000000"/>
    <m/>
    <n v="4000000"/>
    <m/>
    <n v="12000000"/>
    <m/>
    <m/>
    <m/>
    <n v="2000000"/>
    <m/>
    <m/>
    <m/>
    <m/>
    <m/>
    <n v="6000000"/>
    <m/>
  </r>
  <r>
    <n v="486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m/>
    <s v="26. 이러닝 - 정부지원사업"/>
    <s v="06. 이러닝 - 정부지원사업"/>
    <m/>
    <m/>
    <m/>
    <n v="0"/>
    <m/>
    <s v="01 확정"/>
    <x v="0"/>
    <m/>
    <m/>
    <n v="7420000"/>
    <n v="7420000"/>
    <n v="0"/>
    <m/>
    <m/>
    <m/>
    <m/>
    <m/>
    <m/>
    <m/>
    <m/>
    <m/>
    <m/>
    <m/>
    <n v="5194000"/>
    <m/>
    <m/>
    <m/>
    <m/>
    <m/>
    <m/>
    <m/>
    <m/>
    <m/>
    <m/>
    <m/>
    <n v="2226000"/>
    <m/>
    <m/>
    <m/>
  </r>
  <r>
    <n v="487"/>
    <m/>
    <m/>
    <s v="기업교육1팀"/>
    <s v="이태원"/>
    <s v="기업교육1팀"/>
    <x v="4"/>
    <m/>
    <m/>
    <s v="KT alpha"/>
    <m/>
    <m/>
    <n v="4372"/>
    <m/>
    <s v="03 신규"/>
    <m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88"/>
    <m/>
    <m/>
    <s v="기업교육1팀"/>
    <s v="이태원"/>
    <s v="기업교육1팀"/>
    <x v="4"/>
    <m/>
    <m/>
    <s v="SK"/>
    <m/>
    <m/>
    <n v="517"/>
    <s v="01 1~1000대"/>
    <s v="03 신규"/>
    <m/>
    <s v="2. 온라인 - 법정"/>
    <s v="03. 이러닝 - 법정"/>
    <s v="03. 이러닝 - 법정"/>
    <m/>
    <n v="420000"/>
    <n v="30000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장지웅"/>
    <s v="기업교육1팀"/>
    <s v="이태원"/>
    <s v="기업교육1팀"/>
    <x v="4"/>
    <m/>
    <m/>
    <s v="SK매직"/>
    <m/>
    <m/>
    <n v="4062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90"/>
    <m/>
    <m/>
    <s v="기업교육1팀"/>
    <s v="이태원"/>
    <s v="기업교육1팀"/>
    <x v="4"/>
    <m/>
    <m/>
    <s v="SK브로드밴드(유통망)"/>
    <m/>
    <m/>
    <n v="42824"/>
    <s v="01 1~1000대"/>
    <s v="01 수성"/>
    <s v="02 경쟁사 LMS"/>
    <m/>
    <s v="15. 솔루션 - LABS"/>
    <s v="03. 이러닝 - 법정"/>
    <m/>
    <m/>
    <m/>
    <n v="0"/>
    <m/>
    <s v="01 확정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91"/>
    <m/>
    <m/>
    <s v="기업교육1팀"/>
    <s v="이태원"/>
    <s v="기업교육1팀"/>
    <x v="4"/>
    <m/>
    <m/>
    <s v="SK브로드밴드(유통망)"/>
    <m/>
    <m/>
    <n v="42824"/>
    <s v="01 1~1000대"/>
    <s v="03 신규"/>
    <m/>
    <s v="14. 솔루션 - 맞춤형 LABS"/>
    <s v="15. 솔루션 - LABS"/>
    <s v="16. 솔루션 - LABS"/>
    <m/>
    <n v="12568000"/>
    <n v="0"/>
    <n v="118925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2"/>
    <m/>
    <m/>
    <m/>
    <m/>
    <s v="기업교육1팀"/>
    <x v="4"/>
    <m/>
    <m/>
    <s v="SK에코플랜트"/>
    <m/>
    <m/>
    <n v="52268"/>
    <m/>
    <s v="03 신규"/>
    <m/>
    <m/>
    <m/>
    <s v="08. 하이브리드러닝 - 하이브리드형 러닝"/>
    <m/>
    <m/>
    <m/>
    <n v="0"/>
    <m/>
    <m/>
    <x v="5"/>
    <m/>
    <m/>
    <n v="0"/>
    <n v="0"/>
    <n v="0"/>
    <m/>
    <m/>
    <m/>
    <m/>
    <m/>
    <m/>
    <n v="99000000"/>
    <n v="0"/>
    <m/>
    <m/>
    <m/>
    <m/>
    <m/>
    <m/>
    <m/>
    <m/>
    <m/>
    <m/>
    <m/>
    <m/>
    <m/>
    <m/>
    <m/>
    <m/>
    <m/>
    <m/>
    <m/>
  </r>
  <r>
    <n v="493"/>
    <m/>
    <m/>
    <s v="기업교육1팀"/>
    <s v="이태원"/>
    <s v="기업교육1팀"/>
    <x v="4"/>
    <m/>
    <m/>
    <s v="SK하이닉스"/>
    <m/>
    <m/>
    <n v="393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94"/>
    <m/>
    <m/>
    <s v="기업교육1팀"/>
    <s v="이태원"/>
    <s v="기업교육1팀"/>
    <x v="4"/>
    <m/>
    <m/>
    <s v="SK하이닉스"/>
    <m/>
    <m/>
    <n v="393"/>
    <s v="01 1~1000대"/>
    <s v="03 신규"/>
    <m/>
    <s v="6. 하이브리드러닝 - 집합형"/>
    <s v="08. 하이브리드러닝 - 하이브리드형 러닝"/>
    <s v="08. 하이브리드러닝 - 하이브리드형 러닝"/>
    <m/>
    <n v="1500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495"/>
    <m/>
    <m/>
    <s v="기업교육1팀"/>
    <s v="이태원"/>
    <s v="기업교육1팀"/>
    <x v="4"/>
    <m/>
    <m/>
    <s v="SK하이닉스"/>
    <m/>
    <m/>
    <n v="393"/>
    <s v="01 1~1000대"/>
    <s v="01 수성"/>
    <s v="01 자체 LMS"/>
    <m/>
    <s v="14. 컨텐츠 - 컨텐츠 개발"/>
    <s v="15. 컨텐츠 - 컨텐츠 개발"/>
    <m/>
    <m/>
    <m/>
    <n v="120000000"/>
    <m/>
    <s v="01 확정"/>
    <x v="0"/>
    <m/>
    <m/>
    <n v="22000000"/>
    <n v="22000000"/>
    <n v="0"/>
    <m/>
    <m/>
    <m/>
    <m/>
    <m/>
    <m/>
    <n v="22000000"/>
    <n v="0"/>
    <s v="10월 이월"/>
    <m/>
    <m/>
    <m/>
    <m/>
    <m/>
    <m/>
    <m/>
    <m/>
    <m/>
    <m/>
    <m/>
    <m/>
    <n v="22000000"/>
    <m/>
    <m/>
    <m/>
    <m/>
    <m/>
  </r>
  <r>
    <n v="496"/>
    <m/>
    <m/>
    <m/>
    <m/>
    <s v="기업교육1팀"/>
    <x v="4"/>
    <m/>
    <m/>
    <s v="SK하이닉스"/>
    <m/>
    <m/>
    <n v="393"/>
    <s v="01 1~1000대"/>
    <s v="01 수성"/>
    <s v="01 자체 LMS"/>
    <m/>
    <m/>
    <s v="15. 컨텐츠 - 컨텐츠 개발"/>
    <m/>
    <m/>
    <m/>
    <n v="0"/>
    <m/>
    <m/>
    <x v="1"/>
    <m/>
    <m/>
    <n v="120000000"/>
    <n v="120000000"/>
    <n v="0"/>
    <m/>
    <m/>
    <m/>
    <m/>
    <m/>
    <m/>
    <m/>
    <m/>
    <m/>
    <m/>
    <m/>
    <m/>
    <m/>
    <m/>
    <m/>
    <m/>
    <m/>
    <m/>
    <m/>
    <n v="60000000"/>
    <m/>
    <m/>
    <m/>
    <n v="60000000"/>
    <m/>
    <m/>
    <m/>
  </r>
  <r>
    <n v="497"/>
    <m/>
    <m/>
    <s v="기업교육1팀"/>
    <s v="이태원"/>
    <s v="기업교육1팀"/>
    <x v="4"/>
    <m/>
    <m/>
    <s v="SK하이닉스"/>
    <m/>
    <m/>
    <n v="393"/>
    <m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8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통합위탁"/>
    <s v="01. 이러닝 - 통합위탁"/>
    <s v="01. 이러닝 - 통합위탁"/>
    <m/>
    <m/>
    <n v="83131580"/>
    <n v="119819900"/>
    <m/>
    <s v="01 확정"/>
    <x v="0"/>
    <m/>
    <m/>
    <n v="18871710"/>
    <n v="18871710"/>
    <n v="0"/>
    <n v="10000000"/>
    <n v="4326760"/>
    <m/>
    <n v="10000000"/>
    <n v="7970950"/>
    <m/>
    <n v="10000000"/>
    <n v="6574000"/>
    <m/>
    <m/>
    <m/>
    <m/>
    <m/>
    <m/>
    <m/>
    <m/>
    <m/>
    <m/>
    <m/>
    <m/>
    <m/>
    <m/>
    <m/>
    <m/>
    <m/>
    <m/>
    <m/>
  </r>
  <r>
    <n v="499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6. 하이브리드러닝 - 집합형"/>
    <s v="08. 하이브리드러닝 - 하이브리드형 러닝"/>
    <s v="01. 이러닝 - 통합위탁"/>
    <m/>
    <m/>
    <n v="28110000"/>
    <n v="0"/>
    <m/>
    <s v="01 확정"/>
    <x v="5"/>
    <m/>
    <m/>
    <n v="99000000"/>
    <n v="99000000"/>
    <n v="0"/>
    <m/>
    <m/>
    <m/>
    <m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500"/>
    <m/>
    <m/>
    <m/>
    <m/>
    <s v="기업교육1팀"/>
    <x v="4"/>
    <m/>
    <m/>
    <s v="국가보안기술연구소"/>
    <m/>
    <m/>
    <n v="18447"/>
    <m/>
    <m/>
    <m/>
    <m/>
    <m/>
    <s v="08. 하이브리드러닝 - 하이브리드형 러닝"/>
    <m/>
    <m/>
    <m/>
    <n v="32553728"/>
    <m/>
    <m/>
    <x v="0"/>
    <m/>
    <m/>
    <n v="6000000"/>
    <n v="6000000"/>
    <n v="0"/>
    <m/>
    <m/>
    <m/>
    <m/>
    <n v="6000000"/>
    <m/>
    <m/>
    <m/>
    <m/>
    <m/>
    <m/>
    <m/>
    <m/>
    <m/>
    <m/>
    <m/>
    <m/>
    <m/>
    <m/>
    <m/>
    <m/>
    <m/>
    <m/>
    <m/>
    <m/>
    <m/>
    <m/>
  </r>
  <r>
    <n v="501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s v="09. 하이브리드러닝 - 순수 오프라인"/>
    <s v="09. 하이브리드러닝 - 순수 오프라인"/>
    <m/>
    <m/>
    <m/>
    <n v="0"/>
    <m/>
    <s v="02 가망"/>
    <x v="5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502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2. 구독 - 휴넷 리더십저니"/>
    <m/>
    <m/>
    <m/>
    <n v="0"/>
    <m/>
    <m/>
    <x v="5"/>
    <m/>
    <m/>
    <n v="12000000"/>
    <n v="12000000"/>
    <n v="0"/>
    <m/>
    <m/>
    <m/>
    <m/>
    <m/>
    <m/>
    <m/>
    <m/>
    <m/>
    <n v="12000000"/>
    <m/>
    <m/>
    <m/>
    <m/>
    <m/>
    <m/>
    <m/>
    <m/>
    <m/>
    <m/>
    <m/>
    <m/>
    <m/>
    <m/>
    <m/>
    <m/>
    <m/>
  </r>
  <r>
    <n v="503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4. 구독 - 기타"/>
    <m/>
    <m/>
    <m/>
    <n v="0"/>
    <m/>
    <m/>
    <x v="5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504"/>
    <m/>
    <m/>
    <s v="기업교육1팀"/>
    <s v="이태원"/>
    <s v="기업교육1팀"/>
    <x v="4"/>
    <m/>
    <m/>
    <s v="국가철도공단"/>
    <m/>
    <m/>
    <n v="54322"/>
    <s v="05 공공"/>
    <s v="03 신규"/>
    <s v="01 자체 LMS"/>
    <s v="1. 온라인 - 단과"/>
    <s v="02. 이러닝 - 단과"/>
    <s v="02. 이러닝 - 단과"/>
    <m/>
    <n v="49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1팀"/>
    <s v="이태원"/>
    <s v="기업교육1팀"/>
    <x v="4"/>
    <m/>
    <m/>
    <s v="국립공원공단"/>
    <m/>
    <m/>
    <n v="3827"/>
    <s v="05 공공"/>
    <s v="04 연장"/>
    <s v="03 휴넷 LMS"/>
    <s v="통합위탁"/>
    <s v="01. 이러닝 - 통합위탁"/>
    <s v="01. 이러닝 - 통합위탁"/>
    <m/>
    <n v="95316364"/>
    <n v="138037455"/>
    <n v="71660000"/>
    <m/>
    <s v="01 확정"/>
    <x v="0"/>
    <m/>
    <m/>
    <n v="118000000"/>
    <n v="118000000"/>
    <n v="0"/>
    <m/>
    <m/>
    <m/>
    <m/>
    <m/>
    <m/>
    <m/>
    <m/>
    <m/>
    <n v="59000000"/>
    <m/>
    <m/>
    <m/>
    <m/>
    <m/>
    <m/>
    <m/>
    <m/>
    <m/>
    <m/>
    <m/>
    <m/>
    <m/>
    <m/>
    <m/>
    <n v="59000000"/>
    <m/>
  </r>
  <r>
    <n v="506"/>
    <m/>
    <m/>
    <s v="기업교육1팀"/>
    <s v="이태원"/>
    <s v="기업교육1팀"/>
    <x v="4"/>
    <m/>
    <m/>
    <s v="국방전직교육원"/>
    <m/>
    <m/>
    <n v="18850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n v="400000000"/>
    <m/>
    <m/>
    <n v="400000000"/>
    <n v="0"/>
    <s v="2월 미발행"/>
    <m/>
    <m/>
    <m/>
    <m/>
    <m/>
    <m/>
    <m/>
    <m/>
    <m/>
    <m/>
    <m/>
    <m/>
    <m/>
    <m/>
    <m/>
    <m/>
    <m/>
    <m/>
  </r>
  <r>
    <n v="507"/>
    <m/>
    <m/>
    <m/>
    <m/>
    <s v="기업교육1팀"/>
    <x v="4"/>
    <m/>
    <m/>
    <s v="국방전직교육원"/>
    <m/>
    <m/>
    <n v="18850"/>
    <s v="05 공공"/>
    <s v="03 신규"/>
    <m/>
    <m/>
    <m/>
    <s v="07. 이러닝 - 컨텐츠 임대/판매"/>
    <m/>
    <m/>
    <m/>
    <n v="0"/>
    <m/>
    <m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508"/>
    <m/>
    <m/>
    <s v="기업교육1팀"/>
    <s v="이태원"/>
    <s v="기업교육1팀"/>
    <x v="4"/>
    <m/>
    <m/>
    <s v="국방전직교육원"/>
    <m/>
    <m/>
    <n v="18850"/>
    <s v="05 공공"/>
    <s v="03 신규"/>
    <m/>
    <m/>
    <s v="14. 컨텐츠 - 컨텐츠 개발"/>
    <s v="15. 컨텐츠 - 컨텐츠 개발"/>
    <m/>
    <n v="0"/>
    <n v="0"/>
    <n v="0"/>
    <m/>
    <s v="04 실주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1팀"/>
    <s v="이태원"/>
    <s v="기업교육1팀"/>
    <x v="4"/>
    <m/>
    <m/>
    <s v="동양생명보험"/>
    <m/>
    <m/>
    <n v="384"/>
    <s v="01 1~1000대"/>
    <s v="04 연장"/>
    <m/>
    <s v="통합위탁"/>
    <s v="01. 이러닝 - 통합위탁"/>
    <s v="01. 이러닝 - 통합위탁"/>
    <s v="O"/>
    <n v="85644990"/>
    <n v="69075150"/>
    <n v="125439680"/>
    <m/>
    <s v="01 확정"/>
    <x v="0"/>
    <m/>
    <m/>
    <n v="119353490"/>
    <n v="119353490"/>
    <n v="0"/>
    <n v="10000000"/>
    <n v="5624000"/>
    <m/>
    <n v="10000000"/>
    <n v="8885740"/>
    <m/>
    <n v="8343750"/>
    <n v="8343750"/>
    <m/>
    <n v="14500000"/>
    <m/>
    <n v="10000000"/>
    <m/>
    <n v="11000000"/>
    <m/>
    <n v="11000000"/>
    <m/>
    <n v="10000000"/>
    <m/>
    <n v="10000000"/>
    <m/>
    <n v="10000000"/>
    <m/>
    <n v="10000000"/>
    <m/>
    <n v="10000000"/>
    <m/>
  </r>
  <r>
    <n v="510"/>
    <m/>
    <m/>
    <s v="기업교육1팀"/>
    <s v="이태원"/>
    <s v="기업교육1팀"/>
    <x v="4"/>
    <m/>
    <m/>
    <s v="동양생명보험"/>
    <m/>
    <m/>
    <n v="384"/>
    <s v="01 1~1000대"/>
    <s v="04 연장"/>
    <m/>
    <s v="2. 온라인 - 법정"/>
    <s v="03. 이러닝 - 법정"/>
    <s v="03. 이러닝 - 법정"/>
    <m/>
    <m/>
    <n v="915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1팀"/>
    <s v="이태원"/>
    <s v="기업교육1팀"/>
    <x v="4"/>
    <m/>
    <m/>
    <s v="동양생명보험"/>
    <m/>
    <m/>
    <n v="384"/>
    <s v="01 1~1000대"/>
    <s v="02 윈백"/>
    <m/>
    <s v="6. 하이브리드러닝 - 집합형"/>
    <s v="08. 하이브리드러닝 - 하이브리드형 러닝"/>
    <s v="08. 하이브리드러닝 - 하이브리드형 러닝"/>
    <m/>
    <m/>
    <n v="9100000"/>
    <n v="0"/>
    <m/>
    <s v="08 2024년 매출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2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1. 구독 - 휴넷CEO멤버십"/>
    <m/>
    <m/>
    <m/>
    <n v="1400000"/>
    <m/>
    <m/>
    <x v="1"/>
    <m/>
    <m/>
    <n v="12000000"/>
    <n v="12000000"/>
    <n v="0"/>
    <m/>
    <m/>
    <m/>
    <m/>
    <m/>
    <m/>
    <m/>
    <m/>
    <m/>
    <m/>
    <m/>
    <n v="12000000"/>
    <m/>
    <m/>
    <m/>
    <m/>
    <m/>
    <m/>
    <m/>
    <m/>
    <m/>
    <m/>
    <m/>
    <m/>
    <m/>
    <m/>
    <m/>
  </r>
  <r>
    <n v="513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4"/>
    <m/>
    <m/>
    <s v="기업교육1팀"/>
    <s v="이태원"/>
    <s v="기업교육1팀"/>
    <x v="4"/>
    <m/>
    <m/>
    <s v="디케이테크인"/>
    <m/>
    <m/>
    <n v="58593"/>
    <s v="04 3000대 이후"/>
    <s v="02 윈백"/>
    <m/>
    <s v="2. 온라인 - 법정"/>
    <s v="03. 이러닝 - 법정"/>
    <s v="03. 이러닝 - 법정"/>
    <m/>
    <n v="5510000"/>
    <n v="6460000"/>
    <n v="0"/>
    <m/>
    <s v="02 가망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515"/>
    <m/>
    <m/>
    <s v="기업교육1팀"/>
    <s v="이태원"/>
    <s v="기업교육1팀"/>
    <x v="4"/>
    <m/>
    <m/>
    <s v="디케이테크인"/>
    <m/>
    <m/>
    <n v="58593"/>
    <s v="04 3000대 이후"/>
    <s v="03 신규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1팀"/>
    <s v="이태원"/>
    <s v="기업교육1팀"/>
    <x v="4"/>
    <m/>
    <m/>
    <s v="삼성SDI"/>
    <m/>
    <m/>
    <n v="3700"/>
    <m/>
    <s v="03 신규"/>
    <m/>
    <m/>
    <m/>
    <s v="07. 이러닝 - 컨텐츠 임대/판매"/>
    <m/>
    <m/>
    <m/>
    <n v="0"/>
    <m/>
    <m/>
    <x v="1"/>
    <m/>
    <m/>
    <n v="11000000"/>
    <n v="11000000"/>
    <n v="0"/>
    <m/>
    <m/>
    <m/>
    <m/>
    <m/>
    <m/>
    <m/>
    <m/>
    <m/>
    <m/>
    <m/>
    <n v="11000000"/>
    <m/>
    <m/>
    <m/>
    <m/>
    <m/>
    <m/>
    <m/>
    <m/>
    <m/>
    <m/>
    <m/>
    <m/>
    <m/>
    <m/>
    <m/>
  </r>
  <r>
    <n v="517"/>
    <m/>
    <m/>
    <s v="기업교육1팀"/>
    <s v="이태원"/>
    <s v="기업교육1팀"/>
    <x v="4"/>
    <m/>
    <m/>
    <s v="삼성SDI"/>
    <m/>
    <m/>
    <n v="3700"/>
    <s v="01 1~1000대"/>
    <s v="03 신규"/>
    <m/>
    <s v="6. 하이브리드러닝 - 집합형"/>
    <s v="08. 하이브리드러닝 - 하이브리드형 러닝"/>
    <s v="08. 하이브리드러닝 - 하이브리드형 러닝"/>
    <m/>
    <n v="41840000"/>
    <n v="19813636"/>
    <n v="0"/>
    <m/>
    <s v="03 기회"/>
    <x v="1"/>
    <m/>
    <m/>
    <n v="35200000"/>
    <n v="35200000"/>
    <n v="0"/>
    <m/>
    <m/>
    <m/>
    <m/>
    <m/>
    <m/>
    <m/>
    <m/>
    <m/>
    <m/>
    <m/>
    <m/>
    <m/>
    <m/>
    <m/>
    <n v="15200000"/>
    <m/>
    <n v="20000000"/>
    <m/>
    <m/>
    <m/>
    <m/>
    <m/>
    <m/>
    <m/>
    <m/>
    <m/>
  </r>
  <r>
    <n v="518"/>
    <m/>
    <m/>
    <s v="기업교육1팀"/>
    <s v="이태원"/>
    <s v="기업교육1팀"/>
    <x v="4"/>
    <m/>
    <m/>
    <s v="삼성SDI"/>
    <m/>
    <m/>
    <n v="3700"/>
    <s v="01 1~1000대"/>
    <s v="01 수성"/>
    <m/>
    <m/>
    <s v="09. 하이브리드러닝 - 순수 오프라인"/>
    <s v="09. 하이브리드러닝 - 순수 오프라인"/>
    <m/>
    <m/>
    <m/>
    <n v="6900000"/>
    <m/>
    <s v="01 확정"/>
    <x v="0"/>
    <m/>
    <m/>
    <n v="4800000"/>
    <n v="4800000"/>
    <n v="0"/>
    <m/>
    <m/>
    <m/>
    <m/>
    <m/>
    <m/>
    <m/>
    <m/>
    <m/>
    <m/>
    <m/>
    <n v="4800000"/>
    <m/>
    <m/>
    <m/>
    <m/>
    <m/>
    <m/>
    <m/>
    <m/>
    <m/>
    <m/>
    <m/>
    <m/>
    <m/>
    <m/>
    <m/>
  </r>
  <r>
    <n v="519"/>
    <m/>
    <m/>
    <s v="기업교육1팀"/>
    <s v="이태원"/>
    <s v="기업교육1팀"/>
    <x v="4"/>
    <m/>
    <m/>
    <s v="삼성에스디에스"/>
    <m/>
    <m/>
    <n v="12158"/>
    <m/>
    <s v="03 신규"/>
    <m/>
    <m/>
    <m/>
    <s v="07. 이러닝 - 컨텐츠 임대/판매"/>
    <m/>
    <m/>
    <m/>
    <n v="0"/>
    <m/>
    <m/>
    <x v="1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520"/>
    <m/>
    <m/>
    <s v="기업교육1팀"/>
    <s v="이태원"/>
    <s v="기업교육1팀"/>
    <x v="4"/>
    <m/>
    <m/>
    <s v="삼양씨앤씨"/>
    <m/>
    <m/>
    <n v="29162"/>
    <s v="04 3000대 이후"/>
    <s v="01 수성"/>
    <m/>
    <s v="2. 온라인 - 법정"/>
    <s v="03. 이러닝 - 법정"/>
    <s v="03. 이러닝 - 법정"/>
    <m/>
    <n v="2040000"/>
    <n v="1320000"/>
    <n v="2340000"/>
    <m/>
    <s v="02 가망"/>
    <x v="1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n v="1000000"/>
    <m/>
    <m/>
    <m/>
    <m/>
    <m/>
  </r>
  <r>
    <n v="521"/>
    <m/>
    <m/>
    <s v="기업교육1팀"/>
    <s v="이태원"/>
    <s v="기업교육1팀"/>
    <x v="4"/>
    <m/>
    <m/>
    <s v="서울교통공사"/>
    <m/>
    <m/>
    <n v="3801"/>
    <s v="05 공공"/>
    <s v="04 연장"/>
    <m/>
    <m/>
    <s v="01. 이러닝 - 통합위탁"/>
    <s v="01. 이러닝 - 통합위탁"/>
    <s v="O"/>
    <n v="0"/>
    <n v="0"/>
    <n v="283938775"/>
    <m/>
    <s v="01 확정"/>
    <x v="0"/>
    <m/>
    <m/>
    <n v="288467050"/>
    <n v="288467050"/>
    <n v="0"/>
    <n v="24000000"/>
    <n v="36061175"/>
    <m/>
    <n v="24000000"/>
    <n v="44211850"/>
    <m/>
    <n v="55000000"/>
    <n v="55194025"/>
    <m/>
    <n v="17000000"/>
    <m/>
    <n v="17000000"/>
    <m/>
    <n v="17000000"/>
    <m/>
    <n v="17000000"/>
    <m/>
    <n v="17000000"/>
    <m/>
    <n v="17000000"/>
    <m/>
    <n v="17000000"/>
    <m/>
    <n v="17000000"/>
    <m/>
    <n v="17000000"/>
    <m/>
  </r>
  <r>
    <n v="522"/>
    <m/>
    <m/>
    <s v="기업교육1팀"/>
    <s v="이태원"/>
    <s v="기업교육1팀"/>
    <x v="4"/>
    <m/>
    <m/>
    <s v="셀트리온"/>
    <m/>
    <m/>
    <n v="8607"/>
    <s v="01 1~1000대"/>
    <s v="01 수성"/>
    <m/>
    <s v="1. 온라인 - 단과"/>
    <s v="02. 이러닝 - 단과"/>
    <s v="02. 이러닝 - 단과"/>
    <m/>
    <n v="13684000"/>
    <n v="14772000"/>
    <n v="1561700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5000000"/>
    <m/>
    <m/>
    <m/>
    <n v="5000000"/>
    <m/>
    <n v="10000000"/>
    <m/>
    <m/>
    <m/>
  </r>
  <r>
    <n v="523"/>
    <m/>
    <m/>
    <m/>
    <m/>
    <s v="기업교육1팀"/>
    <x v="4"/>
    <m/>
    <m/>
    <s v="셀트리온"/>
    <m/>
    <m/>
    <n v="8607"/>
    <m/>
    <m/>
    <m/>
    <m/>
    <m/>
    <s v="03. 이러닝 - 법정"/>
    <m/>
    <m/>
    <m/>
    <n v="28356000"/>
    <m/>
    <m/>
    <x v="0"/>
    <m/>
    <m/>
    <n v="17000000"/>
    <n v="0"/>
    <n v="1700000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524"/>
    <m/>
    <m/>
    <m/>
    <m/>
    <s v="기업교육1팀"/>
    <x v="4"/>
    <m/>
    <m/>
    <s v="셀트리온"/>
    <m/>
    <m/>
    <n v="8607"/>
    <m/>
    <m/>
    <m/>
    <m/>
    <m/>
    <s v="08. 하이브리드러닝 - 하이브리드형 러닝"/>
    <m/>
    <m/>
    <m/>
    <n v="13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1팀"/>
    <s v="이태원"/>
    <s v="기업교육1팀"/>
    <x v="4"/>
    <m/>
    <m/>
    <s v="셀트리온"/>
    <m/>
    <m/>
    <n v="8607"/>
    <s v="01 1~1000대"/>
    <s v="01 수성"/>
    <m/>
    <m/>
    <s v="09. 하이브리드러닝 - 순수 오프라인"/>
    <s v="09. 하이브리드러닝 - 순수 오프라인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526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m/>
    <m/>
    <s v="02. 이러닝 - 단과"/>
    <m/>
    <m/>
    <m/>
    <n v="7030300"/>
    <m/>
    <m/>
    <x v="0"/>
    <m/>
    <m/>
    <n v="10799000"/>
    <n v="10799000"/>
    <n v="0"/>
    <n v="1000000"/>
    <n v="465000"/>
    <m/>
    <n v="1000000"/>
    <n v="284000"/>
    <m/>
    <n v="1000000"/>
    <n v="50000"/>
    <m/>
    <n v="1000000"/>
    <m/>
    <n v="1500000"/>
    <m/>
    <n v="1500000"/>
    <m/>
    <n v="1000000"/>
    <m/>
    <n v="1000000"/>
    <m/>
    <n v="1000000"/>
    <m/>
    <n v="1000000"/>
    <m/>
    <n v="1000000"/>
    <m/>
    <n v="1000000"/>
    <m/>
  </r>
  <r>
    <n v="527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s v="통합위탁"/>
    <s v="03. 이러닝 - 법정"/>
    <s v="03. 이러닝 - 법정"/>
    <m/>
    <n v="29669720"/>
    <n v="6788000"/>
    <n v="53254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528"/>
    <m/>
    <m/>
    <s v="기업교육1팀"/>
    <s v="이태원"/>
    <s v="기업교육1팀"/>
    <x v="4"/>
    <m/>
    <m/>
    <s v="어플라이드머티어리얼즈코리아"/>
    <m/>
    <m/>
    <n v="5108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1팀"/>
    <s v="이태원"/>
    <s v="기업교육1팀"/>
    <x v="4"/>
    <m/>
    <m/>
    <s v="에스엠컬처앤콘텐츠"/>
    <m/>
    <m/>
    <n v="44292"/>
    <s v="01 1~1000대"/>
    <s v="01 수성"/>
    <m/>
    <s v="1. 온라인 - 단과"/>
    <s v="02. 이러닝 - 단과"/>
    <s v="02. 이러닝 - 단과"/>
    <m/>
    <m/>
    <n v="14158000"/>
    <n v="20357000"/>
    <m/>
    <s v="01 확정"/>
    <x v="0"/>
    <m/>
    <m/>
    <n v="30000000"/>
    <n v="30000000"/>
    <n v="0"/>
    <m/>
    <m/>
    <m/>
    <m/>
    <m/>
    <m/>
    <m/>
    <m/>
    <m/>
    <m/>
    <m/>
    <m/>
    <m/>
    <m/>
    <m/>
    <n v="5000000"/>
    <m/>
    <n v="5000000"/>
    <m/>
    <n v="5000000"/>
    <m/>
    <n v="5000000"/>
    <m/>
    <n v="5000000"/>
    <m/>
    <n v="5000000"/>
    <m/>
  </r>
  <r>
    <n v="530"/>
    <m/>
    <m/>
    <s v="기업교육1팀"/>
    <s v="이태원"/>
    <s v="기업교육1팀"/>
    <x v="4"/>
    <m/>
    <m/>
    <s v="에스엠컬처앤콘텐츠"/>
    <m/>
    <m/>
    <n v="60460"/>
    <s v="01 1~1000대"/>
    <s v="02 윈백"/>
    <m/>
    <s v="26. 정부지원사업 - HRDFLEX"/>
    <s v="26. 이러닝 - 정부지원사업"/>
    <s v="06. 이러닝 - 정부지원사업"/>
    <m/>
    <m/>
    <n v="67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1팀"/>
    <s v="이태원"/>
    <s v="기업교육1팀"/>
    <x v="4"/>
    <m/>
    <m/>
    <s v="에스원"/>
    <m/>
    <m/>
    <n v="3853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32"/>
    <m/>
    <m/>
    <s v="기업교육1팀"/>
    <s v="이태원"/>
    <s v="기업교육1팀"/>
    <x v="4"/>
    <m/>
    <m/>
    <s v="에스원"/>
    <m/>
    <m/>
    <n v="3853"/>
    <s v="01 1~1000대"/>
    <s v="03 신규"/>
    <m/>
    <m/>
    <s v="02. 이러닝 - 단과"/>
    <s v="03. 이러닝 - 법정"/>
    <m/>
    <m/>
    <n v="0"/>
    <n v="0"/>
    <m/>
    <s v="06 사업취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n v="0"/>
    <m/>
    <m/>
    <m/>
    <m/>
    <m/>
    <m/>
    <m/>
  </r>
  <r>
    <n v="533"/>
    <m/>
    <m/>
    <m/>
    <m/>
    <s v="기업교육1팀"/>
    <x v="4"/>
    <m/>
    <m/>
    <s v="에스원"/>
    <m/>
    <m/>
    <n v="3853"/>
    <m/>
    <s v="03 신규"/>
    <m/>
    <m/>
    <m/>
    <s v="09. 하이브리드러닝 - 순수 오프라인"/>
    <m/>
    <m/>
    <m/>
    <n v="0"/>
    <m/>
    <m/>
    <x v="1"/>
    <m/>
    <m/>
    <n v="6870000"/>
    <n v="6870000"/>
    <n v="0"/>
    <m/>
    <m/>
    <m/>
    <m/>
    <m/>
    <m/>
    <m/>
    <m/>
    <m/>
    <m/>
    <m/>
    <n v="6870000"/>
    <m/>
    <m/>
    <m/>
    <m/>
    <m/>
    <m/>
    <m/>
    <m/>
    <m/>
    <m/>
    <m/>
    <m/>
    <m/>
    <m/>
    <m/>
  </r>
  <r>
    <n v="534"/>
    <m/>
    <m/>
    <s v="기업교육1팀"/>
    <s v="이태원"/>
    <s v="기업교육1팀"/>
    <x v="4"/>
    <m/>
    <m/>
    <s v="에스케이바이오사이언스"/>
    <m/>
    <m/>
    <n v="45507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35"/>
    <m/>
    <m/>
    <s v="기업교육1팀"/>
    <s v="이태원"/>
    <s v="기업교육1팀"/>
    <x v="4"/>
    <m/>
    <m/>
    <s v="에스케이브로드밴드"/>
    <m/>
    <m/>
    <n v="3756"/>
    <s v="01 1~1000대"/>
    <s v="03 신규"/>
    <m/>
    <s v="14. 솔루션 - 맞춤형 LABS"/>
    <s v="15. 솔루션 - LABS"/>
    <s v="16. 솔루션 - LABS"/>
    <m/>
    <m/>
    <n v="1284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1팀"/>
    <s v="이태원"/>
    <s v="기업교육1팀"/>
    <x v="4"/>
    <m/>
    <m/>
    <s v="에스케이브로드밴드(it다)"/>
    <m/>
    <m/>
    <n v="42576"/>
    <s v="01 1~1000대"/>
    <s v="04 연장"/>
    <m/>
    <s v="3. 온라인 - 마이크로러닝"/>
    <s v="04. 이러닝 - 마이크로러닝"/>
    <s v="04. 이러닝 - 마이크로러닝"/>
    <m/>
    <n v="84000000"/>
    <n v="66000000"/>
    <n v="60615000"/>
    <m/>
    <s v="01 확정"/>
    <x v="0"/>
    <m/>
    <m/>
    <n v="72000000"/>
    <n v="72000000"/>
    <n v="0"/>
    <n v="5000000"/>
    <n v="6000000"/>
    <m/>
    <n v="5000000"/>
    <n v="6000000"/>
    <m/>
    <n v="6000000"/>
    <n v="6000000"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537"/>
    <m/>
    <m/>
    <s v="기업교육1팀"/>
    <s v="이태원"/>
    <s v="기업교육1팀"/>
    <x v="4"/>
    <m/>
    <m/>
    <s v="에스케이비앤티"/>
    <m/>
    <m/>
    <n v="40360"/>
    <s v="01 1~1000대"/>
    <s v="02 윈백"/>
    <m/>
    <s v="2. 온라인 - 법정"/>
    <s v="03. 이러닝 - 법정"/>
    <s v="03. 이러닝 - 법정"/>
    <m/>
    <m/>
    <n v="1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1팀"/>
    <s v="이태원"/>
    <s v="기업교육1팀"/>
    <x v="4"/>
    <m/>
    <m/>
    <s v="에스케이엠앤서비스"/>
    <m/>
    <m/>
    <n v="12286"/>
    <s v="03 2001~3000대"/>
    <s v="01 수성"/>
    <m/>
    <s v="11. 컨텐츠 - 컨텐츠 임대/판매"/>
    <s v="07. 이러닝 - 컨텐츠 임대/판매"/>
    <s v="07. 이러닝 - 컨텐츠 임대/판매"/>
    <m/>
    <n v="20023727"/>
    <n v="73094089"/>
    <n v="17450000"/>
    <m/>
    <s v="01 확정"/>
    <x v="0"/>
    <m/>
    <m/>
    <n v="22402273"/>
    <n v="22402273"/>
    <n v="0"/>
    <n v="500000"/>
    <n v="6818"/>
    <m/>
    <n v="3000000"/>
    <n v="3000000"/>
    <m/>
    <n v="250000"/>
    <n v="145455"/>
    <m/>
    <n v="250000"/>
    <m/>
    <n v="250000"/>
    <m/>
    <n v="1750000"/>
    <m/>
    <n v="6000000"/>
    <m/>
    <n v="2000000"/>
    <m/>
    <n v="2000000"/>
    <m/>
    <n v="2000000"/>
    <m/>
    <n v="2000000"/>
    <m/>
    <n v="3000000"/>
    <m/>
  </r>
  <r>
    <n v="539"/>
    <m/>
    <m/>
    <s v="기업교육1팀"/>
    <s v="이태원"/>
    <s v="기업교육1팀"/>
    <x v="4"/>
    <m/>
    <m/>
    <s v="에스케이엠앤서비스_마이써니"/>
    <m/>
    <m/>
    <n v="12286"/>
    <s v="03 2001~3000대"/>
    <s v="01 수성"/>
    <m/>
    <s v="6. 하이브리드러닝 - 집합형"/>
    <s v="07. 이러닝 - 컨텐츠 임대/판매"/>
    <s v="07. 이러닝 - 컨텐츠 임대/판매"/>
    <m/>
    <n v="13000000"/>
    <n v="0"/>
    <n v="70200000"/>
    <m/>
    <s v="01 확정"/>
    <x v="0"/>
    <m/>
    <m/>
    <n v="137300000"/>
    <n v="137300000"/>
    <n v="0"/>
    <m/>
    <m/>
    <m/>
    <n v="44400000"/>
    <n v="20400000"/>
    <m/>
    <n v="61400000"/>
    <n v="85400000"/>
    <m/>
    <n v="4500000"/>
    <m/>
    <n v="4500000"/>
    <m/>
    <n v="4500000"/>
    <m/>
    <n v="4500000"/>
    <m/>
    <n v="4500000"/>
    <m/>
    <n v="4500000"/>
    <m/>
    <n v="4500000"/>
    <m/>
    <m/>
    <m/>
    <m/>
    <m/>
  </r>
  <r>
    <n v="540"/>
    <m/>
    <m/>
    <s v="기업교육1팀"/>
    <s v="이태원"/>
    <s v="기업교육1팀"/>
    <x v="4"/>
    <m/>
    <m/>
    <s v="에스케이엠앤서비스_마이써니"/>
    <m/>
    <m/>
    <n v="12286"/>
    <s v="07. 이러닝 - 컨텐츠 임대/판매"/>
    <s v="01 수성"/>
    <m/>
    <m/>
    <s v="07. 이러닝 - 컨텐츠 임대/판매"/>
    <s v="07. 이러닝 - 컨텐츠 임대/판매"/>
    <m/>
    <m/>
    <m/>
    <n v="0"/>
    <m/>
    <m/>
    <x v="4"/>
    <m/>
    <m/>
    <n v="46000000"/>
    <n v="46000000"/>
    <n v="0"/>
    <m/>
    <m/>
    <m/>
    <m/>
    <m/>
    <m/>
    <m/>
    <m/>
    <m/>
    <m/>
    <m/>
    <n v="24000000"/>
    <m/>
    <n v="22000000"/>
    <m/>
    <m/>
    <m/>
    <m/>
    <m/>
    <m/>
    <m/>
    <m/>
    <m/>
    <m/>
    <m/>
    <m/>
    <m/>
  </r>
  <r>
    <n v="541"/>
    <m/>
    <m/>
    <s v="기업교육1팀"/>
    <s v="이태원"/>
    <s v="기업교육1팀"/>
    <x v="4"/>
    <m/>
    <m/>
    <s v="에스케이텔레콤"/>
    <m/>
    <m/>
    <n v="52633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2"/>
    <m/>
    <m/>
    <s v="기업교육1팀"/>
    <s v="이태원"/>
    <s v="기업교육1팀"/>
    <x v="4"/>
    <m/>
    <m/>
    <s v="에스케이텔레콤"/>
    <m/>
    <m/>
    <n v="52633"/>
    <s v="01 1~1000대"/>
    <s v="03 신규"/>
    <m/>
    <s v="6. 하이브리드러닝 - 집합형"/>
    <s v="08. 하이브리드러닝 - 하이브리드형 러닝"/>
    <s v="08. 하이브리드러닝 - 하이브리드형 러닝"/>
    <m/>
    <n v="2000000"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3"/>
    <m/>
    <m/>
    <s v="기업교육1팀"/>
    <s v="이태원"/>
    <s v="기업교육1팀"/>
    <x v="4"/>
    <m/>
    <m/>
    <s v="에이에스엠엘코리아(ASML)"/>
    <m/>
    <m/>
    <n v="8152"/>
    <s v="03 2001~3000대"/>
    <s v="03 신규"/>
    <m/>
    <s v="2. 온라인 - 법정"/>
    <s v="03. 이러닝 - 법정"/>
    <s v="03. 이러닝 - 법정"/>
    <m/>
    <n v="21200000"/>
    <n v="212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1팀"/>
    <s v="이태원"/>
    <s v="기업교육1팀"/>
    <x v="4"/>
    <m/>
    <m/>
    <s v="에이에스엠엘코리아(ASML)"/>
    <m/>
    <m/>
    <n v="8152"/>
    <s v="03 2001~3000대"/>
    <s v="01 수성"/>
    <m/>
    <s v="11. 컨텐츠 - 컨텐츠 임대/판매"/>
    <s v="07. 이러닝 - 컨텐츠 임대/판매"/>
    <s v="07. 이러닝 - 컨텐츠 임대/판매"/>
    <m/>
    <m/>
    <n v="0"/>
    <n v="2120000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545"/>
    <m/>
    <m/>
    <s v="기업교육1팀"/>
    <s v="이태원"/>
    <s v="기업교육1팀"/>
    <x v="4"/>
    <m/>
    <m/>
    <s v="육군본부 공보정훈실"/>
    <m/>
    <m/>
    <n v="46333"/>
    <s v="05 공공"/>
    <s v="02 윈백"/>
    <m/>
    <s v="14. 솔루션 - 맞춤형 LABS"/>
    <s v="15. 솔루션 - LABS"/>
    <s v="18. 솔루션 - 기타"/>
    <m/>
    <n v="105909090.90909091"/>
    <n v="97500000"/>
    <n v="0"/>
    <m/>
    <s v="06 사업취소"/>
    <x v="3"/>
    <m/>
    <m/>
    <n v="0"/>
    <n v="0"/>
    <n v="0"/>
    <m/>
    <m/>
    <m/>
    <m/>
    <m/>
    <m/>
    <n v="100000000"/>
    <n v="0"/>
    <m/>
    <m/>
    <m/>
    <m/>
    <m/>
    <m/>
    <m/>
    <m/>
    <m/>
    <m/>
    <m/>
    <m/>
    <m/>
    <m/>
    <m/>
    <m/>
    <m/>
    <n v="0"/>
    <m/>
  </r>
  <r>
    <n v="546"/>
    <m/>
    <m/>
    <s v="기업교육1팀"/>
    <s v="이태원"/>
    <s v="기업교육1팀"/>
    <x v="4"/>
    <m/>
    <m/>
    <s v="충청남도 공무원교육원"/>
    <m/>
    <m/>
    <n v="13619"/>
    <s v="05 공공"/>
    <s v="04 연장"/>
    <m/>
    <s v="통합위탁"/>
    <s v="01. 이러닝 - 통합위탁"/>
    <s v="01. 이러닝 - 통합위탁"/>
    <m/>
    <n v="120336000"/>
    <n v="92076020"/>
    <n v="121000000"/>
    <m/>
    <s v="01 확정"/>
    <x v="0"/>
    <m/>
    <m/>
    <n v="100833000"/>
    <n v="100833000"/>
    <n v="0"/>
    <m/>
    <m/>
    <m/>
    <m/>
    <m/>
    <m/>
    <n v="18333000"/>
    <m/>
    <s v="4월 이월"/>
    <n v="18333000"/>
    <m/>
    <m/>
    <m/>
    <n v="27500000"/>
    <m/>
    <m/>
    <m/>
    <m/>
    <m/>
    <n v="27500000"/>
    <m/>
    <m/>
    <m/>
    <m/>
    <m/>
    <n v="27500000"/>
    <m/>
  </r>
  <r>
    <n v="547"/>
    <m/>
    <m/>
    <s v="기업교육1팀"/>
    <s v="이태원"/>
    <s v="기업교육1팀"/>
    <x v="4"/>
    <m/>
    <m/>
    <s v="카카오"/>
    <m/>
    <m/>
    <n v="16640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48"/>
    <m/>
    <m/>
    <s v="기업교육1팀"/>
    <s v="이태원"/>
    <s v="기업교육1팀"/>
    <x v="4"/>
    <m/>
    <m/>
    <s v="카카오"/>
    <m/>
    <m/>
    <n v="16640"/>
    <s v="01 1~1000대"/>
    <s v="03 신규"/>
    <m/>
    <s v="2. 온라인 - 법정"/>
    <s v="03. 이러닝 - 법정"/>
    <s v="03. 이러닝 - 법정"/>
    <m/>
    <n v="14784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49"/>
    <m/>
    <m/>
    <s v="기업교육1팀"/>
    <s v="이태원"/>
    <s v="기업교육1팀"/>
    <x v="4"/>
    <m/>
    <m/>
    <s v="카카오"/>
    <m/>
    <m/>
    <n v="16640"/>
    <m/>
    <s v="03 신규"/>
    <m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50"/>
    <m/>
    <m/>
    <s v="기업교육1팀"/>
    <s v="이태원"/>
    <s v="기업교육1팀"/>
    <x v="4"/>
    <m/>
    <m/>
    <s v="카카오"/>
    <m/>
    <m/>
    <n v="16640"/>
    <s v="01 1~1000대"/>
    <s v="03 신규"/>
    <m/>
    <s v="10. 컨텐츠 - 컨텐츠 개발"/>
    <s v="14. 컨텐츠 - 컨텐츠 개발"/>
    <s v="15. 컨텐츠 - 컨텐츠 개발"/>
    <m/>
    <n v="34200000"/>
    <n v="14550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51"/>
    <m/>
    <m/>
    <s v="기업교육1팀"/>
    <s v="이태원"/>
    <s v="기업교육1팀"/>
    <x v="4"/>
    <m/>
    <m/>
    <s v="카카오게임즈"/>
    <m/>
    <m/>
    <n v="28140"/>
    <s v="01 1~1000대"/>
    <s v="01 수성"/>
    <m/>
    <s v="1. 온라인 - 단과"/>
    <s v="02. 이러닝 - 단과"/>
    <s v="02. 이러닝 - 단과"/>
    <m/>
    <n v="1928000"/>
    <n v="10752000"/>
    <n v="150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2"/>
    <m/>
    <m/>
    <m/>
    <m/>
    <s v="기업교육1팀"/>
    <x v="4"/>
    <m/>
    <m/>
    <s v="카카오게임즈"/>
    <m/>
    <m/>
    <n v="28140"/>
    <m/>
    <m/>
    <m/>
    <m/>
    <m/>
    <s v="03. 이러닝 - 법정"/>
    <m/>
    <m/>
    <m/>
    <n v="1972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1팀"/>
    <s v="이태원"/>
    <s v="기업교육1팀"/>
    <x v="4"/>
    <m/>
    <m/>
    <s v="카카오게임즈"/>
    <m/>
    <m/>
    <n v="28140"/>
    <s v="01 1~1000대"/>
    <s v="02 윈백"/>
    <m/>
    <s v="10. 컨텐츠 - 컨텐츠 개발"/>
    <s v="14. 컨텐츠 - 컨텐츠 개발"/>
    <s v="15. 컨텐츠 - 컨텐츠 개발"/>
    <m/>
    <n v="1600000"/>
    <n v="250000"/>
    <n v="33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. 온라인 - 단과"/>
    <s v="02. 이러닝 - 단과"/>
    <s v="02. 이러닝 - 단과"/>
    <m/>
    <n v="1500000"/>
    <n v="956000"/>
    <n v="66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5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2. 온라인 - 법정"/>
    <s v="03. 이러닝 - 법정"/>
    <s v="03. 이러닝 - 법정"/>
    <m/>
    <m/>
    <n v="0"/>
    <n v="0"/>
    <m/>
    <s v="03 기회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n v="12000000"/>
    <m/>
    <m/>
    <m/>
    <m/>
    <m/>
  </r>
  <r>
    <n v="556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0. 컨텐츠 - 컨텐츠 개발"/>
    <s v="14. 컨텐츠 - 컨텐츠 개발"/>
    <s v="15. 컨텐츠 - 컨텐츠 개발"/>
    <m/>
    <n v="20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1팀"/>
    <s v="이태원"/>
    <s v="기업교육1팀"/>
    <x v="4"/>
    <m/>
    <m/>
    <s v="카카오뱅크"/>
    <m/>
    <m/>
    <n v="23495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58"/>
    <m/>
    <m/>
    <s v="기업교육1팀"/>
    <s v="이태원"/>
    <s v="기업교육1팀"/>
    <x v="4"/>
    <m/>
    <m/>
    <s v="카카오뱅크"/>
    <m/>
    <m/>
    <n v="23495"/>
    <s v="01 1~1000대"/>
    <s v="01 수성"/>
    <m/>
    <s v="1. 온라인 - 단과"/>
    <s v="03. 이러닝 - 법정"/>
    <s v="03. 이러닝 - 법정"/>
    <m/>
    <m/>
    <n v="11548000"/>
    <n v="33426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559"/>
    <m/>
    <m/>
    <s v="기업교육1팀"/>
    <s v="이태원"/>
    <s v="기업교육1팀"/>
    <x v="4"/>
    <m/>
    <m/>
    <s v="카카오뱅크"/>
    <m/>
    <m/>
    <n v="23495"/>
    <s v="01 1~1000대"/>
    <s v="01 수성"/>
    <m/>
    <m/>
    <s v="09. 하이브리드러닝 - 순수 오프라인"/>
    <s v="08. 하이브리드러닝 - 하이브리드형 러닝"/>
    <m/>
    <m/>
    <m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60"/>
    <m/>
    <m/>
    <m/>
    <m/>
    <s v="기업교육1팀"/>
    <x v="4"/>
    <m/>
    <m/>
    <s v="카카오뱅크"/>
    <m/>
    <m/>
    <n v="23495"/>
    <m/>
    <m/>
    <m/>
    <m/>
    <m/>
    <s v="09. 하이브리드러닝 - 순수 오프라인"/>
    <m/>
    <m/>
    <m/>
    <n v="937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1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62"/>
    <m/>
    <m/>
    <s v="기업교육1팀"/>
    <s v="이태원"/>
    <s v="기업교육1팀"/>
    <x v="4"/>
    <m/>
    <m/>
    <s v="카카오엔터테인먼트"/>
    <m/>
    <m/>
    <n v="28832"/>
    <s v="01 1~1000대"/>
    <s v="01 수성"/>
    <m/>
    <s v="2. 온라인 - 법정"/>
    <s v="03. 이러닝 - 법정"/>
    <s v="03. 이러닝 - 법정"/>
    <m/>
    <n v="33051000"/>
    <n v="28513000"/>
    <n v="247095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n v="25000000"/>
    <m/>
    <m/>
    <m/>
    <m/>
    <m/>
  </r>
  <r>
    <n v="563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8. 하이브리드러닝 - 하이브리드형 러닝"/>
    <m/>
    <m/>
    <m/>
    <n v="0"/>
    <m/>
    <m/>
    <x v="1"/>
    <m/>
    <m/>
    <n v="11500000"/>
    <n v="11500000"/>
    <n v="0"/>
    <m/>
    <m/>
    <m/>
    <m/>
    <m/>
    <m/>
    <m/>
    <m/>
    <m/>
    <m/>
    <m/>
    <n v="1500000"/>
    <m/>
    <n v="10000000"/>
    <m/>
    <m/>
    <m/>
    <m/>
    <m/>
    <m/>
    <m/>
    <m/>
    <m/>
    <m/>
    <m/>
    <m/>
    <m/>
  </r>
  <r>
    <n v="564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5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4. 구독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6"/>
    <m/>
    <m/>
    <s v="기업교육1팀"/>
    <s v="이태원"/>
    <s v="기업교육1팀"/>
    <x v="4"/>
    <m/>
    <m/>
    <s v="카카오엔터테인먼트"/>
    <m/>
    <m/>
    <n v="28832"/>
    <s v="01 1~1000대"/>
    <s v="03 신규"/>
    <m/>
    <s v="10. 컨텐츠 - 컨텐츠 개발"/>
    <s v="14. 컨텐츠 - 컨텐츠 개발"/>
    <s v="15. 컨텐츠 - 컨텐츠 개발"/>
    <m/>
    <n v="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1팀"/>
    <s v="이태원"/>
    <s v="기업교육1팀"/>
    <x v="4"/>
    <m/>
    <m/>
    <s v="카카오엔터테인먼트(자회사)"/>
    <m/>
    <m/>
    <n v="50686"/>
    <m/>
    <s v="01 수성"/>
    <m/>
    <m/>
    <m/>
    <s v="03. 이러닝 - 법정"/>
    <m/>
    <m/>
    <m/>
    <n v="6977500"/>
    <m/>
    <m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68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09. 하이브리드러닝 - 순수 오프라인"/>
    <s v="09. 하이브리드러닝 - 순수 오프라인"/>
    <m/>
    <m/>
    <n v="0"/>
    <n v="515000000"/>
    <m/>
    <s v="01 확정"/>
    <x v="0"/>
    <m/>
    <m/>
    <n v="394000000"/>
    <n v="394000000"/>
    <n v="0"/>
    <m/>
    <m/>
    <m/>
    <m/>
    <n v="322000000"/>
    <m/>
    <m/>
    <m/>
    <m/>
    <m/>
    <m/>
    <m/>
    <m/>
    <m/>
    <m/>
    <n v="48000000"/>
    <m/>
    <m/>
    <m/>
    <m/>
    <m/>
    <m/>
    <m/>
    <m/>
    <m/>
    <n v="24000000"/>
    <m/>
  </r>
  <r>
    <n v="569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4. 컨텐츠 - 컨텐츠 개발"/>
    <s v="15. 컨텐츠 - 컨텐츠 개발"/>
    <m/>
    <n v="1000000000"/>
    <n v="500000000"/>
    <n v="345000000"/>
    <m/>
    <s v="01 확정"/>
    <x v="0"/>
    <m/>
    <m/>
    <n v="57000000"/>
    <n v="57000000"/>
    <n v="0"/>
    <m/>
    <m/>
    <m/>
    <m/>
    <m/>
    <m/>
    <n v="133000000"/>
    <n v="0"/>
    <s v="금액오기"/>
    <m/>
    <m/>
    <m/>
    <m/>
    <m/>
    <m/>
    <n v="38000000"/>
    <m/>
    <m/>
    <m/>
    <m/>
    <m/>
    <m/>
    <m/>
    <m/>
    <m/>
    <n v="19000000"/>
    <m/>
  </r>
  <r>
    <n v="570"/>
    <m/>
    <m/>
    <s v="기업교육1팀"/>
    <s v="이태원"/>
    <s v="기업교육1팀"/>
    <x v="4"/>
    <m/>
    <m/>
    <s v="카카오창작재단"/>
    <m/>
    <m/>
    <n v="53516"/>
    <s v="01 1~1000대"/>
    <s v="01 수성"/>
    <m/>
    <m/>
    <s v="18. 운영 - BPO"/>
    <s v="19. 운영 - BPO"/>
    <m/>
    <m/>
    <m/>
    <n v="42750000"/>
    <m/>
    <s v="01 확정"/>
    <x v="0"/>
    <m/>
    <m/>
    <n v="47100000"/>
    <n v="47100000"/>
    <n v="0"/>
    <m/>
    <m/>
    <m/>
    <m/>
    <n v="33000000"/>
    <m/>
    <m/>
    <m/>
    <m/>
    <m/>
    <m/>
    <m/>
    <m/>
    <m/>
    <m/>
    <m/>
    <m/>
    <m/>
    <m/>
    <m/>
    <m/>
    <m/>
    <m/>
    <m/>
    <m/>
    <n v="14100000"/>
    <m/>
  </r>
  <r>
    <n v="571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9. 운영 - 운영매출"/>
    <s v="20. 운영 - 운영매출"/>
    <m/>
    <m/>
    <n v="0"/>
    <n v="30000000"/>
    <m/>
    <s v="01 확정"/>
    <x v="0"/>
    <m/>
    <m/>
    <n v="9000000"/>
    <n v="9000000"/>
    <n v="0"/>
    <m/>
    <m/>
    <m/>
    <m/>
    <m/>
    <m/>
    <n v="21000000"/>
    <n v="0"/>
    <s v="금액오기"/>
    <m/>
    <m/>
    <m/>
    <m/>
    <m/>
    <m/>
    <n v="6000000"/>
    <m/>
    <m/>
    <m/>
    <m/>
    <m/>
    <m/>
    <m/>
    <m/>
    <m/>
    <n v="3000000"/>
    <m/>
  </r>
  <r>
    <n v="572"/>
    <m/>
    <m/>
    <s v="기업교육1팀"/>
    <s v="이태원"/>
    <s v="기업교육1팀"/>
    <x v="4"/>
    <m/>
    <m/>
    <s v="카카오페이"/>
    <m/>
    <m/>
    <n v="40018"/>
    <m/>
    <s v="03 신규"/>
    <m/>
    <m/>
    <m/>
    <s v="02. 이러닝 - 단과"/>
    <m/>
    <m/>
    <m/>
    <n v="453500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3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m/>
    <m/>
    <n v="26813000"/>
    <m/>
    <s v="02 가망"/>
    <x v="4"/>
    <m/>
    <m/>
    <n v="18000000"/>
    <n v="18000000"/>
    <n v="0"/>
    <m/>
    <m/>
    <m/>
    <m/>
    <m/>
    <m/>
    <m/>
    <m/>
    <m/>
    <m/>
    <m/>
    <m/>
    <m/>
    <m/>
    <m/>
    <n v="10000000"/>
    <m/>
    <m/>
    <m/>
    <m/>
    <m/>
    <n v="8000000"/>
    <m/>
    <m/>
    <m/>
    <m/>
    <m/>
  </r>
  <r>
    <n v="574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n v="11012000"/>
    <n v="32509000"/>
    <n v="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75"/>
    <m/>
    <m/>
    <s v="기업교육1팀"/>
    <s v="이태원"/>
    <s v="기업교육1팀"/>
    <x v="4"/>
    <m/>
    <m/>
    <s v="카카오페이"/>
    <m/>
    <m/>
    <n v="40018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6"/>
    <m/>
    <m/>
    <s v="기업교육1팀"/>
    <s v="이태원"/>
    <s v="기업교육1팀"/>
    <x v="4"/>
    <m/>
    <m/>
    <s v="카카오페이"/>
    <m/>
    <m/>
    <n v="40018"/>
    <s v="02 1001~2000대"/>
    <s v="01 수성"/>
    <m/>
    <s v="10. 컨텐츠 - 컨텐츠 개발"/>
    <s v="14. 컨텐츠 - 컨텐츠 개발"/>
    <s v="15. 컨텐츠 - 컨텐츠 개발"/>
    <m/>
    <n v="200000"/>
    <n v="250000"/>
    <n v="17800000"/>
    <m/>
    <s v="01 확정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77"/>
    <m/>
    <m/>
    <m/>
    <m/>
    <s v="기업교육1팀"/>
    <x v="4"/>
    <m/>
    <m/>
    <s v="카카오페이손해보험"/>
    <m/>
    <m/>
    <n v="65663"/>
    <m/>
    <m/>
    <m/>
    <m/>
    <m/>
    <s v="03. 이러닝 - 법정"/>
    <m/>
    <m/>
    <m/>
    <n v="1014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1팀"/>
    <s v="이태원"/>
    <s v="기업교육1팀"/>
    <x v="4"/>
    <m/>
    <m/>
    <s v="카카오페이증권"/>
    <m/>
    <m/>
    <n v="54422"/>
    <m/>
    <s v="03 신규"/>
    <m/>
    <m/>
    <m/>
    <s v="03. 이러닝 - 법정"/>
    <m/>
    <m/>
    <m/>
    <n v="750600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79"/>
    <m/>
    <m/>
    <s v="기업교육1팀"/>
    <s v="이태원"/>
    <s v="기업교육1팀"/>
    <x v="4"/>
    <m/>
    <m/>
    <s v="카카오페이증권"/>
    <m/>
    <m/>
    <n v="54422"/>
    <s v="04 3000대 이후"/>
    <s v="02 윈백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1팀"/>
    <s v="이태원"/>
    <s v="기업교육1팀"/>
    <x v="4"/>
    <m/>
    <m/>
    <s v="캐논코리아비즈니스솔루션"/>
    <m/>
    <m/>
    <n v="18282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1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2. 온라인 - 법정"/>
    <s v="03. 이러닝 - 법정"/>
    <s v="03. 이러닝 - 법정"/>
    <m/>
    <n v="16000000"/>
    <n v="20800000"/>
    <n v="15593000"/>
    <m/>
    <s v="01 확정"/>
    <x v="0"/>
    <m/>
    <m/>
    <n v="16040000"/>
    <n v="16040000"/>
    <n v="0"/>
    <m/>
    <m/>
    <m/>
    <m/>
    <n v="1040000"/>
    <m/>
    <m/>
    <m/>
    <m/>
    <m/>
    <m/>
    <m/>
    <m/>
    <m/>
    <m/>
    <m/>
    <m/>
    <m/>
    <m/>
    <m/>
    <m/>
    <n v="15000000"/>
    <m/>
    <m/>
    <m/>
    <m/>
    <m/>
  </r>
  <r>
    <n v="582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6. 하이브리드러닝 - 집합형"/>
    <s v="08. 하이브리드러닝 - 하이브리드형 러닝"/>
    <s v="08. 하이브리드러닝 - 하이브리드형 러닝"/>
    <m/>
    <n v="17708000"/>
    <n v="0"/>
    <n v="10000000"/>
    <m/>
    <s v="01 확정"/>
    <x v="4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583"/>
    <m/>
    <m/>
    <m/>
    <m/>
    <s v="기업교육1팀"/>
    <x v="4"/>
    <m/>
    <m/>
    <s v="캐논코리아비즈니스솔루션"/>
    <m/>
    <m/>
    <n v="18282"/>
    <m/>
    <s v="03 신규"/>
    <m/>
    <m/>
    <m/>
    <s v="15. 컨텐츠 - 컨텐츠 개발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4"/>
    <m/>
    <m/>
    <s v="기업교육1팀"/>
    <s v="이태원"/>
    <s v="기업교육1팀"/>
    <x v="4"/>
    <m/>
    <m/>
    <s v="케어맥스"/>
    <m/>
    <m/>
    <n v="60816"/>
    <s v="01 1~1000대"/>
    <s v="01 수성"/>
    <m/>
    <m/>
    <s v="03. 이러닝 - 법정"/>
    <s v="03. 이러닝 - 법정"/>
    <m/>
    <m/>
    <m/>
    <n v="1950000"/>
    <m/>
    <s v="01 확정"/>
    <x v="0"/>
    <m/>
    <m/>
    <n v="395000"/>
    <n v="395000"/>
    <n v="0"/>
    <m/>
    <m/>
    <m/>
    <m/>
    <n v="395000"/>
    <m/>
    <m/>
    <m/>
    <m/>
    <m/>
    <m/>
    <m/>
    <m/>
    <m/>
    <m/>
    <m/>
    <m/>
    <m/>
    <m/>
    <m/>
    <m/>
    <m/>
    <m/>
    <m/>
    <m/>
    <m/>
    <m/>
  </r>
  <r>
    <n v="585"/>
    <m/>
    <m/>
    <s v="기업교육1팀"/>
    <s v="이태원"/>
    <s v="기업교육1팀"/>
    <x v="4"/>
    <m/>
    <m/>
    <s v="케어맥스"/>
    <m/>
    <m/>
    <n v="60816"/>
    <s v="01 1~1000대"/>
    <s v="01 수성"/>
    <m/>
    <s v="2. 온라인 - 법정"/>
    <s v="03. 이러닝 - 법정"/>
    <s v="03. 이러닝 - 법정"/>
    <m/>
    <m/>
    <n v="192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6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통합위탁"/>
    <s v="01. 이러닝 - 통합위탁"/>
    <s v="01. 이러닝 - 통합위탁"/>
    <s v="O"/>
    <n v="24977500"/>
    <n v="29283600"/>
    <n v="28706800"/>
    <m/>
    <s v="01 확정"/>
    <x v="0"/>
    <m/>
    <m/>
    <n v="23922000"/>
    <n v="23922000"/>
    <n v="0"/>
    <n v="2000000"/>
    <m/>
    <m/>
    <n v="2000000"/>
    <n v="3915000"/>
    <m/>
    <n v="2000000"/>
    <n v="1207000"/>
    <m/>
    <n v="2200000"/>
    <m/>
    <n v="2200000"/>
    <m/>
    <n v="2200000"/>
    <m/>
    <n v="2200000"/>
    <m/>
    <n v="2000000"/>
    <m/>
    <n v="2000000"/>
    <m/>
    <n v="2000000"/>
    <m/>
    <n v="2000000"/>
    <m/>
    <n v="2000000"/>
    <m/>
  </r>
  <r>
    <n v="587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2. 온라인 - 법정"/>
    <s v="03. 이러닝 - 법정"/>
    <s v="03. 이러닝 - 법정"/>
    <m/>
    <n v="7245000"/>
    <n v="0"/>
    <n v="5028000"/>
    <m/>
    <s v="01 확정"/>
    <x v="0"/>
    <m/>
    <m/>
    <n v="7000000"/>
    <n v="7000000"/>
    <n v="0"/>
    <m/>
    <m/>
    <m/>
    <m/>
    <m/>
    <m/>
    <m/>
    <m/>
    <m/>
    <m/>
    <m/>
    <m/>
    <m/>
    <m/>
    <m/>
    <m/>
    <m/>
    <m/>
    <m/>
    <m/>
    <m/>
    <n v="7000000"/>
    <m/>
    <m/>
    <m/>
    <m/>
    <m/>
  </r>
  <r>
    <n v="588"/>
    <m/>
    <m/>
    <s v="기업교육1팀"/>
    <s v="이태원"/>
    <s v="기업교육1팀"/>
    <x v="4"/>
    <m/>
    <m/>
    <s v="케이티알파_FLEX24"/>
    <m/>
    <m/>
    <n v="60464"/>
    <s v="01 1~1000대"/>
    <s v="01 수성"/>
    <m/>
    <s v="26. 정부지원사업 - HRDFLEX"/>
    <s v="28.구독 - 휴넷FLEX"/>
    <s v="13. 구독 - 휴넷FLEX"/>
    <m/>
    <m/>
    <n v="36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1팀"/>
    <x v="4"/>
    <m/>
    <m/>
    <s v="포스코건설(이앤씨)"/>
    <m/>
    <m/>
    <n v="3722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0"/>
    <m/>
    <m/>
    <s v="기업교육3팀"/>
    <s v="최영기"/>
    <s v="기업교육1팀"/>
    <x v="4"/>
    <m/>
    <m/>
    <s v="포스코건설(이앤씨)"/>
    <m/>
    <m/>
    <n v="3722"/>
    <s v="01 1~1000대"/>
    <s v="03 신규"/>
    <m/>
    <m/>
    <s v="14. 컨텐츠 - 컨텐츠 개발"/>
    <s v="15. 컨텐츠 - 컨텐츠 개발"/>
    <m/>
    <n v="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1팀"/>
    <s v="이태원"/>
    <s v="기업교육1팀"/>
    <x v="4"/>
    <m/>
    <m/>
    <s v="포스코인터내셔널"/>
    <m/>
    <m/>
    <n v="44028"/>
    <s v="01 1~1000대"/>
    <s v="03 신규"/>
    <m/>
    <s v="1. 온라인 - 단과"/>
    <s v="02. 이러닝 - 단과"/>
    <s v="02. 이러닝 - 단과"/>
    <m/>
    <n v="34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92"/>
    <m/>
    <m/>
    <s v="기업교육1팀"/>
    <s v="이태원"/>
    <s v="기업교육1팀"/>
    <x v="4"/>
    <m/>
    <m/>
    <s v="포스코인터내셔널"/>
    <m/>
    <m/>
    <n v="8464"/>
    <s v="01 1~1000대"/>
    <s v="02 윈백"/>
    <m/>
    <s v="6. 하이브리드러닝 - 집합형"/>
    <s v="08. 하이브리드러닝 - 하이브리드형 러닝"/>
    <s v="08. 하이브리드러닝 - 하이브리드형 러닝"/>
    <m/>
    <m/>
    <n v="20000000"/>
    <n v="0"/>
    <m/>
    <s v="06 사업취소"/>
    <x v="4"/>
    <m/>
    <m/>
    <n v="50000000"/>
    <n v="50000000"/>
    <n v="0"/>
    <m/>
    <m/>
    <m/>
    <m/>
    <m/>
    <m/>
    <m/>
    <m/>
    <m/>
    <m/>
    <m/>
    <n v="25000000"/>
    <m/>
    <m/>
    <m/>
    <m/>
    <m/>
    <m/>
    <m/>
    <m/>
    <m/>
    <n v="25000000"/>
    <m/>
    <m/>
    <m/>
    <m/>
    <m/>
  </r>
  <r>
    <n v="593"/>
    <m/>
    <m/>
    <s v="기업교육1팀"/>
    <s v="이태원"/>
    <s v="기업교육1팀"/>
    <x v="4"/>
    <m/>
    <m/>
    <s v="한국자동차환경협회"/>
    <m/>
    <m/>
    <n v="52089"/>
    <s v="04 3000대 이후"/>
    <s v="01 수성"/>
    <s v="03 휴넷 LMS"/>
    <s v="2. 온라인 - 법정"/>
    <s v="03. 이러닝 - 법정"/>
    <s v="03. 이러닝 - 법정"/>
    <m/>
    <n v="3250000"/>
    <n v="4210000"/>
    <n v="5690000"/>
    <m/>
    <s v="02 가망"/>
    <x v="0"/>
    <m/>
    <m/>
    <n v="5000000"/>
    <n v="5000000"/>
    <n v="0"/>
    <m/>
    <m/>
    <m/>
    <m/>
    <m/>
    <m/>
    <m/>
    <m/>
    <m/>
    <m/>
    <m/>
    <m/>
    <m/>
    <n v="2000000"/>
    <m/>
    <m/>
    <m/>
    <m/>
    <m/>
    <m/>
    <m/>
    <n v="3000000"/>
    <m/>
    <m/>
    <m/>
    <m/>
    <m/>
  </r>
  <r>
    <n v="594"/>
    <m/>
    <m/>
    <s v="기업교육1팀"/>
    <s v="이태원"/>
    <s v="기업교육1팀"/>
    <x v="4"/>
    <m/>
    <m/>
    <s v="한국자동차환경협회(BPO 사업용)"/>
    <m/>
    <m/>
    <n v="58632"/>
    <s v="04 3000대 이후"/>
    <s v="02 윈백"/>
    <s v="03 휴넷 LMS"/>
    <s v="6. 하이브리드러닝 - 집합형"/>
    <s v="08. 하이브리드러닝 - 하이브리드형 러닝"/>
    <s v="08. 하이브리드러닝 - 하이브리드형 러닝"/>
    <m/>
    <n v="197000000"/>
    <n v="233636364"/>
    <n v="0"/>
    <m/>
    <s v="02 가망"/>
    <x v="4"/>
    <m/>
    <m/>
    <n v="210000000"/>
    <n v="210000000"/>
    <n v="0"/>
    <m/>
    <m/>
    <m/>
    <m/>
    <m/>
    <m/>
    <m/>
    <m/>
    <m/>
    <m/>
    <m/>
    <m/>
    <m/>
    <m/>
    <m/>
    <n v="70000000"/>
    <m/>
    <m/>
    <m/>
    <m/>
    <m/>
    <n v="140000000"/>
    <m/>
    <m/>
    <m/>
    <m/>
    <m/>
  </r>
  <r>
    <n v="595"/>
    <m/>
    <m/>
    <s v="기업교육1팀"/>
    <s v="이태원"/>
    <s v="기업교육1팀"/>
    <x v="4"/>
    <m/>
    <m/>
    <s v="한국자동차환경협회_FLEX24"/>
    <m/>
    <m/>
    <n v="60486"/>
    <s v="01 1~1000대"/>
    <s v="02 윈백"/>
    <m/>
    <s v="26. 정부지원사업 - HRDFLEX"/>
    <s v="28.구독 - 휴넷FLEX"/>
    <s v="13. 구독 - 휴넷FLEX"/>
    <m/>
    <m/>
    <n v="32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1팀"/>
    <s v="이태원"/>
    <s v="기업교육1팀"/>
    <x v="4"/>
    <m/>
    <m/>
    <s v="한성글로벌_Flex"/>
    <m/>
    <m/>
    <n v="54521"/>
    <s v="04 3000대 이후"/>
    <s v="01 수성"/>
    <m/>
    <s v="26. 정부지원사업 - HRDFLEX"/>
    <s v="28.구독 - 휴넷FLEX"/>
    <s v="13. 구독 - 휴넷FLEX"/>
    <m/>
    <n v="5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1팀"/>
    <s v="이태원"/>
    <s v="기업교육1팀"/>
    <x v="4"/>
    <m/>
    <m/>
    <s v="한성글로벌_FLEX24"/>
    <m/>
    <m/>
    <n v="60472"/>
    <s v="01 1~1000대"/>
    <s v="01 수성"/>
    <m/>
    <s v="26. 정부지원사업 - HRDFLEX"/>
    <s v="28.구독 - 휴넷FLEX"/>
    <s v="13. 구독 - 휴넷FLEX"/>
    <m/>
    <m/>
    <n v="9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8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26. 이러닝 - 정부지원사업"/>
    <s v="06. 이러닝 - 정부지원사업"/>
    <m/>
    <m/>
    <n v="0"/>
    <n v="8316000"/>
    <m/>
    <s v="01 확정"/>
    <x v="0"/>
    <m/>
    <m/>
    <n v="12000000"/>
    <n v="12000000"/>
    <n v="0"/>
    <m/>
    <m/>
    <m/>
    <m/>
    <m/>
    <m/>
    <m/>
    <m/>
    <m/>
    <m/>
    <m/>
    <n v="2400000"/>
    <m/>
    <m/>
    <m/>
    <m/>
    <m/>
    <m/>
    <m/>
    <n v="9600000"/>
    <m/>
    <m/>
    <m/>
    <m/>
    <m/>
    <m/>
    <m/>
  </r>
  <r>
    <n v="599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08. 하이브리드러닝 - 하이브리드형 러닝"/>
    <s v="08. 하이브리드러닝 - 하이브리드형 러닝"/>
    <m/>
    <m/>
    <m/>
    <n v="3600000"/>
    <m/>
    <s v="01 확정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00"/>
    <m/>
    <m/>
    <s v="기업교육1팀"/>
    <s v="이태원"/>
    <s v="기업교육1팀"/>
    <x v="4"/>
    <m/>
    <m/>
    <s v="한성에프아이"/>
    <m/>
    <m/>
    <n v="17455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01"/>
    <m/>
    <m/>
    <s v="기업교육1팀"/>
    <s v="이태원"/>
    <s v="기업교육1팀"/>
    <x v="4"/>
    <m/>
    <m/>
    <s v="한성에프아이_Flex"/>
    <m/>
    <m/>
    <n v="54522"/>
    <s v="04 3000대 이후"/>
    <s v="01 수성"/>
    <m/>
    <s v="26. 정부지원사업 - HRDFLEX"/>
    <s v="28.구독 - 휴넷FLEX"/>
    <s v="13. 구독 - 휴넷FLEX"/>
    <m/>
    <n v="110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2"/>
    <m/>
    <m/>
    <s v="기업교육1팀"/>
    <s v="이태원"/>
    <s v="기업교육1팀"/>
    <x v="4"/>
    <m/>
    <m/>
    <s v="한성에프아이_FLEX24"/>
    <m/>
    <m/>
    <n v="60474"/>
    <s v="01 1~1000대"/>
    <s v="01 수성"/>
    <m/>
    <s v="26. 정부지원사업 - HRDFLEX"/>
    <s v="28.구독 - 휴넷FLEX"/>
    <s v="13. 구독 - 휴넷FLEX"/>
    <m/>
    <m/>
    <n v="86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1팀"/>
    <s v="이태원"/>
    <s v="기업교육1팀"/>
    <x v="4"/>
    <m/>
    <m/>
    <s v="한성지에스_Flex"/>
    <m/>
    <m/>
    <n v="54477"/>
    <s v="04 3000대 이후"/>
    <s v="01 수성"/>
    <m/>
    <s v="26. 정부지원사업 - HRDFLEX"/>
    <s v="28.구독 - 휴넷FLEX"/>
    <s v="13. 구독 - 휴넷FLEX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1팀"/>
    <x v="4"/>
    <m/>
    <m/>
    <s v="현대경제연구원(국방전직교육원 정산)"/>
    <m/>
    <m/>
    <n v="66764"/>
    <m/>
    <m/>
    <m/>
    <m/>
    <m/>
    <s v="07. 이러닝 - 컨텐츠 임대/판매"/>
    <m/>
    <m/>
    <m/>
    <n v="0"/>
    <m/>
    <m/>
    <x v="0"/>
    <m/>
    <m/>
    <n v="5000000"/>
    <n v="5000000"/>
    <n v="0"/>
    <m/>
    <m/>
    <m/>
    <m/>
    <m/>
    <m/>
    <m/>
    <m/>
    <m/>
    <n v="5000000"/>
    <m/>
    <m/>
    <m/>
    <m/>
    <m/>
    <m/>
    <m/>
    <m/>
    <m/>
    <m/>
    <m/>
    <m/>
    <m/>
    <m/>
    <m/>
    <m/>
    <m/>
  </r>
  <r>
    <n v="605"/>
    <m/>
    <m/>
    <s v="기업교육1팀"/>
    <s v="이태원"/>
    <s v="기업교육1팀"/>
    <x v="4"/>
    <m/>
    <m/>
    <s v="화승코퍼레이션"/>
    <m/>
    <m/>
    <n v="53734"/>
    <s v="01 1~1000대"/>
    <s v="01 수성"/>
    <m/>
    <m/>
    <s v="02. 이러닝 - 단과"/>
    <s v="02. 이러닝 - 단과"/>
    <m/>
    <m/>
    <n v="0"/>
    <n v="5830000"/>
    <m/>
    <s v="01 확정"/>
    <x v="0"/>
    <m/>
    <m/>
    <n v="6050000"/>
    <n v="6050000"/>
    <n v="0"/>
    <m/>
    <m/>
    <m/>
    <n v="500000"/>
    <n v="500000"/>
    <m/>
    <n v="500000"/>
    <n v="150000"/>
    <m/>
    <n v="600000"/>
    <m/>
    <n v="600000"/>
    <m/>
    <n v="600000"/>
    <m/>
    <n v="600000"/>
    <m/>
    <n v="500000"/>
    <m/>
    <n v="500000"/>
    <m/>
    <n v="500000"/>
    <m/>
    <n v="500000"/>
    <m/>
    <n v="1000000"/>
    <m/>
  </r>
  <r>
    <n v="606"/>
    <m/>
    <m/>
    <s v="기업교육1팀"/>
    <s v="김신정"/>
    <s v="기업교육1팀"/>
    <x v="5"/>
    <m/>
    <m/>
    <s v="DHL코리아"/>
    <m/>
    <m/>
    <n v="7507"/>
    <s v="01 1~1000대"/>
    <s v="04 연장"/>
    <s v="03 휴넷 LMS"/>
    <s v="1. 온라인 - 단과"/>
    <s v="01. 이러닝 - 통합위탁"/>
    <s v="01. 이러닝 - 통합위탁"/>
    <m/>
    <n v="47907140"/>
    <n v="32878360"/>
    <n v="34235200"/>
    <m/>
    <s v="01 확정"/>
    <x v="0"/>
    <m/>
    <m/>
    <n v="8184400"/>
    <n v="8184400"/>
    <n v="0"/>
    <m/>
    <m/>
    <m/>
    <n v="5000000"/>
    <n v="5367400"/>
    <m/>
    <n v="2817000"/>
    <n v="2817000"/>
    <m/>
    <m/>
    <m/>
    <m/>
    <m/>
    <m/>
    <m/>
    <m/>
    <m/>
    <m/>
    <m/>
    <m/>
    <m/>
    <m/>
    <m/>
    <m/>
    <m/>
    <m/>
    <m/>
  </r>
  <r>
    <n v="607"/>
    <m/>
    <m/>
    <m/>
    <m/>
    <s v="기업교육1팀"/>
    <x v="5"/>
    <m/>
    <m/>
    <s v="MNC솔루션"/>
    <m/>
    <m/>
    <n v="63425"/>
    <m/>
    <m/>
    <m/>
    <m/>
    <m/>
    <s v="03. 이러닝 - 법정"/>
    <m/>
    <m/>
    <m/>
    <n v="21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8"/>
    <m/>
    <m/>
    <s v="기업교육1팀"/>
    <s v="김신정"/>
    <s v="기업교육1팀"/>
    <x v="5"/>
    <m/>
    <m/>
    <s v="공감이엔에스(구.삼천리이엔에스경인)"/>
    <m/>
    <m/>
    <n v="58930"/>
    <s v="01 1~1000대"/>
    <s v="01 수성"/>
    <m/>
    <s v="2. 온라인 - 법정"/>
    <s v="03. 이러닝 - 법정"/>
    <s v="03. 이러닝 - 법정"/>
    <m/>
    <m/>
    <n v="459000"/>
    <n v="456000"/>
    <m/>
    <s v="01 확정"/>
    <x v="0"/>
    <m/>
    <m/>
    <n v="402000"/>
    <n v="402000"/>
    <n v="0"/>
    <m/>
    <m/>
    <m/>
    <m/>
    <m/>
    <m/>
    <n v="102000"/>
    <n v="102000"/>
    <m/>
    <m/>
    <m/>
    <m/>
    <m/>
    <n v="300000"/>
    <m/>
    <m/>
    <m/>
    <m/>
    <m/>
    <m/>
    <m/>
    <m/>
    <m/>
    <m/>
    <m/>
    <m/>
    <m/>
  </r>
  <r>
    <n v="609"/>
    <m/>
    <m/>
    <s v="기업교육1팀"/>
    <s v="김신정"/>
    <s v="기업교육1팀"/>
    <x v="5"/>
    <m/>
    <m/>
    <s v="광동생활건강"/>
    <m/>
    <m/>
    <n v="46549"/>
    <s v="02 1001~2000대"/>
    <s v="04 연장"/>
    <s v="03 휴넷 LMS"/>
    <s v="1. 온라인 - 단과"/>
    <s v="02. 이러닝 - 단과"/>
    <s v="02. 이러닝 - 단과"/>
    <s v="O"/>
    <n v="4004820"/>
    <n v="3292620"/>
    <n v="3299340"/>
    <m/>
    <s v="01 확정"/>
    <x v="0"/>
    <m/>
    <m/>
    <n v="2250960"/>
    <n v="2250960"/>
    <n v="0"/>
    <n v="110000"/>
    <n v="110000"/>
    <m/>
    <n v="200000"/>
    <n v="176600"/>
    <m/>
    <n v="164360"/>
    <n v="164360"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610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1. 온라인 - 단과"/>
    <s v="01. 이러닝 - 통합위탁"/>
    <s v="01. 이러닝 - 통합위탁"/>
    <s v="O"/>
    <n v="146816410"/>
    <n v="206510650"/>
    <n v="171468390"/>
    <m/>
    <s v="01 확정"/>
    <x v="0"/>
    <m/>
    <m/>
    <n v="232505560"/>
    <n v="232505560"/>
    <n v="0"/>
    <n v="1054820"/>
    <n v="1054820"/>
    <m/>
    <m/>
    <n v="635240"/>
    <m/>
    <n v="1815500"/>
    <n v="1815500"/>
    <m/>
    <n v="29000000"/>
    <m/>
    <n v="25000000"/>
    <m/>
    <n v="20000000"/>
    <m/>
    <n v="20000000"/>
    <m/>
    <n v="20000000"/>
    <m/>
    <n v="25000000"/>
    <m/>
    <n v="30000000"/>
    <m/>
    <n v="30000000"/>
    <m/>
    <n v="30000000"/>
    <m/>
  </r>
  <r>
    <n v="611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3. 온라인 - 마이크로러닝"/>
    <s v="04. 이러닝 - 마이크로러닝"/>
    <s v="04. 이러닝 - 마이크로러닝"/>
    <m/>
    <n v="8750000"/>
    <n v="17500000"/>
    <n v="17500000"/>
    <m/>
    <s v="01 확정"/>
    <x v="4"/>
    <m/>
    <m/>
    <n v="17500000"/>
    <n v="17500000"/>
    <n v="0"/>
    <m/>
    <m/>
    <m/>
    <m/>
    <m/>
    <m/>
    <m/>
    <m/>
    <m/>
    <m/>
    <m/>
    <n v="8750000"/>
    <m/>
    <m/>
    <m/>
    <m/>
    <m/>
    <m/>
    <m/>
    <m/>
    <m/>
    <m/>
    <m/>
    <m/>
    <m/>
    <n v="8750000"/>
    <m/>
  </r>
  <r>
    <n v="612"/>
    <m/>
    <m/>
    <s v="기업교육1팀"/>
    <s v="김신정"/>
    <s v="기업교육1팀"/>
    <x v="5"/>
    <m/>
    <m/>
    <s v="광동제약"/>
    <m/>
    <m/>
    <n v="5034"/>
    <s v="01 1~1000대"/>
    <s v="01 수성"/>
    <m/>
    <s v="11. 컨텐츠 - 컨텐츠 임대/판매"/>
    <s v="07. 이러닝 - 컨텐츠 임대/판매"/>
    <s v="07. 이러닝 - 컨텐츠 임대/판매"/>
    <m/>
    <n v="10000000"/>
    <n v="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0"/>
    <n v="2112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614"/>
    <m/>
    <m/>
    <s v="기업교육1팀"/>
    <s v="김신정"/>
    <s v="기업교육1팀"/>
    <x v="5"/>
    <m/>
    <m/>
    <s v="광동제약"/>
    <m/>
    <m/>
    <n v="5034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15"/>
    <m/>
    <m/>
    <s v="기업교육1팀"/>
    <s v="김신정"/>
    <s v="기업교육1팀"/>
    <x v="5"/>
    <m/>
    <m/>
    <s v="광동제약"/>
    <m/>
    <m/>
    <n v="5034"/>
    <s v="01 1~1000대"/>
    <s v="01 수성"/>
    <m/>
    <s v="10. 컨텐츠 - 컨텐츠 개발"/>
    <s v="14. 컨텐츠 - 컨텐츠 개발"/>
    <s v="15. 컨텐츠 - 컨텐츠 개발"/>
    <m/>
    <m/>
    <n v="1231000"/>
    <n v="0"/>
    <m/>
    <s v="08 2024년 매출"/>
    <x v="0"/>
    <m/>
    <m/>
    <n v="300000"/>
    <n v="300000"/>
    <n v="0"/>
    <m/>
    <m/>
    <m/>
    <m/>
    <m/>
    <m/>
    <m/>
    <m/>
    <m/>
    <n v="300000"/>
    <m/>
    <m/>
    <m/>
    <m/>
    <m/>
    <m/>
    <m/>
    <m/>
    <m/>
    <m/>
    <m/>
    <m/>
    <m/>
    <m/>
    <m/>
    <m/>
    <m/>
  </r>
  <r>
    <n v="616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10. 컨텐츠 - 컨텐츠 개발"/>
    <s v="14. 컨텐츠 - 컨텐츠 개발"/>
    <s v="15. 컨텐츠 - 컨텐츠 개발"/>
    <m/>
    <m/>
    <n v="895454545"/>
    <n v="947827273"/>
    <m/>
    <s v="01 확정"/>
    <x v="3"/>
    <m/>
    <m/>
    <n v="900000000"/>
    <n v="900000000"/>
    <n v="0"/>
    <m/>
    <m/>
    <m/>
    <m/>
    <m/>
    <m/>
    <m/>
    <m/>
    <m/>
    <m/>
    <m/>
    <m/>
    <m/>
    <m/>
    <m/>
    <n v="600000000"/>
    <m/>
    <m/>
    <m/>
    <m/>
    <m/>
    <m/>
    <m/>
    <m/>
    <m/>
    <n v="300000000"/>
    <m/>
  </r>
  <r>
    <n v="617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23. 운영 - BPO"/>
    <s v="18. 운영 - BPO"/>
    <s v="19. 운영 - BPO"/>
    <m/>
    <m/>
    <n v="935798800"/>
    <n v="126718182"/>
    <m/>
    <s v="01 확정"/>
    <x v="4"/>
    <m/>
    <m/>
    <n v="170000000"/>
    <n v="170000000"/>
    <n v="0"/>
    <m/>
    <m/>
    <m/>
    <m/>
    <m/>
    <m/>
    <m/>
    <m/>
    <m/>
    <m/>
    <m/>
    <m/>
    <m/>
    <m/>
    <m/>
    <n v="70000000"/>
    <m/>
    <m/>
    <m/>
    <m/>
    <m/>
    <m/>
    <m/>
    <m/>
    <m/>
    <n v="100000000"/>
    <m/>
  </r>
  <r>
    <n v="618"/>
    <m/>
    <m/>
    <s v="기업교육1팀"/>
    <s v="김신정"/>
    <s v="기업교육1팀"/>
    <x v="5"/>
    <m/>
    <m/>
    <s v="국제"/>
    <m/>
    <m/>
    <n v="63261"/>
    <s v="01 1~1000대"/>
    <s v="03 신규"/>
    <m/>
    <m/>
    <s v="19. 운영 - 운영매출"/>
    <s v="20. 운영 - 운영매출"/>
    <m/>
    <m/>
    <m/>
    <n v="11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1팀"/>
    <s v="김신정"/>
    <s v="기업교육1팀"/>
    <x v="5"/>
    <m/>
    <m/>
    <s v="글래드 호텔앤리조트(주) 메종 글래드 제주"/>
    <m/>
    <m/>
    <n v="64093"/>
    <m/>
    <m/>
    <m/>
    <m/>
    <s v="08. 하이브리드러닝 - 하이브리드형 러닝"/>
    <s v="08. 하이브리드러닝 - 하이브리드형 러닝"/>
    <m/>
    <m/>
    <m/>
    <n v="3005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0"/>
    <m/>
    <m/>
    <s v="기업교육1팀"/>
    <s v="김신정"/>
    <s v="기업교육1팀"/>
    <x v="5"/>
    <m/>
    <m/>
    <s v="글래드호텔"/>
    <m/>
    <m/>
    <n v="23529"/>
    <s v="01 1~1000대"/>
    <s v="01 수성"/>
    <m/>
    <s v="2. 온라인 - 법정"/>
    <s v="03. 이러닝 - 법정"/>
    <s v="03. 이러닝 - 법정"/>
    <m/>
    <n v="5257000"/>
    <n v="4224000"/>
    <n v="0"/>
    <m/>
    <s v="04 실주"/>
    <x v="1"/>
    <m/>
    <m/>
    <n v="4000000"/>
    <n v="4000000"/>
    <n v="0"/>
    <m/>
    <m/>
    <m/>
    <m/>
    <m/>
    <m/>
    <m/>
    <m/>
    <m/>
    <m/>
    <m/>
    <m/>
    <m/>
    <m/>
    <m/>
    <n v="4000000"/>
    <m/>
    <m/>
    <m/>
    <m/>
    <m/>
    <m/>
    <m/>
    <m/>
    <m/>
    <m/>
    <m/>
  </r>
  <r>
    <n v="621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5. 하이브리드러닝 - 러닝저니"/>
    <s v="08. 하이브리드러닝 - 하이브리드형 러닝"/>
    <s v="08. 하이브리드러닝 - 하이브리드형 러닝"/>
    <m/>
    <m/>
    <n v="8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2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36. 기타 - 기타"/>
    <s v="25. 기타 - 기타"/>
    <s v="24. 기타 - 기타"/>
    <m/>
    <m/>
    <n v="17272728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s v="기업교육1팀"/>
    <s v="김신정"/>
    <s v="기업교육1팀"/>
    <x v="5"/>
    <m/>
    <m/>
    <s v="농식품인재개발원"/>
    <m/>
    <m/>
    <n v="19263"/>
    <s v="05 공공"/>
    <s v="01 수성"/>
    <m/>
    <s v="5. 하이브리드러닝 - 러닝저니"/>
    <m/>
    <s v="12. 구독 - 휴넷 리더십저니"/>
    <m/>
    <m/>
    <m/>
    <n v="0"/>
    <m/>
    <m/>
    <x v="0"/>
    <m/>
    <m/>
    <n v="4472727"/>
    <n v="4472727"/>
    <n v="0"/>
    <n v="4472727"/>
    <n v="4472727"/>
    <m/>
    <m/>
    <m/>
    <m/>
    <m/>
    <m/>
    <m/>
    <m/>
    <m/>
    <m/>
    <m/>
    <m/>
    <m/>
    <m/>
    <m/>
    <m/>
    <m/>
    <m/>
    <m/>
    <m/>
    <m/>
    <m/>
    <m/>
    <m/>
    <m/>
  </r>
  <r>
    <n v="624"/>
    <m/>
    <m/>
    <s v="기업교육1팀"/>
    <s v="김신정"/>
    <s v="기업교육1팀"/>
    <x v="5"/>
    <m/>
    <m/>
    <s v="농식품인재개발원"/>
    <m/>
    <m/>
    <n v="19263"/>
    <s v="05 공공"/>
    <s v="03 신규"/>
    <m/>
    <s v="10. 컨텐츠 - 컨텐츠 개발"/>
    <s v="14. 컨텐츠 - 컨텐츠 개발"/>
    <s v="15. 컨텐츠 - 컨텐츠 개발"/>
    <m/>
    <m/>
    <n v="38000000"/>
    <n v="154127273"/>
    <m/>
    <s v="01 확정"/>
    <x v="0"/>
    <m/>
    <m/>
    <n v="140145453"/>
    <n v="140145453"/>
    <n v="0"/>
    <m/>
    <m/>
    <m/>
    <m/>
    <m/>
    <m/>
    <m/>
    <m/>
    <m/>
    <n v="98101817"/>
    <m/>
    <m/>
    <m/>
    <m/>
    <m/>
    <m/>
    <m/>
    <m/>
    <m/>
    <m/>
    <m/>
    <m/>
    <m/>
    <m/>
    <m/>
    <n v="42043636"/>
    <m/>
  </r>
  <r>
    <n v="625"/>
    <m/>
    <m/>
    <s v="기업교육1팀"/>
    <s v="김신정"/>
    <s v="기업교육1팀"/>
    <x v="5"/>
    <m/>
    <m/>
    <s v="농촌진흥청"/>
    <m/>
    <m/>
    <n v="59741"/>
    <s v="05 공공"/>
    <s v="03 신규"/>
    <s v="01 자체 LMS"/>
    <m/>
    <s v="14. 컨텐츠 - 컨텐츠 개발"/>
    <s v="15. 컨텐츠 - 컨텐츠 개발"/>
    <m/>
    <m/>
    <n v="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6"/>
    <m/>
    <m/>
    <s v="기업교육1팀"/>
    <s v="김신정"/>
    <s v="기업교육1팀"/>
    <x v="5"/>
    <m/>
    <m/>
    <s v="농촌진흥청 농촌인적자원개발센터"/>
    <m/>
    <m/>
    <n v="3608"/>
    <s v="05 공공"/>
    <s v="03 신규"/>
    <s v="01 자체 LMS"/>
    <m/>
    <s v="07. 이러닝 - 컨텐츠 임대/판매"/>
    <s v="07. 이러닝 - 컨텐츠 임대/판매"/>
    <m/>
    <m/>
    <n v="0"/>
    <n v="0"/>
    <m/>
    <s v="06 사업취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27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m/>
    <s v="6. 하이브리드러닝 - 집합형"/>
    <s v="08. 하이브리드러닝 - 하이브리드형 러닝"/>
    <s v="08. 하이브리드러닝 - 하이브리드형 러닝"/>
    <m/>
    <m/>
    <n v="1800000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628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s v="01 자체 LMS"/>
    <s v="10. 컨텐츠 - 컨텐츠 개발"/>
    <s v="14. 컨텐츠 - 컨텐츠 개발"/>
    <s v="15. 컨텐츠 - 컨텐츠 개발"/>
    <m/>
    <m/>
    <n v="1800000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9"/>
    <m/>
    <m/>
    <s v="기업교육1팀"/>
    <s v="김신정"/>
    <s v="기업교육1팀"/>
    <x v="5"/>
    <m/>
    <m/>
    <s v="농촌진흥청 농촌인적자원개발센터(ATD)"/>
    <m/>
    <m/>
    <n v="3608"/>
    <s v="05 공공"/>
    <s v="01 수성"/>
    <m/>
    <s v="24. 운영 - 운영매출"/>
    <s v="19. 운영 - 운영매출"/>
    <s v="20. 운영 - 운영매출"/>
    <m/>
    <m/>
    <n v="19090909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0"/>
    <m/>
    <m/>
    <s v="기업교육1팀"/>
    <s v="김신정"/>
    <s v="기업교육1팀"/>
    <x v="5"/>
    <m/>
    <m/>
    <s v="대영전자"/>
    <m/>
    <m/>
    <n v="17829"/>
    <s v="01 1~1000대"/>
    <s v="04 연장"/>
    <s v="03 휴넷 LMS"/>
    <s v="1. 온라인 - 단과"/>
    <s v="02. 이러닝 - 단과"/>
    <s v="02. 이러닝 - 단과"/>
    <m/>
    <n v="5604060"/>
    <n v="11085216"/>
    <n v="11533482"/>
    <m/>
    <s v="01 확정"/>
    <x v="0"/>
    <m/>
    <m/>
    <n v="11035140"/>
    <n v="11035140"/>
    <n v="0"/>
    <n v="417140"/>
    <n v="417140"/>
    <m/>
    <m/>
    <n v="889000"/>
    <m/>
    <n v="729000"/>
    <n v="729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31"/>
    <m/>
    <m/>
    <s v="기업교육1팀"/>
    <s v="김신정"/>
    <s v="기업교육1팀"/>
    <x v="5"/>
    <m/>
    <m/>
    <s v="대영전자"/>
    <m/>
    <m/>
    <n v="17829"/>
    <s v="01 1~1000대"/>
    <s v="03 신규"/>
    <s v="03 휴넷 LMS"/>
    <s v="4. 하이브리드러닝 - 플립형"/>
    <s v="08. 하이브리드러닝 - 하이브리드형 러닝"/>
    <s v="08. 하이브리드러닝 - 하이브리드형 러닝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32"/>
    <m/>
    <m/>
    <s v="기업교육1팀"/>
    <s v="김신정"/>
    <s v="기업교육1팀"/>
    <x v="5"/>
    <m/>
    <m/>
    <s v="두산건설"/>
    <m/>
    <m/>
    <n v="3894"/>
    <s v="01 1~1000대"/>
    <s v="03 신규"/>
    <m/>
    <m/>
    <s v="08. 하이브리드러닝 - 하이브리드형 러닝"/>
    <s v="08. 하이브리드러닝 - 하이브리드형 러닝"/>
    <m/>
    <m/>
    <m/>
    <n v="108846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33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12. 구독 - 휴넷 리더십저니"/>
    <m/>
    <m/>
    <m/>
    <n v="0"/>
    <m/>
    <m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34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24. 기타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35"/>
    <m/>
    <m/>
    <s v="기업교육1팀"/>
    <s v="황동현"/>
    <s v="기업교육1팀"/>
    <x v="5"/>
    <m/>
    <m/>
    <s v="두산모트롤"/>
    <m/>
    <m/>
    <n v="14776"/>
    <s v="01 1~1000대"/>
    <s v="01 수성"/>
    <s v="03 휴넷 LMS"/>
    <s v="2. 온라인 - 법정"/>
    <s v="03. 이러닝 - 법정"/>
    <s v="03. 이러닝 - 법정"/>
    <m/>
    <n v="2805000"/>
    <n v="327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1팀"/>
    <s v="김신정"/>
    <s v="기업교육1팀"/>
    <x v="5"/>
    <m/>
    <m/>
    <s v="두산밥캣"/>
    <m/>
    <m/>
    <n v="28980"/>
    <s v="01 1~1000대"/>
    <s v="03 신규"/>
    <m/>
    <m/>
    <m/>
    <s v="08. 하이브리드러닝 - 하이브리드형 러닝"/>
    <m/>
    <m/>
    <m/>
    <n v="0"/>
    <m/>
    <m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637"/>
    <m/>
    <m/>
    <m/>
    <m/>
    <s v="기업교육1팀"/>
    <x v="5"/>
    <m/>
    <m/>
    <s v="두산에너빌리티"/>
    <m/>
    <m/>
    <n v="65842"/>
    <m/>
    <m/>
    <m/>
    <m/>
    <m/>
    <s v="03. 이러닝 - 법정"/>
    <m/>
    <m/>
    <m/>
    <n v="2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1팀"/>
    <s v="황동현"/>
    <s v="기업교육1팀"/>
    <x v="5"/>
    <m/>
    <m/>
    <s v="두산연수원"/>
    <m/>
    <m/>
    <n v="4235"/>
    <s v="01 1~1000대"/>
    <s v="03 신규"/>
    <s v="02 경쟁사 LMS"/>
    <s v="3. 온라인 - 마이크로러닝"/>
    <s v="04. 이러닝 - 마이크로러닝"/>
    <s v="04. 이러닝 - 마이크로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m/>
    <m/>
    <s v="기업교육1팀"/>
    <x v="5"/>
    <m/>
    <m/>
    <s v="디알비오토메이션"/>
    <m/>
    <m/>
    <n v="64596"/>
    <m/>
    <m/>
    <m/>
    <m/>
    <m/>
    <s v="01. 이러닝 - 통합위탁"/>
    <m/>
    <m/>
    <m/>
    <n v="8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0"/>
    <m/>
    <m/>
    <s v="기업교육1팀"/>
    <s v="김신정"/>
    <s v="기업교육1팀"/>
    <x v="5"/>
    <m/>
    <m/>
    <s v="삼우통상"/>
    <m/>
    <m/>
    <n v="11297"/>
    <s v="04 3000대 이후"/>
    <s v="04 연장"/>
    <s v="03 휴넷 LMS"/>
    <s v="2. 온라인 - 법정"/>
    <s v="03. 이러닝 - 법정"/>
    <s v="03. 이러닝 - 법정"/>
    <m/>
    <n v="4066000"/>
    <n v="5606000"/>
    <n v="0"/>
    <m/>
    <s v="01 확정"/>
    <x v="0"/>
    <m/>
    <m/>
    <n v="5128000"/>
    <n v="5128000"/>
    <n v="0"/>
    <n v="5128000"/>
    <n v="5128000"/>
    <m/>
    <m/>
    <m/>
    <m/>
    <m/>
    <m/>
    <m/>
    <m/>
    <m/>
    <m/>
    <m/>
    <m/>
    <m/>
    <m/>
    <m/>
    <m/>
    <m/>
    <m/>
    <m/>
    <m/>
    <m/>
    <m/>
    <m/>
    <m/>
    <m/>
  </r>
  <r>
    <n v="641"/>
    <m/>
    <m/>
    <s v="기업교육1팀"/>
    <s v="김신정"/>
    <s v="기업교육1팀"/>
    <x v="5"/>
    <m/>
    <m/>
    <s v="삼천리"/>
    <m/>
    <m/>
    <n v="1375"/>
    <s v="01 1~1000대"/>
    <s v="02 윈백"/>
    <s v="02 경쟁사 LMS"/>
    <s v="4. 하이브리드러닝 - 플립형"/>
    <s v="08. 하이브리드러닝 - 하이브리드형 러닝"/>
    <s v="08. 하이브리드러닝 - 하이브리드형 러닝"/>
    <m/>
    <n v="8512000"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42"/>
    <m/>
    <m/>
    <s v="기업교육1팀"/>
    <s v="김신정"/>
    <s v="기업교육1팀"/>
    <x v="5"/>
    <m/>
    <m/>
    <s v="삼천리"/>
    <m/>
    <m/>
    <n v="1375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5000000"/>
    <m/>
    <m/>
    <m/>
    <m/>
    <m/>
    <n v="10000000"/>
    <m/>
    <m/>
    <m/>
    <m/>
    <m/>
    <n v="5000000"/>
    <m/>
  </r>
  <r>
    <n v="643"/>
    <m/>
    <m/>
    <s v="기업교육1팀"/>
    <s v="김신정"/>
    <s v="기업교육1팀"/>
    <x v="5"/>
    <m/>
    <m/>
    <s v="삼천리이엔지"/>
    <m/>
    <m/>
    <n v="3557"/>
    <s v="04 3000대 이후"/>
    <s v="01 수성"/>
    <s v="02 경쟁사 LMS"/>
    <s v="1. 온라인 - 단과"/>
    <s v="02. 이러닝 - 단과"/>
    <s v="03. 이러닝 - 법정"/>
    <m/>
    <m/>
    <n v="25552000"/>
    <n v="24150000"/>
    <m/>
    <s v="01 확정"/>
    <x v="0"/>
    <m/>
    <m/>
    <n v="4000000"/>
    <n v="4000000"/>
    <n v="0"/>
    <m/>
    <m/>
    <m/>
    <n v="20000000"/>
    <m/>
    <m/>
    <m/>
    <m/>
    <m/>
    <m/>
    <m/>
    <m/>
    <m/>
    <m/>
    <m/>
    <m/>
    <m/>
    <m/>
    <m/>
    <m/>
    <m/>
    <m/>
    <m/>
    <m/>
    <m/>
    <n v="4000000"/>
    <m/>
  </r>
  <r>
    <n v="644"/>
    <m/>
    <m/>
    <s v="기업교육1팀"/>
    <s v="김신정"/>
    <s v="기업교육1팀"/>
    <x v="5"/>
    <m/>
    <m/>
    <s v="시청자미디어재단"/>
    <m/>
    <m/>
    <n v="18757"/>
    <s v="05 공공"/>
    <s v="02 윈백"/>
    <m/>
    <s v="6. 하이브리드러닝 - 집합형"/>
    <s v="08. 하이브리드러닝 - 하이브리드형 러닝"/>
    <s v="08. 하이브리드러닝 - 하이브리드형 러닝"/>
    <m/>
    <n v="13454545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45"/>
    <m/>
    <m/>
    <m/>
    <m/>
    <s v="기업교육1팀"/>
    <x v="5"/>
    <m/>
    <m/>
    <s v="에스비아이저축은행"/>
    <m/>
    <m/>
    <n v="16030"/>
    <m/>
    <m/>
    <m/>
    <m/>
    <m/>
    <s v="02. 이러닝 - 단과"/>
    <m/>
    <m/>
    <m/>
    <n v="44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6"/>
    <m/>
    <m/>
    <s v="기업교육1팀"/>
    <s v="김신정"/>
    <s v="기업교육1팀"/>
    <x v="5"/>
    <m/>
    <m/>
    <s v="에스비아이저축은행"/>
    <m/>
    <m/>
    <n v="16030"/>
    <s v="01 1~1000대"/>
    <s v="01 수성"/>
    <m/>
    <s v="2. 온라인 - 법정"/>
    <s v="03. 이러닝 - 법정"/>
    <s v="03. 이러닝 - 법정"/>
    <m/>
    <m/>
    <n v="4230000"/>
    <n v="0"/>
    <m/>
    <s v="08 2024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647"/>
    <m/>
    <m/>
    <s v="기업교육1팀"/>
    <s v="김신정"/>
    <s v="기업교육1팀"/>
    <x v="5"/>
    <m/>
    <m/>
    <s v="에스비아이저축은행"/>
    <m/>
    <m/>
    <n v="16030"/>
    <s v="01 1~1000대"/>
    <s v="03 신규"/>
    <m/>
    <m/>
    <m/>
    <s v="11. 구독 - 휴넷CEO멤버십"/>
    <m/>
    <m/>
    <m/>
    <n v="0"/>
    <m/>
    <s v="08 2024년 매출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48"/>
    <m/>
    <m/>
    <s v="기업교육1팀"/>
    <s v="김신정"/>
    <s v="기업교육1팀"/>
    <x v="5"/>
    <m/>
    <m/>
    <s v="에스이엔에스(구.삼천리이엔에스경기)"/>
    <m/>
    <m/>
    <n v="58931"/>
    <s v="01 1~1000대"/>
    <s v="01 수성"/>
    <m/>
    <s v="2. 온라인 - 법정"/>
    <s v="03. 이러닝 - 법정"/>
    <s v="03. 이러닝 - 법정"/>
    <m/>
    <m/>
    <n v="237000"/>
    <n v="222000"/>
    <m/>
    <s v="01 확정"/>
    <x v="0"/>
    <m/>
    <m/>
    <n v="359000"/>
    <n v="359000"/>
    <n v="0"/>
    <m/>
    <m/>
    <m/>
    <m/>
    <n v="159000"/>
    <m/>
    <m/>
    <m/>
    <m/>
    <m/>
    <m/>
    <m/>
    <m/>
    <n v="200000"/>
    <m/>
    <m/>
    <m/>
    <m/>
    <m/>
    <m/>
    <m/>
    <m/>
    <m/>
    <m/>
    <m/>
    <m/>
    <m/>
  </r>
  <r>
    <n v="649"/>
    <m/>
    <m/>
    <s v="기업교육1팀"/>
    <s v="김신정"/>
    <s v="기업교육1팀"/>
    <x v="5"/>
    <m/>
    <m/>
    <s v="인아오리엔탈모터"/>
    <m/>
    <m/>
    <n v="1573"/>
    <s v="01 1~1000대"/>
    <s v="01 수성"/>
    <m/>
    <s v="2. 온라인 - 법정"/>
    <s v="03. 이러닝 - 법정"/>
    <s v="03. 이러닝 - 법정"/>
    <m/>
    <m/>
    <n v="1815000"/>
    <n v="1350000"/>
    <m/>
    <s v="08 2024년 매출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650"/>
    <m/>
    <m/>
    <s v="기업교육1팀"/>
    <s v="김신정"/>
    <s v="기업교육1팀"/>
    <x v="5"/>
    <m/>
    <m/>
    <s v="제이디씨파트너스"/>
    <m/>
    <m/>
    <n v="54321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1"/>
    <m/>
    <m/>
    <s v="기업교육1팀"/>
    <s v="김신정"/>
    <s v="기업교육1팀"/>
    <x v="5"/>
    <m/>
    <m/>
    <s v="중외제약"/>
    <m/>
    <m/>
    <n v="19027"/>
    <m/>
    <m/>
    <m/>
    <m/>
    <m/>
    <s v="02. 이러닝 - 단과"/>
    <m/>
    <m/>
    <m/>
    <n v="0"/>
    <m/>
    <m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652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1. 이러닝 - 통합위탁"/>
    <s v="01. 이러닝 - 통합위탁"/>
    <s v="O"/>
    <n v="51650500"/>
    <n v="0"/>
    <n v="28034200"/>
    <m/>
    <s v="01 확정"/>
    <x v="0"/>
    <m/>
    <m/>
    <n v="41023545"/>
    <n v="41023545"/>
    <n v="0"/>
    <n v="3259545"/>
    <n v="3259545"/>
    <m/>
    <n v="3000000"/>
    <n v="865000"/>
    <m/>
    <n v="899000"/>
    <n v="899000"/>
    <m/>
    <n v="4000000"/>
    <m/>
    <n v="4000000"/>
    <m/>
    <n v="5000000"/>
    <m/>
    <n v="3000000"/>
    <m/>
    <n v="3000000"/>
    <m/>
    <n v="4000000"/>
    <m/>
    <n v="4000000"/>
    <m/>
    <n v="4000000"/>
    <m/>
    <n v="5000000"/>
    <m/>
  </r>
  <r>
    <n v="653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2. 이러닝 - 단과"/>
    <s v="02. 이러닝 - 단과"/>
    <m/>
    <m/>
    <n v="59866260"/>
    <n v="4976500"/>
    <m/>
    <s v="01 확정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n v="2500000"/>
    <m/>
    <m/>
    <m/>
  </r>
  <r>
    <n v="654"/>
    <m/>
    <m/>
    <s v="기업교육1팀"/>
    <s v="김신정"/>
    <s v="기업교육1팀"/>
    <x v="5"/>
    <m/>
    <m/>
    <s v="케이씨 그룹"/>
    <m/>
    <m/>
    <n v="1558"/>
    <s v="01 1~1000대"/>
    <s v="03 신규"/>
    <m/>
    <m/>
    <s v="08. 하이브리드러닝 - 하이브리드형 러닝"/>
    <s v="08. 하이브리드러닝 - 하이브리드형 러닝"/>
    <m/>
    <m/>
    <m/>
    <n v="367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55"/>
    <m/>
    <m/>
    <s v="기업교육1팀"/>
    <s v="김신정"/>
    <s v="기업교육1팀"/>
    <x v="5"/>
    <m/>
    <m/>
    <s v="케이씨 그룹"/>
    <m/>
    <m/>
    <n v="1558"/>
    <s v="02 1001~2000대"/>
    <s v="03 신규"/>
    <m/>
    <s v="1. 온라인 - 단과"/>
    <s v="10. 구독 - 휴넷CEO멤버십"/>
    <s v="11. 구독 - 휴넷CEO멤버십"/>
    <m/>
    <m/>
    <n v="0"/>
    <n v="454545"/>
    <m/>
    <s v="01 확정"/>
    <x v="1"/>
    <m/>
    <m/>
    <n v="500000"/>
    <n v="500000"/>
    <n v="0"/>
    <m/>
    <m/>
    <m/>
    <m/>
    <m/>
    <m/>
    <m/>
    <m/>
    <m/>
    <m/>
    <m/>
    <n v="500000"/>
    <m/>
    <m/>
    <m/>
    <m/>
    <m/>
    <m/>
    <m/>
    <m/>
    <m/>
    <m/>
    <m/>
    <m/>
    <m/>
    <m/>
    <m/>
  </r>
  <r>
    <n v="656"/>
    <m/>
    <m/>
    <s v="기업교육1팀"/>
    <s v="김신정"/>
    <s v="기업교육1팀"/>
    <x v="5"/>
    <m/>
    <m/>
    <s v="케이씨에이손해사정"/>
    <m/>
    <m/>
    <n v="27811"/>
    <s v="03 2001~3000대"/>
    <s v="01 수성"/>
    <s v="03 휴넷 LMS"/>
    <s v="1. 온라인 - 단과"/>
    <s v="02. 이러닝 - 단과"/>
    <s v="02. 이러닝 - 단과"/>
    <m/>
    <m/>
    <n v="4570000"/>
    <n v="0"/>
    <m/>
    <s v="02 가망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657"/>
    <m/>
    <m/>
    <s v="기업교육1팀"/>
    <s v="김신정"/>
    <s v="기업교육1팀"/>
    <x v="5"/>
    <m/>
    <m/>
    <s v="케이씨에이손해사정"/>
    <m/>
    <m/>
    <n v="27811"/>
    <s v="03 2001~3000대"/>
    <s v="01 수성"/>
    <m/>
    <s v="1. 온라인 - 단과"/>
    <s v="02. 이러닝 - 단과"/>
    <s v="02. 이러닝 - 단과"/>
    <m/>
    <n v="5679000"/>
    <n v="0"/>
    <n v="8080600"/>
    <m/>
    <s v="01 확정"/>
    <x v="1"/>
    <m/>
    <m/>
    <n v="500000"/>
    <n v="500000"/>
    <n v="0"/>
    <m/>
    <m/>
    <m/>
    <m/>
    <m/>
    <m/>
    <m/>
    <m/>
    <m/>
    <m/>
    <m/>
    <m/>
    <m/>
    <n v="500000"/>
    <m/>
    <m/>
    <m/>
    <m/>
    <m/>
    <m/>
    <m/>
    <m/>
    <m/>
    <m/>
    <m/>
    <m/>
    <m/>
  </r>
  <r>
    <n v="658"/>
    <m/>
    <m/>
    <s v="기업교육1팀"/>
    <s v="김신정"/>
    <s v="기업교육1팀"/>
    <x v="5"/>
    <m/>
    <m/>
    <s v="케이씨파츠텍"/>
    <m/>
    <m/>
    <n v="53409"/>
    <s v="01 1~1000대"/>
    <s v="01 수성"/>
    <m/>
    <s v="1. 온라인 - 단과"/>
    <s v="02. 이러닝 - 단과"/>
    <s v="02. 이러닝 - 단과"/>
    <m/>
    <n v="531000"/>
    <n v="0"/>
    <n v="288000"/>
    <m/>
    <s v="02 가망"/>
    <x v="0"/>
    <m/>
    <m/>
    <n v="1111000"/>
    <n v="1111000"/>
    <n v="0"/>
    <n v="111000"/>
    <n v="111000"/>
    <m/>
    <m/>
    <m/>
    <m/>
    <m/>
    <m/>
    <m/>
    <m/>
    <m/>
    <m/>
    <m/>
    <n v="1000000"/>
    <m/>
    <m/>
    <m/>
    <m/>
    <m/>
    <m/>
    <m/>
    <m/>
    <m/>
    <m/>
    <m/>
    <m/>
    <m/>
  </r>
  <r>
    <n v="659"/>
    <m/>
    <m/>
    <m/>
    <m/>
    <s v="기업교육1팀"/>
    <x v="5"/>
    <m/>
    <m/>
    <s v="코레일유통"/>
    <m/>
    <m/>
    <n v="7701"/>
    <m/>
    <m/>
    <m/>
    <m/>
    <m/>
    <s v="01. 이러닝 - 통합위탁"/>
    <m/>
    <m/>
    <m/>
    <n v="826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1팀"/>
    <s v="김신정"/>
    <s v="기업교육1팀"/>
    <x v="5"/>
    <m/>
    <m/>
    <s v="코레일유통"/>
    <m/>
    <m/>
    <n v="7701"/>
    <s v="05 공공"/>
    <s v="03 신규"/>
    <m/>
    <m/>
    <s v="02. 이러닝 - 단과"/>
    <s v="02. 이러닝 - 단과"/>
    <m/>
    <m/>
    <n v="0"/>
    <n v="0"/>
    <m/>
    <s v="01 확정"/>
    <x v="1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661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2. 온라인 - 법정"/>
    <s v="03. 이러닝 - 법정"/>
    <s v="03. 이러닝 - 법정"/>
    <m/>
    <n v="18555500"/>
    <n v="18735000"/>
    <n v="0"/>
    <m/>
    <s v="02 가망"/>
    <x v="1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62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20730000"/>
    <n v="31495000"/>
    <n v="27415000"/>
    <m/>
    <s v="01 확정"/>
    <x v="0"/>
    <m/>
    <m/>
    <n v="6530000"/>
    <n v="6530000"/>
    <n v="0"/>
    <m/>
    <m/>
    <m/>
    <m/>
    <m/>
    <m/>
    <n v="4530000"/>
    <n v="4530000"/>
    <m/>
    <m/>
    <m/>
    <m/>
    <m/>
    <m/>
    <m/>
    <m/>
    <m/>
    <m/>
    <m/>
    <n v="2000000"/>
    <m/>
    <m/>
    <m/>
    <m/>
    <m/>
    <m/>
    <m/>
  </r>
  <r>
    <n v="663"/>
    <m/>
    <m/>
    <s v="기업교육1팀"/>
    <s v="김신정"/>
    <s v="기업교육1팀"/>
    <x v="5"/>
    <m/>
    <m/>
    <s v="코레일유통"/>
    <m/>
    <m/>
    <n v="7701"/>
    <s v="05 공공"/>
    <s v="03 신규"/>
    <m/>
    <m/>
    <m/>
    <s v="14. 구독 - 기타"/>
    <m/>
    <m/>
    <m/>
    <n v="0"/>
    <m/>
    <m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664"/>
    <m/>
    <m/>
    <s v="기업교육1팀"/>
    <s v="김신정"/>
    <s v="기업교육1팀"/>
    <x v="5"/>
    <m/>
    <m/>
    <s v="한국기상산업기술원"/>
    <m/>
    <m/>
    <n v="16328"/>
    <s v="05 공공"/>
    <s v="01 수성"/>
    <s v="03 휴넷 LMS"/>
    <s v="2. 온라인 - 법정"/>
    <s v="03. 이러닝 - 법정"/>
    <s v="03. 이러닝 - 법정"/>
    <m/>
    <m/>
    <n v="4800000"/>
    <n v="0"/>
    <m/>
    <s v="05 Drop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n v="2500000"/>
    <m/>
    <m/>
    <m/>
    <m/>
    <m/>
  </r>
  <r>
    <n v="665"/>
    <m/>
    <m/>
    <s v="기업교육1팀"/>
    <s v="김신정"/>
    <s v="기업교육1팀"/>
    <x v="5"/>
    <m/>
    <m/>
    <s v="한국기상산업기술원"/>
    <m/>
    <m/>
    <n v="1632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8000000"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666"/>
    <m/>
    <m/>
    <s v="기업교육1팀"/>
    <s v="김신정"/>
    <s v="기업교육1팀"/>
    <x v="5"/>
    <m/>
    <m/>
    <s v="한국기상산업기술원(외부교육)"/>
    <m/>
    <m/>
    <n v="61357"/>
    <s v="05 공공"/>
    <s v="04 연장"/>
    <m/>
    <s v="13. 솔루션 - 표준형 LABS"/>
    <s v="15. 솔루션 - LABS"/>
    <s v="16. 솔루션 - LABS"/>
    <m/>
    <m/>
    <n v="7200000"/>
    <n v="19200000"/>
    <m/>
    <s v="01 확정"/>
    <x v="0"/>
    <m/>
    <m/>
    <n v="19440000"/>
    <n v="19440000"/>
    <n v="0"/>
    <m/>
    <m/>
    <m/>
    <m/>
    <n v="13440000"/>
    <m/>
    <m/>
    <m/>
    <m/>
    <m/>
    <m/>
    <m/>
    <m/>
    <m/>
    <m/>
    <m/>
    <m/>
    <m/>
    <m/>
    <m/>
    <m/>
    <m/>
    <m/>
    <m/>
    <m/>
    <n v="6000000"/>
    <m/>
  </r>
  <r>
    <n v="667"/>
    <m/>
    <m/>
    <s v="기업교육1팀"/>
    <s v="김신정"/>
    <s v="기업교육1팀"/>
    <x v="5"/>
    <m/>
    <m/>
    <s v="한국마사회"/>
    <m/>
    <m/>
    <n v="4345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n v="10000000"/>
    <m/>
    <m/>
    <m/>
    <m/>
    <m/>
  </r>
  <r>
    <n v="668"/>
    <m/>
    <m/>
    <s v="기업교육1팀"/>
    <s v="김신정"/>
    <s v="기업교육1팀"/>
    <x v="5"/>
    <m/>
    <m/>
    <s v="한국마사회"/>
    <m/>
    <m/>
    <n v="4345"/>
    <s v="05 공공"/>
    <s v="01 수성"/>
    <m/>
    <s v="2. 온라인 - 법정"/>
    <s v="03. 이러닝 - 법정"/>
    <s v="03. 이러닝 - 법정"/>
    <m/>
    <n v="6105000"/>
    <n v="5714600"/>
    <n v="62502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669"/>
    <m/>
    <m/>
    <s v="기업교육1팀"/>
    <s v="김신정"/>
    <s v="기업교육1팀"/>
    <x v="5"/>
    <m/>
    <m/>
    <s v="한국마사회"/>
    <m/>
    <m/>
    <n v="4345"/>
    <s v="05 공공"/>
    <s v="01 수성"/>
    <m/>
    <s v="10. 컨텐츠 - 컨텐츠 개발"/>
    <s v="14. 컨텐츠 - 컨텐츠 개발"/>
    <s v="15. 컨텐츠 - 컨텐츠 개발"/>
    <m/>
    <s v=""/>
    <n v="0"/>
    <n v="0"/>
    <m/>
    <s v="06 사업취소"/>
    <x v="1"/>
    <m/>
    <m/>
    <n v="30000000"/>
    <n v="30000000"/>
    <n v="0"/>
    <m/>
    <m/>
    <m/>
    <m/>
    <m/>
    <m/>
    <m/>
    <m/>
    <m/>
    <m/>
    <m/>
    <n v="10000000"/>
    <m/>
    <m/>
    <m/>
    <m/>
    <m/>
    <m/>
    <m/>
    <m/>
    <m/>
    <m/>
    <m/>
    <m/>
    <m/>
    <n v="20000000"/>
    <m/>
  </r>
  <r>
    <n v="670"/>
    <m/>
    <m/>
    <s v="기업교육1팀"/>
    <s v="황동현"/>
    <s v="기업교육1팀"/>
    <x v="5"/>
    <m/>
    <m/>
    <s v="한국전력 중소기업지원"/>
    <m/>
    <m/>
    <n v="30162"/>
    <s v="05 공공"/>
    <s v="01 수성"/>
    <s v="01 자체 LMS"/>
    <s v="1. 온라인 - 단과"/>
    <s v="02. 이러닝 - 단과"/>
    <s v="02. 이러닝 - 단과"/>
    <m/>
    <m/>
    <n v="0"/>
    <n v="6500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1팀"/>
    <s v="황동현"/>
    <s v="기업교육1팀"/>
    <x v="5"/>
    <m/>
    <m/>
    <s v="한국전력 중소기업지원"/>
    <m/>
    <m/>
    <n v="30162"/>
    <s v="05 공공"/>
    <s v="04 연장"/>
    <s v="01 자체 LMS"/>
    <s v="1. 온라인 - 단과"/>
    <s v="02. 이러닝 - 단과"/>
    <s v="02. 이러닝 - 단과"/>
    <m/>
    <n v="9800000"/>
    <n v="6500000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1. 컨텐츠 - 컨텐츠 임대/판매"/>
    <s v="01. 이러닝 - 통합위탁"/>
    <s v="01. 이러닝 - 통합위탁"/>
    <m/>
    <s v=""/>
    <n v="6211636"/>
    <n v="3330363"/>
    <m/>
    <s v="01 확정"/>
    <x v="4"/>
    <m/>
    <m/>
    <n v="180000000"/>
    <n v="180000000"/>
    <n v="0"/>
    <m/>
    <m/>
    <m/>
    <n v="10000000"/>
    <m/>
    <m/>
    <m/>
    <m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</r>
  <r>
    <n v="673"/>
    <m/>
    <m/>
    <s v="기업교육1팀"/>
    <s v="이재성"/>
    <s v="기업교육1팀"/>
    <x v="5"/>
    <m/>
    <m/>
    <s v="한국전력거래소"/>
    <m/>
    <m/>
    <n v="7261"/>
    <s v="05 공공"/>
    <s v="01 수성"/>
    <m/>
    <m/>
    <s v="01. 이러닝 - 통합위탁"/>
    <s v="01. 이러닝 - 통합위탁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4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. 온라인 - 단과"/>
    <s v="02. 이러닝 - 단과"/>
    <s v="02. 이러닝 - 단과"/>
    <m/>
    <n v="70460813"/>
    <n v="0"/>
    <n v="0"/>
    <m/>
    <s v="07 2023년 매출"/>
    <x v="0"/>
    <m/>
    <m/>
    <n v="1715000"/>
    <n v="1715000"/>
    <n v="0"/>
    <m/>
    <n v="620000"/>
    <m/>
    <m/>
    <m/>
    <m/>
    <n v="1095000"/>
    <n v="1095000"/>
    <m/>
    <m/>
    <m/>
    <m/>
    <m/>
    <m/>
    <m/>
    <m/>
    <m/>
    <m/>
    <m/>
    <m/>
    <m/>
    <m/>
    <m/>
    <m/>
    <m/>
    <m/>
    <m/>
  </r>
  <r>
    <n v="675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6. 하이브리드러닝 - 집합형"/>
    <s v="09. 하이브리드러닝 - 순수 오프라인"/>
    <s v="09. 하이브리드러닝 - 순수 오프라인"/>
    <m/>
    <n v="11818182"/>
    <n v="12180000"/>
    <n v="14645000"/>
    <m/>
    <s v="01 확정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76"/>
    <m/>
    <m/>
    <s v="기업교육1팀"/>
    <s v="이재성"/>
    <s v="기업교육1팀"/>
    <x v="5"/>
    <m/>
    <m/>
    <s v="한국전력거래소"/>
    <m/>
    <m/>
    <n v="7261"/>
    <s v="05 공공"/>
    <s v="03 신규"/>
    <s v="02 경쟁사 LMS"/>
    <s v="22. 솔루션 - 그로우포웍스"/>
    <s v="17. 솔루션 - 기타"/>
    <s v="18. 솔루션 - 기타"/>
    <m/>
    <m/>
    <n v="0"/>
    <n v="20060000"/>
    <m/>
    <s v="01 확정"/>
    <x v="0"/>
    <m/>
    <m/>
    <n v="110000"/>
    <n v="110000"/>
    <n v="0"/>
    <m/>
    <m/>
    <m/>
    <n v="20000000"/>
    <n v="110000"/>
    <m/>
    <m/>
    <m/>
    <m/>
    <m/>
    <m/>
    <m/>
    <m/>
    <m/>
    <m/>
    <m/>
    <m/>
    <m/>
    <m/>
    <m/>
    <m/>
    <m/>
    <m/>
    <m/>
    <m/>
    <m/>
    <m/>
  </r>
  <r>
    <n v="677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08. 하이브리드러닝 - 하이브리드형 러닝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78"/>
    <m/>
    <m/>
    <s v="기업교육1팀"/>
    <s v="김신정"/>
    <s v="기업교육1팀"/>
    <x v="5"/>
    <m/>
    <m/>
    <s v="한국전력공사"/>
    <m/>
    <m/>
    <n v="3238"/>
    <m/>
    <m/>
    <m/>
    <m/>
    <m/>
    <s v="08. 하이브리드러닝 - 하이브리드형 러닝"/>
    <m/>
    <m/>
    <m/>
    <n v="12418725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15. 컨텐츠 - 컨텐츠 개발"/>
    <m/>
    <m/>
    <m/>
    <n v="0"/>
    <m/>
    <m/>
    <x v="8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n v="100000000"/>
    <m/>
    <m/>
    <m/>
  </r>
  <r>
    <n v="680"/>
    <m/>
    <m/>
    <s v="기업교육1팀"/>
    <s v="김신정"/>
    <s v="기업교육1팀"/>
    <x v="5"/>
    <m/>
    <m/>
    <s v="한국전력공사"/>
    <m/>
    <m/>
    <n v="3238"/>
    <m/>
    <m/>
    <m/>
    <m/>
    <m/>
    <s v="23. 기타 - 포럼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1팀"/>
    <s v="황동현"/>
    <s v="기업교육1팀"/>
    <x v="5"/>
    <m/>
    <m/>
    <s v="한국전력공사(KEMPUS+)"/>
    <m/>
    <m/>
    <n v="66089"/>
    <s v="05 공공"/>
    <s v="03 신규"/>
    <m/>
    <m/>
    <m/>
    <s v="01. 이러닝 - 통합위탁"/>
    <m/>
    <m/>
    <m/>
    <n v="0"/>
    <m/>
    <m/>
    <x v="0"/>
    <m/>
    <m/>
    <n v="193575000"/>
    <n v="193575000"/>
    <n v="0"/>
    <m/>
    <m/>
    <m/>
    <m/>
    <m/>
    <m/>
    <m/>
    <m/>
    <m/>
    <m/>
    <m/>
    <n v="96787500"/>
    <m/>
    <m/>
    <m/>
    <m/>
    <m/>
    <m/>
    <m/>
    <m/>
    <m/>
    <m/>
    <m/>
    <m/>
    <m/>
    <n v="96787500"/>
    <m/>
  </r>
  <r>
    <n v="682"/>
    <m/>
    <m/>
    <m/>
    <m/>
    <s v="기업교육1팀"/>
    <x v="5"/>
    <m/>
    <m/>
    <s v="한국전력공사(KEMPUS+)"/>
    <m/>
    <m/>
    <n v="16615"/>
    <s v="05 공공"/>
    <s v="02 윈백"/>
    <s v="01 자체 LMS"/>
    <s v="3. 온라인 - 마이크로러닝"/>
    <s v="04. 이러닝 - 마이크로러닝"/>
    <s v="04. 이러닝 - 마이크로러닝"/>
    <m/>
    <n v="312559869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1팀"/>
    <s v="김신정"/>
    <s v="기업교육1팀"/>
    <x v="5"/>
    <m/>
    <m/>
    <s v="한국콘텐츠진흥원"/>
    <m/>
    <m/>
    <n v="16482"/>
    <s v="05 공공"/>
    <s v="01 수성"/>
    <s v="03 휴넷 LMS"/>
    <s v="2. 온라인 - 법정"/>
    <s v="03. 이러닝 - 법정"/>
    <s v="03. 이러닝 - 법정"/>
    <m/>
    <n v="16663500"/>
    <n v="9230000"/>
    <n v="15874000"/>
    <m/>
    <s v="02 가망"/>
    <x v="4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n v="4000000"/>
    <m/>
    <m/>
    <m/>
    <m/>
    <m/>
  </r>
  <r>
    <n v="684"/>
    <m/>
    <m/>
    <m/>
    <m/>
    <s v="기업교육1팀"/>
    <x v="5"/>
    <m/>
    <m/>
    <s v="한국콘텐츠진흥원"/>
    <m/>
    <m/>
    <n v="16482"/>
    <m/>
    <m/>
    <m/>
    <m/>
    <m/>
    <s v="09. 하이브리드러닝 - 순수 오프라인"/>
    <m/>
    <m/>
    <m/>
    <n v="7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1팀"/>
    <s v="김신정"/>
    <s v="기업교육1팀"/>
    <x v="5"/>
    <m/>
    <m/>
    <s v="한국콘텐츠진흥원"/>
    <m/>
    <m/>
    <n v="16482"/>
    <s v="05 공공"/>
    <s v="03 신규"/>
    <m/>
    <m/>
    <m/>
    <s v="14. 구독 - 기타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86"/>
    <m/>
    <m/>
    <m/>
    <m/>
    <s v="기업교육1팀"/>
    <x v="5"/>
    <m/>
    <m/>
    <s v="한올바이오파마"/>
    <m/>
    <m/>
    <n v="23654"/>
    <m/>
    <m/>
    <m/>
    <m/>
    <m/>
    <s v="15. 컨텐츠 - 컨텐츠 개발"/>
    <m/>
    <m/>
    <m/>
    <n v="2061376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1팀"/>
    <s v="김신정"/>
    <s v="기업교육1팀"/>
    <x v="5"/>
    <m/>
    <m/>
    <s v="한화솔루션_협력사"/>
    <m/>
    <m/>
    <n v="63779"/>
    <s v="01 1~1000대"/>
    <s v="03 신규"/>
    <m/>
    <m/>
    <s v="01. 이러닝 - 통합위탁"/>
    <s v="01. 이러닝 - 통합위탁"/>
    <m/>
    <m/>
    <m/>
    <n v="80000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88"/>
    <m/>
    <m/>
    <s v="기업교육1팀"/>
    <s v="김신정"/>
    <s v="기업교육1팀"/>
    <x v="5"/>
    <m/>
    <m/>
    <s v="한화시스템"/>
    <m/>
    <m/>
    <n v="24980"/>
    <m/>
    <s v="03 신규"/>
    <m/>
    <m/>
    <m/>
    <s v="08. 하이브리드러닝 - 하이브리드형 러닝"/>
    <m/>
    <m/>
    <m/>
    <m/>
    <m/>
    <m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689"/>
    <m/>
    <m/>
    <s v="기업교육1팀"/>
    <s v="김신정"/>
    <s v="기업교육1팀"/>
    <x v="5"/>
    <m/>
    <m/>
    <s v="한화시스템_협력사"/>
    <m/>
    <m/>
    <n v="63780"/>
    <s v="01 1~1000대"/>
    <s v="03 신규"/>
    <m/>
    <m/>
    <s v="01. 이러닝 - 통합위탁"/>
    <s v="01. 이러닝 - 통합위탁"/>
    <m/>
    <m/>
    <m/>
    <n v="24220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690"/>
    <m/>
    <m/>
    <s v="기업교육1팀"/>
    <s v="김신정"/>
    <s v="기업교육1팀"/>
    <x v="5"/>
    <m/>
    <m/>
    <s v="행정안전부 지방자치인재개발원"/>
    <m/>
    <m/>
    <n v="23778"/>
    <s v="05 공공"/>
    <s v="01 수성"/>
    <s v="01 자체 LMS"/>
    <m/>
    <s v="07. 이러닝 - 컨텐츠 임대/판매"/>
    <s v="07. 이러닝 - 컨텐츠 임대/판매"/>
    <m/>
    <m/>
    <m/>
    <n v="18300000"/>
    <m/>
    <s v="01 확정"/>
    <x v="4"/>
    <m/>
    <m/>
    <n v="60000000"/>
    <n v="60000000"/>
    <n v="0"/>
    <m/>
    <m/>
    <m/>
    <m/>
    <m/>
    <m/>
    <m/>
    <m/>
    <m/>
    <m/>
    <m/>
    <m/>
    <m/>
    <m/>
    <m/>
    <n v="40000000"/>
    <m/>
    <m/>
    <m/>
    <m/>
    <m/>
    <m/>
    <m/>
    <n v="20000000"/>
    <m/>
    <m/>
    <m/>
  </r>
  <r>
    <n v="691"/>
    <m/>
    <m/>
    <s v="기업교육1팀"/>
    <s v="강건모"/>
    <s v="기업교육1팀"/>
    <x v="5"/>
    <m/>
    <m/>
    <s v="행정안전부 지방자치인재개발원"/>
    <m/>
    <m/>
    <n v="23778"/>
    <s v="05 공공"/>
    <s v="01 수성"/>
    <s v="01 자체 LMS"/>
    <s v="10. 컨텐츠 - 컨텐츠 개발"/>
    <s v="14. 컨텐츠 - 컨텐츠 개발"/>
    <s v="15. 컨텐츠 - 컨텐츠 개발"/>
    <m/>
    <m/>
    <n v="319090910"/>
    <n v="305700000"/>
    <m/>
    <s v="01 확정"/>
    <x v="4"/>
    <m/>
    <m/>
    <n v="263000000"/>
    <n v="263000000"/>
    <n v="0"/>
    <m/>
    <m/>
    <m/>
    <m/>
    <m/>
    <m/>
    <m/>
    <m/>
    <m/>
    <m/>
    <m/>
    <m/>
    <m/>
    <m/>
    <m/>
    <n v="184100000"/>
    <m/>
    <m/>
    <m/>
    <m/>
    <m/>
    <m/>
    <m/>
    <n v="78900000"/>
    <m/>
    <m/>
    <m/>
  </r>
  <r>
    <n v="692"/>
    <m/>
    <m/>
    <s v="기업교육1팀"/>
    <s v="강건모"/>
    <s v="기업교육1팀"/>
    <x v="6"/>
    <m/>
    <m/>
    <s v="EA Korea"/>
    <m/>
    <m/>
    <n v="61792"/>
    <s v="01 1~1000대"/>
    <s v="01 수성"/>
    <m/>
    <s v="2. 온라인 - 법정"/>
    <s v="03. 이러닝 - 법정"/>
    <s v="03. 이러닝 - 법정"/>
    <m/>
    <m/>
    <n v="3350000"/>
    <n v="355000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1팀"/>
    <s v="강건모"/>
    <s v="기업교육1팀"/>
    <x v="6"/>
    <m/>
    <m/>
    <s v="LG AI연구원"/>
    <m/>
    <m/>
    <n v="61353"/>
    <s v="01 1~1000대"/>
    <s v="01 수성"/>
    <s v="03 휴넷 LMS"/>
    <s v="2. 온라인 - 법정"/>
    <s v="03. 이러닝 - 법정"/>
    <s v="03. 이러닝 - 법정"/>
    <m/>
    <m/>
    <n v="6167000"/>
    <n v="5256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694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95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23. 기타 - 포럼"/>
    <m/>
    <m/>
    <m/>
    <n v="0"/>
    <m/>
    <m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696"/>
    <m/>
    <m/>
    <s v="기업교육1팀"/>
    <s v="강건모"/>
    <s v="기업교육1팀"/>
    <x v="6"/>
    <m/>
    <m/>
    <s v="LG CNS"/>
    <m/>
    <m/>
    <n v="3864"/>
    <s v="01 1~1000대"/>
    <s v="04 연장"/>
    <s v="03 휴넷 LMS"/>
    <s v="통합위탁"/>
    <s v="01. 이러닝 - 통합위탁"/>
    <s v="01. 이러닝 - 통합위탁"/>
    <s v="O"/>
    <n v="65070380"/>
    <n v="33831666"/>
    <n v="32602320"/>
    <m/>
    <s v="01 확정"/>
    <x v="0"/>
    <m/>
    <m/>
    <n v="35242600"/>
    <n v="35242600"/>
    <n v="0"/>
    <n v="3500000"/>
    <n v="363000"/>
    <m/>
    <n v="3500000"/>
    <n v="1456400"/>
    <s v="RS 매출 감소"/>
    <n v="3500000"/>
    <n v="1923200"/>
    <m/>
    <n v="3500000"/>
    <m/>
    <n v="3500000"/>
    <m/>
    <n v="3500000"/>
    <m/>
    <n v="3500000"/>
    <m/>
    <n v="3500000"/>
    <m/>
    <n v="3500000"/>
    <m/>
    <n v="3500000"/>
    <m/>
    <n v="3500000"/>
    <m/>
    <n v="3500000"/>
    <m/>
  </r>
  <r>
    <n v="697"/>
    <m/>
    <m/>
    <s v="기업교육1팀"/>
    <s v="강건모"/>
    <s v="기업교육1팀"/>
    <x v="6"/>
    <m/>
    <m/>
    <s v="LG CNS"/>
    <m/>
    <m/>
    <n v="3864"/>
    <m/>
    <m/>
    <m/>
    <m/>
    <m/>
    <s v="09. 하이브리드러닝 - 순수 오프라인"/>
    <m/>
    <m/>
    <m/>
    <n v="2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8"/>
    <m/>
    <m/>
    <s v="기업교육1팀"/>
    <s v="강건모"/>
    <s v="기업교육1팀"/>
    <x v="6"/>
    <m/>
    <m/>
    <s v="LG CNS"/>
    <m/>
    <m/>
    <n v="3864"/>
    <s v="01 1~1000대"/>
    <s v="01 수성"/>
    <s v="03 휴넷 LMS"/>
    <s v="10. 컨텐츠 - 컨텐츠 개발"/>
    <s v="14. 컨텐츠 - 컨텐츠 개발"/>
    <s v="15. 컨텐츠 - 컨텐츠 개발"/>
    <m/>
    <m/>
    <n v="17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m/>
    <m/>
    <s v="기업교육1팀"/>
    <x v="6"/>
    <m/>
    <m/>
    <s v="LG CNS"/>
    <m/>
    <m/>
    <n v="3864"/>
    <s v="01 1~1000대"/>
    <s v="03 신규"/>
    <s v="03 휴넷 LMS"/>
    <m/>
    <s v="23. 기타 - 플레이북"/>
    <s v="24. 기타 - 기타"/>
    <m/>
    <m/>
    <m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0"/>
    <m/>
    <m/>
    <s v="기업교육1팀"/>
    <s v="강건모"/>
    <s v="기업교육1팀"/>
    <x v="6"/>
    <m/>
    <m/>
    <s v="LG CNS (자회사)"/>
    <m/>
    <m/>
    <n v="3864"/>
    <m/>
    <m/>
    <m/>
    <m/>
    <m/>
    <s v="03. 이러닝 - 법정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701"/>
    <m/>
    <m/>
    <s v="기업교육1팀"/>
    <s v="강건모"/>
    <s v="기업교육1팀"/>
    <x v="6"/>
    <m/>
    <m/>
    <s v="LG CNS (자회사)"/>
    <m/>
    <m/>
    <n v="3864"/>
    <s v="01 1~1000대"/>
    <s v="01 수성"/>
    <s v="03 휴넷 LMS"/>
    <s v="2. 온라인 - 법정"/>
    <s v="03. 이러닝 - 법정"/>
    <s v="03. 이러닝 - 법정"/>
    <m/>
    <s v=""/>
    <n v="24924000"/>
    <n v="17699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</r>
  <r>
    <n v="702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3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4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5"/>
    <m/>
    <m/>
    <s v="기업교육1팀"/>
    <s v="강건모"/>
    <s v="기업교육1팀"/>
    <x v="6"/>
    <m/>
    <m/>
    <s v="LG CNS(리더십TF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706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s v="02. 이러닝 - 단과"/>
    <s v="02. 이러닝 - 단과"/>
    <m/>
    <m/>
    <m/>
    <n v="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707"/>
    <m/>
    <m/>
    <s v="기업교육1팀"/>
    <s v="강건모"/>
    <s v="기업교육1팀"/>
    <x v="6"/>
    <m/>
    <m/>
    <s v="LG경영연구원"/>
    <m/>
    <m/>
    <n v="6191"/>
    <s v="01 1~1000대"/>
    <s v="01 수성"/>
    <s v="03 휴넷 LMS"/>
    <s v="2. 온라인 - 법정"/>
    <s v="03. 이러닝 - 법정"/>
    <s v="03. 이러닝 - 법정"/>
    <m/>
    <m/>
    <n v="1870000"/>
    <n v="2880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708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9"/>
    <m/>
    <m/>
    <s v="기업교육1팀"/>
    <s v="강건모"/>
    <s v="기업교육1팀"/>
    <x v="6"/>
    <m/>
    <m/>
    <s v="LG경영연구원"/>
    <m/>
    <m/>
    <n v="6191"/>
    <s v="01 1~1000대"/>
    <s v="01 수성"/>
    <m/>
    <s v="36. 기타 - 기타"/>
    <s v="25. 기타 - 기타"/>
    <s v="24. 기타 - 기타"/>
    <m/>
    <m/>
    <n v="2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11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12"/>
    <m/>
    <m/>
    <s v="기업교육1팀"/>
    <s v="강건모"/>
    <s v="기업교육1팀"/>
    <x v="6"/>
    <m/>
    <m/>
    <s v="LG생활건강(ATD24)"/>
    <m/>
    <m/>
    <n v="20729"/>
    <s v="01 1~1000대"/>
    <s v="01 수성"/>
    <s v="03 휴넷 LMS"/>
    <s v="36. 기타 - 기타"/>
    <s v="25. 기타 - 기타"/>
    <s v="24. 기타 - 기타"/>
    <m/>
    <m/>
    <n v="85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1팀"/>
    <s v="강건모"/>
    <s v="기업교육1팀"/>
    <x v="6"/>
    <m/>
    <m/>
    <s v="LG생활건강(ESG팀)"/>
    <m/>
    <m/>
    <n v="20729"/>
    <s v="01 1~1000대"/>
    <s v="03 신규"/>
    <s v="03 휴넷 LMS"/>
    <s v="14. 솔루션 - 맞춤형 LABS"/>
    <m/>
    <s v="02. 이러닝 - 단과"/>
    <m/>
    <m/>
    <m/>
    <n v="0"/>
    <m/>
    <m/>
    <x v="0"/>
    <m/>
    <m/>
    <n v="12000000"/>
    <n v="12000000"/>
    <n v="0"/>
    <m/>
    <m/>
    <m/>
    <m/>
    <m/>
    <m/>
    <m/>
    <m/>
    <s v="수료 확인 후 4월 발행"/>
    <n v="12000000"/>
    <m/>
    <m/>
    <m/>
    <m/>
    <m/>
    <m/>
    <m/>
    <m/>
    <m/>
    <m/>
    <m/>
    <m/>
    <m/>
    <m/>
    <m/>
    <m/>
    <m/>
  </r>
  <r>
    <n v="714"/>
    <m/>
    <m/>
    <s v="기업교육1팀"/>
    <s v="강건모"/>
    <s v="기업교육1팀"/>
    <x v="6"/>
    <m/>
    <m/>
    <s v="LG생활건강(엘레몬)"/>
    <m/>
    <m/>
    <n v="236"/>
    <s v="01 1~1000대"/>
    <s v="04 연장"/>
    <s v="03 휴넷 LMS"/>
    <s v="14. 솔루션 - 맞춤형 LABS"/>
    <s v="15. 솔루션 - LABS"/>
    <s v="16. 솔루션 - LABS"/>
    <m/>
    <n v="19320000"/>
    <n v="19935000"/>
    <n v="19045000"/>
    <m/>
    <s v="01 확정"/>
    <x v="0"/>
    <m/>
    <m/>
    <n v="19000000"/>
    <n v="19000000"/>
    <n v="0"/>
    <m/>
    <m/>
    <m/>
    <m/>
    <m/>
    <m/>
    <n v="19000000"/>
    <n v="19000000"/>
    <m/>
    <m/>
    <m/>
    <m/>
    <m/>
    <m/>
    <m/>
    <m/>
    <m/>
    <m/>
    <m/>
    <m/>
    <m/>
    <m/>
    <m/>
    <m/>
    <m/>
    <m/>
    <m/>
  </r>
  <r>
    <n v="715"/>
    <m/>
    <m/>
    <s v="기업교육1팀"/>
    <s v="강건모"/>
    <s v="기업교육1팀"/>
    <x v="6"/>
    <m/>
    <m/>
    <s v="LG생활건강(임직원)"/>
    <m/>
    <m/>
    <n v="20729"/>
    <s v="01 1~1000대"/>
    <s v="04 연장"/>
    <s v="03 휴넷 LMS"/>
    <s v="통합위탁"/>
    <s v="01. 이러닝 - 통합위탁"/>
    <s v="01. 이러닝 - 통합위탁"/>
    <s v="O"/>
    <n v="176206520"/>
    <n v="166379200"/>
    <n v="147825700"/>
    <m/>
    <s v="01 확정"/>
    <x v="0"/>
    <m/>
    <m/>
    <n v="159821300"/>
    <n v="159821300"/>
    <n v="0"/>
    <m/>
    <m/>
    <s v="계열사 분리 정산에 대한 내부 협의로 2월 발행 요청"/>
    <n v="54000000"/>
    <n v="13821300"/>
    <s v="어학 턴키 3월 발행 / RS 매출 감소"/>
    <m/>
    <m/>
    <s v="계열사별 턴키 금액 분할 검토로 4월 발행 예정"/>
    <n v="54000000"/>
    <m/>
    <m/>
    <m/>
    <n v="23000000"/>
    <m/>
    <m/>
    <m/>
    <n v="23000000"/>
    <m/>
    <m/>
    <m/>
    <n v="23000000"/>
    <m/>
    <m/>
    <m/>
    <n v="23000000"/>
    <m/>
  </r>
  <r>
    <n v="716"/>
    <m/>
    <m/>
    <m/>
    <m/>
    <s v="기업교육1팀"/>
    <x v="6"/>
    <m/>
    <m/>
    <s v="LG생활건강(임직원)"/>
    <m/>
    <m/>
    <n v="20729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3520000"/>
    <n v="1344000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7"/>
    <m/>
    <m/>
    <s v="기업교육1팀"/>
    <s v="강건모"/>
    <s v="기업교육1팀"/>
    <x v="6"/>
    <m/>
    <m/>
    <s v="LG생활건강(지식공간)"/>
    <m/>
    <m/>
    <n v="46242"/>
    <m/>
    <m/>
    <m/>
    <m/>
    <m/>
    <s v="16. 솔루션 - LABS"/>
    <m/>
    <m/>
    <m/>
    <n v="7925393"/>
    <m/>
    <m/>
    <x v="0"/>
    <m/>
    <m/>
    <n v="6999999"/>
    <n v="6999999"/>
    <n v="0"/>
    <m/>
    <m/>
    <m/>
    <m/>
    <m/>
    <m/>
    <n v="6999999"/>
    <n v="6999999"/>
    <m/>
    <m/>
    <m/>
    <m/>
    <m/>
    <m/>
    <m/>
    <m/>
    <m/>
    <m/>
    <m/>
    <m/>
    <m/>
    <m/>
    <m/>
    <m/>
    <m/>
    <m/>
    <m/>
  </r>
  <r>
    <n v="718"/>
    <m/>
    <m/>
    <s v="기업교육1팀"/>
    <s v="강건모"/>
    <s v="기업교육1팀"/>
    <x v="6"/>
    <m/>
    <m/>
    <s v="LG인화원 (HR칼리지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5840000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719"/>
    <m/>
    <m/>
    <s v="기업교육1팀"/>
    <s v="강건모"/>
    <s v="기업교육1팀"/>
    <x v="6"/>
    <m/>
    <m/>
    <s v="LG인화원 (경영교육센터)"/>
    <m/>
    <m/>
    <n v="774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0"/>
    <m/>
    <m/>
    <s v="기업교육1팀"/>
    <s v="강건모"/>
    <s v="기업교육1팀"/>
    <x v="6"/>
    <m/>
    <m/>
    <s v="LG인화원 (마이크로러닝)"/>
    <m/>
    <m/>
    <n v="7747"/>
    <s v="01 1~1000대"/>
    <s v="04 연장"/>
    <s v="01 자체 LMS"/>
    <s v="11. 컨텐츠 - 컨텐츠 임대/판매"/>
    <s v="07. 이러닝 - 컨텐츠 임대/판매"/>
    <s v="07. 이러닝 - 컨텐츠 임대/판매"/>
    <m/>
    <n v="127420000"/>
    <n v="91400000"/>
    <n v="60400000"/>
    <m/>
    <s v="01 확정"/>
    <x v="3"/>
    <m/>
    <m/>
    <n v="0"/>
    <n v="0"/>
    <n v="0"/>
    <n v="60000000"/>
    <m/>
    <m/>
    <m/>
    <m/>
    <m/>
    <m/>
    <m/>
    <m/>
    <m/>
    <m/>
    <m/>
    <m/>
    <m/>
    <m/>
    <m/>
    <m/>
    <m/>
    <m/>
    <m/>
    <m/>
    <m/>
    <m/>
    <m/>
    <m/>
    <m/>
    <m/>
  </r>
  <r>
    <n v="721"/>
    <m/>
    <m/>
    <s v="기업교육1팀"/>
    <s v="강건모"/>
    <s v="기업교육1팀"/>
    <x v="6"/>
    <m/>
    <m/>
    <s v="LG인화원 (법정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1875000"/>
    <m/>
    <s v="01 확정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n v="2000000"/>
    <m/>
    <m/>
    <m/>
  </r>
  <r>
    <n v="722"/>
    <m/>
    <m/>
    <s v="기업교육1팀"/>
    <s v="강건모"/>
    <s v="기업교육1팀"/>
    <x v="6"/>
    <m/>
    <m/>
    <s v="LG인화원 (직무칼리지)"/>
    <m/>
    <m/>
    <n v="7747"/>
    <s v="01 1~1000대"/>
    <s v="03 신규"/>
    <s v="01 자체 LMS"/>
    <m/>
    <m/>
    <s v="07. 이러닝 - 컨텐츠 임대/판매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723"/>
    <m/>
    <m/>
    <s v="기업교육1팀"/>
    <s v="강건모"/>
    <s v="기업교육1팀"/>
    <x v="6"/>
    <m/>
    <m/>
    <s v="LG인화원(MLP)"/>
    <m/>
    <m/>
    <n v="7747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263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4"/>
    <m/>
    <m/>
    <s v="기업교육1팀"/>
    <s v="강건모"/>
    <s v="기업교육1팀"/>
    <x v="6"/>
    <m/>
    <m/>
    <s v="LG전자"/>
    <m/>
    <m/>
    <n v="342"/>
    <s v="01 1~1000대"/>
    <s v="03 신규"/>
    <s v="01 자체 LMS"/>
    <m/>
    <m/>
    <s v="23. 기타 - 포럼"/>
    <m/>
    <m/>
    <m/>
    <n v="0"/>
    <m/>
    <m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25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6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7"/>
    <m/>
    <m/>
    <s v="기업교육1팀"/>
    <s v="강건모"/>
    <s v="기업교육1팀"/>
    <x v="6"/>
    <m/>
    <m/>
    <s v="LG전자(MS본부)"/>
    <m/>
    <m/>
    <n v="342"/>
    <s v="01 1~1000대"/>
    <s v="03 신규"/>
    <s v="01 자체 LMS"/>
    <m/>
    <m/>
    <s v="08. 하이브리드러닝 - 하이브리드형 러닝"/>
    <m/>
    <m/>
    <m/>
    <n v="539000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28"/>
    <m/>
    <m/>
    <s v="기업교육1팀"/>
    <s v="강건모"/>
    <s v="기업교육1팀"/>
    <x v="6"/>
    <m/>
    <m/>
    <s v="LG전자(SW역량강화팀)"/>
    <m/>
    <m/>
    <n v="342"/>
    <s v="01 1~1000대"/>
    <s v="03 신규"/>
    <m/>
    <m/>
    <s v="22. 기타 - 컨설팅"/>
    <s v="22. 기타 - 컨설팅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1팀"/>
    <s v="강건모"/>
    <s v="기업교육1팀"/>
    <x v="6"/>
    <m/>
    <m/>
    <s v="LG전자(러닝센터)"/>
    <m/>
    <m/>
    <n v="342"/>
    <s v="01 1~1000대"/>
    <s v="03 신규"/>
    <s v="01 자체 LMS"/>
    <m/>
    <s v="07. 이러닝 - 컨텐츠 임대/판매"/>
    <s v="07. 이러닝 - 컨텐츠 임대/판매"/>
    <m/>
    <m/>
    <m/>
    <n v="4000000"/>
    <m/>
    <s v="01 확정"/>
    <x v="0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730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s v="11. 컨텐츠 - 컨텐츠 임대/판매"/>
    <s v="07. 이러닝 - 컨텐츠 임대/판매"/>
    <s v="07. 이러닝 - 컨텐츠 임대/판매"/>
    <m/>
    <n v="6000000"/>
    <n v="7900000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m/>
    <m/>
    <s v="04 실주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732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3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2. 구독 - 휴넷 리더십저니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34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35600000"/>
    <m/>
    <s v="01 확정"/>
    <x v="0"/>
    <m/>
    <m/>
    <n v="22000000"/>
    <n v="22000000"/>
    <n v="0"/>
    <m/>
    <m/>
    <m/>
    <n v="2800000"/>
    <m/>
    <s v="3월자 발행 완료"/>
    <n v="2800000"/>
    <n v="2800000"/>
    <m/>
    <n v="4800000"/>
    <m/>
    <m/>
    <m/>
    <n v="4800000"/>
    <m/>
    <m/>
    <m/>
    <n v="4800000"/>
    <m/>
    <m/>
    <m/>
    <n v="4800000"/>
    <m/>
    <m/>
    <m/>
    <m/>
    <m/>
  </r>
  <r>
    <n v="735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736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4200000"/>
    <n v="16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7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738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39"/>
    <m/>
    <m/>
    <s v="기업교육1팀"/>
    <s v="강건모"/>
    <s v="기업교육1팀"/>
    <x v="6"/>
    <m/>
    <m/>
    <s v="LX인터내셔널"/>
    <m/>
    <m/>
    <n v="3868"/>
    <s v="01 1~1000대"/>
    <s v="01 수성"/>
    <m/>
    <s v="7. 휴넷CEO - 휴넷CEO"/>
    <s v="10. 구독 - 휴넷CEO멤버십"/>
    <s v="11. 구독 - 휴넷CEO멤버십"/>
    <m/>
    <m/>
    <n v="1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0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1"/>
    <m/>
    <m/>
    <s v="기업교육1팀"/>
    <s v="강건모"/>
    <s v="기업교육1팀"/>
    <x v="6"/>
    <m/>
    <m/>
    <s v="LX인터내셔널(그룹 HR칼리지)"/>
    <m/>
    <m/>
    <n v="3868"/>
    <s v="01 1~1000대"/>
    <s v="03 신규"/>
    <s v="02 경쟁사 LMS"/>
    <m/>
    <m/>
    <s v="08. 하이브리드러닝 - 하이브리드형 러닝"/>
    <m/>
    <m/>
    <m/>
    <n v="0"/>
    <m/>
    <m/>
    <x v="3"/>
    <m/>
    <m/>
    <n v="0"/>
    <n v="0"/>
    <n v="0"/>
    <m/>
    <m/>
    <m/>
    <n v="50000000"/>
    <m/>
    <m/>
    <m/>
    <m/>
    <m/>
    <m/>
    <m/>
    <m/>
    <m/>
    <m/>
    <m/>
    <m/>
    <m/>
    <m/>
    <m/>
    <m/>
    <m/>
    <m/>
    <m/>
    <m/>
    <m/>
    <m/>
    <m/>
  </r>
  <r>
    <n v="742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s v="2. 온라인 - 법정"/>
    <s v="03. 이러닝 - 법정"/>
    <s v="03. 이러닝 - 법정"/>
    <m/>
    <s v=""/>
    <n v="0"/>
    <n v="0"/>
    <m/>
    <s v="03 기회"/>
    <x v="1"/>
    <m/>
    <m/>
    <n v="9000000"/>
    <n v="9000000"/>
    <n v="0"/>
    <m/>
    <m/>
    <m/>
    <m/>
    <m/>
    <m/>
    <m/>
    <m/>
    <m/>
    <m/>
    <m/>
    <m/>
    <m/>
    <m/>
    <m/>
    <m/>
    <m/>
    <m/>
    <m/>
    <n v="9000000"/>
    <m/>
    <m/>
    <m/>
    <m/>
    <m/>
    <m/>
    <m/>
  </r>
  <r>
    <n v="743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s v="04. 이러닝 - 마이크로러닝"/>
    <s v="04. 이러닝 - 마이크로러닝"/>
    <m/>
    <s v="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44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45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6"/>
    <m/>
    <m/>
    <s v="기업교육1팀"/>
    <s v="강건모"/>
    <s v="기업교육1팀"/>
    <x v="6"/>
    <m/>
    <m/>
    <s v="SECO"/>
    <m/>
    <m/>
    <n v="979"/>
    <s v="01 1~1000대"/>
    <s v="01 수성"/>
    <s v="03 휴넷 LMS"/>
    <s v="2. 온라인 - 법정"/>
    <s v="03. 이러닝 - 법정"/>
    <s v="03. 이러닝 - 법정"/>
    <m/>
    <m/>
    <n v="11920000"/>
    <n v="1118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747"/>
    <m/>
    <m/>
    <s v="기업교육1팀"/>
    <s v="강건모"/>
    <s v="기업교육1팀"/>
    <x v="6"/>
    <m/>
    <m/>
    <s v="SECO"/>
    <m/>
    <m/>
    <n v="979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6252000"/>
    <n v="438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8"/>
    <m/>
    <m/>
    <s v="기업교육1팀"/>
    <s v="강건모"/>
    <s v="기업교육1팀"/>
    <x v="6"/>
    <m/>
    <m/>
    <s v="SECO"/>
    <m/>
    <m/>
    <n v="979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9"/>
    <m/>
    <m/>
    <s v="기업교육1팀"/>
    <s v="강건모"/>
    <s v="기업교육1팀"/>
    <x v="6"/>
    <m/>
    <m/>
    <s v="SECO"/>
    <m/>
    <m/>
    <n v="97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50"/>
    <m/>
    <m/>
    <s v="기업교육1팀"/>
    <s v="강건모"/>
    <s v="기업교육1팀"/>
    <x v="6"/>
    <m/>
    <m/>
    <s v="TS사료(이관)"/>
    <m/>
    <m/>
    <n v="52052"/>
    <s v="04 3000대 이후"/>
    <s v="01 수성"/>
    <s v="02 경쟁사 LMS"/>
    <s v="2. 온라인 - 법정"/>
    <s v="03. 이러닝 - 법정"/>
    <s v="03. 이러닝 - 법정"/>
    <m/>
    <n v="2436000"/>
    <n v="0"/>
    <n v="0"/>
    <m/>
    <s v="02 가망"/>
    <x v="4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751"/>
    <m/>
    <m/>
    <s v="기업교육1팀"/>
    <s v="강건모"/>
    <s v="기업교육1팀"/>
    <x v="6"/>
    <m/>
    <m/>
    <s v="경상남도 인재개발원"/>
    <m/>
    <m/>
    <n v="16661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2"/>
    <m/>
    <m/>
    <s v="기업교육1팀"/>
    <s v="강건모"/>
    <s v="기업교육1팀"/>
    <x v="6"/>
    <m/>
    <m/>
    <s v="경상남도평생교육진흥원"/>
    <m/>
    <m/>
    <n v="49750"/>
    <s v="05 공공"/>
    <s v="03 신규"/>
    <s v="01 자체 LMS"/>
    <s v="통합위탁"/>
    <s v="01. 이러닝 - 통합위탁"/>
    <s v="01. 이러닝 - 통합위탁"/>
    <m/>
    <s v=""/>
    <n v="0"/>
    <n v="84000000"/>
    <m/>
    <s v="01 확정"/>
    <x v="5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753"/>
    <m/>
    <m/>
    <s v="기업교육1팀"/>
    <s v="강건모"/>
    <s v="기업교육1팀"/>
    <x v="6"/>
    <m/>
    <m/>
    <s v="남양유업"/>
    <m/>
    <m/>
    <n v="1728"/>
    <s v="01 1~1000대"/>
    <s v="01 수성"/>
    <m/>
    <s v="1. 온라인 - 단과"/>
    <s v="02. 이러닝 - 단과"/>
    <s v="02. 이러닝 - 단과"/>
    <m/>
    <s v=""/>
    <n v="1680000"/>
    <n v="140000"/>
    <m/>
    <s v="02 가망"/>
    <x v="0"/>
    <m/>
    <m/>
    <n v="490000"/>
    <n v="490000"/>
    <n v="0"/>
    <m/>
    <m/>
    <m/>
    <m/>
    <m/>
    <m/>
    <n v="490000"/>
    <n v="490000"/>
    <m/>
    <m/>
    <m/>
    <m/>
    <m/>
    <m/>
    <m/>
    <m/>
    <m/>
    <m/>
    <m/>
    <m/>
    <m/>
    <m/>
    <m/>
    <m/>
    <m/>
    <m/>
    <m/>
  </r>
  <r>
    <n v="754"/>
    <m/>
    <m/>
    <s v="기업교육1팀"/>
    <s v="강건모"/>
    <s v="기업교육1팀"/>
    <x v="6"/>
    <m/>
    <m/>
    <s v="남양유업"/>
    <m/>
    <m/>
    <n v="172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755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2. 온라인 - 법정"/>
    <s v="03. 이러닝 - 법정"/>
    <s v="03. 이러닝 - 법정"/>
    <m/>
    <m/>
    <n v="1534000"/>
    <n v="0"/>
    <m/>
    <s v="02 가망"/>
    <x v="4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756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6. 하이브리드러닝 - 집합형"/>
    <s v="08. 하이브리드러닝 - 하이브리드형 러닝"/>
    <s v="08. 하이브리드러닝 - 하이브리드형 러닝"/>
    <m/>
    <m/>
    <n v="1200000"/>
    <n v="2800000"/>
    <m/>
    <s v="01 확정"/>
    <x v="4"/>
    <m/>
    <m/>
    <n v="5000000"/>
    <n v="5000000"/>
    <n v="0"/>
    <m/>
    <m/>
    <m/>
    <m/>
    <m/>
    <m/>
    <m/>
    <m/>
    <m/>
    <m/>
    <m/>
    <n v="1500000"/>
    <m/>
    <m/>
    <m/>
    <m/>
    <m/>
    <n v="1500000"/>
    <m/>
    <m/>
    <m/>
    <n v="2000000"/>
    <m/>
    <m/>
    <m/>
    <m/>
    <m/>
  </r>
  <r>
    <n v="757"/>
    <m/>
    <m/>
    <s v="기업교육1팀"/>
    <s v="강건모"/>
    <s v="기업교육1팀"/>
    <x v="6"/>
    <m/>
    <m/>
    <s v="넥슨코리아"/>
    <m/>
    <m/>
    <n v="4834"/>
    <s v="01 1~1000대"/>
    <s v="02 윈백"/>
    <s v="01 자체 LMS"/>
    <s v="2. 온라인 - 법정"/>
    <s v="03. 이러닝 - 법정"/>
    <s v="03. 이러닝 - 법정"/>
    <m/>
    <n v="47104000"/>
    <n v="0"/>
    <n v="0"/>
    <m/>
    <s v="02 가망"/>
    <x v="4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758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s v="11. 컨텐츠 - 컨텐츠 임대/판매"/>
    <s v="07. 이러닝 - 컨텐츠 임대/판매"/>
    <s v="07. 이러닝 - 컨텐츠 임대/판매"/>
    <m/>
    <m/>
    <n v="0"/>
    <n v="9200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59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0"/>
    <m/>
    <m/>
    <m/>
    <m/>
    <s v="기업교육1팀"/>
    <x v="6"/>
    <m/>
    <m/>
    <s v="넥슨코리아"/>
    <m/>
    <m/>
    <n v="4834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61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24. 기타 - 기타"/>
    <m/>
    <m/>
    <m/>
    <n v="0"/>
    <m/>
    <m/>
    <x v="0"/>
    <m/>
    <m/>
    <n v="290000"/>
    <n v="290000"/>
    <n v="0"/>
    <m/>
    <m/>
    <m/>
    <m/>
    <n v="290000"/>
    <m/>
    <m/>
    <m/>
    <m/>
    <m/>
    <m/>
    <m/>
    <m/>
    <m/>
    <m/>
    <m/>
    <m/>
    <m/>
    <m/>
    <m/>
    <m/>
    <m/>
    <m/>
    <m/>
    <m/>
    <m/>
    <m/>
  </r>
  <r>
    <n v="762"/>
    <m/>
    <m/>
    <s v="기업교육1팀"/>
    <s v="강건모"/>
    <s v="기업교육1팀"/>
    <x v="6"/>
    <m/>
    <m/>
    <s v="넥슨코리아(노션TF)"/>
    <m/>
    <m/>
    <n v="4834"/>
    <s v="01 1~1000대"/>
    <s v="03 신규"/>
    <s v="01 자체 LMS"/>
    <m/>
    <s v="14. 컨텐츠 - 컨텐츠 개발"/>
    <s v="15. 컨텐츠 - 컨텐츠 개발"/>
    <m/>
    <m/>
    <m/>
    <n v="0"/>
    <m/>
    <s v="03 기회"/>
    <x v="1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763"/>
    <m/>
    <m/>
    <s v="기업교육1팀"/>
    <s v="강건모"/>
    <s v="기업교육1팀"/>
    <x v="6"/>
    <m/>
    <m/>
    <s v="대원씨티에스"/>
    <m/>
    <m/>
    <n v="13683"/>
    <s v="01 1~1000대"/>
    <s v="03 신규"/>
    <s v="03 휴넷 LMS"/>
    <s v="통합위탁"/>
    <s v="01. 이러닝 - 통합위탁"/>
    <s v="01. 이러닝 - 통합위탁"/>
    <m/>
    <n v="29602854"/>
    <n v="24191700"/>
    <n v="0"/>
    <m/>
    <s v="06 사업취소"/>
    <x v="1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764"/>
    <m/>
    <m/>
    <s v="기업교육1팀"/>
    <s v="강건모"/>
    <s v="기업교육1팀"/>
    <x v="6"/>
    <m/>
    <m/>
    <s v="대원씨티에스"/>
    <m/>
    <m/>
    <n v="13683"/>
    <s v="01 1~1000대"/>
    <s v="01 수성"/>
    <s v="03 휴넷 LMS"/>
    <s v="3. 온라인 - 마이크로러닝"/>
    <s v="04. 이러닝 - 마이크로러닝"/>
    <s v="04. 이러닝 - 마이크로러닝"/>
    <m/>
    <n v="4400000"/>
    <n v="90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5"/>
    <m/>
    <m/>
    <m/>
    <m/>
    <s v="기업교육1팀"/>
    <x v="6"/>
    <m/>
    <m/>
    <s v="대원씨티에스"/>
    <m/>
    <m/>
    <n v="13683"/>
    <s v="01 1~1000대"/>
    <s v="01 수성"/>
    <s v="03 휴넷 LMS"/>
    <s v="3. 온라인 - 마이크로러닝"/>
    <m/>
    <s v="11. 구독 - 휴넷CEO멤버십"/>
    <m/>
    <m/>
    <m/>
    <n v="6939727"/>
    <m/>
    <m/>
    <x v="0"/>
    <m/>
    <m/>
    <n v="7872727"/>
    <n v="7872727"/>
    <n v="0"/>
    <m/>
    <m/>
    <m/>
    <n v="7900000"/>
    <n v="7872727"/>
    <m/>
    <m/>
    <m/>
    <m/>
    <m/>
    <m/>
    <m/>
    <m/>
    <m/>
    <m/>
    <m/>
    <m/>
    <m/>
    <m/>
    <m/>
    <m/>
    <m/>
    <m/>
    <m/>
    <m/>
    <m/>
    <m/>
  </r>
  <r>
    <n v="766"/>
    <m/>
    <m/>
    <s v="기업교육1팀"/>
    <s v="강건모"/>
    <s v="기업교육1팀"/>
    <x v="6"/>
    <m/>
    <m/>
    <s v="대원씨티에스"/>
    <m/>
    <m/>
    <n v="13683"/>
    <m/>
    <m/>
    <m/>
    <m/>
    <m/>
    <s v="23. 기타 - 포럼"/>
    <m/>
    <m/>
    <m/>
    <n v="3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7"/>
    <m/>
    <m/>
    <s v="기업교육1팀"/>
    <s v="강건모"/>
    <s v="기업교육1팀"/>
    <x v="6"/>
    <m/>
    <m/>
    <s v="대한제당"/>
    <m/>
    <m/>
    <n v="2017"/>
    <s v="01 1~1000대"/>
    <s v="03 신규"/>
    <s v="02 경쟁사 LMS"/>
    <m/>
    <s v="09. 하이브리드러닝 - 순수 오프라인"/>
    <s v="09. 하이브리드러닝 - 순수 오프라인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8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m/>
    <s v="01. 이러닝 - 통합위탁"/>
    <s v="01. 이러닝 - 통합위탁"/>
    <s v="O"/>
    <m/>
    <m/>
    <n v="0"/>
    <m/>
    <m/>
    <x v="0"/>
    <m/>
    <m/>
    <n v="74000000"/>
    <n v="74000000"/>
    <n v="0"/>
    <m/>
    <m/>
    <m/>
    <m/>
    <m/>
    <m/>
    <m/>
    <m/>
    <m/>
    <n v="8000000"/>
    <m/>
    <n v="8000000"/>
    <m/>
    <n v="8000000"/>
    <m/>
    <n v="8000000"/>
    <m/>
    <n v="8000000"/>
    <m/>
    <n v="8000000"/>
    <m/>
    <n v="8000000"/>
    <m/>
    <n v="8000000"/>
    <m/>
    <n v="10000000"/>
    <m/>
  </r>
  <r>
    <n v="769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통합위탁"/>
    <s v="01. 이러닝 - 통합위탁"/>
    <s v="01. 이러닝 - 통합위탁"/>
    <m/>
    <n v="125849260"/>
    <n v="90808820"/>
    <n v="107369260"/>
    <m/>
    <s v="01 확정"/>
    <x v="0"/>
    <m/>
    <m/>
    <n v="18742540"/>
    <n v="18742540"/>
    <n v="0"/>
    <n v="6233100"/>
    <n v="6233100"/>
    <m/>
    <n v="8000000"/>
    <n v="6880040"/>
    <s v="RS 매출 감소"/>
    <n v="5629400"/>
    <n v="5629400"/>
    <m/>
    <m/>
    <m/>
    <m/>
    <m/>
    <m/>
    <m/>
    <m/>
    <m/>
    <m/>
    <m/>
    <m/>
    <m/>
    <m/>
    <m/>
    <m/>
    <m/>
    <m/>
    <m/>
  </r>
  <r>
    <n v="770"/>
    <m/>
    <m/>
    <s v="기업교육1팀"/>
    <s v="강건모"/>
    <s v="기업교육1팀"/>
    <x v="6"/>
    <m/>
    <m/>
    <s v="동우화인켐"/>
    <m/>
    <m/>
    <n v="44282"/>
    <s v="01 1~1000대"/>
    <s v="01 수성"/>
    <m/>
    <s v="2. 온라인 - 법정"/>
    <s v="03. 이러닝 - 법정"/>
    <s v="03. 이러닝 - 법정"/>
    <m/>
    <n v="12135000"/>
    <n v="0"/>
    <n v="0"/>
    <m/>
    <s v="07 2023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1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2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10. 컨텐츠 - 컨텐츠 개발"/>
    <s v="14. 컨텐츠 - 컨텐츠 개발"/>
    <s v="15. 컨텐츠 - 컨텐츠 개발"/>
    <m/>
    <n v="250000"/>
    <n v="0"/>
    <n v="6500000"/>
    <m/>
    <s v="07 2023년 매출"/>
    <x v="0"/>
    <m/>
    <m/>
    <n v="6560000"/>
    <n v="6560000"/>
    <n v="0"/>
    <m/>
    <m/>
    <m/>
    <n v="6560000"/>
    <n v="1800000"/>
    <s v="개발비만 발행 / 운영비 3월 발행"/>
    <n v="4760000"/>
    <m/>
    <m/>
    <n v="4760000"/>
    <m/>
    <m/>
    <m/>
    <m/>
    <m/>
    <m/>
    <m/>
    <m/>
    <m/>
    <m/>
    <m/>
    <m/>
    <m/>
    <m/>
    <m/>
    <m/>
    <m/>
  </r>
  <r>
    <n v="773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20. 솔루션 - AI교강사"/>
    <s v="17. 솔루션 - 기타"/>
    <s v="18. 솔루션 - 기타"/>
    <m/>
    <n v="970000"/>
    <n v="4300000"/>
    <n v="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774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23. 운영 - BPO"/>
    <s v="18. 운영 - BPO"/>
    <s v="19. 운영 - BPO"/>
    <m/>
    <m/>
    <n v="18000000"/>
    <n v="18000000"/>
    <m/>
    <s v="01 확정"/>
    <x v="0"/>
    <m/>
    <m/>
    <n v="18000000"/>
    <n v="18000000"/>
    <n v="0"/>
    <m/>
    <m/>
    <m/>
    <m/>
    <m/>
    <m/>
    <m/>
    <m/>
    <m/>
    <n v="18000000"/>
    <m/>
    <m/>
    <m/>
    <m/>
    <m/>
    <m/>
    <m/>
    <m/>
    <m/>
    <m/>
    <m/>
    <m/>
    <m/>
    <m/>
    <m/>
    <m/>
    <m/>
  </r>
  <r>
    <n v="775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23. 기타 - 포럼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776"/>
    <m/>
    <m/>
    <s v="기업교육1팀"/>
    <s v="강건모"/>
    <s v="기업교육1팀"/>
    <x v="6"/>
    <m/>
    <m/>
    <s v="동우화인켐(업무혁신팀)"/>
    <m/>
    <m/>
    <n v="44282"/>
    <s v="01 1~1000대"/>
    <s v="03 신규"/>
    <s v="03 휴넷 LMS"/>
    <m/>
    <s v="09. 하이브리드러닝 - 순수 오프라인"/>
    <s v="09. 하이브리드러닝 - 순수 오프라인"/>
    <m/>
    <m/>
    <m/>
    <n v="0"/>
    <m/>
    <s v="03 기회"/>
    <x v="1"/>
    <m/>
    <m/>
    <n v="80000000"/>
    <n v="80000000"/>
    <n v="0"/>
    <m/>
    <m/>
    <m/>
    <m/>
    <m/>
    <m/>
    <m/>
    <m/>
    <m/>
    <m/>
    <m/>
    <n v="80000000"/>
    <m/>
    <m/>
    <m/>
    <m/>
    <m/>
    <m/>
    <m/>
    <m/>
    <m/>
    <m/>
    <m/>
    <m/>
    <m/>
    <m/>
    <m/>
  </r>
  <r>
    <n v="777"/>
    <m/>
    <m/>
    <s v="기업교육1팀"/>
    <s v="강건모"/>
    <s v="기업교육1팀"/>
    <x v="6"/>
    <m/>
    <m/>
    <s v="라인게임즈"/>
    <m/>
    <m/>
    <n v="28736"/>
    <s v="04 3000대 이후"/>
    <s v="01 수성"/>
    <s v="03 휴넷 LMS"/>
    <s v="2. 온라인 - 법정"/>
    <s v="03. 이러닝 - 법정"/>
    <s v="03. 이러닝 - 법정"/>
    <m/>
    <n v="2728000"/>
    <n v="2144000"/>
    <n v="240800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778"/>
    <m/>
    <m/>
    <s v="기업교육1팀"/>
    <s v="강건모"/>
    <s v="기업교육1팀"/>
    <x v="6"/>
    <m/>
    <m/>
    <s v="모티프(24년 미정산)"/>
    <m/>
    <m/>
    <n v="41692"/>
    <s v="01 1~1000대"/>
    <s v="01 수성"/>
    <s v="03 휴넷 LMS"/>
    <s v="2. 온라인 - 법정"/>
    <s v="03. 이러닝 - 법정"/>
    <s v="03. 이러닝 - 법정"/>
    <m/>
    <m/>
    <n v="400000"/>
    <n v="664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9"/>
    <m/>
    <m/>
    <s v="기업교육1팀"/>
    <s v="강건모"/>
    <s v="기업교육1팀"/>
    <x v="6"/>
    <m/>
    <m/>
    <s v="쌍용건설"/>
    <m/>
    <m/>
    <n v="13636"/>
    <s v="01 1~1000대"/>
    <s v="04 연장"/>
    <s v="03 휴넷 LMS"/>
    <s v="통합위탁"/>
    <s v="01. 이러닝 - 통합위탁"/>
    <s v="01. 이러닝 - 통합위탁"/>
    <s v="O"/>
    <n v="129235720"/>
    <n v="164994800"/>
    <n v="152739000"/>
    <m/>
    <s v="01 확정"/>
    <x v="0"/>
    <m/>
    <m/>
    <n v="142094700"/>
    <n v="142094700"/>
    <n v="0"/>
    <m/>
    <m/>
    <m/>
    <m/>
    <m/>
    <m/>
    <n v="13994700"/>
    <n v="13994700"/>
    <m/>
    <n v="12000000"/>
    <m/>
    <n v="12000000"/>
    <m/>
    <n v="12000000"/>
    <m/>
    <n v="12100000"/>
    <m/>
    <n v="14000000"/>
    <m/>
    <n v="14000000"/>
    <m/>
    <n v="14000000"/>
    <m/>
    <n v="14000000"/>
    <m/>
    <n v="24000000"/>
    <m/>
  </r>
  <r>
    <n v="780"/>
    <m/>
    <m/>
    <s v="기업교육1팀"/>
    <s v="강건모"/>
    <s v="기업교육1팀"/>
    <x v="6"/>
    <m/>
    <m/>
    <s v="쌍용건설"/>
    <m/>
    <m/>
    <n v="13636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81"/>
    <m/>
    <m/>
    <s v="기업교육2팀"/>
    <s v="장윤오"/>
    <s v="기업교육1팀"/>
    <x v="6"/>
    <m/>
    <m/>
    <s v="쌍용건설(핵심인재)"/>
    <m/>
    <m/>
    <n v="13636"/>
    <s v="01 1~1000대"/>
    <s v="03 신규"/>
    <s v="03 휴넷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82"/>
    <m/>
    <m/>
    <s v="기업교육1팀"/>
    <s v="강건모"/>
    <s v="기업교육1팀"/>
    <x v="6"/>
    <m/>
    <m/>
    <s v="엘지"/>
    <m/>
    <m/>
    <n v="16143"/>
    <s v="01 1~1000대"/>
    <m/>
    <s v="01 자체 LMS"/>
    <s v="2. 온라인 - 법정"/>
    <s v="03. 이러닝 - 법정"/>
    <s v="03. 이러닝 - 법정"/>
    <m/>
    <n v="6750000"/>
    <n v="6720000"/>
    <n v="4000000"/>
    <m/>
    <s v="02 가망"/>
    <x v="4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n v="7000000"/>
    <m/>
    <m/>
    <m/>
  </r>
  <r>
    <n v="783"/>
    <m/>
    <m/>
    <s v="기업교육1팀"/>
    <s v="강건모"/>
    <s v="기업교육1팀"/>
    <x v="6"/>
    <m/>
    <m/>
    <s v="엘지복지재단"/>
    <m/>
    <m/>
    <n v="55032"/>
    <s v="01 1~1000대"/>
    <s v="01 수성"/>
    <s v="03 휴넷 LMS"/>
    <s v="2. 온라인 - 법정"/>
    <s v="03. 이러닝 - 법정"/>
    <s v="03. 이러닝 - 법정"/>
    <m/>
    <n v="3728000"/>
    <n v="3579000"/>
    <n v="0"/>
    <m/>
    <s v="07 2023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784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11. 컨텐츠 - 컨텐츠 임대/판매"/>
    <s v="07. 이러닝 - 컨텐츠 임대/판매"/>
    <s v="07. 이러닝 - 컨텐츠 임대/판매"/>
    <m/>
    <n v="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5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6. 하이브리드러닝 - 집합형"/>
    <s v="08. 하이브리드러닝 - 하이브리드형 러닝"/>
    <s v="08. 하이브리드러닝 - 하이브리드형 러닝"/>
    <m/>
    <m/>
    <n v="181818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6"/>
    <m/>
    <m/>
    <s v="기업교육1팀"/>
    <s v="김도엽"/>
    <s v="기업교육1팀"/>
    <x v="6"/>
    <m/>
    <m/>
    <s v="엘지전자(VS) (23년 미정산)"/>
    <m/>
    <m/>
    <n v="342"/>
    <s v="01 1~1000대"/>
    <s v="01 수성"/>
    <s v="01 자체 LMS"/>
    <s v="1. 온라인 - 단과"/>
    <s v="02. 이러닝 - 단과"/>
    <s v="02. 이러닝 - 단과"/>
    <m/>
    <m/>
    <n v="20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7"/>
    <m/>
    <m/>
    <s v="기업교육1팀"/>
    <s v="강건모"/>
    <s v="기업교육1팀"/>
    <x v="6"/>
    <m/>
    <m/>
    <s v="울산시청"/>
    <m/>
    <m/>
    <n v="23009"/>
    <s v="05 공공"/>
    <s v="03 신규"/>
    <s v="03 휴넷 LMS"/>
    <m/>
    <s v="01. 이러닝 - 통합위탁"/>
    <s v="01. 이러닝 - 통합위탁"/>
    <m/>
    <m/>
    <m/>
    <n v="0"/>
    <m/>
    <m/>
    <x v="0"/>
    <m/>
    <m/>
    <n v="149500000"/>
    <n v="149500000"/>
    <n v="0"/>
    <m/>
    <m/>
    <s v="고객사 요청으로 정산 주기 변경"/>
    <n v="37375000"/>
    <m/>
    <s v="분기 종료 후 발행"/>
    <m/>
    <m/>
    <m/>
    <n v="37375000"/>
    <m/>
    <m/>
    <m/>
    <m/>
    <m/>
    <n v="37375000"/>
    <m/>
    <m/>
    <m/>
    <m/>
    <m/>
    <n v="37375000"/>
    <m/>
    <m/>
    <m/>
    <n v="37375000"/>
    <m/>
  </r>
  <r>
    <n v="788"/>
    <m/>
    <m/>
    <s v="기업교육1팀"/>
    <s v="강건모"/>
    <s v="기업교육1팀"/>
    <x v="6"/>
    <m/>
    <m/>
    <s v="의성스마트농업사업단"/>
    <m/>
    <m/>
    <n v="64810"/>
    <m/>
    <m/>
    <m/>
    <m/>
    <s v="08. 하이브리드러닝 - 하이브리드형 러닝"/>
    <s v="08. 하이브리드러닝 - 하이브리드형 러닝"/>
    <m/>
    <m/>
    <m/>
    <n v="19727272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9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통합위탁"/>
    <s v="01. 이러닝 - 통합위탁"/>
    <s v="01. 이러닝 - 통합위탁"/>
    <m/>
    <n v="90000000"/>
    <n v="101000000"/>
    <n v="100000000"/>
    <m/>
    <s v="01 확정"/>
    <x v="0"/>
    <m/>
    <m/>
    <n v="110000000"/>
    <n v="110000000"/>
    <n v="0"/>
    <m/>
    <m/>
    <m/>
    <n v="50000000"/>
    <m/>
    <s v="턴키 과정 3월 오픈으로 3월 발행"/>
    <m/>
    <m/>
    <s v="턴키, RS 활용 예산 금액 변경으로 4월 발행 예정"/>
    <n v="50000000"/>
    <m/>
    <m/>
    <m/>
    <m/>
    <m/>
    <m/>
    <m/>
    <m/>
    <m/>
    <m/>
    <m/>
    <m/>
    <m/>
    <m/>
    <m/>
    <n v="60000000"/>
    <m/>
  </r>
  <r>
    <n v="790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7. 휴넷CEO - 휴넷CEO"/>
    <s v="10. 구독 - 휴넷CEO멤버십"/>
    <s v="11. 구독 - 휴넷CEO멤버십"/>
    <m/>
    <m/>
    <n v="1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1"/>
    <m/>
    <m/>
    <s v="기업교육1팀"/>
    <s v="강건모"/>
    <s v="기업교육1팀"/>
    <x v="6"/>
    <m/>
    <m/>
    <s v="인천국제공항보안"/>
    <m/>
    <m/>
    <n v="48995"/>
    <s v="05 공공"/>
    <s v="01 수성"/>
    <m/>
    <s v="8. 리더스아카데미 - 리더스아카데미"/>
    <s v="11. 구독 - 휴넷 리더십저니"/>
    <s v="12. 구독 - 휴넷 리더십저니"/>
    <m/>
    <m/>
    <n v="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2"/>
    <m/>
    <m/>
    <s v="기업교육1팀"/>
    <s v="강건모"/>
    <s v="기업교육1팀"/>
    <x v="6"/>
    <m/>
    <m/>
    <s v="인천국제공항보안(노사협력팀)"/>
    <m/>
    <m/>
    <n v="48995"/>
    <s v="05 공공"/>
    <s v="03 신규"/>
    <s v="03 휴넷 LMS"/>
    <m/>
    <m/>
    <s v="09. 하이브리드러닝 - 순수 오프라인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3"/>
    <m/>
    <m/>
    <s v="기업교육1팀"/>
    <s v="강건모"/>
    <s v="기업교육1팀"/>
    <x v="6"/>
    <m/>
    <m/>
    <s v="케이엘에이텐코코리아"/>
    <m/>
    <m/>
    <n v="2588"/>
    <s v="01 1~1000대"/>
    <s v="03 신규"/>
    <s v="02 경쟁사 LMS"/>
    <m/>
    <s v="01. 이러닝 - 통합위탁"/>
    <s v="01. 이러닝 - 통합위탁"/>
    <m/>
    <m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4"/>
    <m/>
    <m/>
    <m/>
    <m/>
    <s v="기업교육1팀"/>
    <x v="6"/>
    <m/>
    <m/>
    <s v="케이엘에이텐코코리아"/>
    <m/>
    <m/>
    <n v="2588"/>
    <s v="01 1~1000대"/>
    <s v="03 신규"/>
    <s v="02 경쟁사 LMS"/>
    <m/>
    <s v="08. 하이브리드러닝 - 하이브리드형 러닝"/>
    <s v="08. 하이브리드러닝 - 하이브리드형 러닝"/>
    <m/>
    <m/>
    <n v="0"/>
    <n v="6430000"/>
    <m/>
    <s v="01 확정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5"/>
    <m/>
    <m/>
    <s v="기업교육1팀"/>
    <s v="강건모"/>
    <s v="기업교육1팀"/>
    <x v="6"/>
    <m/>
    <m/>
    <s v="태극제약(25년 안전보건교육 정산)"/>
    <m/>
    <m/>
    <n v="28759"/>
    <s v="02 1001~2000대"/>
    <s v="01 수성"/>
    <s v="03 휴넷 LMS"/>
    <m/>
    <m/>
    <s v="03. 이러닝 - 법정"/>
    <m/>
    <m/>
    <m/>
    <n v="0"/>
    <m/>
    <m/>
    <x v="0"/>
    <m/>
    <m/>
    <n v="1125000"/>
    <n v="1125000"/>
    <n v="0"/>
    <m/>
    <m/>
    <m/>
    <m/>
    <n v="1125000"/>
    <m/>
    <m/>
    <m/>
    <m/>
    <m/>
    <m/>
    <m/>
    <m/>
    <m/>
    <m/>
    <m/>
    <m/>
    <m/>
    <m/>
    <m/>
    <m/>
    <m/>
    <m/>
    <m/>
    <m/>
    <m/>
    <m/>
  </r>
  <r>
    <n v="796"/>
    <m/>
    <m/>
    <s v="기업교육1팀"/>
    <s v="강건모"/>
    <s v="기업교육1팀"/>
    <x v="6"/>
    <m/>
    <m/>
    <s v="팬오션 주식회사"/>
    <m/>
    <m/>
    <n v="3724"/>
    <s v="01 1~1000대"/>
    <s v="04 연장"/>
    <s v="02 경쟁사 LMS"/>
    <s v="6. 하이브리드러닝 - 집합형"/>
    <s v="11. 구독 - 휴넷 리더십저니"/>
    <s v="12. 구독 - 휴넷 리더십저니"/>
    <m/>
    <s v=""/>
    <n v="0"/>
    <n v="21350000"/>
    <m/>
    <s v="01 확정"/>
    <x v="0"/>
    <m/>
    <m/>
    <n v="23800000"/>
    <n v="23800000"/>
    <n v="0"/>
    <n v="23800000"/>
    <n v="23800000"/>
    <m/>
    <m/>
    <m/>
    <m/>
    <m/>
    <m/>
    <m/>
    <m/>
    <m/>
    <m/>
    <m/>
    <m/>
    <m/>
    <m/>
    <m/>
    <m/>
    <m/>
    <m/>
    <m/>
    <m/>
    <m/>
    <m/>
    <m/>
    <m/>
    <m/>
  </r>
  <r>
    <n v="797"/>
    <m/>
    <m/>
    <s v="기업교육1팀"/>
    <s v="강건모"/>
    <s v="기업교육1팀"/>
    <x v="6"/>
    <m/>
    <m/>
    <s v="포스에스엠"/>
    <m/>
    <m/>
    <n v="42951"/>
    <m/>
    <m/>
    <m/>
    <m/>
    <m/>
    <s v="08. 하이브리드러닝 - 하이브리드형 러닝"/>
    <m/>
    <m/>
    <m/>
    <n v="16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8"/>
    <m/>
    <m/>
    <s v="기업교육1팀"/>
    <s v="강건모"/>
    <s v="기업교육1팀"/>
    <x v="6"/>
    <m/>
    <m/>
    <s v="포스에스엠"/>
    <m/>
    <m/>
    <n v="42951"/>
    <s v="01 1~1000대"/>
    <s v="01 수성"/>
    <s v="02 경쟁사 LMS"/>
    <m/>
    <m/>
    <s v="09. 하이브리드러닝 - 순수 오프라인"/>
    <m/>
    <m/>
    <m/>
    <n v="8150000"/>
    <m/>
    <m/>
    <x v="0"/>
    <m/>
    <m/>
    <n v="4900000"/>
    <n v="4900000"/>
    <n v="0"/>
    <n v="1500000"/>
    <n v="1500000"/>
    <m/>
    <m/>
    <m/>
    <m/>
    <n v="3400000"/>
    <n v="3400000"/>
    <m/>
    <m/>
    <m/>
    <m/>
    <m/>
    <m/>
    <m/>
    <m/>
    <m/>
    <m/>
    <m/>
    <m/>
    <m/>
    <m/>
    <m/>
    <m/>
    <m/>
    <m/>
    <m/>
  </r>
  <r>
    <n v="799"/>
    <m/>
    <m/>
    <s v="기업교육1팀"/>
    <s v="강건모"/>
    <s v="기업교육1팀"/>
    <x v="6"/>
    <m/>
    <m/>
    <s v="한국공항공사"/>
    <m/>
    <m/>
    <n v="3970"/>
    <s v="05 공공"/>
    <s v="04 연장"/>
    <s v="03 휴넷 LMS"/>
    <s v="통합위탁"/>
    <s v="01. 이러닝 - 통합위탁"/>
    <s v="01. 이러닝 - 통합위탁"/>
    <m/>
    <n v="99997000"/>
    <n v="99923760"/>
    <n v="99911800"/>
    <m/>
    <s v="01 확정"/>
    <x v="0"/>
    <m/>
    <m/>
    <n v="99731730"/>
    <n v="99731730"/>
    <n v="0"/>
    <m/>
    <m/>
    <m/>
    <n v="9000000"/>
    <n v="6731730"/>
    <m/>
    <n v="8520600"/>
    <n v="8520600"/>
    <m/>
    <n v="9000000"/>
    <m/>
    <n v="9000000"/>
    <m/>
    <n v="9000000"/>
    <m/>
    <n v="9000000"/>
    <m/>
    <n v="9000000"/>
    <m/>
    <n v="9000000"/>
    <m/>
    <n v="9000000"/>
    <m/>
    <n v="9000000"/>
    <m/>
    <n v="12479400"/>
    <m/>
  </r>
  <r>
    <n v="800"/>
    <m/>
    <m/>
    <s v="기업교육1팀"/>
    <s v="강건모"/>
    <s v="기업교육1팀"/>
    <x v="6"/>
    <m/>
    <m/>
    <s v="한국공항공사"/>
    <m/>
    <m/>
    <n v="3970"/>
    <s v="05 공공"/>
    <s v="01 수성"/>
    <s v="03 휴넷 LMS"/>
    <m/>
    <s v="11. 구독 - 휴넷 리더십저니"/>
    <s v="12. 구독 - 휴넷 리더십저니"/>
    <m/>
    <m/>
    <m/>
    <n v="18334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801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2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03"/>
    <m/>
    <m/>
    <m/>
    <m/>
    <s v="기업교육1팀"/>
    <x v="6"/>
    <m/>
    <m/>
    <s v="한국공항보안"/>
    <m/>
    <m/>
    <n v="43796"/>
    <s v="05 공공"/>
    <s v="04 연장"/>
    <s v="03 휴넷 LMS"/>
    <m/>
    <s v="01. 이러닝 - 통합위탁"/>
    <s v="01. 이러닝 - 통합위탁"/>
    <m/>
    <m/>
    <n v="0"/>
    <n v="99980000"/>
    <m/>
    <s v="01 확정"/>
    <x v="0"/>
    <m/>
    <m/>
    <n v="100000000"/>
    <n v="100000000"/>
    <n v="0"/>
    <m/>
    <m/>
    <m/>
    <n v="40000000"/>
    <m/>
    <s v="턴키 과정 3월 오픈으로 3월 발행"/>
    <m/>
    <m/>
    <s v="턴키, RS 활용 예산 금액 변경으로 4월 발행 예정"/>
    <n v="40000000"/>
    <m/>
    <m/>
    <m/>
    <m/>
    <m/>
    <m/>
    <m/>
    <m/>
    <m/>
    <m/>
    <m/>
    <m/>
    <m/>
    <n v="20000000"/>
    <m/>
    <n v="40000000"/>
    <m/>
  </r>
  <r>
    <n v="804"/>
    <m/>
    <m/>
    <s v="기업교육1팀"/>
    <s v="강건모"/>
    <s v="기업교육1팀"/>
    <x v="6"/>
    <m/>
    <m/>
    <s v="한국공항보안"/>
    <m/>
    <m/>
    <n v="43796"/>
    <s v="05 공공"/>
    <s v="04 연장"/>
    <s v="03 휴넷 LMS"/>
    <m/>
    <m/>
    <s v="09. 하이브리드러닝 - 순수 오프라인"/>
    <m/>
    <m/>
    <m/>
    <n v="0"/>
    <m/>
    <m/>
    <x v="0"/>
    <m/>
    <m/>
    <n v="2800000"/>
    <n v="2800000"/>
    <n v="0"/>
    <m/>
    <m/>
    <m/>
    <m/>
    <m/>
    <m/>
    <n v="2800000"/>
    <n v="2800000"/>
    <m/>
    <m/>
    <m/>
    <m/>
    <m/>
    <m/>
    <m/>
    <m/>
    <m/>
    <m/>
    <m/>
    <m/>
    <m/>
    <m/>
    <m/>
    <m/>
    <m/>
    <m/>
    <m/>
  </r>
  <r>
    <n v="805"/>
    <m/>
    <m/>
    <s v="기업교육1팀"/>
    <s v="강건모"/>
    <s v="기업교육1팀"/>
    <x v="6"/>
    <m/>
    <m/>
    <s v="한국공항보안_flex23"/>
    <m/>
    <m/>
    <n v="59026"/>
    <s v="05 공공"/>
    <s v="01 수성"/>
    <s v="03 휴넷 LMS"/>
    <s v="26. 정부지원사업 - HRDFLEX"/>
    <s v="28.구독 - 휴넷FLEX"/>
    <s v="13. 구독 - 휴넷FLEX"/>
    <m/>
    <m/>
    <n v="6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6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1. 온라인 - 단과"/>
    <s v="01. 이러닝 - 통합위탁"/>
    <s v="01. 이러닝 - 통합위탁"/>
    <s v="O"/>
    <n v="39278620"/>
    <n v="765815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7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m/>
    <s v="02. 이러닝 - 단과"/>
    <s v="02. 이러닝 - 단과"/>
    <m/>
    <m/>
    <m/>
    <n v="49880700"/>
    <m/>
    <m/>
    <x v="0"/>
    <m/>
    <m/>
    <n v="46516300"/>
    <n v="46516300"/>
    <n v="0"/>
    <n v="1897500"/>
    <n v="1897500"/>
    <s v="계산서 취소 및 2월 재발행 요청"/>
    <n v="16892800"/>
    <n v="16281800"/>
    <s v="입과 인원 감소"/>
    <n v="1352000"/>
    <n v="1337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808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s v="1. 온라인 - 단과"/>
    <s v="02. 이러닝 - 단과"/>
    <s v="02. 이러닝 - 단과"/>
    <m/>
    <m/>
    <n v="0"/>
    <n v="0"/>
    <m/>
    <s v="02 가망"/>
    <x v="4"/>
    <m/>
    <m/>
    <n v="12000000"/>
    <n v="12000000"/>
    <n v="0"/>
    <m/>
    <m/>
    <m/>
    <m/>
    <m/>
    <m/>
    <m/>
    <m/>
    <m/>
    <m/>
    <m/>
    <m/>
    <m/>
    <n v="12000000"/>
    <m/>
    <m/>
    <m/>
    <m/>
    <m/>
    <m/>
    <m/>
    <m/>
    <m/>
    <m/>
    <m/>
    <m/>
    <m/>
  </r>
  <r>
    <n v="809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2. 온라인 - 법정"/>
    <s v="03. 이러닝 - 법정"/>
    <s v="03. 이러닝 - 법정"/>
    <m/>
    <s v=""/>
    <n v="0"/>
    <n v="320000"/>
    <m/>
    <s v="01 확정"/>
    <x v="4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m/>
    <m/>
    <n v="2000000"/>
    <m/>
  </r>
  <r>
    <n v="810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11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12"/>
    <m/>
    <m/>
    <s v="기업교육1팀"/>
    <s v="이재성"/>
    <s v="기업교육1팀"/>
    <x v="6"/>
    <m/>
    <m/>
    <s v="한전MCS"/>
    <m/>
    <m/>
    <n v="42061"/>
    <m/>
    <m/>
    <m/>
    <m/>
    <m/>
    <s v="01. 이러닝 - 통합위탁"/>
    <m/>
    <m/>
    <m/>
    <n v="107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3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2. 온라인 - 법정"/>
    <s v="03. 이러닝 - 법정"/>
    <s v="03. 이러닝 - 법정"/>
    <m/>
    <m/>
    <n v="100000"/>
    <n v="36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4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통합위탁"/>
    <s v="01. 이러닝 - 통합위탁"/>
    <s v="08. 하이브리드러닝 - 하이브리드형 러닝"/>
    <m/>
    <n v="30795000"/>
    <n v="115000000"/>
    <m/>
    <m/>
    <s v="01 확정"/>
    <x v="4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815"/>
    <m/>
    <m/>
    <s v="기업교육1팀"/>
    <s v="강건모"/>
    <s v="기업교육1팀"/>
    <x v="6"/>
    <m/>
    <m/>
    <s v="한전MCS"/>
    <m/>
    <m/>
    <n v="42061"/>
    <s v="05 공공"/>
    <s v="03 신규"/>
    <s v="03 휴넷 LMS"/>
    <m/>
    <s v="24. 기타 - 포럼"/>
    <s v="23. 기타 - 포럼"/>
    <m/>
    <n v="0"/>
    <n v="0"/>
    <m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816"/>
    <m/>
    <m/>
    <s v="기업교육1팀"/>
    <s v="강건모"/>
    <s v="기업교육1팀"/>
    <x v="6"/>
    <m/>
    <m/>
    <s v="한진"/>
    <m/>
    <m/>
    <n v="2105"/>
    <s v="01 1~1000대"/>
    <s v="04 연장"/>
    <s v="03 휴넷 LMS"/>
    <s v="통합위탁"/>
    <s v="01. 이러닝 - 통합위탁"/>
    <s v="01. 이러닝 - 통합위탁"/>
    <s v="O"/>
    <n v="91382207"/>
    <n v="85170480"/>
    <n v="102534220"/>
    <m/>
    <s v="01 확정"/>
    <x v="0"/>
    <m/>
    <m/>
    <n v="92960610"/>
    <n v="92960610"/>
    <n v="0"/>
    <n v="6725330"/>
    <n v="6725330"/>
    <m/>
    <n v="5274670"/>
    <n v="1420950"/>
    <m/>
    <n v="4014330"/>
    <n v="4014330"/>
    <m/>
    <n v="6000000"/>
    <m/>
    <n v="6000000"/>
    <m/>
    <n v="6000000"/>
    <m/>
    <n v="6000000"/>
    <m/>
    <n v="6000000"/>
    <m/>
    <n v="6000000"/>
    <m/>
    <n v="9800000"/>
    <m/>
    <n v="15000000"/>
    <m/>
    <n v="20000000"/>
    <m/>
  </r>
  <r>
    <n v="817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n v="12650000"/>
    <n v="0"/>
    <n v="17050000"/>
    <m/>
    <s v="02 가망"/>
    <x v="0"/>
    <m/>
    <m/>
    <n v="18650000"/>
    <n v="18650000"/>
    <n v="0"/>
    <n v="5050000"/>
    <n v="5050000"/>
    <m/>
    <n v="3800000"/>
    <m/>
    <s v="3월자 발행 완료"/>
    <n v="3800000"/>
    <n v="3800000"/>
    <m/>
    <n v="9800000"/>
    <m/>
    <m/>
    <m/>
    <m/>
    <m/>
    <m/>
    <m/>
    <m/>
    <m/>
    <m/>
    <m/>
    <m/>
    <m/>
    <m/>
    <m/>
    <m/>
    <m/>
  </r>
  <r>
    <n v="818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7064000"/>
    <n v="0"/>
    <m/>
    <s v="01 확정"/>
    <x v="4"/>
    <m/>
    <m/>
    <n v="7000000"/>
    <n v="7000000"/>
    <n v="0"/>
    <m/>
    <m/>
    <m/>
    <m/>
    <m/>
    <m/>
    <m/>
    <m/>
    <m/>
    <m/>
    <m/>
    <m/>
    <m/>
    <m/>
    <m/>
    <m/>
    <m/>
    <n v="4000000"/>
    <m/>
    <m/>
    <m/>
    <n v="3000000"/>
    <m/>
    <m/>
    <m/>
    <m/>
    <m/>
  </r>
  <r>
    <n v="819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01. 이러닝 - 통합위탁"/>
    <m/>
    <m/>
    <m/>
    <n v="0"/>
    <m/>
    <m/>
    <x v="3"/>
    <m/>
    <m/>
    <n v="0"/>
    <n v="0"/>
    <n v="0"/>
    <n v="130000000"/>
    <m/>
    <m/>
    <m/>
    <m/>
    <m/>
    <m/>
    <m/>
    <m/>
    <m/>
    <m/>
    <m/>
    <m/>
    <m/>
    <m/>
    <m/>
    <m/>
    <m/>
    <m/>
    <m/>
    <m/>
    <m/>
    <m/>
    <m/>
    <m/>
    <m/>
    <m/>
  </r>
  <r>
    <n v="820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12. 구독 - 휴넷 리더십저니"/>
    <m/>
    <m/>
    <m/>
    <n v="0"/>
    <m/>
    <m/>
    <x v="1"/>
    <m/>
    <m/>
    <n v="35000000"/>
    <n v="35000000"/>
    <n v="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821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s v="03 신규"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22"/>
    <m/>
    <m/>
    <s v="기업교육1팀"/>
    <s v="강건모"/>
    <s v="기업교육1팀"/>
    <x v="6"/>
    <m/>
    <m/>
    <s v="현대로템(의왕연구소)"/>
    <m/>
    <m/>
    <n v="37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4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3"/>
    <m/>
    <m/>
    <s v="기업교육1팀"/>
    <s v="강건모"/>
    <s v="기업교육1팀"/>
    <x v="6"/>
    <m/>
    <m/>
    <s v="현대로템(창원_세대소통)"/>
    <m/>
    <m/>
    <n v="3787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824"/>
    <m/>
    <m/>
    <s v="기업교육1팀"/>
    <s v="강건모"/>
    <s v="기업교육1팀"/>
    <x v="6"/>
    <m/>
    <m/>
    <s v="현대로템(창원_신임조장)"/>
    <m/>
    <m/>
    <n v="3787"/>
    <s v="01 1~1000대"/>
    <s v="03 신규"/>
    <s v="02 경쟁사 LMS"/>
    <m/>
    <m/>
    <s v="09. 하이브리드러닝 - 순수 오프라인"/>
    <m/>
    <m/>
    <m/>
    <n v="0"/>
    <m/>
    <m/>
    <x v="0"/>
    <m/>
    <m/>
    <n v="6700000"/>
    <n v="6700000"/>
    <n v="0"/>
    <m/>
    <m/>
    <m/>
    <m/>
    <m/>
    <m/>
    <n v="6700000"/>
    <n v="6700000"/>
    <m/>
    <m/>
    <m/>
    <m/>
    <m/>
    <m/>
    <m/>
    <m/>
    <m/>
    <m/>
    <m/>
    <m/>
    <m/>
    <m/>
    <m/>
    <m/>
    <m/>
    <m/>
    <m/>
  </r>
  <r>
    <n v="825"/>
    <m/>
    <m/>
    <s v="기업교육1팀"/>
    <s v="강건모"/>
    <s v="기업교육1팀"/>
    <x v="6"/>
    <m/>
    <m/>
    <s v="현대로템(창원_현장신입)"/>
    <m/>
    <m/>
    <n v="3787"/>
    <s v="01 1~1000대"/>
    <s v="03 신규"/>
    <s v="02 경쟁사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826"/>
    <m/>
    <m/>
    <s v="기업교육1팀"/>
    <s v="강건모"/>
    <s v="기업교육1팀"/>
    <x v="6"/>
    <m/>
    <m/>
    <s v="희성촉매"/>
    <m/>
    <m/>
    <n v="7601"/>
    <s v="01 1~1000대"/>
    <s v="01 수성"/>
    <m/>
    <s v="2. 온라인 - 법정"/>
    <s v="03. 이러닝 - 법정"/>
    <s v="03. 이러닝 - 법정"/>
    <m/>
    <n v="7336000"/>
    <n v="6838000"/>
    <n v="6660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27"/>
    <m/>
    <m/>
    <s v="기업교육1팀"/>
    <s v="조미희"/>
    <s v="기업교육1팀"/>
    <x v="6"/>
    <m/>
    <m/>
    <s v="희성촉매"/>
    <m/>
    <m/>
    <n v="7601"/>
    <s v="01 1~1000대"/>
    <s v="03 신규"/>
    <m/>
    <s v="6. 하이브리드러닝 - 집합형"/>
    <s v="08. 하이브리드러닝 - 하이브리드형 러닝"/>
    <s v="08. 하이브리드러닝 - 하이브리드형 러닝"/>
    <m/>
    <m/>
    <n v="660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828"/>
    <m/>
    <m/>
    <s v="기업교육1팀"/>
    <s v="조미희"/>
    <s v="기업교육1팀"/>
    <x v="7"/>
    <m/>
    <m/>
    <s v=" 현대경제연구원(atd정산) "/>
    <m/>
    <m/>
    <n v="60911"/>
    <s v="01 1~1000대"/>
    <s v="01 수성"/>
    <m/>
    <s v="36. 기타 - 기타"/>
    <s v="25. 기타 - 기타"/>
    <s v="24. 기타 - 기타"/>
    <m/>
    <m/>
    <n v="194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9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2. 온라인 - 법정"/>
    <s v="03. 이러닝 - 법정"/>
    <s v="03. 이러닝 - 법정"/>
    <m/>
    <m/>
    <n v="6984000"/>
    <n v="8650000"/>
    <m/>
    <s v="01 확정"/>
    <x v="0"/>
    <m/>
    <m/>
    <n v="13393500"/>
    <n v="13393500"/>
    <n v="0"/>
    <m/>
    <n v="1393500"/>
    <m/>
    <m/>
    <m/>
    <m/>
    <m/>
    <m/>
    <m/>
    <m/>
    <m/>
    <m/>
    <m/>
    <n v="6000000"/>
    <m/>
    <m/>
    <m/>
    <m/>
    <m/>
    <m/>
    <m/>
    <m/>
    <m/>
    <m/>
    <m/>
    <n v="6000000"/>
    <m/>
  </r>
  <r>
    <n v="830"/>
    <m/>
    <m/>
    <s v="기업교육1팀"/>
    <s v="조미희"/>
    <s v="기업교육1팀"/>
    <x v="7"/>
    <m/>
    <m/>
    <s v="H+양지병원"/>
    <m/>
    <m/>
    <n v="23370"/>
    <s v="01 1~1000대"/>
    <s v="01 수성"/>
    <m/>
    <s v="6. 하이브리드러닝 - 집합형"/>
    <s v="08. 하이브리드러닝 - 하이브리드형 러닝"/>
    <s v="08. 하이브리드러닝 - 하이브리드형 러닝"/>
    <m/>
    <m/>
    <n v="275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831"/>
    <m/>
    <m/>
    <s v="기업교육1팀"/>
    <s v="조미희"/>
    <s v="기업교육1팀"/>
    <x v="7"/>
    <m/>
    <m/>
    <s v="H+양지병원"/>
    <m/>
    <m/>
    <n v="23370"/>
    <s v="04 3000대 이후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2"/>
    <m/>
    <m/>
    <m/>
    <m/>
    <s v="기업교육1팀"/>
    <x v="7"/>
    <m/>
    <m/>
    <s v="H+양지병원"/>
    <m/>
    <m/>
    <n v="23370"/>
    <s v="04 3000대 이후"/>
    <s v="03 신규"/>
    <m/>
    <s v="10. 구독 - 휴넷CEO멤버십"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3"/>
    <m/>
    <m/>
    <s v="기업교육1팀"/>
    <s v="조미희"/>
    <s v="기업교육1팀"/>
    <x v="7"/>
    <m/>
    <m/>
    <s v="H+양지병원"/>
    <m/>
    <m/>
    <n v="23370"/>
    <m/>
    <m/>
    <m/>
    <m/>
    <m/>
    <s v="16. 솔루션 - LABS"/>
    <m/>
    <m/>
    <m/>
    <n v="480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4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14. 솔루션 - 맞춤형 LABS"/>
    <s v="15. 솔루션 - LABS"/>
    <s v="24. 기타 - 기타"/>
    <m/>
    <n v="48000000"/>
    <n v="48000000"/>
    <n v="0"/>
    <m/>
    <s v="01 확정"/>
    <x v="0"/>
    <m/>
    <m/>
    <n v="52037500"/>
    <n v="52037500"/>
    <n v="0"/>
    <n v="4000000"/>
    <n v="4000000"/>
    <m/>
    <n v="4000000"/>
    <n v="8037500"/>
    <m/>
    <n v="400000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</r>
  <r>
    <n v="835"/>
    <m/>
    <m/>
    <s v="기업교육1팀"/>
    <s v="조미희"/>
    <s v="기업교육1팀"/>
    <x v="7"/>
    <m/>
    <m/>
    <s v="H+양지병원(승진자 대상)"/>
    <m/>
    <m/>
    <n v="23370"/>
    <s v="04 3000대 이후"/>
    <s v="04 연장"/>
    <m/>
    <s v="1. 온라인 - 단과"/>
    <s v="02. 이러닝 - 단과"/>
    <s v="02. 이러닝 - 단과"/>
    <m/>
    <n v="8222500"/>
    <n v="5665800"/>
    <n v="5712000"/>
    <m/>
    <s v="01 확정"/>
    <x v="4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836"/>
    <m/>
    <m/>
    <s v="기업교육1팀"/>
    <s v="조미희"/>
    <s v="기업교육1팀"/>
    <x v="7"/>
    <m/>
    <m/>
    <s v="경기도의료원"/>
    <m/>
    <m/>
    <n v="22337"/>
    <s v="05 공공"/>
    <s v="02 윈백"/>
    <m/>
    <s v="통합위탁"/>
    <s v="01. 이러닝 - 통합위탁"/>
    <s v="01. 이러닝 - 통합위탁"/>
    <m/>
    <n v="186687110"/>
    <n v="89138700"/>
    <n v="0"/>
    <m/>
    <s v="04 실주"/>
    <x v="0"/>
    <m/>
    <m/>
    <n v="90000000"/>
    <n v="90000000"/>
    <n v="0"/>
    <m/>
    <m/>
    <m/>
    <n v="10000000"/>
    <m/>
    <m/>
    <n v="10000000"/>
    <m/>
    <m/>
    <n v="0"/>
    <m/>
    <n v="30000000"/>
    <m/>
    <n v="10000000"/>
    <m/>
    <n v="10000000"/>
    <m/>
    <n v="10000000"/>
    <m/>
    <n v="10000000"/>
    <m/>
    <n v="10000000"/>
    <m/>
    <n v="10000000"/>
    <m/>
    <m/>
    <m/>
  </r>
  <r>
    <n v="837"/>
    <m/>
    <m/>
    <s v="기업교육1팀"/>
    <s v="조미희"/>
    <s v="기업교육1팀"/>
    <x v="7"/>
    <m/>
    <m/>
    <s v="경기도의료원"/>
    <m/>
    <m/>
    <n v="22337"/>
    <s v="05 공공"/>
    <s v="01 수성"/>
    <m/>
    <s v="1. 온라인 - 단과"/>
    <s v="02. 이러닝 - 단과"/>
    <s v="02. 이러닝 - 단과"/>
    <m/>
    <m/>
    <n v="1989925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8"/>
    <m/>
    <m/>
    <s v="기업교육1팀"/>
    <s v="조미희"/>
    <s v="기업교육1팀"/>
    <x v="7"/>
    <m/>
    <m/>
    <s v="굿네이버스"/>
    <m/>
    <m/>
    <n v="63346"/>
    <s v="01 1~1000대"/>
    <s v="01 수성"/>
    <m/>
    <m/>
    <s v="28.구독 - 휴넷FLEX"/>
    <s v="13. 구독 - 휴넷FLEX"/>
    <m/>
    <m/>
    <m/>
    <n v="3600000"/>
    <m/>
    <s v="01 확정"/>
    <x v="4"/>
    <m/>
    <m/>
    <n v="3600000"/>
    <n v="3600000"/>
    <n v="0"/>
    <m/>
    <m/>
    <m/>
    <m/>
    <m/>
    <m/>
    <m/>
    <m/>
    <m/>
    <m/>
    <m/>
    <n v="3600000"/>
    <m/>
    <m/>
    <m/>
    <m/>
    <m/>
    <m/>
    <m/>
    <m/>
    <m/>
    <m/>
    <m/>
    <m/>
    <m/>
    <m/>
    <m/>
  </r>
  <r>
    <n v="839"/>
    <m/>
    <m/>
    <s v="기업교육1팀"/>
    <s v="조미희"/>
    <s v="기업교육1팀"/>
    <x v="7"/>
    <m/>
    <m/>
    <s v="대한유화"/>
    <m/>
    <m/>
    <n v="3782"/>
    <s v="01 1~1000대"/>
    <s v="01 수성"/>
    <m/>
    <s v="6. 하이브리드러닝 - 집합형"/>
    <s v="08. 하이브리드러닝 - 하이브리드형 러닝"/>
    <s v="08. 하이브리드러닝 - 하이브리드형 러닝"/>
    <m/>
    <m/>
    <n v="2225000"/>
    <n v="1975000"/>
    <m/>
    <s v="03 기회"/>
    <x v="1"/>
    <m/>
    <m/>
    <n v="10000000"/>
    <n v="10000000"/>
    <n v="0"/>
    <m/>
    <m/>
    <m/>
    <m/>
    <m/>
    <m/>
    <m/>
    <m/>
    <m/>
    <m/>
    <m/>
    <n v="7000000"/>
    <m/>
    <n v="3000000"/>
    <m/>
    <m/>
    <m/>
    <m/>
    <m/>
    <m/>
    <m/>
    <m/>
    <m/>
    <m/>
    <m/>
    <m/>
    <m/>
  </r>
  <r>
    <n v="840"/>
    <m/>
    <m/>
    <s v="기업교육1팀"/>
    <s v="조미희"/>
    <s v="기업교육1팀"/>
    <x v="7"/>
    <m/>
    <m/>
    <s v="대한유화"/>
    <m/>
    <m/>
    <n v="37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41"/>
    <m/>
    <m/>
    <s v="기업교육1팀"/>
    <s v="조미희"/>
    <s v="기업교육1팀"/>
    <x v="7"/>
    <m/>
    <m/>
    <s v="대한적십자사혈액관리본부"/>
    <m/>
    <m/>
    <n v="62487"/>
    <s v="05 공공"/>
    <s v="04 연장"/>
    <m/>
    <s v="1. 온라인 - 단과"/>
    <s v="01. 이러닝 - 통합위탁"/>
    <s v="01. 이러닝 - 통합위탁"/>
    <s v="O"/>
    <m/>
    <n v="0"/>
    <n v="206383740"/>
    <m/>
    <s v="01 확정"/>
    <x v="0"/>
    <m/>
    <m/>
    <n v="206949080"/>
    <n v="206949080"/>
    <n v="0"/>
    <n v="17973140"/>
    <n v="17973140"/>
    <m/>
    <n v="16000000"/>
    <n v="33763890"/>
    <m/>
    <n v="16000000"/>
    <n v="18171400"/>
    <m/>
    <n v="16000000"/>
    <m/>
    <n v="16000000"/>
    <m/>
    <n v="16000000"/>
    <m/>
    <n v="16000000"/>
    <m/>
    <n v="16000000"/>
    <m/>
    <n v="18804540"/>
    <m/>
    <n v="16000000"/>
    <m/>
    <n v="12236110"/>
    <m/>
    <n v="10000000"/>
    <m/>
  </r>
  <r>
    <n v="842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. 온라인 - 단과"/>
    <s v="02. 이러닝 - 단과"/>
    <s v="02. 이러닝 - 단과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3"/>
    <m/>
    <m/>
    <s v="기업교육1팀"/>
    <s v="조미희"/>
    <s v="기업교육1팀"/>
    <x v="7"/>
    <m/>
    <m/>
    <s v="대한적십자사혈액관리본부"/>
    <m/>
    <m/>
    <n v="7668"/>
    <s v="05 공공"/>
    <s v="01 수성"/>
    <m/>
    <s v="6. 하이브리드러닝 - 집합형"/>
    <s v="08. 하이브리드러닝 - 하이브리드형 러닝"/>
    <s v="08. 하이브리드러닝 - 하이브리드형 러닝"/>
    <m/>
    <m/>
    <n v="390000"/>
    <n v="0"/>
    <m/>
    <s v="02 가망"/>
    <x v="4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44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0. 컨텐츠 - 컨텐츠 개발"/>
    <s v="14. 컨텐츠 - 컨텐츠 개발"/>
    <s v="15. 컨텐츠 - 컨텐츠 개발"/>
    <m/>
    <m/>
    <n v="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5"/>
    <m/>
    <m/>
    <s v="기업교육1팀"/>
    <s v="조미희"/>
    <s v="기업교육1팀"/>
    <x v="7"/>
    <m/>
    <m/>
    <s v="도로교통공단"/>
    <m/>
    <m/>
    <n v="6661"/>
    <s v="05 공공"/>
    <s v="01 수성"/>
    <m/>
    <s v="통합위탁"/>
    <s v="01. 이러닝 - 통합위탁"/>
    <s v="01. 이러닝 - 통합위탁"/>
    <m/>
    <n v="100000000"/>
    <n v="90000000"/>
    <n v="97500000"/>
    <m/>
    <s v="01 확정"/>
    <x v="0"/>
    <m/>
    <m/>
    <n v="107000000"/>
    <n v="107000000"/>
    <n v="0"/>
    <m/>
    <m/>
    <m/>
    <m/>
    <m/>
    <m/>
    <n v="77000000"/>
    <m/>
    <m/>
    <m/>
    <m/>
    <n v="77000000"/>
    <m/>
    <m/>
    <m/>
    <m/>
    <m/>
    <m/>
    <m/>
    <m/>
    <m/>
    <m/>
    <m/>
    <m/>
    <m/>
    <n v="30000000"/>
    <m/>
  </r>
  <r>
    <n v="846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1. 이러닝 - 통합위탁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847"/>
    <m/>
    <m/>
    <s v="기업교육1팀"/>
    <s v="조미희"/>
    <s v="기업교육1팀"/>
    <x v="7"/>
    <m/>
    <m/>
    <s v="디에스단석"/>
    <m/>
    <m/>
    <n v="4888"/>
    <s v="01 1~1000대"/>
    <s v="04 연장"/>
    <m/>
    <s v="2. 온라인 - 법정"/>
    <s v="03. 이러닝 - 법정"/>
    <s v="03. 이러닝 - 법정"/>
    <m/>
    <n v="9984000"/>
    <n v="12015000"/>
    <n v="9982000"/>
    <m/>
    <s v="01 확정"/>
    <x v="4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n v="11000000"/>
    <m/>
  </r>
  <r>
    <n v="848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9. 하이브리드러닝 - 순수 오프라인"/>
    <s v="09. 하이브리드러닝 - 순수 오프라인"/>
    <m/>
    <m/>
    <n v="0"/>
    <n v="0"/>
    <m/>
    <s v="02 가망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849"/>
    <m/>
    <m/>
    <s v="기업교육1팀"/>
    <s v="조미희"/>
    <s v="기업교육1팀"/>
    <x v="7"/>
    <m/>
    <m/>
    <s v="디에스단석"/>
    <m/>
    <m/>
    <n v="4888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50"/>
    <m/>
    <m/>
    <s v="기업교육1팀"/>
    <s v="조미희"/>
    <s v="기업교육1팀"/>
    <x v="7"/>
    <m/>
    <m/>
    <s v="롯데정밀화학"/>
    <m/>
    <m/>
    <n v="24604"/>
    <s v="01 1~1000대"/>
    <s v="03 신규"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51"/>
    <m/>
    <m/>
    <s v="기업교육1팀"/>
    <s v="조미희"/>
    <s v="기업교육1팀"/>
    <x v="7"/>
    <m/>
    <m/>
    <s v="롯데정밀화학"/>
    <m/>
    <m/>
    <n v="24604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52"/>
    <m/>
    <m/>
    <s v="기업교육1팀"/>
    <s v="조미희"/>
    <s v="기업교육1팀"/>
    <x v="7"/>
    <m/>
    <m/>
    <s v="삼성웰스토리"/>
    <m/>
    <m/>
    <n v="16974"/>
    <s v="01 1~1000대"/>
    <s v="01 수성"/>
    <m/>
    <s v="1. 온라인 - 단과"/>
    <s v="02. 이러닝 - 단과"/>
    <s v="08. 하이브리드러닝 - 하이브리드형 러닝"/>
    <m/>
    <m/>
    <n v="0"/>
    <n v="0"/>
    <m/>
    <s v="02 가망"/>
    <x v="1"/>
    <m/>
    <m/>
    <n v="1750000"/>
    <n v="1750000"/>
    <n v="0"/>
    <m/>
    <m/>
    <m/>
    <m/>
    <m/>
    <m/>
    <m/>
    <m/>
    <m/>
    <m/>
    <m/>
    <n v="1750000"/>
    <m/>
    <m/>
    <m/>
    <m/>
    <m/>
    <m/>
    <m/>
    <m/>
    <m/>
    <m/>
    <m/>
    <m/>
    <m/>
    <m/>
    <m/>
  </r>
  <r>
    <n v="853"/>
    <m/>
    <m/>
    <s v="기업교육1팀"/>
    <s v="조미희"/>
    <s v="기업교육1팀"/>
    <x v="7"/>
    <m/>
    <m/>
    <s v="삼성웰스토리"/>
    <m/>
    <m/>
    <n v="16974"/>
    <s v="01 1~1000대"/>
    <s v="03 신규"/>
    <m/>
    <m/>
    <s v="09. 하이브리드러닝 - 순수 오프라인"/>
    <s v="09. 하이브리드러닝 - 순수 오프라인"/>
    <m/>
    <m/>
    <m/>
    <n v="0"/>
    <m/>
    <m/>
    <x v="0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54"/>
    <m/>
    <m/>
    <s v="기업교육1팀"/>
    <s v="조미희"/>
    <s v="기업교육1팀"/>
    <x v="7"/>
    <m/>
    <m/>
    <s v="삼성웰스토리"/>
    <m/>
    <m/>
    <n v="16974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5"/>
    <m/>
    <m/>
    <s v="기업교육1팀"/>
    <s v="조미희"/>
    <s v="기업교육1팀"/>
    <x v="7"/>
    <m/>
    <m/>
    <s v="삼성웰스토리"/>
    <m/>
    <m/>
    <n v="16974"/>
    <s v="01 1~1000대"/>
    <s v="01 수성"/>
    <m/>
    <m/>
    <s v="11. 구독 - 휴넷 리더십저니"/>
    <s v="12. 구독 - 휴넷 리더십저니"/>
    <m/>
    <m/>
    <n v="20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6"/>
    <m/>
    <m/>
    <s v="기업교육1팀"/>
    <s v="조미희"/>
    <s v="기업교육1팀"/>
    <x v="7"/>
    <m/>
    <m/>
    <s v="삼우"/>
    <m/>
    <m/>
    <n v="30391"/>
    <s v="01 1~1000대"/>
    <s v="04 연장"/>
    <m/>
    <s v="1. 온라인 - 단과"/>
    <s v="01. 이러닝 - 통합위탁"/>
    <s v="01. 이러닝 - 통합위탁"/>
    <s v="O"/>
    <n v="10142200"/>
    <n v="48784440"/>
    <n v="40321600"/>
    <m/>
    <s v="01 확정"/>
    <x v="0"/>
    <m/>
    <m/>
    <n v="50000000"/>
    <n v="50000000"/>
    <n v="0"/>
    <n v="1554000"/>
    <n v="1554000"/>
    <m/>
    <n v="4000000"/>
    <n v="985000"/>
    <m/>
    <n v="4000000"/>
    <n v="1078000"/>
    <m/>
    <n v="5000000"/>
    <m/>
    <n v="5000000"/>
    <m/>
    <n v="5000000"/>
    <m/>
    <n v="6961000"/>
    <m/>
    <n v="4922000"/>
    <m/>
    <n v="4000000"/>
    <m/>
    <n v="4000000"/>
    <m/>
    <n v="6500000"/>
    <m/>
    <n v="5000000"/>
    <m/>
  </r>
  <r>
    <n v="857"/>
    <m/>
    <m/>
    <s v="기업교육1팀"/>
    <s v="조미희"/>
    <s v="기업교육1팀"/>
    <x v="7"/>
    <m/>
    <m/>
    <s v="삼우"/>
    <m/>
    <m/>
    <n v="30391"/>
    <s v="01 1~1000대"/>
    <s v="04 연장"/>
    <m/>
    <s v="6. 하이브리드러닝 - 집합형"/>
    <s v="08. 하이브리드러닝 - 하이브리드형 러닝"/>
    <s v="08. 하이브리드러닝 - 하이브리드형 러닝"/>
    <m/>
    <n v="2600000"/>
    <n v="2100000"/>
    <n v="0"/>
    <m/>
    <s v="01 확정"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858"/>
    <m/>
    <m/>
    <s v="기업교육1팀"/>
    <s v="조미희"/>
    <s v="기업교육1팀"/>
    <x v="7"/>
    <m/>
    <m/>
    <s v="삼우"/>
    <m/>
    <m/>
    <n v="30391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859"/>
    <m/>
    <m/>
    <s v="기업교육1팀"/>
    <s v="조미희"/>
    <s v="기업교육1팀"/>
    <x v="7"/>
    <m/>
    <m/>
    <s v="삼우_FLEX"/>
    <m/>
    <m/>
    <n v="55586"/>
    <s v="01 1~1000대"/>
    <s v="01 수성"/>
    <m/>
    <s v="26. 정부지원사업 - HRDFLEX"/>
    <s v="28.구독 - 휴넷FLEX"/>
    <s v="13. 구독 - 휴넷FLEX"/>
    <m/>
    <n v="169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0"/>
    <m/>
    <m/>
    <s v="기업교육1팀"/>
    <s v="조미희"/>
    <s v="기업교육1팀"/>
    <x v="7"/>
    <m/>
    <m/>
    <s v="서울의료원"/>
    <m/>
    <m/>
    <n v="2092"/>
    <s v="05 공공"/>
    <s v="01 수성"/>
    <m/>
    <s v="1. 온라인 - 단과"/>
    <s v="01. 이러닝 - 통합위탁"/>
    <s v="01. 이러닝 - 통합위탁"/>
    <m/>
    <m/>
    <n v="71355000"/>
    <n v="73996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n v="40000000"/>
    <m/>
    <m/>
    <m/>
    <m/>
    <m/>
    <m/>
    <m/>
    <n v="20000000"/>
    <m/>
  </r>
  <r>
    <n v="861"/>
    <m/>
    <m/>
    <s v="기업교육1팀"/>
    <s v="조미희"/>
    <s v="기업교육1팀"/>
    <x v="7"/>
    <m/>
    <m/>
    <s v="서울의료원"/>
    <m/>
    <m/>
    <n v="2092"/>
    <s v="05 공공"/>
    <s v="01 수성"/>
    <m/>
    <m/>
    <s v="03. 이러닝 - 법정"/>
    <s v="03. 이러닝 - 법정"/>
    <m/>
    <m/>
    <n v="0"/>
    <n v="15737400"/>
    <m/>
    <s v="01 확정"/>
    <x v="3"/>
    <m/>
    <m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n v="16000000"/>
    <m/>
  </r>
  <r>
    <n v="862"/>
    <m/>
    <m/>
    <s v="기업교육1팀"/>
    <s v="조미희"/>
    <s v="기업교육1팀"/>
    <x v="7"/>
    <m/>
    <m/>
    <s v="선거연수원"/>
    <m/>
    <m/>
    <n v="23224"/>
    <s v="05 공공"/>
    <s v="01 수성"/>
    <s v="01 자체 LMS"/>
    <s v="10. 컨텐츠 - 컨텐츠 개발"/>
    <s v="14. 컨텐츠 - 컨텐츠 개발"/>
    <s v="15. 컨텐츠 - 컨텐츠 개발"/>
    <m/>
    <n v="34890909"/>
    <n v="91609091"/>
    <n v="0"/>
    <m/>
    <s v="02 가망"/>
    <x v="8"/>
    <m/>
    <m/>
    <n v="100000000"/>
    <n v="100000000"/>
    <n v="0"/>
    <m/>
    <m/>
    <m/>
    <m/>
    <m/>
    <m/>
    <m/>
    <m/>
    <m/>
    <m/>
    <m/>
    <m/>
    <m/>
    <n v="50000000"/>
    <m/>
    <n v="50000000"/>
    <m/>
    <m/>
    <m/>
    <m/>
    <m/>
    <m/>
    <m/>
    <m/>
    <m/>
    <m/>
    <m/>
  </r>
  <r>
    <n v="863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통합위탁"/>
    <s v="01. 이러닝 - 통합위탁"/>
    <s v="01. 이러닝 - 통합위탁"/>
    <m/>
    <n v="49544380"/>
    <n v="30918900"/>
    <n v="13698800"/>
    <m/>
    <s v="01 확정"/>
    <x v="1"/>
    <m/>
    <m/>
    <n v="12000000"/>
    <n v="12000000"/>
    <n v="0"/>
    <m/>
    <m/>
    <m/>
    <m/>
    <m/>
    <m/>
    <m/>
    <m/>
    <m/>
    <m/>
    <m/>
    <m/>
    <m/>
    <m/>
    <m/>
    <n v="2000000"/>
    <m/>
    <n v="2000000"/>
    <m/>
    <n v="2000000"/>
    <m/>
    <n v="2000000"/>
    <m/>
    <n v="2000000"/>
    <m/>
    <n v="2000000"/>
    <m/>
  </r>
  <r>
    <n v="864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2. 온라인 - 법정"/>
    <s v="03. 이러닝 - 법정"/>
    <s v="03. 이러닝 - 법정"/>
    <m/>
    <m/>
    <n v="19617800"/>
    <n v="3695500"/>
    <m/>
    <s v="01 확정"/>
    <x v="4"/>
    <m/>
    <m/>
    <n v="9000000"/>
    <n v="9000000"/>
    <n v="0"/>
    <m/>
    <m/>
    <m/>
    <m/>
    <m/>
    <m/>
    <m/>
    <m/>
    <m/>
    <m/>
    <m/>
    <m/>
    <m/>
    <n v="4500000"/>
    <m/>
    <m/>
    <m/>
    <m/>
    <m/>
    <m/>
    <m/>
    <m/>
    <m/>
    <m/>
    <m/>
    <n v="4500000"/>
    <m/>
  </r>
  <r>
    <n v="865"/>
    <m/>
    <m/>
    <s v="기업교육1팀"/>
    <s v="조미희"/>
    <s v="기업교육1팀"/>
    <x v="7"/>
    <m/>
    <m/>
    <s v="세방"/>
    <m/>
    <m/>
    <n v="2851"/>
    <s v="01 1~1000대"/>
    <s v="04 연장"/>
    <m/>
    <s v="6. 하이브리드러닝 - 집합형"/>
    <s v="09. 하이브리드러닝 - 순수 오프라인"/>
    <s v="09. 하이브리드러닝 - 순수 오프라인"/>
    <m/>
    <m/>
    <n v="13795000"/>
    <n v="10150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6"/>
    <m/>
    <m/>
    <s v="기업교육1팀"/>
    <s v="조미희"/>
    <s v="기업교육1팀"/>
    <x v="7"/>
    <m/>
    <m/>
    <s v="세방"/>
    <m/>
    <m/>
    <n v="2851"/>
    <s v="01 1~1000대"/>
    <s v="01 수성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7"/>
    <m/>
    <m/>
    <s v="기업교육1팀"/>
    <s v="조미희"/>
    <s v="기업교육1팀"/>
    <x v="7"/>
    <m/>
    <m/>
    <s v="세방 (승진자 오프라인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7865000"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8"/>
    <m/>
    <m/>
    <s v="기업교육1팀"/>
    <s v="조미희"/>
    <s v="기업교육1팀"/>
    <x v="7"/>
    <m/>
    <m/>
    <s v="세방 (온보딩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869"/>
    <m/>
    <m/>
    <s v="기업교육1팀"/>
    <s v="조미희"/>
    <s v="기업교육1팀"/>
    <x v="7"/>
    <m/>
    <m/>
    <s v="세방전지"/>
    <m/>
    <m/>
    <n v="2637"/>
    <s v="01 1~1000대"/>
    <s v="01 수성"/>
    <s v="03 휴넷 LMS"/>
    <s v="2. 온라인 - 법정"/>
    <s v="03. 이러닝 - 법정"/>
    <s v="03. 이러닝 - 법정"/>
    <m/>
    <s v=""/>
    <n v="2214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0"/>
    <m/>
    <m/>
    <s v="기업교육1팀"/>
    <s v="조미희"/>
    <s v="기업교육1팀"/>
    <x v="7"/>
    <m/>
    <m/>
    <s v="세방전지"/>
    <m/>
    <m/>
    <n v="2637"/>
    <s v="01 1~1000대"/>
    <s v="01 수성"/>
    <m/>
    <m/>
    <s v="08. 하이브리드러닝 - 하이브리드형 러닝"/>
    <s v="08. 하이브리드러닝 - 하이브리드형 러닝"/>
    <m/>
    <m/>
    <n v="0"/>
    <n v="0"/>
    <m/>
    <s v="03 기회"/>
    <x v="0"/>
    <m/>
    <m/>
    <n v="10500000"/>
    <n v="10500000"/>
    <n v="0"/>
    <m/>
    <m/>
    <m/>
    <m/>
    <m/>
    <m/>
    <m/>
    <n v="5500000"/>
    <m/>
    <m/>
    <m/>
    <m/>
    <m/>
    <n v="5000000"/>
    <m/>
    <m/>
    <m/>
    <m/>
    <m/>
    <m/>
    <m/>
    <m/>
    <m/>
    <m/>
    <m/>
    <m/>
    <m/>
  </r>
  <r>
    <n v="871"/>
    <m/>
    <m/>
    <s v="기업교육1팀"/>
    <s v="조미희"/>
    <s v="기업교육1팀"/>
    <x v="7"/>
    <m/>
    <m/>
    <s v="세방전지"/>
    <m/>
    <m/>
    <n v="2637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72"/>
    <m/>
    <m/>
    <s v="기업교육1팀"/>
    <s v="조미희"/>
    <s v="기업교육1팀"/>
    <x v="7"/>
    <m/>
    <m/>
    <s v="아성다이소"/>
    <m/>
    <m/>
    <n v="6385"/>
    <s v="01 1~1000대"/>
    <s v="03 신규"/>
    <m/>
    <m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73"/>
    <m/>
    <m/>
    <s v="기업교육1팀"/>
    <s v="조미희"/>
    <s v="기업교육1팀"/>
    <x v="7"/>
    <m/>
    <m/>
    <s v="아성다이소"/>
    <m/>
    <m/>
    <n v="6385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874"/>
    <m/>
    <m/>
    <s v="기업교육1팀"/>
    <s v="조미희"/>
    <s v="기업교육1팀"/>
    <x v="7"/>
    <m/>
    <m/>
    <s v="에스디바이오센서"/>
    <m/>
    <m/>
    <n v="18582"/>
    <s v="01 1~1000대"/>
    <s v="01 수성"/>
    <m/>
    <s v="6. 하이브리드러닝 - 집합형"/>
    <s v="08. 하이브리드러닝 - 하이브리드형 러닝"/>
    <s v="08. 하이브리드러닝 - 하이브리드형 러닝"/>
    <m/>
    <m/>
    <n v="11935955"/>
    <n v="18215000"/>
    <m/>
    <s v="01 확정"/>
    <x v="4"/>
    <m/>
    <m/>
    <n v="15000000"/>
    <n v="15000000"/>
    <n v="0"/>
    <m/>
    <m/>
    <m/>
    <m/>
    <m/>
    <m/>
    <m/>
    <m/>
    <m/>
    <n v="5000000"/>
    <m/>
    <n v="10000000"/>
    <m/>
    <m/>
    <m/>
    <m/>
    <m/>
    <m/>
    <m/>
    <m/>
    <m/>
    <m/>
    <m/>
    <m/>
    <m/>
    <m/>
    <m/>
  </r>
  <r>
    <n v="875"/>
    <m/>
    <m/>
    <s v="기업교육1팀"/>
    <s v="조미희"/>
    <s v="기업교육1팀"/>
    <x v="7"/>
    <m/>
    <m/>
    <s v="에스디바이오센서"/>
    <m/>
    <m/>
    <n v="185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876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3. 이러닝 - 법정"/>
    <s v="03. 이러닝 - 법정"/>
    <m/>
    <m/>
    <n v="0"/>
    <n v="0"/>
    <m/>
    <s v="03 기회"/>
    <x v="4"/>
    <m/>
    <m/>
    <n v="14000000"/>
    <n v="14000000"/>
    <n v="0"/>
    <m/>
    <m/>
    <m/>
    <m/>
    <m/>
    <m/>
    <m/>
    <m/>
    <m/>
    <m/>
    <m/>
    <n v="14000000"/>
    <m/>
    <m/>
    <m/>
    <m/>
    <m/>
    <m/>
    <m/>
    <m/>
    <m/>
    <m/>
    <m/>
    <m/>
    <m/>
    <m/>
    <m/>
  </r>
  <r>
    <n v="877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78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79"/>
    <m/>
    <m/>
    <s v="기업교육1팀"/>
    <s v="조미희"/>
    <s v="기업교육1팀"/>
    <x v="7"/>
    <m/>
    <m/>
    <s v="에코프로"/>
    <m/>
    <m/>
    <n v="20374"/>
    <s v="01 1~1000대"/>
    <s v="04 연장"/>
    <s v="03 휴넷 LMS"/>
    <s v="통합위탁"/>
    <s v="01. 이러닝 - 통합위탁"/>
    <s v="01. 이러닝 - 통합위탁"/>
    <s v="O"/>
    <n v="89308460"/>
    <n v="69571280"/>
    <n v="58420200"/>
    <m/>
    <s v="01 확정"/>
    <x v="0"/>
    <m/>
    <m/>
    <n v="70753500"/>
    <n v="70753500"/>
    <n v="0"/>
    <n v="596000"/>
    <n v="1349500"/>
    <m/>
    <n v="5000000"/>
    <n v="596000"/>
    <m/>
    <n v="5000000"/>
    <n v="2721800"/>
    <m/>
    <n v="6000000"/>
    <m/>
    <n v="6278200"/>
    <m/>
    <n v="5000000"/>
    <m/>
    <n v="5000000"/>
    <m/>
    <n v="9404000"/>
    <m/>
    <n v="10000000"/>
    <m/>
    <n v="10000000"/>
    <m/>
    <n v="9404000"/>
    <m/>
    <n v="5000000"/>
    <m/>
  </r>
  <r>
    <n v="880"/>
    <m/>
    <m/>
    <s v="기업교육1팀"/>
    <s v="조미희"/>
    <s v="기업교육1팀"/>
    <x v="7"/>
    <m/>
    <m/>
    <s v="에코프로"/>
    <m/>
    <m/>
    <n v="20374"/>
    <s v="01 1~1000대"/>
    <s v="01 수성"/>
    <m/>
    <m/>
    <s v="03. 이러닝 - 법정"/>
    <s v="03. 이러닝 - 법정"/>
    <m/>
    <m/>
    <n v="0"/>
    <n v="610900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81"/>
    <m/>
    <m/>
    <s v="기업교육1팀"/>
    <s v="조미희"/>
    <s v="기업교육1팀"/>
    <x v="7"/>
    <m/>
    <m/>
    <s v="에코프로"/>
    <m/>
    <m/>
    <n v="20374"/>
    <s v="01 1~1000대"/>
    <s v="01 수성"/>
    <m/>
    <m/>
    <s v="10. 구독 - 휴넷CEO멤버십"/>
    <s v="11. 구독 - 휴넷CEO멤버십"/>
    <m/>
    <m/>
    <n v="33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2"/>
    <m/>
    <m/>
    <s v="기업교육1팀"/>
    <s v="조미희"/>
    <s v="기업교육1팀"/>
    <x v="7"/>
    <m/>
    <m/>
    <s v="에코프로"/>
    <m/>
    <m/>
    <n v="20374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3"/>
    <m/>
    <m/>
    <s v="기업교육1팀"/>
    <s v="조미희"/>
    <s v="기업교육1팀"/>
    <x v="7"/>
    <m/>
    <m/>
    <s v="에코프로파트너스"/>
    <m/>
    <m/>
    <n v="45737"/>
    <s v="01 1~1000대"/>
    <s v="01 수성"/>
    <m/>
    <s v="2. 온라인 - 법정"/>
    <s v="03. 이러닝 - 법정"/>
    <s v="03. 이러닝 - 법정"/>
    <m/>
    <m/>
    <n v="390000"/>
    <n v="399000"/>
    <m/>
    <s v="02 가망"/>
    <x v="4"/>
    <m/>
    <m/>
    <n v="360000"/>
    <n v="360000"/>
    <n v="0"/>
    <m/>
    <m/>
    <m/>
    <m/>
    <m/>
    <m/>
    <m/>
    <m/>
    <m/>
    <m/>
    <m/>
    <m/>
    <m/>
    <n v="360000"/>
    <m/>
    <m/>
    <m/>
    <m/>
    <m/>
    <m/>
    <m/>
    <m/>
    <m/>
    <m/>
    <m/>
    <m/>
    <m/>
  </r>
  <r>
    <n v="884"/>
    <m/>
    <m/>
    <s v="기업교육1팀"/>
    <s v="조미희"/>
    <s v="기업교육1팀"/>
    <x v="7"/>
    <m/>
    <m/>
    <s v="이원커뮤니케이션"/>
    <m/>
    <m/>
    <n v="58722"/>
    <s v="01 1~1000대"/>
    <s v="04 연장"/>
    <m/>
    <s v="2. 온라인 - 법정"/>
    <s v="03. 이러닝 - 법정"/>
    <s v="03. 이러닝 - 법정"/>
    <m/>
    <n v="160000"/>
    <n v="288000"/>
    <n v="-32000"/>
    <m/>
    <s v="01 확정"/>
    <x v="4"/>
    <m/>
    <m/>
    <n v="300000"/>
    <n v="300000"/>
    <n v="0"/>
    <m/>
    <m/>
    <m/>
    <m/>
    <m/>
    <m/>
    <m/>
    <m/>
    <m/>
    <m/>
    <m/>
    <m/>
    <m/>
    <m/>
    <m/>
    <m/>
    <m/>
    <m/>
    <m/>
    <m/>
    <m/>
    <n v="300000"/>
    <m/>
    <m/>
    <m/>
    <m/>
    <m/>
  </r>
  <r>
    <n v="885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통합위탁"/>
    <s v="01. 이러닝 - 통합위탁"/>
    <s v="01. 이러닝 - 통합위탁"/>
    <s v="O"/>
    <n v="114000000"/>
    <n v="130860000"/>
    <n v="139999995"/>
    <m/>
    <s v="01 확정"/>
    <x v="0"/>
    <m/>
    <m/>
    <n v="154200000"/>
    <n v="154200000"/>
    <n v="0"/>
    <m/>
    <m/>
    <m/>
    <m/>
    <m/>
    <m/>
    <n v="15000000"/>
    <m/>
    <m/>
    <n v="30000000"/>
    <m/>
    <n v="15000000"/>
    <m/>
    <n v="15000000"/>
    <m/>
    <n v="15000000"/>
    <m/>
    <n v="15000000"/>
    <m/>
    <n v="15000000"/>
    <m/>
    <n v="15000000"/>
    <m/>
    <n v="15000000"/>
    <m/>
    <n v="19200000"/>
    <m/>
  </r>
  <r>
    <n v="886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10. 컨텐츠 - 컨텐츠 개발"/>
    <s v="14. 컨텐츠 - 컨텐츠 개발"/>
    <s v="15. 컨텐츠 - 컨텐츠 개발"/>
    <m/>
    <n v="48000000"/>
    <n v="22190000"/>
    <n v="0"/>
    <m/>
    <s v="01 확정"/>
    <x v="0"/>
    <m/>
    <m/>
    <n v="25454545"/>
    <n v="25454545"/>
    <n v="0"/>
    <m/>
    <m/>
    <m/>
    <m/>
    <m/>
    <m/>
    <m/>
    <m/>
    <m/>
    <m/>
    <m/>
    <m/>
    <m/>
    <m/>
    <m/>
    <m/>
    <m/>
    <m/>
    <m/>
    <m/>
    <m/>
    <n v="25454545"/>
    <m/>
    <m/>
    <m/>
    <m/>
    <m/>
  </r>
  <r>
    <n v="887"/>
    <m/>
    <m/>
    <s v="기업교육1팀"/>
    <s v="조미희"/>
    <s v="기업교육1팀"/>
    <x v="7"/>
    <m/>
    <m/>
    <s v="질병관리청"/>
    <m/>
    <m/>
    <n v="43832"/>
    <s v="01 1~1000대"/>
    <s v="02 윈백"/>
    <m/>
    <s v="1. 온라인 - 단과"/>
    <s v="02. 이러닝 - 단과"/>
    <s v="11. 구독 - 휴넷CEO멤버십"/>
    <m/>
    <n v="2200000"/>
    <n v="0"/>
    <n v="0"/>
    <m/>
    <s v="07 2023년 매출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888"/>
    <m/>
    <m/>
    <m/>
    <m/>
    <s v="기업교육1팀"/>
    <x v="7"/>
    <m/>
    <m/>
    <s v="쿠팡"/>
    <m/>
    <m/>
    <n v="13065"/>
    <s v="01 1~1000대"/>
    <s v="01 수성"/>
    <s v="01 자체 LMS"/>
    <s v="11. 컨텐츠 - 컨텐츠 임대/판매"/>
    <s v="07. 이러닝 - 컨텐츠 임대/판매"/>
    <s v="07. 이러닝 - 컨텐츠 임대/판매"/>
    <m/>
    <m/>
    <n v="15000000"/>
    <n v="0"/>
    <m/>
    <s v="08 2024년 매출"/>
    <x v="0"/>
    <m/>
    <m/>
    <n v="30000000"/>
    <n v="30000000"/>
    <n v="0"/>
    <m/>
    <n v="30000000"/>
    <m/>
    <m/>
    <m/>
    <m/>
    <m/>
    <m/>
    <m/>
    <m/>
    <m/>
    <m/>
    <m/>
    <m/>
    <m/>
    <m/>
    <m/>
    <m/>
    <m/>
    <m/>
    <m/>
    <m/>
    <m/>
    <m/>
    <m/>
    <m/>
    <m/>
  </r>
  <r>
    <n v="889"/>
    <m/>
    <m/>
    <s v="기업교육1팀"/>
    <s v="조미희"/>
    <s v="기업교육1팀"/>
    <x v="7"/>
    <m/>
    <m/>
    <s v="쿠팡"/>
    <m/>
    <m/>
    <n v="13065"/>
    <m/>
    <m/>
    <m/>
    <m/>
    <m/>
    <s v="09. 하이브리드러닝 - 순수 오프라인"/>
    <m/>
    <m/>
    <m/>
    <n v="20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0"/>
    <m/>
    <m/>
    <s v="기업교육1팀"/>
    <s v="조미희"/>
    <s v="기업교육1팀"/>
    <x v="7"/>
    <m/>
    <m/>
    <s v="쿠팡"/>
    <m/>
    <m/>
    <n v="13065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1"/>
    <m/>
    <m/>
    <s v="기업교육1팀"/>
    <s v="조미희"/>
    <s v="기업교육1팀"/>
    <x v="7"/>
    <m/>
    <m/>
    <s v="쿠팡"/>
    <m/>
    <m/>
    <n v="13065"/>
    <s v="01 1~1000대"/>
    <s v="01 수성"/>
    <m/>
    <s v="10. 컨텐츠 - 컨텐츠 개발"/>
    <s v="14. 컨텐츠 - 컨텐츠 개발"/>
    <s v="15. 컨텐츠 - 컨텐츠 개발"/>
    <m/>
    <n v="50000000"/>
    <n v="40450000"/>
    <n v="15000000"/>
    <m/>
    <s v="01 확정"/>
    <x v="0"/>
    <m/>
    <m/>
    <n v="10000000"/>
    <n v="10000000"/>
    <n v="0"/>
    <m/>
    <n v="10000000"/>
    <m/>
    <m/>
    <m/>
    <m/>
    <m/>
    <m/>
    <m/>
    <m/>
    <m/>
    <m/>
    <m/>
    <m/>
    <m/>
    <m/>
    <m/>
    <m/>
    <m/>
    <m/>
    <m/>
    <m/>
    <m/>
    <m/>
    <m/>
    <m/>
    <m/>
  </r>
  <r>
    <n v="892"/>
    <m/>
    <m/>
    <s v="기업교육1팀"/>
    <s v="조미희"/>
    <s v="기업교육1팀"/>
    <x v="7"/>
    <m/>
    <m/>
    <s v="쿠팡 스마트러닝"/>
    <m/>
    <m/>
    <n v="41214"/>
    <s v="01 1~1000대"/>
    <s v="01 수성"/>
    <s v="03 휴넷 LMS"/>
    <s v="3. 온라인 - 마이크로러닝"/>
    <s v="04. 이러닝 - 마이크로러닝"/>
    <s v="04. 이러닝 - 마이크로러닝"/>
    <m/>
    <n v="30258000"/>
    <n v="1802800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3"/>
    <m/>
    <m/>
    <s v="기업교육1팀"/>
    <s v="조미희"/>
    <s v="기업교육1팀"/>
    <x v="7"/>
    <m/>
    <m/>
    <s v="쿠팡이츠"/>
    <m/>
    <m/>
    <n v="49426"/>
    <s v="01 1~1000대"/>
    <s v="04 연장"/>
    <m/>
    <m/>
    <s v="04. 이러닝 - 마이크로러닝"/>
    <s v="04. 이러닝 - 마이크로러닝"/>
    <m/>
    <m/>
    <n v="0"/>
    <n v="900000"/>
    <m/>
    <s v="01 확정"/>
    <x v="0"/>
    <m/>
    <m/>
    <n v="900000"/>
    <n v="900000"/>
    <n v="0"/>
    <m/>
    <n v="900000"/>
    <m/>
    <m/>
    <m/>
    <m/>
    <m/>
    <m/>
    <m/>
    <m/>
    <m/>
    <m/>
    <m/>
    <m/>
    <m/>
    <m/>
    <m/>
    <m/>
    <m/>
    <m/>
    <m/>
    <m/>
    <m/>
    <m/>
    <m/>
    <m/>
    <m/>
  </r>
  <r>
    <n v="894"/>
    <m/>
    <m/>
    <s v="기업교육1팀"/>
    <s v="조미희"/>
    <s v="기업교육1팀"/>
    <x v="7"/>
    <m/>
    <m/>
    <s v="쿠팡페이"/>
    <m/>
    <m/>
    <n v="45117"/>
    <s v="01 1~1000대"/>
    <s v="01 수성"/>
    <m/>
    <s v="1. 온라인 - 단과"/>
    <s v="02. 이러닝 - 단과"/>
    <s v="02. 이러닝 - 단과"/>
    <m/>
    <n v="42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5"/>
    <m/>
    <m/>
    <s v="기업교육1팀"/>
    <s v="조미희"/>
    <s v="기업교육1팀"/>
    <x v="7"/>
    <m/>
    <m/>
    <s v="쿠팡페이"/>
    <m/>
    <m/>
    <n v="45117"/>
    <s v="01 1~1000대"/>
    <s v="01 수성"/>
    <m/>
    <s v="2. 온라인 - 법정"/>
    <s v="03. 이러닝 - 법정"/>
    <s v="03. 이러닝 - 법정"/>
    <m/>
    <m/>
    <n v="3290000"/>
    <n v="3740000"/>
    <m/>
    <s v="02 가망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6"/>
    <m/>
    <m/>
    <s v="기업교육1팀"/>
    <s v="조미희"/>
    <s v="기업교육1팀"/>
    <x v="7"/>
    <m/>
    <m/>
    <s v="쿠팡페이"/>
    <m/>
    <m/>
    <n v="45117"/>
    <s v="02 1001~2000대"/>
    <s v="01 수성"/>
    <s v="03 휴넷 LMS"/>
    <s v="3. 온라인 - 마이크로러닝"/>
    <s v="04. 이러닝 - 마이크로러닝"/>
    <s v="04. 이러닝 - 마이크로러닝"/>
    <m/>
    <n v="54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7"/>
    <m/>
    <m/>
    <m/>
    <m/>
    <s v="기업교육1팀"/>
    <x v="7"/>
    <m/>
    <m/>
    <s v="쿠팡페이"/>
    <m/>
    <m/>
    <n v="45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8"/>
    <m/>
    <m/>
    <s v="기업교육1팀"/>
    <s v="조미희"/>
    <s v="기업교육1팀"/>
    <x v="7"/>
    <m/>
    <m/>
    <s v="쿠팡풀필먼트서비스"/>
    <m/>
    <m/>
    <n v="28603"/>
    <s v="01 1~1000대"/>
    <s v="01 수성"/>
    <s v="03 휴넷 LMS"/>
    <s v="3. 온라인 - 마이크로러닝"/>
    <s v="04. 이러닝 - 마이크로러닝"/>
    <s v="04. 이러닝 - 마이크로러닝"/>
    <m/>
    <n v="25500000"/>
    <n v="25500000"/>
    <n v="25500000"/>
    <m/>
    <s v="02 가망"/>
    <x v="4"/>
    <m/>
    <m/>
    <n v="25500000"/>
    <n v="25500000"/>
    <n v="0"/>
    <m/>
    <m/>
    <m/>
    <m/>
    <m/>
    <m/>
    <m/>
    <m/>
    <m/>
    <m/>
    <m/>
    <m/>
    <m/>
    <m/>
    <m/>
    <m/>
    <m/>
    <n v="5100000"/>
    <m/>
    <n v="5100000"/>
    <m/>
    <n v="5100000"/>
    <m/>
    <n v="5100000"/>
    <m/>
    <n v="5100000"/>
    <m/>
  </r>
  <r>
    <n v="899"/>
    <m/>
    <m/>
    <s v="기업교육1팀"/>
    <s v="조미희"/>
    <s v="기업교육1팀"/>
    <x v="7"/>
    <m/>
    <m/>
    <s v="쿠팡풀필먼트서비스"/>
    <m/>
    <m/>
    <m/>
    <m/>
    <s v="03 신규"/>
    <m/>
    <m/>
    <m/>
    <s v="07. 이러닝 - 컨텐츠 임대/판매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900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n v="17942000"/>
    <n v="20616000"/>
    <n v="24426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901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2"/>
    <m/>
    <m/>
    <s v="기업교육1팀"/>
    <s v="조미희"/>
    <s v="기업교육1팀"/>
    <x v="7"/>
    <m/>
    <m/>
    <s v="크래프톤"/>
    <m/>
    <m/>
    <n v="16700"/>
    <m/>
    <s v="03 신규"/>
    <m/>
    <m/>
    <s v="09. 하이브리드러닝 - 순수 오프라인"/>
    <s v="09. 하이브리드러닝 - 순수 오프라인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n v="5000000"/>
    <m/>
    <m/>
    <m/>
    <m/>
    <m/>
  </r>
  <r>
    <n v="903"/>
    <m/>
    <m/>
    <s v="기업교육1팀"/>
    <s v="조미희"/>
    <s v="기업교육1팀"/>
    <x v="7"/>
    <m/>
    <m/>
    <s v="크래프톤"/>
    <m/>
    <m/>
    <n v="16700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904"/>
    <m/>
    <m/>
    <s v="기업교육1팀"/>
    <s v="조미희"/>
    <s v="기업교육1팀"/>
    <x v="7"/>
    <m/>
    <m/>
    <s v="키스코홀딩스그룹"/>
    <m/>
    <m/>
    <n v="61288"/>
    <s v="01 1~1000대"/>
    <s v="04 연장"/>
    <m/>
    <s v="1. 온라인 - 단과"/>
    <s v="02. 이러닝 - 단과"/>
    <s v="02. 이러닝 - 단과"/>
    <s v="O"/>
    <n v="6364220"/>
    <n v="8982500"/>
    <n v="9512000"/>
    <m/>
    <s v="01 확정"/>
    <x v="0"/>
    <m/>
    <m/>
    <n v="7000000"/>
    <n v="7000000"/>
    <n v="0"/>
    <m/>
    <m/>
    <m/>
    <m/>
    <m/>
    <m/>
    <m/>
    <m/>
    <m/>
    <m/>
    <m/>
    <m/>
    <m/>
    <m/>
    <m/>
    <n v="3500000"/>
    <m/>
    <m/>
    <m/>
    <m/>
    <m/>
    <m/>
    <m/>
    <m/>
    <m/>
    <n v="3500000"/>
    <m/>
  </r>
  <r>
    <n v="905"/>
    <m/>
    <m/>
    <s v="기업교육1팀"/>
    <s v="조미희"/>
    <s v="기업교육1팀"/>
    <x v="7"/>
    <m/>
    <m/>
    <s v="키스코홀딩스그룹"/>
    <m/>
    <m/>
    <n v="61288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6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1. 온라인 - 단과"/>
    <s v="02. 이러닝 - 단과"/>
    <s v="02. 이러닝 - 단과"/>
    <m/>
    <n v="8323500"/>
    <n v="2920000"/>
    <n v="22500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7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m/>
    <s v="03. 이러닝 - 법정"/>
    <s v="03. 이러닝 - 법정"/>
    <m/>
    <m/>
    <m/>
    <n v="4235000"/>
    <m/>
    <s v="01 확정"/>
    <x v="4"/>
    <m/>
    <m/>
    <n v="4300000"/>
    <n v="4300000"/>
    <n v="0"/>
    <m/>
    <m/>
    <m/>
    <m/>
    <m/>
    <m/>
    <m/>
    <m/>
    <m/>
    <m/>
    <m/>
    <n v="4300000"/>
    <m/>
    <m/>
    <m/>
    <m/>
    <m/>
    <m/>
    <m/>
    <m/>
    <m/>
    <m/>
    <m/>
    <m/>
    <m/>
    <m/>
    <m/>
  </r>
  <r>
    <n v="908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6. 하이브리드러닝 - 집합형"/>
    <s v="08. 하이브리드러닝 - 하이브리드형 러닝"/>
    <s v="08. 하이브리드러닝 - 하이브리드형 러닝"/>
    <m/>
    <n v="2100000"/>
    <n v="0"/>
    <n v="6850000"/>
    <m/>
    <s v="01 확정"/>
    <x v="0"/>
    <m/>
    <m/>
    <n v="1600000"/>
    <n v="1600000"/>
    <n v="0"/>
    <m/>
    <m/>
    <m/>
    <m/>
    <m/>
    <m/>
    <m/>
    <m/>
    <m/>
    <m/>
    <m/>
    <n v="1600000"/>
    <m/>
    <m/>
    <m/>
    <m/>
    <m/>
    <m/>
    <m/>
    <m/>
    <m/>
    <m/>
    <m/>
    <m/>
    <m/>
    <m/>
    <m/>
  </r>
  <r>
    <n v="909"/>
    <m/>
    <m/>
    <s v="기업교육1팀"/>
    <s v="조미희"/>
    <s v="기업교육1팀"/>
    <x v="7"/>
    <m/>
    <m/>
    <s v="한국능률협회(포사이트포럼)"/>
    <m/>
    <m/>
    <n v="42175"/>
    <s v="01 1~1000대"/>
    <s v="01 수성"/>
    <m/>
    <s v="36. 기타 - 기타"/>
    <s v="24. 기타 - 포럼"/>
    <s v="23. 기타 - 포럼"/>
    <m/>
    <m/>
    <n v="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0"/>
    <m/>
    <m/>
    <s v="기업교육1팀"/>
    <s v="조미희"/>
    <s v="기업교육1팀"/>
    <x v="7"/>
    <m/>
    <m/>
    <s v="한국생명공학연구원"/>
    <m/>
    <m/>
    <n v="7169"/>
    <s v="05 공공"/>
    <s v="04 연장"/>
    <m/>
    <s v="통합위탁"/>
    <s v="01. 이러닝 - 통합위탁"/>
    <s v="01. 이러닝 - 통합위탁"/>
    <s v="O"/>
    <n v="29819020"/>
    <n v="80309982"/>
    <n v="74351780"/>
    <m/>
    <s v="01 확정"/>
    <x v="0"/>
    <m/>
    <m/>
    <n v="43626980"/>
    <n v="43626980"/>
    <n v="0"/>
    <n v="5000000"/>
    <m/>
    <m/>
    <n v="5000000"/>
    <m/>
    <m/>
    <n v="5000000"/>
    <m/>
    <m/>
    <n v="33626980"/>
    <m/>
    <n v="5000000"/>
    <m/>
    <n v="5000000"/>
    <m/>
    <m/>
    <m/>
    <m/>
    <m/>
    <m/>
    <m/>
    <m/>
    <m/>
    <m/>
    <m/>
    <m/>
    <m/>
  </r>
  <r>
    <n v="911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통합위탁"/>
    <s v="01. 이러닝 - 통합위탁"/>
    <s v="01. 이러닝 - 통합위탁"/>
    <m/>
    <m/>
    <n v="0"/>
    <n v="0"/>
    <m/>
    <s v="02 가망"/>
    <x v="4"/>
    <m/>
    <m/>
    <n v="42000000"/>
    <n v="42000000"/>
    <n v="0"/>
    <m/>
    <m/>
    <m/>
    <m/>
    <m/>
    <m/>
    <m/>
    <m/>
    <m/>
    <m/>
    <m/>
    <m/>
    <m/>
    <m/>
    <m/>
    <n v="7000000"/>
    <m/>
    <n v="7000000"/>
    <m/>
    <n v="7000000"/>
    <m/>
    <n v="7000000"/>
    <m/>
    <n v="7000000"/>
    <m/>
    <n v="7000000"/>
    <m/>
  </r>
  <r>
    <n v="912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6. 하이브리드러닝 - 집합형"/>
    <s v="09. 하이브리드러닝 - 순수 오프라인"/>
    <s v="09. 하이브리드러닝 - 순수 오프라인"/>
    <m/>
    <m/>
    <n v="7450000"/>
    <n v="9000000"/>
    <m/>
    <s v="08 2024년 매출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913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10. 컨텐츠 - 컨텐츠 개발"/>
    <s v="14. 컨텐츠 - 컨텐츠 개발"/>
    <s v="15. 컨텐츠 - 컨텐츠 개발"/>
    <m/>
    <n v="15102700"/>
    <n v="8900000"/>
    <n v="7000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n v="9000000"/>
    <m/>
    <m/>
    <m/>
  </r>
  <r>
    <n v="914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0"/>
    <m/>
    <s v="01 확정"/>
    <x v="4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915"/>
    <m/>
    <m/>
    <s v="기업교육1팀"/>
    <s v="조미희"/>
    <s v="기업교육1팀"/>
    <x v="7"/>
    <m/>
    <m/>
    <s v="한국원자력연료"/>
    <m/>
    <m/>
    <n v="4706"/>
    <s v="09. 하이브리드러닝 - 순수 오프라인"/>
    <s v="03 신규"/>
    <m/>
    <m/>
    <s v="09. 하이브리드러닝 - 순수 오프라인"/>
    <s v="09. 하이브리드러닝 - 순수 오프라인"/>
    <m/>
    <m/>
    <m/>
    <n v="0"/>
    <m/>
    <m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n v="200000000"/>
    <m/>
    <m/>
    <m/>
  </r>
  <r>
    <n v="916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245630970"/>
    <m/>
    <s v="01 확정"/>
    <x v="5"/>
    <m/>
    <m/>
    <n v="180000000"/>
    <n v="180000000"/>
    <n v="0"/>
    <m/>
    <m/>
    <m/>
    <m/>
    <m/>
    <m/>
    <m/>
    <m/>
    <m/>
    <m/>
    <m/>
    <m/>
    <m/>
    <m/>
    <m/>
    <m/>
    <m/>
    <m/>
    <m/>
    <m/>
    <m/>
    <m/>
    <m/>
    <n v="180000000"/>
    <m/>
    <m/>
    <m/>
  </r>
  <r>
    <n v="917"/>
    <m/>
    <m/>
    <s v="기업교육1팀"/>
    <s v="조미희"/>
    <s v="기업교육1팀"/>
    <x v="7"/>
    <m/>
    <m/>
    <s v="한국지능정보사회진흥원"/>
    <m/>
    <m/>
    <n v="28822"/>
    <s v="05 공공"/>
    <s v="02 윈백"/>
    <m/>
    <s v="2. 온라인 - 법정"/>
    <s v="03. 이러닝 - 법정"/>
    <s v="03. 이러닝 - 법정"/>
    <m/>
    <n v="8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8"/>
    <m/>
    <m/>
    <s v="기업교육1팀"/>
    <s v="조미희"/>
    <s v="기업교육1팀"/>
    <x v="7"/>
    <m/>
    <m/>
    <s v="한국지능정보사회진흥원"/>
    <m/>
    <m/>
    <n v="28822"/>
    <s v="05 공공"/>
    <s v="01 수성"/>
    <m/>
    <s v="6. 하이브리드러닝 - 집합형"/>
    <s v="08. 하이브리드러닝 - 하이브리드형 러닝"/>
    <s v="08. 하이브리드러닝 - 하이브리드형 러닝"/>
    <m/>
    <n v="4203364"/>
    <n v="25018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19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m/>
    <s v="15. 솔루션 - LABS"/>
    <s v="02. 이러닝 - 단과"/>
    <m/>
    <m/>
    <n v="0"/>
    <n v="652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20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54800000"/>
    <m/>
    <s v="01 확정"/>
    <x v="0"/>
    <m/>
    <m/>
    <n v="11280000"/>
    <n v="11280000"/>
    <n v="0"/>
    <n v="11280000"/>
    <n v="11280000"/>
    <m/>
    <m/>
    <m/>
    <m/>
    <m/>
    <m/>
    <m/>
    <m/>
    <m/>
    <m/>
    <m/>
    <m/>
    <m/>
    <m/>
    <m/>
    <m/>
    <m/>
    <m/>
    <m/>
    <m/>
    <m/>
    <m/>
    <m/>
    <m/>
    <m/>
  </r>
  <r>
    <n v="921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8. 리더스아카데미 - 리더스아카데미"/>
    <s v="11. 구독 - 휴넷 리더십저니"/>
    <s v="08. 하이브리드러닝 - 하이브리드형 러닝"/>
    <m/>
    <m/>
    <n v="0"/>
    <n v="0"/>
    <m/>
    <s v="03 기회"/>
    <x v="0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22"/>
    <m/>
    <m/>
    <s v="기업교육1팀"/>
    <s v="조미희"/>
    <s v="기업교육1팀"/>
    <x v="7"/>
    <m/>
    <m/>
    <s v="한국타이어앤테크놀로지"/>
    <m/>
    <m/>
    <n v="20503"/>
    <s v="01 1~1000대"/>
    <s v="01 수성"/>
    <m/>
    <s v="6. 하이브리드러닝 - 집합형"/>
    <s v="08. 하이브리드러닝 - 하이브리드형 러닝"/>
    <s v="08. 하이브리드러닝 - 하이브리드형 러닝"/>
    <m/>
    <m/>
    <n v="18200000"/>
    <n v="0"/>
    <m/>
    <s v="01 확정"/>
    <x v="0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923"/>
    <m/>
    <m/>
    <s v="기업교육1팀"/>
    <s v="조미희"/>
    <s v="기업교육1팀"/>
    <x v="7"/>
    <m/>
    <m/>
    <s v="한세실업"/>
    <m/>
    <m/>
    <n v="3944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24"/>
    <m/>
    <m/>
    <s v="기업교육1팀"/>
    <s v="조미희"/>
    <s v="기업교육1팀"/>
    <x v="7"/>
    <m/>
    <m/>
    <s v="한세실업"/>
    <m/>
    <m/>
    <n v="3944"/>
    <s v="01 1~1000대"/>
    <s v="03 신규"/>
    <m/>
    <s v="1. 온라인 - 단과"/>
    <s v="01. 이러닝 - 통합위탁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925"/>
    <m/>
    <m/>
    <m/>
    <m/>
    <s v="기업교육1팀"/>
    <x v="7"/>
    <m/>
    <m/>
    <s v="한솔섬유"/>
    <m/>
    <m/>
    <n v="18079"/>
    <s v="01 1~1000대"/>
    <s v="04 연장"/>
    <m/>
    <s v="1. 온라인 - 단과"/>
    <s v="02. 이러닝 - 단과"/>
    <s v="02. 이러닝 - 단과"/>
    <m/>
    <n v="19455000"/>
    <n v="29702000"/>
    <n v="24849000"/>
    <m/>
    <s v="01 확정"/>
    <x v="0"/>
    <m/>
    <m/>
    <n v="20000000"/>
    <n v="20000000"/>
    <n v="0"/>
    <m/>
    <m/>
    <m/>
    <n v="4000000"/>
    <n v="880000"/>
    <m/>
    <n v="2000000"/>
    <n v="110000"/>
    <m/>
    <n v="2000000"/>
    <m/>
    <n v="2000000"/>
    <m/>
    <n v="2000000"/>
    <m/>
    <n v="2000000"/>
    <m/>
    <n v="2000000"/>
    <m/>
    <n v="2000000"/>
    <m/>
    <n v="3890000"/>
    <m/>
    <n v="3120000"/>
    <m/>
    <m/>
    <m/>
  </r>
  <r>
    <n v="926"/>
    <m/>
    <m/>
    <s v="기업교육1팀"/>
    <s v="조미희"/>
    <s v="기업교육1팀"/>
    <x v="7"/>
    <m/>
    <m/>
    <s v="한솔섬유"/>
    <m/>
    <m/>
    <n v="18079"/>
    <m/>
    <m/>
    <m/>
    <m/>
    <m/>
    <s v="03. 이러닝 - 법정"/>
    <m/>
    <m/>
    <m/>
    <n v="6919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7"/>
    <m/>
    <m/>
    <s v="기업교육1팀"/>
    <s v="황동현"/>
    <s v="기업교육1팀"/>
    <x v="7"/>
    <m/>
    <m/>
    <s v="한솔섬유"/>
    <m/>
    <m/>
    <n v="18079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928"/>
    <m/>
    <m/>
    <s v="기업교육1팀"/>
    <s v="황동현"/>
    <s v="기업교육1팀"/>
    <x v="7"/>
    <m/>
    <m/>
    <s v="한온시스템"/>
    <m/>
    <m/>
    <n v="3770"/>
    <s v="01 1~1000대"/>
    <s v="04 연장"/>
    <s v="03 휴넷 LMS"/>
    <s v="2. 온라인 - 법정"/>
    <s v="03. 이러닝 - 법정"/>
    <s v="03. 이러닝 - 법정"/>
    <m/>
    <n v="12091000"/>
    <n v="43100500"/>
    <n v="27386000"/>
    <m/>
    <s v="01 확정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929"/>
    <m/>
    <m/>
    <s v="기업교육1팀"/>
    <s v="조미희"/>
    <s v="기업교육1팀"/>
    <x v="7"/>
    <m/>
    <m/>
    <s v="한온시스템"/>
    <m/>
    <m/>
    <n v="3770"/>
    <s v="01 1~1000대"/>
    <s v="03 신규"/>
    <s v="03 휴넷 LMS"/>
    <s v="5. 하이브리드러닝 - 러닝저니"/>
    <s v="08. 하이브리드러닝 - 하이브리드형 러닝"/>
    <s v="08. 하이브리드러닝 - 하이브리드형 러닝"/>
    <m/>
    <s v=""/>
    <n v="2890000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930"/>
    <m/>
    <m/>
    <s v="기업교육1팀"/>
    <s v="조미희"/>
    <s v="기업교육1팀"/>
    <x v="7"/>
    <m/>
    <m/>
    <s v="현대건설"/>
    <m/>
    <m/>
    <n v="3707"/>
    <s v="01 1~1000대"/>
    <s v="01 수성"/>
    <m/>
    <m/>
    <s v="08. 하이브리드러닝 - 하이브리드형 러닝"/>
    <s v="08. 하이브리드러닝 - 하이브리드형 러닝"/>
    <m/>
    <m/>
    <n v="0"/>
    <n v="45600000"/>
    <m/>
    <s v="01 확정"/>
    <x v="0"/>
    <m/>
    <m/>
    <n v="41800000"/>
    <n v="41800000"/>
    <n v="0"/>
    <m/>
    <m/>
    <m/>
    <m/>
    <m/>
    <m/>
    <m/>
    <m/>
    <m/>
    <m/>
    <m/>
    <m/>
    <m/>
    <n v="41800000"/>
    <m/>
    <m/>
    <m/>
    <m/>
    <m/>
    <m/>
    <m/>
    <m/>
    <m/>
    <m/>
    <m/>
    <m/>
    <m/>
  </r>
  <r>
    <n v="931"/>
    <m/>
    <m/>
    <s v="기업교육1팀"/>
    <s v="조미희"/>
    <s v="기업교육1팀"/>
    <x v="7"/>
    <m/>
    <m/>
    <s v="현대건설"/>
    <m/>
    <m/>
    <n v="3707"/>
    <s v="01 1~1000대"/>
    <s v="01 수성"/>
    <m/>
    <s v="6. 하이브리드러닝 - 집합형"/>
    <s v="08. 하이브리드러닝 - 하이브리드형 러닝"/>
    <s v="08. 하이브리드러닝 - 하이브리드형 러닝"/>
    <m/>
    <m/>
    <n v="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n v="0"/>
    <m/>
    <m/>
    <m/>
    <m/>
    <m/>
    <m/>
    <m/>
    <m/>
    <m/>
  </r>
  <r>
    <n v="932"/>
    <m/>
    <m/>
    <s v="기업교육1팀"/>
    <s v="조미희"/>
    <s v="기업교육1팀"/>
    <x v="7"/>
    <m/>
    <m/>
    <s v="현대건설"/>
    <m/>
    <m/>
    <n v="3707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3"/>
    <m/>
    <m/>
    <s v="기업교육1팀"/>
    <s v="조미희"/>
    <s v="기업교육1팀"/>
    <x v="7"/>
    <m/>
    <m/>
    <s v="현대그룹"/>
    <m/>
    <m/>
    <n v="18491"/>
    <s v="01 1~1000대"/>
    <s v="03 신규"/>
    <m/>
    <s v="1. 온라인 - 단과"/>
    <s v="02. 이러닝 - 단과"/>
    <s v="02. 이러닝 - 단과"/>
    <m/>
    <n v="21600000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4"/>
    <m/>
    <m/>
    <s v="기업교육1팀"/>
    <s v="조미희"/>
    <s v="기업교육1팀"/>
    <x v="7"/>
    <m/>
    <m/>
    <s v="현대그룹"/>
    <m/>
    <m/>
    <n v="18491"/>
    <s v="01 1~1000대"/>
    <s v="03 신규"/>
    <m/>
    <s v="8. 리더스아카데미 - 리더스아카데미"/>
    <s v="08. 하이브리드러닝 - 하이브리드형 러닝"/>
    <s v="08. 하이브리드러닝 - 하이브리드형 러닝"/>
    <m/>
    <m/>
    <n v="6700000"/>
    <n v="172534727"/>
    <m/>
    <s v="01 확정"/>
    <x v="0"/>
    <m/>
    <m/>
    <n v="5700000"/>
    <n v="5700000"/>
    <n v="0"/>
    <m/>
    <m/>
    <m/>
    <m/>
    <m/>
    <m/>
    <n v="6000000"/>
    <n v="5700000"/>
    <m/>
    <m/>
    <m/>
    <m/>
    <m/>
    <m/>
    <m/>
    <m/>
    <m/>
    <m/>
    <m/>
    <m/>
    <m/>
    <m/>
    <m/>
    <m/>
    <m/>
    <m/>
    <m/>
  </r>
  <r>
    <n v="935"/>
    <m/>
    <m/>
    <s v="기업교육1팀"/>
    <s v="조미희"/>
    <s v="기업교육1팀"/>
    <x v="7"/>
    <m/>
    <m/>
    <s v="현대그룹"/>
    <m/>
    <m/>
    <n v="18491"/>
    <s v="01 1~1000대"/>
    <s v="01 수성"/>
    <m/>
    <s v="6. 하이브리드러닝 - 집합형"/>
    <s v="08. 하이브리드러닝 - 하이브리드형 러닝"/>
    <s v="08. 하이브리드러닝 - 하이브리드형 러닝"/>
    <m/>
    <m/>
    <n v="28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6"/>
    <m/>
    <m/>
    <s v="기업교육1팀"/>
    <s v="조미희"/>
    <s v="기업교육1팀"/>
    <x v="7"/>
    <m/>
    <m/>
    <s v="현대아이에스씨"/>
    <m/>
    <m/>
    <n v="52860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7"/>
    <m/>
    <m/>
    <s v="기업교육1팀"/>
    <s v="조미희"/>
    <s v="기업교육1팀"/>
    <x v="7"/>
    <m/>
    <m/>
    <s v="현대엘리베이터"/>
    <m/>
    <m/>
    <n v="387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8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10. 구독 - 휴넷CEO멤버십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9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24. 기타 - 포럼"/>
    <s v="23. 기타 - 포럼"/>
    <m/>
    <m/>
    <n v="5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940"/>
    <m/>
    <m/>
    <s v="기업교육1팀"/>
    <s v="조미희"/>
    <s v="기업교육1팀"/>
    <x v="7"/>
    <m/>
    <m/>
    <s v="현대엘리베이터서비스"/>
    <m/>
    <m/>
    <n v="54502"/>
    <s v="01 1~1000대"/>
    <s v="01 수성"/>
    <m/>
    <s v="2. 온라인 - 법정"/>
    <s v="03. 이러닝 - 법정"/>
    <s v="03. 이러닝 - 법정"/>
    <m/>
    <m/>
    <n v="5913600"/>
    <n v="5808000"/>
    <m/>
    <s v="02 가망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941"/>
    <m/>
    <m/>
    <s v="기업교육1팀"/>
    <s v="조미희"/>
    <s v="기업교육1팀"/>
    <x v="7"/>
    <m/>
    <m/>
    <s v="현대엘리베이터서비스"/>
    <m/>
    <m/>
    <n v="54502"/>
    <s v="01 1~1000대"/>
    <s v="03 신규"/>
    <m/>
    <m/>
    <s v="09. 하이브리드러닝 - 순수 오프라인"/>
    <s v="09. 하이브리드러닝 - 순수 오프라인"/>
    <m/>
    <m/>
    <n v="0"/>
    <n v="1600000"/>
    <m/>
    <s v="01 확정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942"/>
    <m/>
    <m/>
    <s v="기업교육1팀"/>
    <s v="조미희"/>
    <s v="기업교육1팀"/>
    <x v="7"/>
    <m/>
    <m/>
    <s v="현대제철"/>
    <m/>
    <m/>
    <n v="4748"/>
    <s v="01 1~1000대"/>
    <s v="01 수성"/>
    <m/>
    <s v="6. 하이브리드러닝 - 집합형"/>
    <s v="08. 하이브리드러닝 - 하이브리드형 러닝"/>
    <s v="08. 하이브리드러닝 - 하이브리드형 러닝"/>
    <m/>
    <m/>
    <n v="23600000"/>
    <n v="0"/>
    <m/>
    <s v="06 사업취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3"/>
    <m/>
    <m/>
    <s v="기업교육1팀"/>
    <s v="김도엽"/>
    <s v="기업교육1팀"/>
    <x v="7"/>
    <m/>
    <m/>
    <s v="현대코퍼레이션"/>
    <m/>
    <m/>
    <n v="29617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4"/>
    <m/>
    <m/>
    <s v="기업교육1팀"/>
    <s v="김도엽"/>
    <s v="기업교육1팀"/>
    <x v="8"/>
    <m/>
    <m/>
    <s v="DL"/>
    <m/>
    <m/>
    <n v="8831"/>
    <s v="01 1~1000대"/>
    <s v="01 수성"/>
    <s v="03 휴넷 LMS"/>
    <s v="11. 컨텐츠 - 컨텐츠 임대/판매"/>
    <s v="07. 이러닝 - 컨텐츠 임대/판매"/>
    <s v="07. 이러닝 - 컨텐츠 임대/판매"/>
    <m/>
    <m/>
    <n v="289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945"/>
    <m/>
    <m/>
    <s v="기업교육1팀"/>
    <s v="김도엽"/>
    <s v="기업교육1팀"/>
    <x v="8"/>
    <m/>
    <m/>
    <s v="DL"/>
    <m/>
    <m/>
    <n v="883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946"/>
    <m/>
    <m/>
    <s v="기업교육1팀"/>
    <s v="김도엽"/>
    <s v="기업교육1팀"/>
    <x v="8"/>
    <m/>
    <m/>
    <s v="DL건설"/>
    <m/>
    <m/>
    <n v="55714"/>
    <s v="01 1~1000대"/>
    <s v="01 수성"/>
    <s v="03 휴넷 LMS"/>
    <s v="1. 온라인 - 단과"/>
    <s v="02. 이러닝 - 단과"/>
    <s v="02. 이러닝 - 단과"/>
    <m/>
    <n v="3960000"/>
    <n v="228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947"/>
    <m/>
    <m/>
    <s v="기업교육1팀"/>
    <s v="김도엽"/>
    <s v="기업교육1팀"/>
    <x v="8"/>
    <m/>
    <m/>
    <s v="DL건설"/>
    <m/>
    <m/>
    <n v="55714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4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48"/>
    <m/>
    <m/>
    <s v="기업교육1팀"/>
    <s v="김도엽"/>
    <s v="기업교육1팀"/>
    <x v="8"/>
    <m/>
    <m/>
    <s v="DL건설"/>
    <m/>
    <m/>
    <n v="55714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49"/>
    <m/>
    <m/>
    <s v="기업교육1팀"/>
    <s v="김도엽"/>
    <s v="기업교육1팀"/>
    <x v="8"/>
    <m/>
    <m/>
    <s v="DL이앤씨"/>
    <m/>
    <m/>
    <n v="54464"/>
    <s v="01 1~1000대"/>
    <s v="03 신규"/>
    <s v="03 휴넷 LMS"/>
    <s v="1. 온라인 - 단과"/>
    <s v="02. 이러닝 - 단과"/>
    <s v="02. 이러닝 - 단과"/>
    <m/>
    <n v="632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0"/>
    <m/>
    <m/>
    <m/>
    <m/>
    <s v="기업교육1팀"/>
    <x v="8"/>
    <m/>
    <m/>
    <s v="DL케미칼"/>
    <m/>
    <m/>
    <n v="14057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51"/>
    <m/>
    <m/>
    <s v="기업교육1팀"/>
    <s v="김도엽"/>
    <s v="기업교육1팀"/>
    <x v="8"/>
    <m/>
    <m/>
    <s v="경기도미래세대재단 청년본부"/>
    <m/>
    <m/>
    <n v="63720"/>
    <m/>
    <m/>
    <m/>
    <m/>
    <m/>
    <s v="08. 하이브리드러닝 - 하이브리드형 러닝"/>
    <m/>
    <m/>
    <m/>
    <n v="3181818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2"/>
    <m/>
    <m/>
    <s v="기업교육1팀"/>
    <s v="김도엽"/>
    <s v="기업교육1팀"/>
    <x v="8"/>
    <m/>
    <m/>
    <s v="기아 (안전보건 콘텐츠개발)"/>
    <m/>
    <m/>
    <n v="3689"/>
    <s v="01 1~1000대"/>
    <s v="01 수성"/>
    <m/>
    <m/>
    <s v="14. 컨텐츠 - 컨텐츠 개발"/>
    <s v="15. 컨텐츠 - 컨텐츠 개발"/>
    <m/>
    <m/>
    <m/>
    <n v="0"/>
    <m/>
    <s v="04 실주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53"/>
    <m/>
    <m/>
    <s v="기업교육1팀"/>
    <s v="김도엽"/>
    <s v="기업교육1팀"/>
    <x v="8"/>
    <m/>
    <m/>
    <s v="기아(DEI과정개발,운영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4"/>
    <m/>
    <m/>
    <s v="기업교육1팀"/>
    <s v="김도엽"/>
    <s v="기업교육1팀"/>
    <x v="8"/>
    <m/>
    <m/>
    <s v="기아(HR아카데미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69625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5"/>
    <m/>
    <m/>
    <s v="기업교육1팀"/>
    <s v="김도엽"/>
    <s v="기업교육1팀"/>
    <x v="8"/>
    <m/>
    <m/>
    <s v="기아(KVO)"/>
    <m/>
    <m/>
    <n v="3689"/>
    <m/>
    <m/>
    <m/>
    <m/>
    <s v="08. 하이브리드러닝 - 하이브리드형 러닝"/>
    <s v="08. 하이브리드러닝 - 하이브리드형 러닝"/>
    <m/>
    <m/>
    <m/>
    <n v="62100000"/>
    <m/>
    <s v="01 확정"/>
    <x v="0"/>
    <m/>
    <m/>
    <n v="350000000"/>
    <n v="350000000"/>
    <n v="0"/>
    <m/>
    <m/>
    <m/>
    <m/>
    <m/>
    <m/>
    <m/>
    <n v="6900000"/>
    <m/>
    <m/>
    <s v="잔금 일시 변경"/>
    <n v="57183000"/>
    <m/>
    <n v="57183000"/>
    <m/>
    <n v="57183000"/>
    <m/>
    <n v="57183000"/>
    <m/>
    <n v="57183000"/>
    <m/>
    <n v="57185000"/>
    <m/>
    <m/>
    <m/>
    <m/>
    <m/>
  </r>
  <r>
    <n v="956"/>
    <m/>
    <m/>
    <s v="기업교육1팀"/>
    <s v="김도엽"/>
    <s v="기업교육1팀"/>
    <x v="8"/>
    <m/>
    <m/>
    <s v="기아(국내사업인재교육팀)"/>
    <m/>
    <m/>
    <n v="368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957"/>
    <m/>
    <m/>
    <s v="기업교육1팀"/>
    <s v="김도엽"/>
    <s v="기업교육1팀"/>
    <x v="8"/>
    <m/>
    <m/>
    <s v="기아(뉴노멀 MBA)"/>
    <m/>
    <m/>
    <n v="3689"/>
    <s v="01 1~1000대"/>
    <s v="01 수성"/>
    <s v="01 자체 LMS"/>
    <s v="1. 온라인 - 단과"/>
    <s v="02. 이러닝 - 단과"/>
    <s v="02. 이러닝 - 단과"/>
    <m/>
    <n v="30000000"/>
    <n v="101640000"/>
    <n v="62970000"/>
    <m/>
    <s v="01 확정"/>
    <x v="4"/>
    <m/>
    <m/>
    <n v="100000000"/>
    <n v="100000000"/>
    <n v="0"/>
    <m/>
    <m/>
    <m/>
    <m/>
    <m/>
    <m/>
    <m/>
    <m/>
    <m/>
    <m/>
    <m/>
    <m/>
    <m/>
    <m/>
    <m/>
    <m/>
    <m/>
    <m/>
    <m/>
    <n v="50000000"/>
    <m/>
    <m/>
    <m/>
    <n v="50000000"/>
    <m/>
    <m/>
    <m/>
  </r>
  <r>
    <n v="958"/>
    <m/>
    <m/>
    <s v="기업교육1팀"/>
    <s v="김도엽"/>
    <s v="기업교육1팀"/>
    <x v="8"/>
    <m/>
    <m/>
    <s v="기아(마이크로러닝)"/>
    <m/>
    <m/>
    <n v="3689"/>
    <s v="01 1~1000대"/>
    <s v="01 수성"/>
    <s v="01 자체 LMS"/>
    <s v="3. 온라인 - 마이크로러닝"/>
    <s v="04. 이러닝 - 마이크로러닝"/>
    <s v="04. 이러닝 - 마이크로러닝"/>
    <m/>
    <n v="60580000"/>
    <n v="180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9"/>
    <m/>
    <m/>
    <s v="기업교육1팀"/>
    <s v="김도엽"/>
    <s v="기업교육1팀"/>
    <x v="8"/>
    <m/>
    <m/>
    <s v="기아(스텝업저니 임차)"/>
    <m/>
    <m/>
    <n v="3689"/>
    <m/>
    <m/>
    <m/>
    <m/>
    <m/>
    <s v="07. 이러닝 - 컨텐츠 임대/판매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0"/>
    <m/>
    <m/>
    <s v="기업교육1팀"/>
    <s v="김도엽"/>
    <s v="기업교육1팀"/>
    <x v="8"/>
    <m/>
    <m/>
    <s v="기아(안전보건콘텐츠)"/>
    <m/>
    <m/>
    <n v="3689"/>
    <s v="01 1~1000대"/>
    <s v="01 수성"/>
    <s v="01 자체 LMS"/>
    <s v="10. 컨텐츠 - 컨텐츠 개발"/>
    <s v="14. 컨텐츠 - 컨텐츠 개발"/>
    <s v="15. 컨텐츠 - 컨텐츠 개발"/>
    <m/>
    <n v="11869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1"/>
    <m/>
    <m/>
    <s v="기업교육1팀"/>
    <s v="김도엽"/>
    <s v="기업교육1팀"/>
    <x v="8"/>
    <m/>
    <m/>
    <s v="기아(오토랜드광명/보직과장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2"/>
    <m/>
    <m/>
    <s v="기업교육1팀"/>
    <s v="김도엽"/>
    <s v="기업교육1팀"/>
    <x v="8"/>
    <m/>
    <m/>
    <s v="기아(위험성평가 게임러닝)"/>
    <m/>
    <m/>
    <n v="3689"/>
    <s v="01 1~1000대"/>
    <s v="01 수성"/>
    <s v="01 자체 LMS"/>
    <s v="10. 컨텐츠 - 컨텐츠 개발"/>
    <s v="14. 컨텐츠 - 컨텐츠 개발"/>
    <s v="15. 컨텐츠 - 컨텐츠 개발"/>
    <m/>
    <m/>
    <n v="150000000"/>
    <n v="40432000"/>
    <m/>
    <s v="01 확정"/>
    <x v="0"/>
    <m/>
    <m/>
    <n v="18000000"/>
    <n v="18000000"/>
    <n v="0"/>
    <m/>
    <m/>
    <m/>
    <m/>
    <m/>
    <m/>
    <m/>
    <n v="7500000"/>
    <m/>
    <m/>
    <m/>
    <m/>
    <m/>
    <n v="1500000"/>
    <m/>
    <m/>
    <m/>
    <m/>
    <m/>
    <m/>
    <m/>
    <n v="7500000"/>
    <m/>
    <m/>
    <m/>
    <n v="1500000"/>
    <m/>
  </r>
  <r>
    <n v="963"/>
    <m/>
    <m/>
    <s v="기업교육1팀"/>
    <s v="김도엽"/>
    <s v="기업교육1팀"/>
    <x v="8"/>
    <m/>
    <m/>
    <s v="기아(터닝포인트리더십)"/>
    <m/>
    <m/>
    <n v="3689"/>
    <s v="01 1~1000대"/>
    <s v="01 수성"/>
    <s v="01 자체 LMS"/>
    <s v="1. 온라인 - 단과"/>
    <s v="02. 이러닝 - 단과"/>
    <s v="02. 이러닝 - 단과"/>
    <m/>
    <m/>
    <n v="0"/>
    <n v="1103000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964"/>
    <m/>
    <m/>
    <s v="기업교육1팀"/>
    <s v="김도엽"/>
    <s v="기업교육1팀"/>
    <x v="8"/>
    <m/>
    <m/>
    <s v="기아(특별안전보건)"/>
    <m/>
    <m/>
    <n v="368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65"/>
    <m/>
    <m/>
    <s v="기업교육1팀"/>
    <s v="김도엽"/>
    <s v="기업교육1팀"/>
    <x v="8"/>
    <m/>
    <m/>
    <s v="기아(팀내재화워크숍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1928260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6"/>
    <m/>
    <m/>
    <s v="기업교육1팀"/>
    <s v="김도엽"/>
    <s v="기업교육1팀"/>
    <x v="8"/>
    <m/>
    <m/>
    <s v="기아(포사이트포럼)"/>
    <m/>
    <m/>
    <n v="3689"/>
    <s v="01 1~1000대"/>
    <s v="01 수성"/>
    <s v="01 자체 LMS"/>
    <s v="36. 기타 - 기타"/>
    <s v="24. 기타 - 포럼"/>
    <s v="23. 기타 - 포럼"/>
    <m/>
    <m/>
    <n v="3000000"/>
    <n v="60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967"/>
    <m/>
    <m/>
    <s v="기업교육1팀"/>
    <s v="김도엽"/>
    <s v="기업교육1팀"/>
    <x v="8"/>
    <m/>
    <m/>
    <s v="대한민국법원"/>
    <m/>
    <m/>
    <n v="15652"/>
    <s v="05 공공"/>
    <s v="01 수성"/>
    <s v="03 휴넷 LMS"/>
    <s v="통합위탁"/>
    <s v="01. 이러닝 - 통합위탁"/>
    <s v="01. 이러닝 - 통합위탁"/>
    <m/>
    <n v="154636364"/>
    <n v="151500000"/>
    <n v="147368182"/>
    <m/>
    <s v="01 확정"/>
    <x v="0"/>
    <m/>
    <m/>
    <n v="135360000"/>
    <n v="135360000"/>
    <n v="0"/>
    <m/>
    <m/>
    <m/>
    <n v="81216000"/>
    <n v="81216000"/>
    <s v="선금 금액 변경"/>
    <m/>
    <m/>
    <m/>
    <m/>
    <m/>
    <m/>
    <m/>
    <m/>
    <m/>
    <m/>
    <m/>
    <m/>
    <m/>
    <m/>
    <m/>
    <m/>
    <m/>
    <m/>
    <m/>
    <n v="54144000"/>
    <s v="최종금액"/>
  </r>
  <r>
    <n v="968"/>
    <m/>
    <m/>
    <s v="기업교육1팀"/>
    <s v="김도엽"/>
    <s v="기업교육1팀"/>
    <x v="8"/>
    <m/>
    <m/>
    <s v="대한상공회의소"/>
    <m/>
    <m/>
    <n v="9342"/>
    <s v="05 공공"/>
    <s v="01 수성"/>
    <m/>
    <s v="1. 온라인 - 단과"/>
    <s v="02. 이러닝 - 단과"/>
    <s v="02. 이러닝 - 단과"/>
    <m/>
    <m/>
    <n v="810000"/>
    <n v="3680000"/>
    <m/>
    <s v="02 가망"/>
    <x v="1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969"/>
    <m/>
    <m/>
    <s v="기업교육1팀"/>
    <s v="김도엽"/>
    <s v="기업교육1팀"/>
    <x v="8"/>
    <m/>
    <m/>
    <s v="무림페이퍼"/>
    <m/>
    <m/>
    <n v="699"/>
    <s v="01 1~1000대"/>
    <s v="04 연장"/>
    <s v="01 자체 LMS"/>
    <s v="통합위탁"/>
    <s v="01. 이러닝 - 통합위탁"/>
    <s v="01. 이러닝 - 통합위탁"/>
    <s v="O"/>
    <n v="29322136"/>
    <n v="34837934"/>
    <n v="46983800"/>
    <m/>
    <s v="01 확정"/>
    <x v="0"/>
    <m/>
    <m/>
    <n v="28205000"/>
    <n v="28205000"/>
    <n v="0"/>
    <n v="2500000"/>
    <n v="1648000"/>
    <s v="매출감소"/>
    <n v="1500000"/>
    <n v="420000"/>
    <m/>
    <n v="1360000"/>
    <n v="3637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</r>
  <r>
    <n v="970"/>
    <m/>
    <m/>
    <s v="기업교육1팀"/>
    <s v="김도엽"/>
    <s v="기업교육1팀"/>
    <x v="8"/>
    <m/>
    <m/>
    <s v="무림페이퍼"/>
    <m/>
    <m/>
    <n v="699"/>
    <s v="01 1~1000대"/>
    <s v="01 수성"/>
    <s v="01 자체 LMS"/>
    <s v="2. 온라인 - 법정"/>
    <s v="03. 이러닝 - 법정"/>
    <s v="03. 이러닝 - 법정"/>
    <m/>
    <n v="15078000"/>
    <n v="15204000"/>
    <n v="0"/>
    <m/>
    <s v="02 가망"/>
    <x v="4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971"/>
    <m/>
    <m/>
    <s v="기업교육1팀"/>
    <s v="김도엽"/>
    <s v="기업교육1팀"/>
    <x v="8"/>
    <m/>
    <m/>
    <s v="사법연수원"/>
    <m/>
    <m/>
    <n v="18342"/>
    <s v="14. 컨텐츠 - 컨텐츠 개발"/>
    <s v="14. 컨텐츠 - 컨텐츠 개발"/>
    <m/>
    <m/>
    <s v="14. 컨텐츠 - 컨텐츠 개발"/>
    <s v="15. 컨텐츠 - 컨텐츠 개발"/>
    <m/>
    <m/>
    <m/>
    <n v="64500000"/>
    <m/>
    <m/>
    <x v="0"/>
    <m/>
    <m/>
    <n v="64500000"/>
    <n v="64500000"/>
    <n v="0"/>
    <m/>
    <m/>
    <m/>
    <n v="32250000"/>
    <n v="32250000"/>
    <m/>
    <m/>
    <m/>
    <m/>
    <m/>
    <m/>
    <m/>
    <m/>
    <m/>
    <m/>
    <m/>
    <m/>
    <m/>
    <m/>
    <m/>
    <m/>
    <m/>
    <m/>
    <m/>
    <m/>
    <n v="32250000"/>
    <m/>
  </r>
  <r>
    <n v="972"/>
    <m/>
    <m/>
    <s v="기업교육1팀"/>
    <s v="김도엽"/>
    <s v="기업교육1팀"/>
    <x v="8"/>
    <m/>
    <m/>
    <s v="사법연수원"/>
    <m/>
    <m/>
    <n v="18342"/>
    <s v="05 공공"/>
    <s v="01 수성"/>
    <s v="01 자체 LMS"/>
    <s v="23. 운영 - BPO"/>
    <s v="18. 운영 - BPO"/>
    <s v="19. 운영 - BPO"/>
    <m/>
    <n v="205154545"/>
    <n v="186818182"/>
    <n v="122772728"/>
    <m/>
    <s v="01 확정"/>
    <x v="0"/>
    <m/>
    <m/>
    <n v="122772727"/>
    <n v="122772727"/>
    <n v="0"/>
    <m/>
    <m/>
    <m/>
    <n v="61386363"/>
    <n v="61386364"/>
    <m/>
    <m/>
    <m/>
    <m/>
    <m/>
    <m/>
    <m/>
    <m/>
    <m/>
    <m/>
    <m/>
    <m/>
    <m/>
    <m/>
    <m/>
    <m/>
    <m/>
    <m/>
    <m/>
    <m/>
    <n v="61386363"/>
    <m/>
  </r>
  <r>
    <n v="973"/>
    <m/>
    <m/>
    <s v="기업교육1팀"/>
    <s v="김도엽"/>
    <s v="기업교육1팀"/>
    <x v="8"/>
    <m/>
    <m/>
    <s v="수산업협동조합중앙회"/>
    <m/>
    <m/>
    <n v="3806"/>
    <s v="02 1001~2000대"/>
    <s v="01 수성"/>
    <s v="03 휴넷 LMS"/>
    <s v="1. 온라인 - 단과"/>
    <s v="02. 이러닝 - 단과"/>
    <s v="02. 이러닝 - 단과"/>
    <m/>
    <n v="131694000"/>
    <n v="222976430"/>
    <n v="174265510"/>
    <m/>
    <s v="01 확정"/>
    <x v="0"/>
    <m/>
    <m/>
    <n v="267000000"/>
    <n v="267000000"/>
    <n v="0"/>
    <m/>
    <m/>
    <m/>
    <m/>
    <m/>
    <m/>
    <m/>
    <m/>
    <m/>
    <m/>
    <m/>
    <m/>
    <m/>
    <m/>
    <m/>
    <m/>
    <m/>
    <m/>
    <m/>
    <m/>
    <m/>
    <n v="267000000"/>
    <m/>
    <m/>
    <m/>
    <m/>
    <m/>
  </r>
  <r>
    <n v="974"/>
    <m/>
    <m/>
    <s v="기업교육1팀"/>
    <s v="김도엽"/>
    <s v="기업교육1팀"/>
    <x v="8"/>
    <m/>
    <m/>
    <s v="수산업협동조합중앙회 (금융권 정보보호교육)"/>
    <m/>
    <m/>
    <n v="3806"/>
    <s v="02 1001~2000대"/>
    <s v="01 수성"/>
    <m/>
    <s v="1. 온라인 - 단과"/>
    <s v="03. 이러닝 - 법정"/>
    <s v="03. 이러닝 - 법정"/>
    <m/>
    <m/>
    <n v="0"/>
    <n v="16059000"/>
    <m/>
    <s v="01 확정"/>
    <x v="0"/>
    <m/>
    <m/>
    <n v="15522000"/>
    <n v="15522000"/>
    <n v="0"/>
    <m/>
    <n v="2331000"/>
    <s v="수협 법정은 이걸로 일괄관리"/>
    <m/>
    <m/>
    <m/>
    <m/>
    <n v="-1809000"/>
    <m/>
    <m/>
    <m/>
    <m/>
    <m/>
    <m/>
    <m/>
    <m/>
    <m/>
    <m/>
    <m/>
    <m/>
    <m/>
    <n v="7500000"/>
    <m/>
    <n v="7500000"/>
    <m/>
    <m/>
    <m/>
  </r>
  <r>
    <n v="975"/>
    <m/>
    <m/>
    <s v="기업교육1팀"/>
    <s v="김도엽"/>
    <s v="기업교육1팀"/>
    <x v="8"/>
    <m/>
    <m/>
    <s v="아데카코리아"/>
    <m/>
    <m/>
    <n v="15040"/>
    <s v="02 1001~2000대"/>
    <s v="04 연장"/>
    <s v="03 휴넷 LMS"/>
    <s v="통합위탁"/>
    <s v="01. 이러닝 - 통합위탁"/>
    <s v="01. 이러닝 - 통합위탁"/>
    <s v="O"/>
    <n v="34792700"/>
    <n v="31536900"/>
    <n v="39191700"/>
    <m/>
    <s v="01 확정"/>
    <x v="0"/>
    <m/>
    <m/>
    <n v="35934800"/>
    <n v="35934800"/>
    <n v="0"/>
    <n v="3000000"/>
    <n v="370000"/>
    <s v="매출감소"/>
    <n v="3000000"/>
    <n v="5463800"/>
    <m/>
    <n v="3101000"/>
    <n v="3101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976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1. 온라인 - 단과"/>
    <s v="02. 이러닝 - 단과"/>
    <s v="02. 이러닝 - 단과"/>
    <m/>
    <m/>
    <n v="0"/>
    <n v="0"/>
    <m/>
    <s v="06 사업취소"/>
    <x v="5"/>
    <m/>
    <m/>
    <n v="0"/>
    <n v="0"/>
    <n v="0"/>
    <m/>
    <m/>
    <m/>
    <m/>
    <m/>
    <m/>
    <n v="20000000"/>
    <m/>
    <m/>
    <m/>
    <m/>
    <m/>
    <m/>
    <m/>
    <m/>
    <m/>
    <m/>
    <m/>
    <m/>
    <m/>
    <m/>
    <m/>
    <m/>
    <m/>
    <m/>
    <m/>
    <m/>
  </r>
  <r>
    <n v="977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4. 하이브리드러닝 - 플립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10000000"/>
    <m/>
    <n v="10000000"/>
    <m/>
    <m/>
    <m/>
    <m/>
    <m/>
    <m/>
    <m/>
  </r>
  <r>
    <n v="978"/>
    <m/>
    <m/>
    <s v="기업교육1팀"/>
    <s v="김도엽"/>
    <s v="기업교육1팀"/>
    <x v="8"/>
    <m/>
    <m/>
    <s v="아모레퍼시픽 (미래역량스쿨)"/>
    <m/>
    <m/>
    <n v="19211"/>
    <s v="01 1~1000대"/>
    <s v="03 신규"/>
    <s v="02 경쟁사 LMS"/>
    <m/>
    <s v="02. 이러닝 - 단과"/>
    <s v="02. 이러닝 - 단과"/>
    <m/>
    <m/>
    <n v="0"/>
    <n v="45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9"/>
    <m/>
    <m/>
    <s v="기업교육1팀"/>
    <s v="김도엽"/>
    <s v="기업교육1팀"/>
    <x v="8"/>
    <m/>
    <m/>
    <s v="애경그룹"/>
    <m/>
    <m/>
    <n v="9613"/>
    <s v="01 1~1000대"/>
    <s v="01 수성"/>
    <m/>
    <s v="4. 하이브리드러닝 - 플립형"/>
    <s v="08. 하이브리드러닝 - 하이브리드형 러닝"/>
    <s v="08. 하이브리드러닝 - 하이브리드형 러닝"/>
    <m/>
    <m/>
    <n v="48807000"/>
    <n v="0"/>
    <m/>
    <s v="06 사업취소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980"/>
    <m/>
    <m/>
    <s v="기업교육1팀"/>
    <s v="김도엽"/>
    <s v="기업교육1팀"/>
    <x v="8"/>
    <m/>
    <m/>
    <s v="애경케미칼"/>
    <m/>
    <m/>
    <n v="4710"/>
    <s v="01 1~1000대"/>
    <s v="01 수성"/>
    <s v="03 휴넷 LMS"/>
    <s v="2. 온라인 - 법정"/>
    <s v="03. 이러닝 - 법정"/>
    <s v="03. 이러닝 - 법정"/>
    <m/>
    <n v="11491000"/>
    <n v="10727000"/>
    <n v="10398000"/>
    <m/>
    <s v="01 확정"/>
    <x v="0"/>
    <m/>
    <m/>
    <n v="11000000"/>
    <n v="11000000"/>
    <n v="0"/>
    <m/>
    <m/>
    <m/>
    <m/>
    <m/>
    <m/>
    <m/>
    <m/>
    <m/>
    <m/>
    <m/>
    <m/>
    <m/>
    <m/>
    <m/>
    <n v="5500000"/>
    <m/>
    <m/>
    <m/>
    <m/>
    <m/>
    <m/>
    <m/>
    <m/>
    <m/>
    <n v="5500000"/>
    <m/>
  </r>
  <r>
    <n v="981"/>
    <m/>
    <m/>
    <s v="기업교육1팀"/>
    <s v="김도엽"/>
    <s v="기업교육1팀"/>
    <x v="8"/>
    <m/>
    <m/>
    <s v="애경케미칼(24년 미정산)"/>
    <m/>
    <m/>
    <n v="4710"/>
    <s v="01 1~1000대"/>
    <s v="01 수성"/>
    <s v="03 휴넷 LMS"/>
    <s v="2. 온라인 - 법정"/>
    <s v="03. 이러닝 - 법정"/>
    <s v="03. 이러닝 - 법정"/>
    <m/>
    <m/>
    <n v="0"/>
    <n v="8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2"/>
    <m/>
    <m/>
    <s v="기업교육1팀"/>
    <s v="김도엽"/>
    <s v="기업교육1팀"/>
    <x v="8"/>
    <m/>
    <m/>
    <s v="엘지유플러스"/>
    <m/>
    <m/>
    <n v="3714"/>
    <s v="01 1~1000대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83"/>
    <m/>
    <m/>
    <s v="기업교육1팀"/>
    <s v="김도엽"/>
    <s v="기업교육1팀"/>
    <x v="8"/>
    <m/>
    <m/>
    <s v="엘지유플러스"/>
    <m/>
    <m/>
    <n v="3714"/>
    <s v="01 1~1000대"/>
    <s v="01 수성"/>
    <m/>
    <s v="6. 하이브리드러닝 - 집합형"/>
    <s v="09. 하이브리드러닝 - 순수 오프라인"/>
    <s v="09. 하이브리드러닝 - 순수 오프라인"/>
    <m/>
    <m/>
    <n v="18480000"/>
    <n v="0"/>
    <m/>
    <s v="08 2024년 매출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4"/>
    <m/>
    <m/>
    <s v="기업교육1팀"/>
    <s v="김도엽"/>
    <s v="기업교육1팀"/>
    <x v="8"/>
    <m/>
    <m/>
    <s v="엘지헬로비전"/>
    <m/>
    <m/>
    <n v="41913"/>
    <s v="01 1~1000대"/>
    <s v="04 연장"/>
    <s v="03 휴넷 LMS"/>
    <s v="통합위탁"/>
    <s v="01. 이러닝 - 통합위탁"/>
    <s v="01. 이러닝 - 통합위탁"/>
    <s v="O"/>
    <n v="98453926"/>
    <n v="80051200"/>
    <n v="51959500"/>
    <m/>
    <s v="01 확정"/>
    <x v="0"/>
    <m/>
    <m/>
    <n v="63377160"/>
    <n v="63377160"/>
    <n v="0"/>
    <n v="3000000"/>
    <n v="9717000"/>
    <s v="매출증가"/>
    <n v="3000000"/>
    <n v="1947160"/>
    <m/>
    <n v="713000"/>
    <n v="713000"/>
    <m/>
    <n v="15000000"/>
    <m/>
    <n v="3000000"/>
    <m/>
    <n v="3000000"/>
    <m/>
    <n v="3000000"/>
    <m/>
    <n v="3000000"/>
    <m/>
    <n v="15000000"/>
    <m/>
    <n v="3000000"/>
    <m/>
    <n v="3000000"/>
    <m/>
    <n v="3000000"/>
    <m/>
  </r>
  <r>
    <n v="985"/>
    <m/>
    <m/>
    <s v="기업교육1팀"/>
    <s v="김도엽"/>
    <s v="기업교육1팀"/>
    <x v="8"/>
    <m/>
    <m/>
    <s v="엘지헬로비전"/>
    <m/>
    <m/>
    <n v="41913"/>
    <s v="01 1~1000대"/>
    <s v="01 수성"/>
    <m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6"/>
    <m/>
    <m/>
    <s v="기업교육1팀"/>
    <s v="김도엽"/>
    <s v="기업교육1팀"/>
    <x v="8"/>
    <m/>
    <m/>
    <s v="유한킴벌리"/>
    <m/>
    <m/>
    <n v="1246"/>
    <s v="01 1~1000대"/>
    <s v="01 수성"/>
    <m/>
    <s v="3. 온라인 - 마이크로러닝"/>
    <s v="04. 이러닝 - 마이크로러닝"/>
    <s v="04. 이러닝 - 마이크로러닝"/>
    <m/>
    <n v="27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7"/>
    <m/>
    <m/>
    <s v="기업교육1팀"/>
    <s v="김도엽"/>
    <s v="기업교육1팀"/>
    <x v="8"/>
    <m/>
    <m/>
    <s v="유한킴벌리"/>
    <m/>
    <m/>
    <n v="1246"/>
    <s v="01 1~1000대"/>
    <s v="01 수성"/>
    <s v="02 경쟁사 LMS"/>
    <s v="4. 하이브리드러닝 - 플립형"/>
    <s v="08. 하이브리드러닝 - 하이브리드형 러닝"/>
    <s v="08. 하이브리드러닝 - 하이브리드형 러닝"/>
    <m/>
    <m/>
    <n v="2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8"/>
    <m/>
    <m/>
    <s v="기업교육1팀"/>
    <s v="김도엽"/>
    <s v="기업교육1팀"/>
    <x v="8"/>
    <m/>
    <m/>
    <s v="유한킴벌리"/>
    <m/>
    <m/>
    <n v="1246"/>
    <s v="01 1~1000대"/>
    <s v="01 수성"/>
    <s v="03 휴넷 LMS"/>
    <s v="7. 휴넷CEO - 휴넷CEO"/>
    <s v="10. 구독 - 휴넷CEO멤버십"/>
    <s v="11. 구독 - 휴넷CEO멤버십"/>
    <m/>
    <m/>
    <n v="20699000"/>
    <n v="18720000"/>
    <m/>
    <s v="01 확정"/>
    <x v="0"/>
    <m/>
    <m/>
    <n v="15120000"/>
    <n v="15120000"/>
    <n v="0"/>
    <m/>
    <n v="15120000"/>
    <m/>
    <n v="12000000"/>
    <m/>
    <s v="사업비 감소"/>
    <m/>
    <m/>
    <m/>
    <m/>
    <m/>
    <m/>
    <m/>
    <m/>
    <m/>
    <m/>
    <m/>
    <m/>
    <m/>
    <m/>
    <m/>
    <m/>
    <m/>
    <m/>
    <m/>
    <m/>
    <m/>
  </r>
  <r>
    <n v="989"/>
    <m/>
    <m/>
    <s v="기업교육1팀"/>
    <s v="김도엽"/>
    <s v="기업교육1팀"/>
    <x v="8"/>
    <m/>
    <m/>
    <s v="유한킴벌리(포사이트포럼)"/>
    <m/>
    <m/>
    <n v="1246"/>
    <s v="01 1~1000대"/>
    <s v="01 수성"/>
    <m/>
    <s v="6. 하이브리드러닝 - 집합형"/>
    <s v="24. 기타 - 포럼"/>
    <s v="23. 기타 - 포럼"/>
    <m/>
    <m/>
    <n v="6000000"/>
    <n v="100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90"/>
    <m/>
    <m/>
    <s v="기업교육1팀"/>
    <s v="김도엽"/>
    <s v="기업교육1팀"/>
    <x v="8"/>
    <m/>
    <m/>
    <s v="피아이첨단소재"/>
    <m/>
    <m/>
    <n v="16894"/>
    <s v="02 1001~2000대"/>
    <s v="04 연장"/>
    <s v="03 휴넷 LMS"/>
    <s v="통합위탁"/>
    <s v="01. 이러닝 - 통합위탁"/>
    <s v="01. 이러닝 - 통합위탁"/>
    <s v="O"/>
    <n v="76615580"/>
    <n v="80917800"/>
    <n v="80922300"/>
    <m/>
    <s v="01 확정"/>
    <x v="0"/>
    <m/>
    <m/>
    <n v="79404500"/>
    <n v="79404500"/>
    <n v="0"/>
    <n v="6500000"/>
    <n v="6652500"/>
    <m/>
    <n v="6500000"/>
    <n v="7202000"/>
    <m/>
    <n v="7050000"/>
    <n v="705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991"/>
    <m/>
    <m/>
    <s v="기업교육1팀"/>
    <s v="김도엽"/>
    <s v="기업교육1팀"/>
    <x v="8"/>
    <m/>
    <m/>
    <s v="피아이첨단소재"/>
    <m/>
    <m/>
    <n v="16894"/>
    <s v="02 1001~2000대"/>
    <s v="03 신규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10000000"/>
    <m/>
    <n v="10000000"/>
    <m/>
    <m/>
    <m/>
    <m/>
    <m/>
    <m/>
    <m/>
    <m/>
    <m/>
    <m/>
    <m/>
  </r>
  <r>
    <n v="992"/>
    <m/>
    <m/>
    <s v="기업교육1팀"/>
    <s v="김도엽"/>
    <s v="기업교육1팀"/>
    <x v="8"/>
    <m/>
    <m/>
    <s v="피아이첨단소재(24년 미정산)"/>
    <m/>
    <m/>
    <n v="16894"/>
    <s v="02 1001~2000대"/>
    <s v="04 연장"/>
    <s v="03 휴넷 LMS"/>
    <s v="통합위탁"/>
    <s v="01. 이러닝 - 통합위탁"/>
    <s v="01. 이러닝 - 통합위탁"/>
    <m/>
    <m/>
    <n v="0"/>
    <n v="8542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3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s v="3. 온라인 - 마이크로러닝"/>
    <s v="04. 이러닝 - 마이크로러닝"/>
    <s v="04. 이러닝 - 마이크로러닝"/>
    <m/>
    <m/>
    <m/>
    <n v="0"/>
    <m/>
    <s v="04 실주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94"/>
    <m/>
    <m/>
    <s v="기업교육1팀"/>
    <s v="김도엽"/>
    <s v="기업교육1팀"/>
    <x v="8"/>
    <m/>
    <m/>
    <s v="하이트진로"/>
    <m/>
    <m/>
    <n v="10148"/>
    <s v="01 1~1000대"/>
    <s v="03 신규"/>
    <s v="01 자체 LMS"/>
    <m/>
    <s v="08. 하이브리드러닝 - 하이브리드형 러닝"/>
    <s v="08. 하이브리드러닝 - 하이브리드형 러닝"/>
    <m/>
    <m/>
    <m/>
    <m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5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m/>
    <m/>
    <s v="12. 구독 - 휴넷 리더십저니"/>
    <m/>
    <m/>
    <m/>
    <m/>
    <m/>
    <m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96"/>
    <m/>
    <m/>
    <s v="기업교육1팀"/>
    <s v="김도엽"/>
    <s v="기업교육1팀"/>
    <x v="8"/>
    <m/>
    <m/>
    <s v="한국동서발전"/>
    <m/>
    <m/>
    <n v="893"/>
    <s v="05 공공"/>
    <s v="01 수성"/>
    <s v="03 휴넷 LMS"/>
    <s v="10. 컨텐츠 - 컨텐츠 개발"/>
    <s v="14. 컨텐츠 - 컨텐츠 개발"/>
    <s v="15. 컨텐츠 - 컨텐츠 개발"/>
    <m/>
    <n v="1300000"/>
    <n v="19900000"/>
    <n v="9900000"/>
    <m/>
    <s v="01 확정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97"/>
    <m/>
    <m/>
    <s v="기업교육1팀"/>
    <s v="김도엽"/>
    <s v="기업교육1팀"/>
    <x v="8"/>
    <m/>
    <m/>
    <s v="한국동서발전 (22-23년 과업)"/>
    <m/>
    <m/>
    <n v="893"/>
    <s v="05 공공"/>
    <s v="01 수성"/>
    <s v="03 휴넷 LMS"/>
    <s v="통합위탁"/>
    <s v="01. 이러닝 - 통합위탁"/>
    <s v="01. 이러닝 - 통합위탁"/>
    <m/>
    <n v="652876981"/>
    <n v="360584934"/>
    <n v="0"/>
    <m/>
    <s v="08 2024년 매출"/>
    <x v="4"/>
    <m/>
    <m/>
    <n v="405000000"/>
    <n v="405000000"/>
    <n v="0"/>
    <m/>
    <m/>
    <m/>
    <m/>
    <m/>
    <m/>
    <m/>
    <m/>
    <m/>
    <n v="45000000"/>
    <m/>
    <n v="45000000"/>
    <m/>
    <n v="45000000"/>
    <m/>
    <n v="45000000"/>
    <m/>
    <n v="45000000"/>
    <m/>
    <n v="45000000"/>
    <m/>
    <n v="45000000"/>
    <m/>
    <n v="45000000"/>
    <m/>
    <n v="45000000"/>
    <m/>
  </r>
  <r>
    <n v="998"/>
    <m/>
    <m/>
    <s v="기업교육1팀"/>
    <s v="김도엽"/>
    <s v="기업교육1팀"/>
    <x v="8"/>
    <m/>
    <m/>
    <s v="한국동서발전 (임피교육)"/>
    <m/>
    <m/>
    <n v="893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44761455"/>
    <n v="12024788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9"/>
    <m/>
    <m/>
    <s v="기업교육1팀"/>
    <s v="김도엽"/>
    <s v="기업교육1팀"/>
    <x v="8"/>
    <m/>
    <m/>
    <s v="한국법무보호복지공단 (25년 과업)"/>
    <m/>
    <m/>
    <n v="49625"/>
    <s v="05 공공"/>
    <s v="01 수성"/>
    <m/>
    <s v="11. 컨텐츠 - 컨텐츠 임대/판매"/>
    <s v="07. 이러닝 - 컨텐츠 임대/판매"/>
    <s v="07. 이러닝 - 컨텐츠 임대/판매"/>
    <m/>
    <m/>
    <n v="409090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0"/>
    <m/>
    <m/>
    <s v="기업교육1팀"/>
    <s v="김도엽"/>
    <s v="기업교육1팀"/>
    <x v="8"/>
    <m/>
    <m/>
    <s v="한국지역정보개발원"/>
    <m/>
    <m/>
    <n v="13618"/>
    <s v="05 공공"/>
    <s v="03 신규"/>
    <s v="02 경쟁사 LMS"/>
    <m/>
    <s v="01. 이러닝 - 통합위탁"/>
    <s v="01. 이러닝 - 통합위탁"/>
    <m/>
    <m/>
    <m/>
    <n v="0"/>
    <m/>
    <s v="03 기회"/>
    <x v="0"/>
    <m/>
    <m/>
    <n v="1621790880"/>
    <n v="1621790880"/>
    <n v="0"/>
    <n v="0"/>
    <m/>
    <s v="26년 1월로 비용청구 변경"/>
    <n v="89043374"/>
    <n v="89070174"/>
    <s v="매출 감소"/>
    <n v="123504912"/>
    <n v="123504920"/>
    <m/>
    <n v="169215786"/>
    <m/>
    <n v="170000000"/>
    <m/>
    <n v="150000000"/>
    <m/>
    <n v="150000000"/>
    <m/>
    <n v="150000000"/>
    <m/>
    <n v="150000000"/>
    <m/>
    <n v="150000000"/>
    <m/>
    <n v="150000000"/>
    <m/>
    <n v="170000000"/>
    <m/>
  </r>
  <r>
    <n v="1001"/>
    <m/>
    <m/>
    <s v="기업교육1팀"/>
    <s v="김도엽"/>
    <s v="기업교육1팀"/>
    <x v="8"/>
    <m/>
    <m/>
    <s v="한솔홀딩스"/>
    <m/>
    <m/>
    <n v="19227"/>
    <s v="01 1~1000대"/>
    <s v="03 신규"/>
    <m/>
    <s v="4. 하이브리드러닝 - 플립형"/>
    <s v="08. 하이브리드러닝 - 하이브리드형 러닝"/>
    <s v="08. 하이브리드러닝 - 하이브리드형 러닝"/>
    <m/>
    <m/>
    <n v="0"/>
    <n v="81430000"/>
    <m/>
    <s v="03 기회"/>
    <x v="0"/>
    <m/>
    <m/>
    <n v="25000000"/>
    <n v="25000000"/>
    <n v="0"/>
    <m/>
    <m/>
    <m/>
    <m/>
    <m/>
    <m/>
    <m/>
    <m/>
    <m/>
    <m/>
    <m/>
    <m/>
    <m/>
    <n v="25000000"/>
    <m/>
    <m/>
    <m/>
    <m/>
    <m/>
    <m/>
    <m/>
    <m/>
    <m/>
    <m/>
    <m/>
    <m/>
    <m/>
  </r>
  <r>
    <n v="1002"/>
    <m/>
    <m/>
    <s v="기업교육1팀"/>
    <s v="김도엽"/>
    <s v="기업교육1팀"/>
    <x v="8"/>
    <m/>
    <m/>
    <s v="한솔홀딩스"/>
    <m/>
    <m/>
    <n v="19227"/>
    <s v="01 1~1000대"/>
    <s v="01 수성"/>
    <m/>
    <s v="4. 하이브리드러닝 - 플립형"/>
    <s v="08. 하이브리드러닝 - 하이브리드형 러닝"/>
    <s v="08. 하이브리드러닝 - 하이브리드형 러닝"/>
    <m/>
    <m/>
    <n v="83200000"/>
    <n v="0"/>
    <m/>
    <s v="01 확정"/>
    <x v="5"/>
    <m/>
    <m/>
    <n v="80000000"/>
    <n v="80000000"/>
    <n v="0"/>
    <m/>
    <m/>
    <m/>
    <m/>
    <m/>
    <m/>
    <m/>
    <m/>
    <m/>
    <m/>
    <m/>
    <m/>
    <m/>
    <m/>
    <m/>
    <m/>
    <m/>
    <m/>
    <m/>
    <n v="80000000"/>
    <m/>
    <m/>
    <m/>
    <m/>
    <m/>
    <m/>
    <m/>
  </r>
  <r>
    <n v="1003"/>
    <m/>
    <m/>
    <m/>
    <m/>
    <s v="기업교육1팀"/>
    <x v="8"/>
    <m/>
    <m/>
    <s v="현대모비스"/>
    <m/>
    <m/>
    <n v="3699"/>
    <s v="01 1~1000대"/>
    <s v="03 신규"/>
    <s v="01 자체 LMS"/>
    <s v="1. 온라인 - 단과"/>
    <s v="02. 이러닝 - 단과"/>
    <s v="02. 이러닝 - 단과"/>
    <m/>
    <n v="31680000"/>
    <n v="0"/>
    <n v="0"/>
    <m/>
    <s v="06 사업취소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1004"/>
    <m/>
    <m/>
    <m/>
    <m/>
    <s v="기업교육1팀"/>
    <x v="8"/>
    <m/>
    <m/>
    <s v="현대모비스 (안전보건교육)"/>
    <m/>
    <m/>
    <n v="369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5"/>
    <m/>
    <m/>
    <s v="기업교육1팀"/>
    <s v="김도엽"/>
    <s v="기업교육1팀"/>
    <x v="8"/>
    <m/>
    <m/>
    <s v="현대모비스(특강)"/>
    <m/>
    <m/>
    <n v="3699"/>
    <m/>
    <m/>
    <m/>
    <m/>
    <m/>
    <s v="08. 하이브리드러닝 - 하이브리드형 러닝"/>
    <m/>
    <m/>
    <m/>
    <m/>
    <m/>
    <m/>
    <x v="0"/>
    <m/>
    <m/>
    <n v="1800000"/>
    <n v="1800000"/>
    <n v="0"/>
    <m/>
    <m/>
    <m/>
    <m/>
    <m/>
    <m/>
    <m/>
    <m/>
    <m/>
    <m/>
    <m/>
    <n v="1800000"/>
    <m/>
    <m/>
    <m/>
    <m/>
    <m/>
    <m/>
    <m/>
    <m/>
    <m/>
    <m/>
    <m/>
    <m/>
    <m/>
    <m/>
    <m/>
  </r>
  <r>
    <n v="1006"/>
    <m/>
    <m/>
    <s v="기업교육1팀"/>
    <s v="김도엽"/>
    <s v="기업교육1팀"/>
    <x v="8"/>
    <m/>
    <m/>
    <s v="현대모비스(플렉스)"/>
    <m/>
    <m/>
    <n v="3699"/>
    <m/>
    <m/>
    <m/>
    <m/>
    <m/>
    <s v="02. 이러닝 - 단과"/>
    <m/>
    <m/>
    <m/>
    <n v="0"/>
    <m/>
    <m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1007"/>
    <m/>
    <m/>
    <s v="기업교육1팀"/>
    <s v="김도엽"/>
    <s v="기업교육1팀"/>
    <x v="8"/>
    <m/>
    <m/>
    <s v="현대엔지니어링 (게임러닝ARGO)"/>
    <m/>
    <m/>
    <n v="4083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250000"/>
    <n v="3450000"/>
    <m/>
    <s v="01 확정"/>
    <x v="3"/>
    <m/>
    <m/>
    <n v="3000000"/>
    <n v="3000000"/>
    <n v="0"/>
    <m/>
    <m/>
    <m/>
    <m/>
    <m/>
    <m/>
    <m/>
    <m/>
    <m/>
    <n v="3000000"/>
    <m/>
    <m/>
    <m/>
    <m/>
    <m/>
    <m/>
    <m/>
    <m/>
    <m/>
    <m/>
    <m/>
    <m/>
    <m/>
    <m/>
    <m/>
    <m/>
    <m/>
  </r>
  <r>
    <n v="1008"/>
    <m/>
    <m/>
    <s v="기업교육1팀"/>
    <s v="김도엽"/>
    <s v="기업교육1팀"/>
    <x v="8"/>
    <m/>
    <m/>
    <s v="현대엔지니어링 (법정 임대)"/>
    <m/>
    <m/>
    <n v="4083"/>
    <s v="01 1~1000대"/>
    <s v="03 신규"/>
    <s v="01 자체 LMS"/>
    <s v="11. 컨텐츠 - 컨텐츠 임대/판매"/>
    <s v="07. 이러닝 - 컨텐츠 임대/판매"/>
    <s v="07. 이러닝 - 컨텐츠 임대/판매"/>
    <m/>
    <n v="45000000"/>
    <n v="6500000"/>
    <n v="26000000"/>
    <m/>
    <s v="01 확정"/>
    <x v="0"/>
    <m/>
    <m/>
    <n v="23000000"/>
    <n v="23000000"/>
    <n v="0"/>
    <m/>
    <m/>
    <m/>
    <m/>
    <m/>
    <m/>
    <n v="25300000"/>
    <n v="23000000"/>
    <m/>
    <m/>
    <m/>
    <m/>
    <m/>
    <m/>
    <m/>
    <m/>
    <m/>
    <m/>
    <m/>
    <m/>
    <m/>
    <m/>
    <m/>
    <m/>
    <m/>
    <m/>
    <m/>
  </r>
  <r>
    <n v="1009"/>
    <m/>
    <m/>
    <s v="기업교육1팀"/>
    <s v="김도엽"/>
    <s v="기업교육1팀"/>
    <x v="8"/>
    <m/>
    <m/>
    <s v="현대엔지니어링 (임대/탄소중립)"/>
    <m/>
    <m/>
    <n v="4083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0"/>
    <m/>
    <s v="08 2024년 매출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010"/>
    <m/>
    <m/>
    <s v="기업교육1팀"/>
    <s v="김도엽"/>
    <s v="기업교육1팀"/>
    <x v="8"/>
    <m/>
    <m/>
    <s v="현대오씨아이"/>
    <m/>
    <m/>
    <n v="21561"/>
    <m/>
    <m/>
    <m/>
    <m/>
    <s v="14. 컨텐츠 - 컨텐츠 개발"/>
    <s v="15. 컨텐츠 - 컨텐츠 개발"/>
    <m/>
    <m/>
    <m/>
    <n v="25791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2"/>
    <m/>
    <m/>
    <s v="기업교육1팀"/>
    <s v="김도엽"/>
    <s v="기업교육1팀"/>
    <x v="8"/>
    <m/>
    <m/>
    <s v="현대오일터미널"/>
    <m/>
    <m/>
    <n v="59584"/>
    <s v="01 1~1000대"/>
    <s v="01 수성"/>
    <m/>
    <s v="1. 온라인 - 단과"/>
    <s v="02. 이러닝 - 단과"/>
    <s v="02. 이러닝 - 단과"/>
    <m/>
    <n v="2000000"/>
    <n v="2015000"/>
    <n v="2000000"/>
    <m/>
    <s v="03 기회"/>
    <x v="1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1013"/>
    <m/>
    <m/>
    <s v="기업교육1팀"/>
    <s v="김도엽"/>
    <s v="기업교육1팀"/>
    <x v="8"/>
    <m/>
    <m/>
    <s v="현대오토에버 주식회사"/>
    <m/>
    <m/>
    <n v="619"/>
    <m/>
    <m/>
    <m/>
    <m/>
    <s v="01. 이러닝 - 통합위탁"/>
    <s v="01. 이러닝 - 통합위탁"/>
    <m/>
    <m/>
    <m/>
    <n v="12840078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4"/>
    <m/>
    <m/>
    <s v="기업교육1팀"/>
    <s v="김도엽"/>
    <s v="기업교육1팀"/>
    <x v="8"/>
    <m/>
    <m/>
    <s v="현대오토에버 주식회사 (마이크로러닝 임대)"/>
    <m/>
    <m/>
    <n v="619"/>
    <s v="01 1~1000대"/>
    <s v="02 윈백"/>
    <s v="01 자체 LMS"/>
    <s v="11. 컨텐츠 - 컨텐츠 임대/판매"/>
    <s v="07. 이러닝 - 컨텐츠 임대/판매"/>
    <s v="07. 이러닝 - 컨텐츠 임대/판매"/>
    <m/>
    <n v="20160000"/>
    <n v="0"/>
    <n v="28000000"/>
    <m/>
    <s v="03 기회"/>
    <x v="5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15"/>
    <m/>
    <m/>
    <s v="기업교육1팀"/>
    <s v="김도엽"/>
    <s v="기업교육1팀"/>
    <x v="8"/>
    <m/>
    <m/>
    <s v="현대오토에버 주식회사 (마이크로러닝 임대, DX아카데미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0"/>
    <n v="132393067"/>
    <n v="2000000"/>
    <m/>
    <s v="01 확정"/>
    <x v="5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1016"/>
    <m/>
    <m/>
    <s v="기업교육1팀"/>
    <s v="김도엽"/>
    <s v="기업교육1팀"/>
    <x v="8"/>
    <m/>
    <m/>
    <s v="현대오토에버 주식회사 (법정 임대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26000000"/>
    <n v="0"/>
    <n v="0"/>
    <m/>
    <s v="01 확정"/>
    <x v="4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017"/>
    <m/>
    <m/>
    <s v="기업교육1팀"/>
    <s v="김도엽"/>
    <s v="기업교육1팀"/>
    <x v="8"/>
    <m/>
    <m/>
    <s v="현대오토에버 주식회사 (임대: 자금세탁방지)"/>
    <m/>
    <m/>
    <n v="619"/>
    <s v="01 1~1000대"/>
    <s v="03 신규"/>
    <m/>
    <s v="11. 컨텐츠 - 컨텐츠 임대/판매"/>
    <s v="07. 이러닝 - 컨텐츠 임대/판매"/>
    <s v="07. 이러닝 - 컨텐츠 임대/판매"/>
    <m/>
    <m/>
    <n v="0"/>
    <n v="0"/>
    <m/>
    <s v="03 기회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018"/>
    <m/>
    <m/>
    <m/>
    <m/>
    <s v="기업교육1팀"/>
    <x v="8"/>
    <m/>
    <m/>
    <s v="현대오토에버 주식회사 (자체LMS 운영)"/>
    <m/>
    <m/>
    <n v="619"/>
    <s v="01 1~1000대"/>
    <s v="04 연장"/>
    <s v="01 자체 LMS"/>
    <s v="11. 컨텐츠 - 컨텐츠 임대/판매"/>
    <s v="07. 이러닝 - 컨텐츠 임대/판매"/>
    <s v="07. 이러닝 - 컨텐츠 임대/판매"/>
    <m/>
    <n v="76403746"/>
    <n v="0"/>
    <n v="98622764"/>
    <m/>
    <s v="01 확정"/>
    <x v="0"/>
    <m/>
    <m/>
    <n v="74978878"/>
    <n v="74978878"/>
    <n v="0"/>
    <n v="6500000"/>
    <n v="2725660"/>
    <s v="25년 12월로 매출 당겨짐"/>
    <n v="6500000"/>
    <n v="5543152"/>
    <m/>
    <n v="6183066"/>
    <n v="6210066"/>
    <s v="rs 매출 변동"/>
    <n v="7500000"/>
    <m/>
    <n v="6500000"/>
    <m/>
    <n v="6500000"/>
    <m/>
    <n v="6500000"/>
    <m/>
    <n v="6500000"/>
    <m/>
    <n v="7500000"/>
    <m/>
    <n v="6500000"/>
    <m/>
    <n v="6500000"/>
    <m/>
    <n v="6500000"/>
    <m/>
  </r>
  <r>
    <n v="1019"/>
    <m/>
    <m/>
    <s v="기업교육1팀"/>
    <s v="김도엽"/>
    <s v="기업교육1팀"/>
    <x v="8"/>
    <m/>
    <m/>
    <s v="현대위아 (위아다움 집합교육)"/>
    <m/>
    <m/>
    <n v="3739"/>
    <s v="01 1~1000대"/>
    <s v="03 신규"/>
    <s v="01 자체 LMS"/>
    <s v="3. 온라인 - 마이크로러닝"/>
    <s v="08. 하이브리드러닝 - 하이브리드형 러닝"/>
    <s v="08. 하이브리드러닝 - 하이브리드형 러닝"/>
    <m/>
    <s v=""/>
    <n v="0"/>
    <n v="3011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1"/>
    <m/>
    <m/>
    <m/>
    <m/>
    <s v="기업교육1팀"/>
    <x v="8"/>
    <m/>
    <m/>
    <s v="현대위아 (특강)"/>
    <m/>
    <m/>
    <n v="3739"/>
    <m/>
    <m/>
    <m/>
    <m/>
    <m/>
    <s v="10. 하이브리드러닝 - 특강"/>
    <m/>
    <m/>
    <m/>
    <m/>
    <m/>
    <m/>
    <x v="0"/>
    <m/>
    <m/>
    <n v="1600000"/>
    <n v="1600000"/>
    <n v="0"/>
    <m/>
    <m/>
    <m/>
    <m/>
    <m/>
    <m/>
    <m/>
    <n v="1600000"/>
    <m/>
    <m/>
    <m/>
    <m/>
    <m/>
    <m/>
    <m/>
    <m/>
    <m/>
    <m/>
    <m/>
    <m/>
    <m/>
    <m/>
    <m/>
    <m/>
    <m/>
    <m/>
    <m/>
  </r>
  <r>
    <n v="1020"/>
    <m/>
    <m/>
    <s v="기업교육1팀"/>
    <s v="김도엽"/>
    <s v="기업교육1팀"/>
    <x v="8"/>
    <m/>
    <m/>
    <s v="현대자동차"/>
    <m/>
    <m/>
    <n v="46891"/>
    <m/>
    <m/>
    <m/>
    <m/>
    <m/>
    <s v="08. 하이브리드러닝 - 하이브리드형 러닝"/>
    <m/>
    <m/>
    <m/>
    <n v="0"/>
    <m/>
    <m/>
    <x v="0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1021"/>
    <m/>
    <m/>
    <s v="기업교육1팀"/>
    <s v="김도엽"/>
    <s v="기업교육1팀"/>
    <x v="8"/>
    <m/>
    <m/>
    <s v="현대자동차 (HR지원팀/법정)"/>
    <m/>
    <m/>
    <n v="46891"/>
    <s v="01 1~1000대"/>
    <s v="01 수성"/>
    <s v="01 자체 LMS"/>
    <s v="2. 온라인 - 법정"/>
    <s v="03. 이러닝 - 법정"/>
    <s v="03. 이러닝 - 법정"/>
    <m/>
    <m/>
    <n v="87534233"/>
    <n v="45900000"/>
    <m/>
    <s v="02 가망"/>
    <x v="4"/>
    <m/>
    <m/>
    <n v="50000000"/>
    <n v="50000000"/>
    <n v="0"/>
    <m/>
    <m/>
    <m/>
    <m/>
    <m/>
    <m/>
    <m/>
    <m/>
    <m/>
    <m/>
    <m/>
    <m/>
    <m/>
    <m/>
    <m/>
    <m/>
    <m/>
    <n v="50000000"/>
    <m/>
    <m/>
    <m/>
    <m/>
    <m/>
    <m/>
    <m/>
    <m/>
    <m/>
  </r>
  <r>
    <n v="1022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1023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1. 구독 - 휴넷CEO멤버십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4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5"/>
    <m/>
    <m/>
    <s v="기업교육1팀"/>
    <s v="김도엽"/>
    <s v="기업교육1팀"/>
    <x v="8"/>
    <m/>
    <m/>
    <s v="현대자동차 (서울/보안팀/비상대피, 보안의식캠페인)"/>
    <m/>
    <m/>
    <n v="46891"/>
    <s v="01 1~1000대"/>
    <s v="03 신규"/>
    <s v="01 자체 LMS"/>
    <s v="10. 컨텐츠 - 컨텐츠 개발"/>
    <s v="14. 컨텐츠 - 컨텐츠 개발"/>
    <s v="15. 컨텐츠 - 컨텐츠 개발"/>
    <m/>
    <m/>
    <n v="0"/>
    <n v="68888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6"/>
    <m/>
    <m/>
    <s v="기업교육1팀"/>
    <s v="김도엽"/>
    <s v="기업교육1팀"/>
    <x v="8"/>
    <m/>
    <m/>
    <s v="현대자동차 (안전경영기획팀_안전정책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322206000"/>
    <n v="13000000"/>
    <m/>
    <s v="01 확정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1027"/>
    <m/>
    <m/>
    <s v="기업교육1팀"/>
    <s v="김도엽"/>
    <s v="기업교육1팀"/>
    <x v="8"/>
    <m/>
    <m/>
    <s v="현대자동차 (울산/보건팀/체스운동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8"/>
    <m/>
    <m/>
    <s v="기업교육1팀"/>
    <s v="김도엽"/>
    <s v="기업교육1팀"/>
    <x v="8"/>
    <m/>
    <m/>
    <s v="현대자동차 (울산/화학물질 안전콘텐츠)"/>
    <m/>
    <m/>
    <n v="46891"/>
    <s v="01 1~1000대"/>
    <s v="03 신규"/>
    <m/>
    <m/>
    <s v="14. 컨텐츠 - 컨텐츠 개발"/>
    <s v="15. 컨텐츠 - 컨텐츠 개발"/>
    <m/>
    <m/>
    <n v="0"/>
    <n v="36500000"/>
    <m/>
    <s v="01 확정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029"/>
    <m/>
    <m/>
    <s v="기업교육1팀"/>
    <s v="김도엽"/>
    <s v="기업교육1팀"/>
    <x v="8"/>
    <m/>
    <m/>
    <s v="현대자동차 (저성과자코칭)"/>
    <m/>
    <m/>
    <n v="46891"/>
    <s v="01 1~1000대"/>
    <s v="03 신규"/>
    <m/>
    <m/>
    <s v="14. 컨텐츠 - 컨텐츠 개발"/>
    <s v="02. 이러닝 - 단과"/>
    <m/>
    <m/>
    <m/>
    <n v="23840000"/>
    <m/>
    <s v="01 확정"/>
    <x v="0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30"/>
    <m/>
    <m/>
    <s v="기업교육1팀"/>
    <s v="김도엽"/>
    <s v="기업교육1팀"/>
    <x v="8"/>
    <m/>
    <m/>
    <s v="현대자동차 (피플앤육성팀) (ATD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1"/>
    <m/>
    <m/>
    <s v="기업교육1팀"/>
    <s v="김도엽"/>
    <s v="기업교육1팀"/>
    <x v="8"/>
    <m/>
    <m/>
    <s v="현대자동차 (피플앤육성팀) (HRD교육체계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2"/>
    <m/>
    <m/>
    <s v="기업교육1팀"/>
    <s v="김도엽"/>
    <s v="기업교육1팀"/>
    <x v="8"/>
    <m/>
    <m/>
    <s v="현대자동차 (피플앤육성팀) (HRD칼리지)"/>
    <m/>
    <m/>
    <n v="46891"/>
    <s v="01 1~1000대"/>
    <s v="01 수성"/>
    <s v="01 자체 LMS"/>
    <s v="6. 하이브리드러닝 - 집합형"/>
    <s v="02. 이러닝 - 단과"/>
    <s v="02. 이러닝 - 단과"/>
    <m/>
    <m/>
    <n v="69706500"/>
    <n v="2583000"/>
    <m/>
    <s v="01 확정"/>
    <x v="4"/>
    <m/>
    <m/>
    <n v="2000000"/>
    <n v="2000000"/>
    <n v="0"/>
    <m/>
    <m/>
    <m/>
    <m/>
    <m/>
    <m/>
    <m/>
    <m/>
    <m/>
    <n v="500000"/>
    <m/>
    <n v="500000"/>
    <m/>
    <n v="500000"/>
    <m/>
    <n v="500000"/>
    <m/>
    <m/>
    <m/>
    <m/>
    <m/>
    <m/>
    <m/>
    <m/>
    <m/>
    <m/>
    <m/>
  </r>
  <r>
    <n v="1033"/>
    <m/>
    <m/>
    <s v="기업교육1팀"/>
    <s v="김도엽"/>
    <s v="기업교육1팀"/>
    <x v="8"/>
    <m/>
    <m/>
    <s v="현대자동차 남양연구소"/>
    <m/>
    <m/>
    <n v="49701"/>
    <s v="02 1001~2000대"/>
    <s v="02 윈백"/>
    <m/>
    <s v="6. 하이브리드러닝 - 집합형"/>
    <s v="08. 하이브리드러닝 - 하이브리드형 러닝"/>
    <s v="08. 하이브리드러닝 - 하이브리드형 러닝"/>
    <m/>
    <n v="946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4"/>
    <m/>
    <m/>
    <s v="기업교육1팀"/>
    <s v="김도엽"/>
    <s v="기업교육1팀"/>
    <x v="8"/>
    <m/>
    <m/>
    <s v="현대자동차(남양연구소/주생시험안전교육)"/>
    <m/>
    <m/>
    <n v="46891"/>
    <s v="01 1~1000대"/>
    <s v="01 수성"/>
    <s v="01 자체 LMS"/>
    <s v="10. 컨텐츠 - 컨텐츠 개발"/>
    <s v="14. 컨텐츠 - 컨텐츠 개발"/>
    <s v="15. 컨텐츠 - 컨텐츠 개발"/>
    <m/>
    <n v="162400000"/>
    <n v="0"/>
    <n v="0"/>
    <m/>
    <s v="02 가망"/>
    <x v="1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1035"/>
    <m/>
    <m/>
    <m/>
    <m/>
    <s v="기업교육1팀"/>
    <x v="8"/>
    <m/>
    <m/>
    <s v="현대자동차(보안진단개선팀/물리보안가이드북(출판디자인)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6"/>
    <m/>
    <m/>
    <s v="기업교육1팀"/>
    <s v="김도엽"/>
    <s v="기업교육1팀"/>
    <x v="8"/>
    <m/>
    <m/>
    <s v="현대자동차(보안진단개선팀/물리보안가이드북(출판디자인))"/>
    <m/>
    <m/>
    <n v="46891"/>
    <m/>
    <m/>
    <m/>
    <m/>
    <m/>
    <s v="20. 운영 - 운영매출"/>
    <m/>
    <m/>
    <m/>
    <n v="152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7"/>
    <m/>
    <m/>
    <s v="기업교육1팀"/>
    <s v="김도엽"/>
    <s v="기업교육1팀"/>
    <x v="8"/>
    <m/>
    <m/>
    <s v="현대자동차(소방팀(울산)/PSM콘텐츠개발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8"/>
    <m/>
    <m/>
    <s v="기업교육1팀"/>
    <s v="김도엽"/>
    <s v="기업교육1팀"/>
    <x v="8"/>
    <m/>
    <m/>
    <s v="현대자동차그룹 (노사기획팀/울산/PPT스킬업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9"/>
    <m/>
    <m/>
    <s v="기업교육1팀"/>
    <s v="김도엽"/>
    <s v="기업교육1팀"/>
    <x v="8"/>
    <m/>
    <m/>
    <s v="현대자동차그룹 (안전팀/울산/영상편집특강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0"/>
    <m/>
    <m/>
    <s v="기업교육1팀"/>
    <s v="김도엽"/>
    <s v="기업교육1팀"/>
    <x v="8"/>
    <m/>
    <m/>
    <s v="현대자동차그룹 (울산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n v="266731000"/>
    <n v="329000000"/>
    <n v="0"/>
    <m/>
    <s v="02 가망"/>
    <x v="0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041"/>
    <m/>
    <m/>
    <s v="기업교육1팀"/>
    <s v="김도엽"/>
    <s v="기업교육1팀"/>
    <x v="8"/>
    <m/>
    <m/>
    <s v="현대자동차그룹 글로벌상생협력센터 (법정 임대)"/>
    <m/>
    <m/>
    <n v="46794"/>
    <s v="01 1~1000대"/>
    <s v="01 수성"/>
    <s v="01 자체 LMS"/>
    <s v="11. 컨텐츠 - 컨텐츠 임대/판매"/>
    <s v="07. 이러닝 - 컨텐츠 임대/판매"/>
    <s v="07. 이러닝 - 컨텐츠 임대/판매"/>
    <m/>
    <n v="420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2"/>
    <m/>
    <m/>
    <s v="기업교육1팀"/>
    <s v="김도엽"/>
    <s v="기업교육1팀"/>
    <x v="8"/>
    <m/>
    <m/>
    <s v="현대자동차그룹 인재개발원(HRD아카데미)"/>
    <m/>
    <m/>
    <n v="774"/>
    <s v="01 1~1000대"/>
    <s v="01 수성"/>
    <s v="01 자체 LMS"/>
    <m/>
    <s v="08. 하이브리드러닝 - 하이브리드형 러닝"/>
    <s v="08. 하이브리드러닝 - 하이브리드형 러닝"/>
    <m/>
    <s v="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3"/>
    <m/>
    <m/>
    <s v="기업교육1팀"/>
    <s v="김도엽"/>
    <s v="기업교육1팀"/>
    <x v="8"/>
    <m/>
    <m/>
    <s v="현대자동차그룹(서울/안전경영기획팀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m/>
    <n v="0"/>
    <n v="104000000"/>
    <m/>
    <s v="02 가망"/>
    <x v="3"/>
    <m/>
    <m/>
    <n v="50000000"/>
    <n v="50000000"/>
    <n v="0"/>
    <m/>
    <m/>
    <m/>
    <m/>
    <m/>
    <m/>
    <m/>
    <m/>
    <m/>
    <n v="50000000"/>
    <m/>
    <m/>
    <m/>
    <m/>
    <m/>
    <m/>
    <m/>
    <m/>
    <m/>
    <m/>
    <m/>
    <m/>
    <m/>
    <m/>
    <m/>
    <m/>
    <m/>
  </r>
  <r>
    <n v="1044"/>
    <m/>
    <m/>
    <s v="기업교육1팀"/>
    <s v="김도엽"/>
    <s v="기업교육1팀"/>
    <x v="8"/>
    <m/>
    <m/>
    <s v="현대트랜시스"/>
    <m/>
    <m/>
    <n v="3842"/>
    <s v="01 1~1000대"/>
    <s v="01 수성"/>
    <s v="01 자체 LMS"/>
    <s v="1. 온라인 - 단과"/>
    <s v="02. 이러닝 - 단과"/>
    <s v="02. 이러닝 - 단과"/>
    <m/>
    <s v=""/>
    <n v="0"/>
    <n v="0"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5"/>
    <m/>
    <m/>
    <m/>
    <m/>
    <s v="기업교육1팀"/>
    <x v="8"/>
    <m/>
    <m/>
    <s v="현대트랜시스"/>
    <m/>
    <m/>
    <n v="3842"/>
    <s v="01 1~1000대"/>
    <s v="01 수성"/>
    <s v="01 자체 LMS"/>
    <s v="2. 온라인 - 법정"/>
    <s v="03. 이러닝 - 법정"/>
    <s v="03. 이러닝 - 법정"/>
    <m/>
    <s v=""/>
    <n v="21141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46"/>
    <m/>
    <m/>
    <s v="기업교육1팀"/>
    <s v="이재성"/>
    <s v="기업교육1팀"/>
    <x v="8"/>
    <m/>
    <m/>
    <s v="현대트랜시스(팀장리더십)"/>
    <m/>
    <m/>
    <n v="3842"/>
    <s v="01 1~1000대"/>
    <s v="03 신규"/>
    <s v="01 자체 LMS"/>
    <s v="5. 하이브리드러닝 - 러닝저니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7"/>
    <m/>
    <m/>
    <s v="기업교육4팀"/>
    <s v="양은희"/>
    <s v="기업교육1팀"/>
    <x v="9"/>
    <m/>
    <m/>
    <s v="LH중앙공동주택관리지원센터 (25년 과업)"/>
    <m/>
    <m/>
    <n v="29192"/>
    <s v="05 공공"/>
    <s v="01 수성"/>
    <s v="03 휴넷 LMS"/>
    <s v="31. B2C - 일반과정"/>
    <s v="02. 이러닝 - 단과"/>
    <s v="21. 운영 - 바이패스"/>
    <m/>
    <m/>
    <n v="191243560"/>
    <n v="188734440"/>
    <m/>
    <s v="01 확정"/>
    <x v="0"/>
    <m/>
    <m/>
    <n v="61390590"/>
    <n v="61390590"/>
    <n v="0"/>
    <n v="10000000"/>
    <n v="10260000"/>
    <m/>
    <n v="10000000"/>
    <n v="9016635"/>
    <m/>
    <n v="10000000"/>
    <n v="12113955"/>
    <m/>
    <n v="10000000"/>
    <m/>
    <n v="10000000"/>
    <m/>
    <n v="10000000"/>
    <m/>
    <m/>
    <m/>
    <m/>
    <m/>
    <m/>
    <m/>
    <m/>
    <m/>
    <m/>
    <m/>
    <m/>
    <m/>
  </r>
  <r>
    <n v="1048"/>
    <m/>
    <m/>
    <s v="기업교육4팀"/>
    <s v="양은희"/>
    <s v="기업교육1팀"/>
    <x v="9"/>
    <m/>
    <m/>
    <s v="한국병원약사회"/>
    <m/>
    <m/>
    <n v="9602"/>
    <s v="05 공공"/>
    <s v="01 수성"/>
    <s v="03 휴넷 LMS"/>
    <s v="24. 운영 - 운영매출"/>
    <s v="19. 운영 - 운영매출"/>
    <s v="20. 운영 - 운영매출"/>
    <m/>
    <m/>
    <n v="45000000"/>
    <n v="50000000"/>
    <m/>
    <s v="01 확정"/>
    <x v="0"/>
    <m/>
    <m/>
    <n v="47500000"/>
    <n v="47500000"/>
    <n v="0"/>
    <m/>
    <m/>
    <m/>
    <m/>
    <m/>
    <m/>
    <n v="5000000"/>
    <n v="25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1049"/>
    <m/>
    <m/>
    <s v="기업교육1팀"/>
    <s v="이재성"/>
    <s v="기업교육1팀"/>
    <x v="9"/>
    <m/>
    <m/>
    <s v="한국병원약사회"/>
    <m/>
    <m/>
    <n v="9602"/>
    <s v="05 공공"/>
    <m/>
    <s v="03 휴넷 LMS"/>
    <s v="1. 온라인 - 단과"/>
    <s v="02. 이러닝 - 단과"/>
    <s v="21. 운영 - 바이패스"/>
    <m/>
    <m/>
    <n v="1268755196"/>
    <n v="1483621965"/>
    <m/>
    <s v="01 확정"/>
    <x v="0"/>
    <m/>
    <m/>
    <n v="1311192598"/>
    <n v="1311192598"/>
    <n v="0"/>
    <n v="7916150"/>
    <n v="9915650"/>
    <m/>
    <n v="6825000"/>
    <n v="33580000"/>
    <m/>
    <n v="281615000"/>
    <n v="222825000"/>
    <m/>
    <n v="101290000"/>
    <m/>
    <n v="78362860"/>
    <m/>
    <n v="237049000"/>
    <m/>
    <n v="43186445"/>
    <m/>
    <n v="134006500"/>
    <m/>
    <n v="52502105"/>
    <m/>
    <n v="216363620"/>
    <m/>
    <n v="127814000"/>
    <m/>
    <n v="54297418"/>
    <m/>
  </r>
  <r>
    <n v="1050"/>
    <m/>
    <m/>
    <m/>
    <m/>
    <s v="기업교육1팀"/>
    <x v="9"/>
    <m/>
    <m/>
    <s v="한전KDN(마일리지_바이패스)"/>
    <m/>
    <m/>
    <n v="56028"/>
    <s v="05 공공"/>
    <s v="01 수성"/>
    <s v="03 휴넷 LMS"/>
    <s v="24. 운영 - 운영매출"/>
    <s v="19. 운영 - 운영매출"/>
    <s v="21. 운영 - 바이패스"/>
    <m/>
    <n v="1150650676"/>
    <n v="1166764891"/>
    <n v="1101058567"/>
    <m/>
    <s v="01 확정"/>
    <x v="0"/>
    <m/>
    <m/>
    <n v="1037799919"/>
    <n v="1037799919"/>
    <n v="0"/>
    <m/>
    <m/>
    <m/>
    <m/>
    <m/>
    <m/>
    <m/>
    <n v="37799919"/>
    <m/>
    <n v="130000000"/>
    <m/>
    <n v="90000000"/>
    <m/>
    <n v="90000000"/>
    <m/>
    <n v="100000000"/>
    <m/>
    <n v="90000000"/>
    <m/>
    <n v="100000000"/>
    <m/>
    <n v="100000000"/>
    <m/>
    <n v="300000000"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1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4">
        <item x="0"/>
        <item x="1"/>
        <item x="11"/>
        <item x="14"/>
        <item m="1" x="22"/>
        <item x="3"/>
        <item x="9"/>
        <item x="12"/>
        <item x="7"/>
        <item x="18"/>
        <item x="19"/>
        <item x="2"/>
        <item x="8"/>
        <item x="15"/>
        <item x="4"/>
        <item x="6"/>
        <item x="17"/>
        <item x="21"/>
        <item x="5"/>
        <item x="16"/>
        <item x="10"/>
        <item x="20"/>
        <item x="13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0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7"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15" type="button" dataOnly="0" labelOnly="1" outline="0"/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31">
    <pivotField showAll="0"/>
    <pivotField axis="axisRow" showAll="0">
      <items count="14">
        <item x="0"/>
        <item x="1"/>
        <item x="3"/>
        <item x="4"/>
        <item x="5"/>
        <item x="6"/>
        <item x="7"/>
        <item x="8"/>
        <item x="2"/>
        <item m="1" x="12"/>
        <item x="10"/>
        <item x="9"/>
        <item m="1" x="11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 t="grand">
      <x/>
    </i>
  </rowItems>
  <colFields count="1">
    <field x="15"/>
  </colFields>
  <colItems count="4">
    <i>
      <x/>
    </i>
    <i>
      <x v="1"/>
    </i>
    <i>
      <x v="2"/>
    </i>
    <i t="grand">
      <x/>
    </i>
  </colItems>
  <formats count="15">
    <format dxfId="69">
      <pivotArea outline="0" collapsedLevelsAreSubtotals="1" fieldPosition="0"/>
    </format>
    <format dxfId="68">
      <pivotArea field="15" type="button" dataOnly="0" labelOnly="1" outline="0" axis="axisCol" fieldPosition="0"/>
    </format>
    <format dxfId="67">
      <pivotArea type="topRight" dataOnly="0" labelOnly="1" outline="0" fieldPosition="0"/>
    </format>
    <format dxfId="66">
      <pivotArea dataOnly="0" labelOnly="1" fieldPosition="0">
        <references count="1">
          <reference field="15" count="0"/>
        </references>
      </pivotArea>
    </format>
    <format dxfId="65">
      <pivotArea dataOnly="0" labelOnly="1" grandCol="1" outline="0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type="origin" dataOnly="0" labelOnly="1" outline="0" fieldPosition="0"/>
    </format>
    <format dxfId="61">
      <pivotArea field="15" type="button" dataOnly="0" labelOnly="1" outline="0" axis="axisCol" fieldPosition="0"/>
    </format>
    <format dxfId="60">
      <pivotArea type="topRight" dataOnly="0" labelOnly="1" outline="0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0"/>
        </references>
      </pivotArea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15" count="0"/>
        </references>
      </pivotArea>
    </format>
    <format dxfId="5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5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8">
    <format dxfId="77">
      <pivotArea outline="0" collapsedLevelsAreSubtotals="1" fieldPosition="0"/>
    </format>
    <format dxfId="7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15" type="button" dataOnly="0" labelOnly="1" outline="0" axis="axisRow" fieldPosition="0"/>
    </format>
    <format dxfId="72">
      <pivotArea dataOnly="0" labelOnly="1" fieldPosition="0">
        <references count="1">
          <reference field="15" count="0"/>
        </references>
      </pivotArea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2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6"/>
        <item x="7"/>
        <item x="8"/>
        <item x="5"/>
        <item x="9"/>
        <item x="10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19" baseItem="0" numFmtId="41"/>
  </dataFields>
  <formats count="28">
    <format dxfId="28">
      <pivotArea grandRow="1"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type="origin" dataOnly="0" labelOnly="1" outline="0" fieldPosition="0"/>
    </format>
    <format dxfId="24">
      <pivotArea field="25" type="button" dataOnly="0" labelOnly="1" outline="0" axis="axisCol" fieldPosition="0"/>
    </format>
    <format dxfId="23">
      <pivotArea type="topRight" dataOnly="0" labelOnly="1" outline="0" fieldPosition="0"/>
    </format>
    <format dxfId="22">
      <pivotArea dataOnly="0" labelOnly="1" grandRow="1" outline="0" fieldPosition="0"/>
    </format>
    <format dxfId="21">
      <pivotArea dataOnly="0" labelOnly="1" fieldPosition="0">
        <references count="1">
          <reference field="25" count="0"/>
        </references>
      </pivotArea>
    </format>
    <format dxfId="20">
      <pivotArea dataOnly="0" labelOnly="1" grandCol="1" outline="0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25" type="button" dataOnly="0" labelOnly="1" outline="0" axis="axisCol" fieldPosition="0"/>
    </format>
    <format dxfId="15">
      <pivotArea type="topRight" dataOnly="0" labelOnly="1" outline="0" fieldPosition="0"/>
    </format>
    <format dxfId="14">
      <pivotArea dataOnly="0" labelOnly="1" grandRow="1" outline="0" fieldPosition="0"/>
    </format>
    <format dxfId="13">
      <pivotArea dataOnly="0" labelOnly="1" fieldPosition="0">
        <references count="1">
          <reference field="25" count="0"/>
        </references>
      </pivotArea>
    </format>
    <format dxfId="12">
      <pivotArea dataOnly="0" labelOnly="1" grandCol="1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25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grandRow="1" outline="0" fieldPosition="0"/>
    </format>
    <format dxfId="5">
      <pivotArea dataOnly="0" labelOnly="1" fieldPosition="0">
        <references count="1">
          <reference field="25" count="0"/>
        </references>
      </pivotArea>
    </format>
    <format dxfId="4">
      <pivotArea dataOnly="0" labelOnly="1" grandCol="1" outline="0" fieldPosition="0"/>
    </format>
    <format dxfId="3">
      <pivotArea outline="0" collapsedLevelsAreSubtotals="1" fieldPosition="0"/>
    </format>
    <format dxfId="2">
      <pivotArea collapsedLevelsAreSubtotals="1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32" baseField="25" baseItem="1"/>
    <dataField name="합계 : 2월 매출" fld="35" baseField="25" baseItem="1"/>
    <dataField name="합계 : 3월 매출" fld="38" baseField="25" baseItem="1"/>
    <dataField name="합계 : 4월 예상" fld="40" baseField="19" baseItem="0"/>
    <dataField name="합계 : 5월 예상" fld="42" baseField="19" baseItem="0"/>
    <dataField name="합계 : 6월 예상" fld="44" baseField="19" baseItem="0"/>
    <dataField name="합계 : 7월 예상" fld="46" baseField="19" baseItem="0"/>
    <dataField name="합계 : 8월 예상" fld="48" baseField="19" baseItem="0"/>
    <dataField name="합계 : 9월 예상" fld="50" baseField="19" baseItem="0"/>
    <dataField name="합계 : 10월 예상" fld="52" baseField="19" baseItem="0"/>
    <dataField name="합계 : 11월 예상" fld="54" baseField="19" baseItem="0"/>
    <dataField name="합계 : 12월 예상" fld="56" baseField="19" baseItem="0"/>
    <dataField name="합계 : 26년 예상매출합계" fld="28" baseField="19" baseItem="0"/>
  </dataFields>
  <formats count="19"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25" type="button" dataOnly="0" labelOnly="1" outline="0" axis="axisRow" fieldPosition="0"/>
    </format>
    <format dxfId="44">
      <pivotArea dataOnly="0" labelOnly="1" fieldPosition="0">
        <references count="1">
          <reference field="25" count="0"/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25" type="button" dataOnly="0" labelOnly="1" outline="0" axis="axisRow" fieldPosition="0"/>
    </format>
    <format dxfId="38">
      <pivotArea dataOnly="0" labelOnly="1" fieldPosition="0">
        <references count="1">
          <reference field="25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25" type="button" dataOnly="0" labelOnly="1" outline="0" axis="axisRow" fieldPosition="0"/>
    </format>
    <format dxfId="32">
      <pivotArea dataOnly="0" labelOnly="1" fieldPosition="0">
        <references count="1">
          <reference field="25" count="0"/>
        </references>
      </pivotArea>
    </format>
    <format dxfId="31">
      <pivotArea dataOnly="0" labelOnly="1" grandRow="1" outline="0" fieldPosition="0"/>
    </format>
    <format dxfId="30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1072"/>
  <sheetViews>
    <sheetView showGridLines="0" tabSelected="1" topLeftCell="A17" zoomScale="80" zoomScaleNormal="80" zoomScaleSheetLayoutView="85" workbookViewId="0">
      <selection activeCell="Z266" sqref="Z266"/>
    </sheetView>
  </sheetViews>
  <sheetFormatPr defaultColWidth="8.77734375" defaultRowHeight="15.65" outlineLevelRow="1" outlineLevelCol="1" x14ac:dyDescent="0.3"/>
  <cols>
    <col min="1" max="1" width="10.6640625" style="195" customWidth="1"/>
    <col min="2" max="3" width="11.77734375" style="196" hidden="1" customWidth="1" outlineLevel="1"/>
    <col min="4" max="5" width="11.77734375" style="225" hidden="1" customWidth="1" outlineLevel="1"/>
    <col min="6" max="6" width="11.77734375" style="225" customWidth="1" collapsed="1"/>
    <col min="7" max="7" width="12.6640625" style="225" customWidth="1"/>
    <col min="8" max="8" width="12.6640625" style="225" hidden="1" customWidth="1" outlineLevel="1"/>
    <col min="9" max="9" width="12.6640625" style="225" customWidth="1" collapsed="1"/>
    <col min="10" max="10" width="28" style="198" customWidth="1"/>
    <col min="11" max="12" width="11" style="198" hidden="1" customWidth="1" outlineLevel="1"/>
    <col min="13" max="13" width="11" style="198" customWidth="1" collapsed="1"/>
    <col min="14" max="14" width="19" style="198" hidden="1" customWidth="1" outlineLevel="1"/>
    <col min="15" max="16" width="12.44140625" style="197" hidden="1" customWidth="1" outlineLevel="1"/>
    <col min="17" max="18" width="31.21875" style="197" hidden="1" customWidth="1" outlineLevel="1"/>
    <col min="19" max="19" width="31.21875" style="197" customWidth="1" collapsed="1"/>
    <col min="20" max="20" width="24.6640625" style="197" hidden="1" customWidth="1" outlineLevel="1"/>
    <col min="21" max="22" width="18.109375" style="199" hidden="1" customWidth="1" outlineLevel="1"/>
    <col min="23" max="23" width="18.109375" style="199" customWidth="1" collapsed="1"/>
    <col min="24" max="24" width="18.109375" style="199" hidden="1" customWidth="1" outlineLevel="1"/>
    <col min="25" max="25" width="15.88671875" style="197" hidden="1" customWidth="1" outlineLevel="1"/>
    <col min="26" max="26" width="16" style="197" customWidth="1" collapsed="1"/>
    <col min="27" max="28" width="16" style="197" hidden="1" customWidth="1" outlineLevel="1"/>
    <col min="29" max="29" width="14.77734375" style="201" customWidth="1" collapsed="1"/>
    <col min="30" max="31" width="14.77734375" style="201" customWidth="1"/>
    <col min="32" max="32" width="15" style="202" hidden="1" customWidth="1" outlineLevel="1"/>
    <col min="33" max="33" width="15" style="202" customWidth="1" collapsed="1"/>
    <col min="34" max="35" width="15" style="202" hidden="1" customWidth="1" outlineLevel="1"/>
    <col min="36" max="36" width="15" style="202" customWidth="1" collapsed="1"/>
    <col min="37" max="37" width="15" style="202" hidden="1" customWidth="1" outlineLevel="1"/>
    <col min="38" max="38" width="15" style="203" hidden="1" customWidth="1" outlineLevel="1" collapsed="1"/>
    <col min="39" max="39" width="15" style="203" customWidth="1" collapsed="1"/>
    <col min="40" max="40" width="15" style="203" hidden="1" customWidth="1" outlineLevel="1"/>
    <col min="41" max="41" width="15" style="203" customWidth="1" collapsed="1"/>
    <col min="42" max="58" width="15" style="203" customWidth="1"/>
    <col min="59" max="59" width="8.77734375" style="204"/>
    <col min="60" max="16384" width="8.77734375" style="205"/>
  </cols>
  <sheetData>
    <row r="1" spans="4:37" ht="27.7" hidden="1" customHeight="1" outlineLevel="1" x14ac:dyDescent="0.3">
      <c r="D1" s="292" t="s">
        <v>482</v>
      </c>
      <c r="E1" s="292"/>
      <c r="F1" s="292"/>
      <c r="G1" s="292"/>
      <c r="H1" s="292"/>
      <c r="I1" s="292"/>
      <c r="J1" s="292"/>
      <c r="K1" s="292"/>
      <c r="L1" s="292"/>
      <c r="M1" s="292"/>
      <c r="N1" s="197"/>
      <c r="O1" s="198"/>
      <c r="Y1" s="200"/>
      <c r="Z1" s="200"/>
      <c r="AA1" s="200"/>
      <c r="AB1" s="200"/>
    </row>
    <row r="2" spans="4:37" ht="22.1" hidden="1" customHeight="1" outlineLevel="1" x14ac:dyDescent="0.3">
      <c r="D2" s="293" t="s">
        <v>694</v>
      </c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5"/>
      <c r="S2" s="206"/>
      <c r="T2" s="206"/>
      <c r="W2" s="207" t="s">
        <v>483</v>
      </c>
      <c r="Y2" s="207"/>
      <c r="Z2" s="207" t="s">
        <v>801</v>
      </c>
      <c r="AA2" s="207"/>
      <c r="AB2" s="207"/>
      <c r="AC2" s="207" t="s">
        <v>800</v>
      </c>
      <c r="AD2" s="207" t="s">
        <v>484</v>
      </c>
      <c r="AE2" s="208" t="s">
        <v>806</v>
      </c>
      <c r="AK2" s="209"/>
    </row>
    <row r="3" spans="4:37" ht="22.1" hidden="1" customHeight="1" outlineLevel="1" x14ac:dyDescent="0.3">
      <c r="D3" s="296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8"/>
      <c r="S3" s="206"/>
      <c r="T3" s="206"/>
      <c r="W3" s="210" t="s">
        <v>802</v>
      </c>
      <c r="Y3" s="211"/>
      <c r="Z3" s="211">
        <v>4664806607.5</v>
      </c>
      <c r="AA3" s="212"/>
      <c r="AB3" s="212"/>
      <c r="AC3" s="212">
        <f t="shared" ref="AC3:AC13" si="0">SUMIFS($AC$22:$AC$2001,$Z$22:$Z$2001,"01 확정",$G$22:$G$2001,W3)</f>
        <v>4664806607.5</v>
      </c>
      <c r="AD3" s="213">
        <f t="shared" ref="AD3:AD12" si="1">AC3-Z3</f>
        <v>0</v>
      </c>
      <c r="AE3" s="214"/>
      <c r="AH3" s="215"/>
      <c r="AK3" s="215"/>
    </row>
    <row r="4" spans="4:37" ht="22.1" hidden="1" customHeight="1" outlineLevel="1" x14ac:dyDescent="0.3">
      <c r="D4" s="296"/>
      <c r="E4" s="297"/>
      <c r="F4" s="297"/>
      <c r="G4" s="297"/>
      <c r="H4" s="297"/>
      <c r="I4" s="297"/>
      <c r="J4" s="297"/>
      <c r="K4" s="297"/>
      <c r="L4" s="297"/>
      <c r="M4" s="297"/>
      <c r="N4" s="297"/>
      <c r="O4" s="297"/>
      <c r="P4" s="297"/>
      <c r="Q4" s="297"/>
      <c r="R4" s="298"/>
      <c r="S4" s="206"/>
      <c r="T4" s="206"/>
      <c r="W4" s="210" t="s">
        <v>803</v>
      </c>
      <c r="Y4" s="211"/>
      <c r="Z4" s="211">
        <v>4001510549</v>
      </c>
      <c r="AA4" s="212"/>
      <c r="AB4" s="212"/>
      <c r="AC4" s="212">
        <f t="shared" si="0"/>
        <v>4001510549</v>
      </c>
      <c r="AD4" s="213">
        <f t="shared" si="1"/>
        <v>0</v>
      </c>
      <c r="AE4" s="214"/>
      <c r="AH4" s="215"/>
      <c r="AK4" s="215"/>
    </row>
    <row r="5" spans="4:37" ht="22.1" hidden="1" customHeight="1" outlineLevel="1" x14ac:dyDescent="0.3">
      <c r="D5" s="296"/>
      <c r="E5" s="297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7"/>
      <c r="Q5" s="297"/>
      <c r="R5" s="298"/>
      <c r="S5" s="206"/>
      <c r="T5" s="206"/>
      <c r="W5" s="210" t="s">
        <v>334</v>
      </c>
      <c r="Y5" s="211"/>
      <c r="Z5" s="211">
        <v>4021790930</v>
      </c>
      <c r="AA5" s="212"/>
      <c r="AB5" s="212"/>
      <c r="AC5" s="212">
        <f t="shared" si="0"/>
        <v>4030790930</v>
      </c>
      <c r="AD5" s="213">
        <f t="shared" si="1"/>
        <v>9000000</v>
      </c>
      <c r="AE5" s="214"/>
      <c r="AH5" s="215"/>
      <c r="AK5" s="215"/>
    </row>
    <row r="6" spans="4:37" ht="22.1" hidden="1" customHeight="1" outlineLevel="1" x14ac:dyDescent="0.3">
      <c r="D6" s="296"/>
      <c r="E6" s="297"/>
      <c r="F6" s="297"/>
      <c r="G6" s="297"/>
      <c r="H6" s="297"/>
      <c r="I6" s="297"/>
      <c r="J6" s="297"/>
      <c r="K6" s="297"/>
      <c r="L6" s="297"/>
      <c r="M6" s="297"/>
      <c r="N6" s="297"/>
      <c r="O6" s="297"/>
      <c r="P6" s="297"/>
      <c r="Q6" s="297"/>
      <c r="R6" s="298"/>
      <c r="S6" s="206"/>
      <c r="T6" s="206"/>
      <c r="W6" s="210" t="s">
        <v>487</v>
      </c>
      <c r="Y6" s="211"/>
      <c r="Z6" s="211">
        <v>1884773958</v>
      </c>
      <c r="AA6" s="212"/>
      <c r="AB6" s="212"/>
      <c r="AC6" s="212">
        <f t="shared" si="0"/>
        <v>1884773958</v>
      </c>
      <c r="AD6" s="213">
        <f t="shared" si="1"/>
        <v>0</v>
      </c>
      <c r="AE6" s="214"/>
      <c r="AH6" s="215"/>
      <c r="AK6" s="215"/>
    </row>
    <row r="7" spans="4:37" ht="22.1" hidden="1" customHeight="1" outlineLevel="1" x14ac:dyDescent="0.3">
      <c r="D7" s="296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8"/>
      <c r="S7" s="206"/>
      <c r="T7" s="206"/>
      <c r="W7" s="210" t="s">
        <v>85</v>
      </c>
      <c r="Y7" s="211"/>
      <c r="Z7" s="211">
        <v>1657753523</v>
      </c>
      <c r="AA7" s="212"/>
      <c r="AB7" s="212"/>
      <c r="AC7" s="212">
        <f t="shared" si="0"/>
        <v>1657753523</v>
      </c>
      <c r="AD7" s="213">
        <f t="shared" si="1"/>
        <v>0</v>
      </c>
      <c r="AE7" s="214"/>
      <c r="AH7" s="215"/>
      <c r="AK7" s="215"/>
    </row>
    <row r="8" spans="4:37" ht="22.1" hidden="1" customHeight="1" outlineLevel="1" x14ac:dyDescent="0.3">
      <c r="D8" s="296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  <c r="P8" s="297"/>
      <c r="Q8" s="297"/>
      <c r="R8" s="298"/>
      <c r="S8" s="206"/>
      <c r="T8" s="206"/>
      <c r="W8" s="210" t="s">
        <v>238</v>
      </c>
      <c r="Y8" s="211"/>
      <c r="Z8" s="211">
        <v>1186797506</v>
      </c>
      <c r="AA8" s="212"/>
      <c r="AB8" s="212"/>
      <c r="AC8" s="212">
        <f t="shared" si="0"/>
        <v>1186797506</v>
      </c>
      <c r="AD8" s="213">
        <f t="shared" si="1"/>
        <v>0</v>
      </c>
      <c r="AE8" s="214"/>
      <c r="AH8" s="215"/>
      <c r="AK8" s="215"/>
    </row>
    <row r="9" spans="4:37" ht="22.1" hidden="1" customHeight="1" outlineLevel="1" x14ac:dyDescent="0.3">
      <c r="D9" s="296"/>
      <c r="E9" s="297"/>
      <c r="F9" s="297"/>
      <c r="G9" s="297"/>
      <c r="H9" s="297"/>
      <c r="I9" s="297"/>
      <c r="J9" s="297"/>
      <c r="K9" s="297"/>
      <c r="L9" s="297"/>
      <c r="M9" s="297"/>
      <c r="N9" s="297"/>
      <c r="O9" s="297"/>
      <c r="P9" s="297"/>
      <c r="Q9" s="297"/>
      <c r="R9" s="298"/>
      <c r="S9" s="206"/>
      <c r="T9" s="206"/>
      <c r="W9" s="210" t="s">
        <v>279</v>
      </c>
      <c r="Y9" s="211"/>
      <c r="Z9" s="211">
        <v>1082195105</v>
      </c>
      <c r="AA9" s="212"/>
      <c r="AB9" s="212"/>
      <c r="AC9" s="212">
        <f t="shared" si="0"/>
        <v>1082195105</v>
      </c>
      <c r="AD9" s="213">
        <f t="shared" si="1"/>
        <v>0</v>
      </c>
      <c r="AE9" s="214"/>
      <c r="AH9" s="215"/>
      <c r="AK9" s="215"/>
    </row>
    <row r="10" spans="4:37" ht="22.1" hidden="1" customHeight="1" outlineLevel="1" x14ac:dyDescent="0.3">
      <c r="D10" s="296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8"/>
      <c r="S10" s="206"/>
      <c r="T10" s="206"/>
      <c r="W10" s="210" t="s">
        <v>314</v>
      </c>
      <c r="Y10" s="211"/>
      <c r="Z10" s="211">
        <v>3134365945</v>
      </c>
      <c r="AA10" s="212"/>
      <c r="AB10" s="212"/>
      <c r="AC10" s="212">
        <f t="shared" si="0"/>
        <v>3134365945</v>
      </c>
      <c r="AD10" s="213">
        <f t="shared" si="1"/>
        <v>0</v>
      </c>
      <c r="AE10" s="214"/>
      <c r="AH10" s="215"/>
      <c r="AK10" s="215"/>
    </row>
    <row r="11" spans="4:37" ht="22.1" hidden="1" customHeight="1" outlineLevel="1" x14ac:dyDescent="0.3">
      <c r="D11" s="296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8"/>
      <c r="S11" s="206"/>
      <c r="T11" s="206"/>
      <c r="W11" s="210" t="s">
        <v>608</v>
      </c>
      <c r="Y11" s="211"/>
      <c r="Z11" s="211">
        <v>683287785</v>
      </c>
      <c r="AA11" s="212"/>
      <c r="AB11" s="212"/>
      <c r="AC11" s="212">
        <f t="shared" si="0"/>
        <v>683287785</v>
      </c>
      <c r="AD11" s="213">
        <f t="shared" si="1"/>
        <v>0</v>
      </c>
      <c r="AE11" s="214"/>
      <c r="AH11" s="215"/>
      <c r="AK11" s="215"/>
    </row>
    <row r="12" spans="4:37" ht="22.1" hidden="1" customHeight="1" outlineLevel="1" x14ac:dyDescent="0.3">
      <c r="D12" s="296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8"/>
      <c r="S12" s="206"/>
      <c r="T12" s="206"/>
      <c r="W12" s="210" t="s">
        <v>821</v>
      </c>
      <c r="Y12" s="211"/>
      <c r="Z12" s="211">
        <v>2457883107</v>
      </c>
      <c r="AA12" s="212"/>
      <c r="AB12" s="212"/>
      <c r="AC12" s="212">
        <f t="shared" si="0"/>
        <v>2457883107</v>
      </c>
      <c r="AD12" s="213">
        <f t="shared" si="1"/>
        <v>0</v>
      </c>
      <c r="AE12" s="214"/>
      <c r="AH12" s="215"/>
      <c r="AK12" s="215"/>
    </row>
    <row r="13" spans="4:37" ht="22.1" hidden="1" customHeight="1" outlineLevel="1" x14ac:dyDescent="0.3">
      <c r="D13" s="296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8"/>
      <c r="S13" s="206"/>
      <c r="T13" s="206"/>
      <c r="W13" s="210" t="s">
        <v>804</v>
      </c>
      <c r="Y13" s="211"/>
      <c r="Z13" s="211">
        <v>0</v>
      </c>
      <c r="AA13" s="212"/>
      <c r="AB13" s="212"/>
      <c r="AC13" s="212">
        <f t="shared" si="0"/>
        <v>0</v>
      </c>
      <c r="AD13" s="213"/>
      <c r="AE13" s="214"/>
      <c r="AH13" s="215"/>
      <c r="AK13" s="209"/>
    </row>
    <row r="14" spans="4:37" ht="22.1" hidden="1" customHeight="1" outlineLevel="1" x14ac:dyDescent="0.3">
      <c r="D14" s="299"/>
      <c r="E14" s="300"/>
      <c r="F14" s="300"/>
      <c r="G14" s="300"/>
      <c r="H14" s="300"/>
      <c r="I14" s="300"/>
      <c r="J14" s="300"/>
      <c r="K14" s="300"/>
      <c r="L14" s="300"/>
      <c r="M14" s="300"/>
      <c r="N14" s="300"/>
      <c r="O14" s="300"/>
      <c r="P14" s="300"/>
      <c r="Q14" s="300"/>
      <c r="R14" s="301"/>
      <c r="S14" s="206"/>
      <c r="T14" s="206"/>
      <c r="W14" s="216"/>
      <c r="Y14" s="217"/>
      <c r="Z14" s="217"/>
      <c r="AA14" s="217"/>
      <c r="AB14" s="217"/>
      <c r="AC14" s="217"/>
      <c r="AD14" s="218"/>
      <c r="AE14" s="219"/>
      <c r="AH14" s="220"/>
      <c r="AK14" s="220"/>
    </row>
    <row r="15" spans="4:37" ht="22.1" hidden="1" customHeight="1" outlineLevel="1" x14ac:dyDescent="0.3">
      <c r="D15" s="280"/>
      <c r="E15" s="280"/>
      <c r="F15" s="280"/>
      <c r="G15" s="280"/>
      <c r="H15" s="280"/>
      <c r="I15" s="280"/>
      <c r="J15" s="280"/>
      <c r="K15" s="206"/>
      <c r="L15" s="280"/>
      <c r="M15" s="280"/>
      <c r="N15" s="206"/>
      <c r="O15" s="206"/>
      <c r="P15" s="206"/>
      <c r="Q15" s="206"/>
      <c r="R15" s="206"/>
      <c r="S15" s="206"/>
      <c r="T15" s="206"/>
      <c r="W15" s="221" t="s">
        <v>452</v>
      </c>
      <c r="Y15" s="222"/>
      <c r="Z15" s="222">
        <v>24775165015.5</v>
      </c>
      <c r="AA15" s="222"/>
      <c r="AB15" s="222"/>
      <c r="AC15" s="222">
        <f>SUM(AC3:AC14)</f>
        <v>24784165015.5</v>
      </c>
      <c r="AD15" s="223">
        <f>SUM(AD3:AD13)</f>
        <v>9000000</v>
      </c>
      <c r="AE15" s="224"/>
      <c r="AH15" s="220"/>
      <c r="AK15" s="220"/>
    </row>
    <row r="16" spans="4:37" ht="17.5" hidden="1" customHeight="1" outlineLevel="1" x14ac:dyDescent="0.3"/>
    <row r="17" spans="1:60" ht="20.399999999999999" customHeight="1" collapsed="1" x14ac:dyDescent="0.3"/>
    <row r="18" spans="1:60" x14ac:dyDescent="0.3">
      <c r="U18" s="226"/>
      <c r="V18" s="226"/>
      <c r="W18" s="226"/>
      <c r="X18" s="226"/>
    </row>
    <row r="19" spans="1:60" x14ac:dyDescent="0.3">
      <c r="V19" s="302"/>
      <c r="W19" s="227"/>
      <c r="X19" s="227"/>
    </row>
    <row r="20" spans="1:60" ht="19.7" x14ac:dyDescent="0.3">
      <c r="N20" s="304" t="s">
        <v>623</v>
      </c>
      <c r="O20" s="304"/>
      <c r="V20" s="303"/>
      <c r="W20" s="228" t="s">
        <v>984</v>
      </c>
      <c r="X20" s="228" t="s">
        <v>987</v>
      </c>
      <c r="AA20" s="282" t="s">
        <v>1010</v>
      </c>
      <c r="AB20" s="282" t="s">
        <v>1013</v>
      </c>
    </row>
    <row r="21" spans="1:60" ht="19.899999999999999" customHeight="1" thickBot="1" x14ac:dyDescent="0.35">
      <c r="A21" s="279">
        <f>SUBTOTAL(3,A23:A10001)</f>
        <v>48</v>
      </c>
      <c r="H21" s="282" t="s">
        <v>1010</v>
      </c>
      <c r="J21" s="229"/>
      <c r="K21" s="230"/>
      <c r="L21" s="282" t="s">
        <v>1010</v>
      </c>
      <c r="M21" s="230"/>
      <c r="N21" s="229" t="s">
        <v>3</v>
      </c>
      <c r="O21" s="229" t="s">
        <v>4</v>
      </c>
      <c r="P21" s="229" t="s">
        <v>4</v>
      </c>
      <c r="Q21" s="229"/>
      <c r="R21" s="229"/>
      <c r="S21" s="229"/>
      <c r="T21" s="231" t="s">
        <v>855</v>
      </c>
      <c r="U21" s="232">
        <f>SUBTOTAL(9,U23:U1048576)</f>
        <v>1626218134</v>
      </c>
      <c r="V21" s="232">
        <f>SUBTOTAL(9,V23:V1048576)</f>
        <v>1548374586</v>
      </c>
      <c r="W21" s="232">
        <f>SUBTOTAL(9,W23:W1048576)</f>
        <v>3830981671</v>
      </c>
      <c r="X21" s="232">
        <f>SUBTOTAL(9,X23:X1048576)</f>
        <v>1809355125</v>
      </c>
      <c r="Y21" s="233"/>
      <c r="Z21" s="234" t="s">
        <v>3</v>
      </c>
      <c r="AA21" s="285"/>
      <c r="AB21" s="285"/>
      <c r="AC21" s="235">
        <f t="shared" ref="AC21:BE21" si="2">SUBTOTAL(9,AC23:AC1048576)</f>
        <v>4519790930</v>
      </c>
      <c r="AD21" s="235">
        <f t="shared" si="2"/>
        <v>4519790930</v>
      </c>
      <c r="AE21" s="235">
        <f t="shared" si="2"/>
        <v>0</v>
      </c>
      <c r="AF21" s="235">
        <f t="shared" si="2"/>
        <v>94199281</v>
      </c>
      <c r="AG21" s="236">
        <f t="shared" si="2"/>
        <v>365806554</v>
      </c>
      <c r="AH21" s="237">
        <f t="shared" si="2"/>
        <v>0</v>
      </c>
      <c r="AI21" s="237">
        <f t="shared" si="2"/>
        <v>303000000</v>
      </c>
      <c r="AJ21" s="236">
        <f t="shared" si="2"/>
        <v>289623610</v>
      </c>
      <c r="AK21" s="237">
        <f t="shared" si="2"/>
        <v>0</v>
      </c>
      <c r="AL21" s="232">
        <f t="shared" si="2"/>
        <v>243539176</v>
      </c>
      <c r="AM21" s="288">
        <f t="shared" si="2"/>
        <v>235661676</v>
      </c>
      <c r="AN21" s="232">
        <f t="shared" si="2"/>
        <v>0</v>
      </c>
      <c r="AO21" s="232">
        <f t="shared" si="2"/>
        <v>281250000</v>
      </c>
      <c r="AP21" s="232">
        <f t="shared" si="2"/>
        <v>0</v>
      </c>
      <c r="AQ21" s="232">
        <f t="shared" si="2"/>
        <v>625500000</v>
      </c>
      <c r="AR21" s="232">
        <f t="shared" si="2"/>
        <v>0</v>
      </c>
      <c r="AS21" s="232">
        <f t="shared" si="2"/>
        <v>369760000</v>
      </c>
      <c r="AT21" s="232">
        <f t="shared" si="2"/>
        <v>0</v>
      </c>
      <c r="AU21" s="232">
        <f t="shared" si="2"/>
        <v>285500000</v>
      </c>
      <c r="AV21" s="232">
        <f t="shared" si="2"/>
        <v>0</v>
      </c>
      <c r="AW21" s="232">
        <f t="shared" si="2"/>
        <v>365500000</v>
      </c>
      <c r="AX21" s="232">
        <f t="shared" si="2"/>
        <v>0</v>
      </c>
      <c r="AY21" s="232">
        <f t="shared" si="2"/>
        <v>310500000</v>
      </c>
      <c r="AZ21" s="232">
        <f t="shared" si="2"/>
        <v>0</v>
      </c>
      <c r="BA21" s="232">
        <f t="shared" si="2"/>
        <v>530000000</v>
      </c>
      <c r="BB21" s="232">
        <f t="shared" si="2"/>
        <v>0</v>
      </c>
      <c r="BC21" s="232">
        <f t="shared" si="2"/>
        <v>361200000</v>
      </c>
      <c r="BD21" s="232">
        <f t="shared" si="2"/>
        <v>0</v>
      </c>
      <c r="BE21" s="232">
        <f t="shared" si="2"/>
        <v>499489090</v>
      </c>
      <c r="BF21" s="232"/>
    </row>
    <row r="22" spans="1:60" s="259" customFormat="1" ht="39.4" x14ac:dyDescent="0.3">
      <c r="A22" s="238" t="s">
        <v>993</v>
      </c>
      <c r="B22" s="239" t="s">
        <v>5</v>
      </c>
      <c r="C22" s="239" t="s">
        <v>6</v>
      </c>
      <c r="D22" s="240" t="s">
        <v>486</v>
      </c>
      <c r="E22" s="240" t="s">
        <v>485</v>
      </c>
      <c r="F22" s="241" t="s">
        <v>688</v>
      </c>
      <c r="G22" s="242" t="s">
        <v>735</v>
      </c>
      <c r="H22" s="283" t="s">
        <v>1011</v>
      </c>
      <c r="I22" s="243" t="s">
        <v>734</v>
      </c>
      <c r="J22" s="244" t="s">
        <v>937</v>
      </c>
      <c r="K22" s="245" t="s">
        <v>950</v>
      </c>
      <c r="L22" s="284" t="s">
        <v>1012</v>
      </c>
      <c r="M22" s="245" t="s">
        <v>7</v>
      </c>
      <c r="N22" s="246" t="s">
        <v>8</v>
      </c>
      <c r="O22" s="247" t="s">
        <v>9</v>
      </c>
      <c r="P22" s="247" t="s">
        <v>10</v>
      </c>
      <c r="Q22" s="247" t="s">
        <v>11</v>
      </c>
      <c r="R22" s="247" t="s">
        <v>12</v>
      </c>
      <c r="S22" s="248" t="s">
        <v>939</v>
      </c>
      <c r="T22" s="249" t="s">
        <v>854</v>
      </c>
      <c r="U22" s="250" t="s">
        <v>13</v>
      </c>
      <c r="V22" s="250" t="s">
        <v>14</v>
      </c>
      <c r="W22" s="251" t="s">
        <v>986</v>
      </c>
      <c r="X22" s="252" t="s">
        <v>985</v>
      </c>
      <c r="Y22" s="253" t="s">
        <v>692</v>
      </c>
      <c r="Z22" s="254" t="s">
        <v>941</v>
      </c>
      <c r="AA22" s="286" t="s">
        <v>1014</v>
      </c>
      <c r="AB22" s="286" t="s">
        <v>1015</v>
      </c>
      <c r="AC22" s="255" t="s">
        <v>693</v>
      </c>
      <c r="AD22" s="255" t="s">
        <v>733</v>
      </c>
      <c r="AE22" s="255" t="s">
        <v>695</v>
      </c>
      <c r="AF22" s="256" t="s">
        <v>691</v>
      </c>
      <c r="AG22" s="257" t="s">
        <v>1032</v>
      </c>
      <c r="AH22" s="256" t="s">
        <v>807</v>
      </c>
      <c r="AI22" s="256" t="s">
        <v>322</v>
      </c>
      <c r="AJ22" s="257" t="s">
        <v>1031</v>
      </c>
      <c r="AK22" s="256" t="s">
        <v>807</v>
      </c>
      <c r="AL22" s="258" t="s">
        <v>323</v>
      </c>
      <c r="AM22" s="289" t="s">
        <v>1033</v>
      </c>
      <c r="AN22" s="256" t="s">
        <v>807</v>
      </c>
      <c r="AO22" s="258" t="s">
        <v>324</v>
      </c>
      <c r="AP22" s="256" t="s">
        <v>807</v>
      </c>
      <c r="AQ22" s="258" t="s">
        <v>325</v>
      </c>
      <c r="AR22" s="256" t="s">
        <v>807</v>
      </c>
      <c r="AS22" s="258" t="s">
        <v>689</v>
      </c>
      <c r="AT22" s="256" t="s">
        <v>807</v>
      </c>
      <c r="AU22" s="258" t="s">
        <v>690</v>
      </c>
      <c r="AV22" s="256" t="s">
        <v>807</v>
      </c>
      <c r="AW22" s="258" t="s">
        <v>326</v>
      </c>
      <c r="AX22" s="256" t="s">
        <v>807</v>
      </c>
      <c r="AY22" s="258" t="s">
        <v>327</v>
      </c>
      <c r="AZ22" s="256" t="s">
        <v>807</v>
      </c>
      <c r="BA22" s="258" t="s">
        <v>328</v>
      </c>
      <c r="BB22" s="256" t="s">
        <v>807</v>
      </c>
      <c r="BC22" s="258" t="s">
        <v>329</v>
      </c>
      <c r="BD22" s="256" t="s">
        <v>807</v>
      </c>
      <c r="BE22" s="258" t="s">
        <v>330</v>
      </c>
      <c r="BF22" s="256" t="s">
        <v>807</v>
      </c>
    </row>
    <row r="23" spans="1:60" ht="16.5" hidden="1" customHeight="1" x14ac:dyDescent="0.3">
      <c r="A23" s="260">
        <v>1</v>
      </c>
      <c r="B23" s="261"/>
      <c r="C23" s="261"/>
      <c r="D23" s="262" t="s">
        <v>15</v>
      </c>
      <c r="E23" s="262" t="s">
        <v>113</v>
      </c>
      <c r="F23" s="263" t="s">
        <v>15</v>
      </c>
      <c r="G23" s="264" t="s">
        <v>113</v>
      </c>
      <c r="H23" s="281"/>
      <c r="I23" s="265"/>
      <c r="J23" s="266" t="s">
        <v>114</v>
      </c>
      <c r="K23" s="262"/>
      <c r="L23" s="262"/>
      <c r="M23" s="262">
        <v>3743</v>
      </c>
      <c r="N23" s="262" t="s">
        <v>22</v>
      </c>
      <c r="O23" s="262" t="s">
        <v>56</v>
      </c>
      <c r="P23" s="262" t="s">
        <v>57</v>
      </c>
      <c r="Q23" s="262" t="s">
        <v>63</v>
      </c>
      <c r="R23" s="262" t="s">
        <v>28</v>
      </c>
      <c r="S23" s="267" t="s">
        <v>28</v>
      </c>
      <c r="T23" s="268" t="s">
        <v>951</v>
      </c>
      <c r="U23" s="269"/>
      <c r="V23" s="269">
        <v>0</v>
      </c>
      <c r="W23" s="278">
        <v>15131950</v>
      </c>
      <c r="X23" s="270"/>
      <c r="Y23" s="262" t="s">
        <v>27</v>
      </c>
      <c r="Z23" s="271" t="s">
        <v>27</v>
      </c>
      <c r="AA23" s="287"/>
      <c r="AB23" s="287"/>
      <c r="AC23" s="272">
        <f t="shared" ref="AC23:AC86" si="3">AG23+AJ23+AM23+AO23+AQ23+AS23+AU23+AW23+AY23+BA23+BC23+BE23</f>
        <v>32575640</v>
      </c>
      <c r="AD23" s="272">
        <v>32575640</v>
      </c>
      <c r="AE23" s="272">
        <f t="shared" ref="AE23:AE86" si="4">AC23-AD23</f>
        <v>0</v>
      </c>
      <c r="AF23" s="273">
        <v>2200030</v>
      </c>
      <c r="AG23" s="274">
        <v>2200030</v>
      </c>
      <c r="AH23" s="273"/>
      <c r="AI23" s="273">
        <v>2559410</v>
      </c>
      <c r="AJ23" s="274">
        <v>2559410</v>
      </c>
      <c r="AK23" s="273"/>
      <c r="AL23" s="275">
        <v>2551840</v>
      </c>
      <c r="AM23" s="290">
        <v>2551840</v>
      </c>
      <c r="AN23" s="275"/>
      <c r="AO23" s="276">
        <v>2264360</v>
      </c>
      <c r="AP23" s="275"/>
      <c r="AQ23" s="275">
        <v>3000000</v>
      </c>
      <c r="AR23" s="275"/>
      <c r="AS23" s="275">
        <v>3000000</v>
      </c>
      <c r="AT23" s="275"/>
      <c r="AU23" s="275">
        <v>2000000</v>
      </c>
      <c r="AV23" s="275"/>
      <c r="AW23" s="275">
        <v>3000000</v>
      </c>
      <c r="AX23" s="275"/>
      <c r="AY23" s="275">
        <v>3000000</v>
      </c>
      <c r="AZ23" s="275"/>
      <c r="BA23" s="275">
        <v>3000000</v>
      </c>
      <c r="BB23" s="275"/>
      <c r="BC23" s="275">
        <v>3000000</v>
      </c>
      <c r="BD23" s="275"/>
      <c r="BE23" s="275">
        <v>3000000</v>
      </c>
      <c r="BF23" s="275"/>
      <c r="BH23" s="277"/>
    </row>
    <row r="24" spans="1:60" ht="16.5" hidden="1" customHeight="1" x14ac:dyDescent="0.3">
      <c r="A24" s="260">
        <v>2</v>
      </c>
      <c r="B24" s="261"/>
      <c r="C24" s="261"/>
      <c r="D24" s="262"/>
      <c r="E24" s="262"/>
      <c r="F24" s="263" t="s">
        <v>15</v>
      </c>
      <c r="G24" s="264" t="s">
        <v>113</v>
      </c>
      <c r="H24" s="281"/>
      <c r="I24" s="265"/>
      <c r="J24" s="266" t="s">
        <v>114</v>
      </c>
      <c r="K24" s="262"/>
      <c r="L24" s="262"/>
      <c r="M24" s="262">
        <v>3743</v>
      </c>
      <c r="N24" s="262"/>
      <c r="O24" s="262"/>
      <c r="P24" s="262"/>
      <c r="Q24" s="262"/>
      <c r="R24" s="262"/>
      <c r="S24" s="267" t="s">
        <v>468</v>
      </c>
      <c r="T24" s="268"/>
      <c r="U24" s="269"/>
      <c r="V24" s="269"/>
      <c r="W24" s="278">
        <v>0</v>
      </c>
      <c r="X24" s="270"/>
      <c r="Y24" s="262"/>
      <c r="Z24" s="271" t="s">
        <v>27</v>
      </c>
      <c r="AA24" s="287"/>
      <c r="AB24" s="287"/>
      <c r="AC24" s="272">
        <f t="shared" si="3"/>
        <v>28170000</v>
      </c>
      <c r="AD24" s="272">
        <v>28170000</v>
      </c>
      <c r="AE24" s="272">
        <f t="shared" si="4"/>
        <v>0</v>
      </c>
      <c r="AF24" s="273"/>
      <c r="AG24" s="274"/>
      <c r="AH24" s="273"/>
      <c r="AI24" s="273"/>
      <c r="AJ24" s="274"/>
      <c r="AK24" s="273"/>
      <c r="AL24" s="275">
        <v>2850000</v>
      </c>
      <c r="AM24" s="290">
        <v>2850000</v>
      </c>
      <c r="AN24" s="275"/>
      <c r="AO24" s="276">
        <v>25320000</v>
      </c>
      <c r="AP24" s="275"/>
      <c r="AQ24" s="275"/>
      <c r="AR24" s="275"/>
      <c r="AS24" s="275"/>
      <c r="AT24" s="275"/>
      <c r="AU24" s="275"/>
      <c r="AV24" s="275"/>
      <c r="AW24" s="275"/>
      <c r="AX24" s="275"/>
      <c r="AY24" s="275"/>
      <c r="AZ24" s="275"/>
      <c r="BA24" s="275"/>
      <c r="BB24" s="275"/>
      <c r="BC24" s="275"/>
      <c r="BD24" s="275"/>
      <c r="BE24" s="275"/>
      <c r="BF24" s="275"/>
      <c r="BH24" s="277"/>
    </row>
    <row r="25" spans="1:60" ht="16.5" hidden="1" customHeight="1" x14ac:dyDescent="0.3">
      <c r="A25" s="260">
        <v>3</v>
      </c>
      <c r="B25" s="261" t="s">
        <v>15</v>
      </c>
      <c r="C25" s="261" t="s">
        <v>709</v>
      </c>
      <c r="D25" s="262"/>
      <c r="E25" s="262"/>
      <c r="F25" s="263" t="s">
        <v>15</v>
      </c>
      <c r="G25" s="264" t="s">
        <v>113</v>
      </c>
      <c r="H25" s="281"/>
      <c r="I25" s="265"/>
      <c r="J25" s="266" t="s">
        <v>816</v>
      </c>
      <c r="K25" s="262"/>
      <c r="L25" s="262"/>
      <c r="M25" s="262">
        <v>65888</v>
      </c>
      <c r="N25" s="262"/>
      <c r="O25" s="262" t="s">
        <v>35</v>
      </c>
      <c r="P25" s="262" t="s">
        <v>57</v>
      </c>
      <c r="Q25" s="262"/>
      <c r="R25" s="262"/>
      <c r="S25" s="267" t="s">
        <v>19</v>
      </c>
      <c r="T25" s="268" t="s">
        <v>951</v>
      </c>
      <c r="U25" s="269"/>
      <c r="V25" s="269"/>
      <c r="W25" s="278">
        <v>0</v>
      </c>
      <c r="X25" s="270"/>
      <c r="Y25" s="262"/>
      <c r="Z25" s="271" t="s">
        <v>27</v>
      </c>
      <c r="AA25" s="287"/>
      <c r="AB25" s="287"/>
      <c r="AC25" s="272">
        <f t="shared" si="3"/>
        <v>2293600</v>
      </c>
      <c r="AD25" s="272">
        <v>2293600</v>
      </c>
      <c r="AE25" s="272">
        <f t="shared" si="4"/>
        <v>0</v>
      </c>
      <c r="AF25" s="273"/>
      <c r="AG25" s="274"/>
      <c r="AH25" s="273"/>
      <c r="AI25" s="273"/>
      <c r="AJ25" s="274"/>
      <c r="AK25" s="273"/>
      <c r="AL25" s="275">
        <v>96000</v>
      </c>
      <c r="AM25" s="290">
        <v>96000</v>
      </c>
      <c r="AN25" s="275"/>
      <c r="AO25" s="276">
        <v>97600</v>
      </c>
      <c r="AP25" s="275"/>
      <c r="AQ25" s="275">
        <v>300000</v>
      </c>
      <c r="AR25" s="275"/>
      <c r="AS25" s="275"/>
      <c r="AT25" s="275"/>
      <c r="AU25" s="275">
        <v>300000</v>
      </c>
      <c r="AV25" s="275"/>
      <c r="AW25" s="275">
        <v>300000</v>
      </c>
      <c r="AX25" s="275"/>
      <c r="AY25" s="275">
        <v>300000</v>
      </c>
      <c r="AZ25" s="275"/>
      <c r="BA25" s="275">
        <v>300000</v>
      </c>
      <c r="BB25" s="275"/>
      <c r="BC25" s="275">
        <v>300000</v>
      </c>
      <c r="BD25" s="275"/>
      <c r="BE25" s="275">
        <v>300000</v>
      </c>
      <c r="BF25" s="275"/>
      <c r="BH25" s="277"/>
    </row>
    <row r="26" spans="1:60" ht="16.5" hidden="1" customHeight="1" x14ac:dyDescent="0.3">
      <c r="A26" s="260">
        <v>4</v>
      </c>
      <c r="B26" s="261"/>
      <c r="C26" s="261"/>
      <c r="D26" s="262" t="s">
        <v>15</v>
      </c>
      <c r="E26" s="262" t="s">
        <v>113</v>
      </c>
      <c r="F26" s="263" t="s">
        <v>15</v>
      </c>
      <c r="G26" s="264" t="s">
        <v>113</v>
      </c>
      <c r="H26" s="281"/>
      <c r="I26" s="265"/>
      <c r="J26" s="266" t="s">
        <v>736</v>
      </c>
      <c r="K26" s="262"/>
      <c r="L26" s="262"/>
      <c r="M26" s="262">
        <v>2586</v>
      </c>
      <c r="N26" s="262" t="s">
        <v>22</v>
      </c>
      <c r="O26" s="262" t="s">
        <v>35</v>
      </c>
      <c r="P26" s="262" t="s">
        <v>57</v>
      </c>
      <c r="Q26" s="262"/>
      <c r="R26" s="262"/>
      <c r="S26" s="267" t="s">
        <v>822</v>
      </c>
      <c r="T26" s="268"/>
      <c r="U26" s="269"/>
      <c r="V26" s="269"/>
      <c r="W26" s="278">
        <v>0</v>
      </c>
      <c r="X26" s="270"/>
      <c r="Y26" s="262" t="s">
        <v>25</v>
      </c>
      <c r="Z26" s="271" t="s">
        <v>25</v>
      </c>
      <c r="AA26" s="287"/>
      <c r="AB26" s="287"/>
      <c r="AC26" s="272">
        <f t="shared" si="3"/>
        <v>20300000</v>
      </c>
      <c r="AD26" s="272">
        <v>20300000</v>
      </c>
      <c r="AE26" s="272">
        <f t="shared" si="4"/>
        <v>0</v>
      </c>
      <c r="AF26" s="273"/>
      <c r="AG26" s="274"/>
      <c r="AH26" s="273"/>
      <c r="AI26" s="273"/>
      <c r="AJ26" s="274"/>
      <c r="AK26" s="273"/>
      <c r="AL26" s="275"/>
      <c r="AM26" s="290"/>
      <c r="AN26" s="275"/>
      <c r="AO26" s="276"/>
      <c r="AP26" s="275"/>
      <c r="AQ26" s="291">
        <v>20000000</v>
      </c>
      <c r="AR26" s="275"/>
      <c r="AS26" s="275">
        <v>300000</v>
      </c>
      <c r="AT26" s="275"/>
      <c r="AU26" s="275"/>
      <c r="AV26" s="275"/>
      <c r="AW26" s="275"/>
      <c r="AX26" s="275"/>
      <c r="AY26" s="275"/>
      <c r="AZ26" s="275"/>
      <c r="BA26" s="275"/>
      <c r="BB26" s="275"/>
      <c r="BC26" s="275"/>
      <c r="BD26" s="275"/>
      <c r="BE26" s="275"/>
      <c r="BF26" s="275"/>
      <c r="BH26" s="277"/>
    </row>
    <row r="27" spans="1:60" ht="16.5" hidden="1" customHeight="1" x14ac:dyDescent="0.3">
      <c r="A27" s="260">
        <v>5</v>
      </c>
      <c r="B27" s="261"/>
      <c r="C27" s="261"/>
      <c r="D27" s="262"/>
      <c r="E27" s="262"/>
      <c r="F27" s="263" t="s">
        <v>15</v>
      </c>
      <c r="G27" s="264" t="s">
        <v>113</v>
      </c>
      <c r="H27" s="281"/>
      <c r="I27" s="265"/>
      <c r="J27" s="266" t="s">
        <v>810</v>
      </c>
      <c r="K27" s="262"/>
      <c r="L27" s="262"/>
      <c r="M27" s="262">
        <v>64879</v>
      </c>
      <c r="N27" s="262"/>
      <c r="O27" s="262"/>
      <c r="P27" s="262"/>
      <c r="Q27" s="262"/>
      <c r="R27" s="262"/>
      <c r="S27" s="267" t="s">
        <v>28</v>
      </c>
      <c r="T27" s="268"/>
      <c r="U27" s="269"/>
      <c r="V27" s="269"/>
      <c r="W27" s="278">
        <v>1895400</v>
      </c>
      <c r="X27" s="270"/>
      <c r="Y27" s="262"/>
      <c r="Z27" s="271" t="s">
        <v>718</v>
      </c>
      <c r="AA27" s="287"/>
      <c r="AB27" s="287"/>
      <c r="AC27" s="272">
        <f t="shared" si="3"/>
        <v>0</v>
      </c>
      <c r="AD27" s="272">
        <v>0</v>
      </c>
      <c r="AE27" s="272">
        <f t="shared" si="4"/>
        <v>0</v>
      </c>
      <c r="AF27" s="273"/>
      <c r="AG27" s="274"/>
      <c r="AH27" s="273"/>
      <c r="AI27" s="273"/>
      <c r="AJ27" s="274"/>
      <c r="AK27" s="273"/>
      <c r="AL27" s="275"/>
      <c r="AM27" s="290"/>
      <c r="AN27" s="275"/>
      <c r="AO27" s="276"/>
      <c r="AP27" s="275"/>
      <c r="AQ27" s="275"/>
      <c r="AR27" s="275"/>
      <c r="AS27" s="275"/>
      <c r="AT27" s="275"/>
      <c r="AU27" s="275"/>
      <c r="AV27" s="275"/>
      <c r="AW27" s="275"/>
      <c r="AX27" s="275"/>
      <c r="AY27" s="275"/>
      <c r="AZ27" s="275"/>
      <c r="BA27" s="275"/>
      <c r="BB27" s="275"/>
      <c r="BC27" s="275"/>
      <c r="BD27" s="275"/>
      <c r="BE27" s="275"/>
      <c r="BF27" s="275"/>
      <c r="BH27" s="277"/>
    </row>
    <row r="28" spans="1:60" ht="16.5" hidden="1" customHeight="1" x14ac:dyDescent="0.3">
      <c r="A28" s="260">
        <v>6</v>
      </c>
      <c r="B28" s="261" t="s">
        <v>15</v>
      </c>
      <c r="C28" s="261" t="s">
        <v>847</v>
      </c>
      <c r="D28" s="262"/>
      <c r="E28" s="262"/>
      <c r="F28" s="263" t="s">
        <v>15</v>
      </c>
      <c r="G28" s="264" t="s">
        <v>113</v>
      </c>
      <c r="H28" s="281"/>
      <c r="I28" s="265"/>
      <c r="J28" s="266" t="s">
        <v>810</v>
      </c>
      <c r="K28" s="262"/>
      <c r="L28" s="262"/>
      <c r="M28" s="262">
        <v>64879</v>
      </c>
      <c r="N28" s="262"/>
      <c r="O28" s="262" t="s">
        <v>35</v>
      </c>
      <c r="P28" s="262" t="s">
        <v>57</v>
      </c>
      <c r="Q28" s="262"/>
      <c r="R28" s="262"/>
      <c r="S28" s="267" t="s">
        <v>19</v>
      </c>
      <c r="T28" s="268" t="s">
        <v>951</v>
      </c>
      <c r="U28" s="269"/>
      <c r="V28" s="269"/>
      <c r="W28" s="278">
        <v>0</v>
      </c>
      <c r="X28" s="270"/>
      <c r="Y28" s="262"/>
      <c r="Z28" s="271" t="s">
        <v>27</v>
      </c>
      <c r="AA28" s="287"/>
      <c r="AB28" s="287"/>
      <c r="AC28" s="272">
        <f t="shared" si="3"/>
        <v>3169000</v>
      </c>
      <c r="AD28" s="272">
        <v>3169000</v>
      </c>
      <c r="AE28" s="272">
        <f t="shared" si="4"/>
        <v>0</v>
      </c>
      <c r="AF28" s="273"/>
      <c r="AG28" s="274"/>
      <c r="AH28" s="273"/>
      <c r="AI28" s="273">
        <v>300000</v>
      </c>
      <c r="AJ28" s="274">
        <v>238600</v>
      </c>
      <c r="AK28" s="273"/>
      <c r="AL28" s="275">
        <v>231300</v>
      </c>
      <c r="AM28" s="290">
        <v>231300</v>
      </c>
      <c r="AN28" s="275"/>
      <c r="AO28" s="276">
        <v>299100</v>
      </c>
      <c r="AP28" s="275"/>
      <c r="AQ28" s="275">
        <v>300000</v>
      </c>
      <c r="AR28" s="275"/>
      <c r="AS28" s="275">
        <v>300000</v>
      </c>
      <c r="AT28" s="275"/>
      <c r="AU28" s="275">
        <v>300000</v>
      </c>
      <c r="AV28" s="275"/>
      <c r="AW28" s="275">
        <v>300000</v>
      </c>
      <c r="AX28" s="275"/>
      <c r="AY28" s="275">
        <v>300000</v>
      </c>
      <c r="AZ28" s="275"/>
      <c r="BA28" s="275">
        <v>300000</v>
      </c>
      <c r="BB28" s="275"/>
      <c r="BC28" s="275">
        <v>300000</v>
      </c>
      <c r="BD28" s="275"/>
      <c r="BE28" s="275">
        <v>300000</v>
      </c>
      <c r="BF28" s="275"/>
      <c r="BH28" s="277"/>
    </row>
    <row r="29" spans="1:60" ht="16.5" hidden="1" customHeight="1" x14ac:dyDescent="0.3">
      <c r="A29" s="260">
        <v>7</v>
      </c>
      <c r="B29" s="261"/>
      <c r="C29" s="261"/>
      <c r="D29" s="262" t="s">
        <v>15</v>
      </c>
      <c r="E29" s="262" t="s">
        <v>113</v>
      </c>
      <c r="F29" s="263" t="s">
        <v>15</v>
      </c>
      <c r="G29" s="264" t="s">
        <v>113</v>
      </c>
      <c r="H29" s="281"/>
      <c r="I29" s="265"/>
      <c r="J29" s="266" t="s">
        <v>593</v>
      </c>
      <c r="K29" s="262"/>
      <c r="L29" s="262"/>
      <c r="M29" s="262">
        <v>10518</v>
      </c>
      <c r="N29" s="262" t="s">
        <v>22</v>
      </c>
      <c r="O29" s="262" t="s">
        <v>56</v>
      </c>
      <c r="P29" s="262" t="s">
        <v>57</v>
      </c>
      <c r="Q29" s="262" t="s">
        <v>63</v>
      </c>
      <c r="R29" s="262" t="s">
        <v>28</v>
      </c>
      <c r="S29" s="267" t="s">
        <v>28</v>
      </c>
      <c r="T29" s="268" t="s">
        <v>951</v>
      </c>
      <c r="U29" s="269"/>
      <c r="V29" s="269">
        <v>0</v>
      </c>
      <c r="W29" s="278">
        <v>15667180</v>
      </c>
      <c r="X29" s="270"/>
      <c r="Y29" s="262" t="s">
        <v>27</v>
      </c>
      <c r="Z29" s="271" t="s">
        <v>27</v>
      </c>
      <c r="AA29" s="287"/>
      <c r="AB29" s="287"/>
      <c r="AC29" s="272">
        <f t="shared" si="3"/>
        <v>36069520</v>
      </c>
      <c r="AD29" s="272">
        <v>36069520</v>
      </c>
      <c r="AE29" s="272">
        <f t="shared" si="4"/>
        <v>0</v>
      </c>
      <c r="AF29" s="273">
        <v>2914320</v>
      </c>
      <c r="AG29" s="274">
        <v>2914320</v>
      </c>
      <c r="AH29" s="273"/>
      <c r="AI29" s="273">
        <v>2198300</v>
      </c>
      <c r="AJ29" s="274">
        <v>2198300</v>
      </c>
      <c r="AK29" s="273"/>
      <c r="AL29" s="275">
        <v>3279200</v>
      </c>
      <c r="AM29" s="290">
        <v>3279200</v>
      </c>
      <c r="AN29" s="275"/>
      <c r="AO29" s="276">
        <v>3677700</v>
      </c>
      <c r="AP29" s="275"/>
      <c r="AQ29" s="275">
        <v>3000000</v>
      </c>
      <c r="AR29" s="275"/>
      <c r="AS29" s="275">
        <v>3000000</v>
      </c>
      <c r="AT29" s="275"/>
      <c r="AU29" s="275">
        <v>3000000</v>
      </c>
      <c r="AV29" s="275"/>
      <c r="AW29" s="275">
        <v>3000000</v>
      </c>
      <c r="AX29" s="275"/>
      <c r="AY29" s="275">
        <v>3000000</v>
      </c>
      <c r="AZ29" s="275"/>
      <c r="BA29" s="275">
        <v>3000000</v>
      </c>
      <c r="BB29" s="275"/>
      <c r="BC29" s="275">
        <v>3000000</v>
      </c>
      <c r="BD29" s="275"/>
      <c r="BE29" s="275">
        <v>3000000</v>
      </c>
      <c r="BF29" s="275"/>
      <c r="BH29" s="277"/>
    </row>
    <row r="30" spans="1:60" ht="16.5" hidden="1" customHeight="1" x14ac:dyDescent="0.3">
      <c r="A30" s="260">
        <v>8</v>
      </c>
      <c r="B30" s="261"/>
      <c r="C30" s="261"/>
      <c r="D30" s="262" t="s">
        <v>15</v>
      </c>
      <c r="E30" s="262" t="s">
        <v>113</v>
      </c>
      <c r="F30" s="263" t="s">
        <v>15</v>
      </c>
      <c r="G30" s="264" t="s">
        <v>113</v>
      </c>
      <c r="H30" s="281"/>
      <c r="I30" s="265"/>
      <c r="J30" s="266" t="s">
        <v>163</v>
      </c>
      <c r="K30" s="262"/>
      <c r="L30" s="262"/>
      <c r="M30" s="262">
        <v>3436</v>
      </c>
      <c r="N30" s="262" t="s">
        <v>22</v>
      </c>
      <c r="O30" s="262" t="s">
        <v>56</v>
      </c>
      <c r="P30" s="262" t="s">
        <v>57</v>
      </c>
      <c r="Q30" s="262" t="s">
        <v>18</v>
      </c>
      <c r="R30" s="262" t="s">
        <v>19</v>
      </c>
      <c r="S30" s="267" t="s">
        <v>19</v>
      </c>
      <c r="T30" s="268"/>
      <c r="U30" s="269"/>
      <c r="V30" s="269">
        <v>675000</v>
      </c>
      <c r="W30" s="278">
        <v>0</v>
      </c>
      <c r="X30" s="270"/>
      <c r="Y30" s="262" t="s">
        <v>24</v>
      </c>
      <c r="Z30" s="271" t="s">
        <v>562</v>
      </c>
      <c r="AA30" s="287"/>
      <c r="AB30" s="287"/>
      <c r="AC30" s="272">
        <f t="shared" si="3"/>
        <v>0</v>
      </c>
      <c r="AD30" s="272">
        <v>0</v>
      </c>
      <c r="AE30" s="272">
        <f t="shared" si="4"/>
        <v>0</v>
      </c>
      <c r="AF30" s="273"/>
      <c r="AG30" s="274"/>
      <c r="AH30" s="273"/>
      <c r="AI30" s="273"/>
      <c r="AJ30" s="274"/>
      <c r="AK30" s="273"/>
      <c r="AL30" s="275"/>
      <c r="AM30" s="290"/>
      <c r="AN30" s="275"/>
      <c r="AO30" s="276"/>
      <c r="AP30" s="275"/>
      <c r="AQ30" s="275"/>
      <c r="AR30" s="275"/>
      <c r="AS30" s="275"/>
      <c r="AT30" s="275"/>
      <c r="AU30" s="275"/>
      <c r="AV30" s="275"/>
      <c r="AW30" s="275"/>
      <c r="AX30" s="275"/>
      <c r="AY30" s="275"/>
      <c r="AZ30" s="275"/>
      <c r="BA30" s="275"/>
      <c r="BB30" s="275"/>
      <c r="BC30" s="275"/>
      <c r="BD30" s="275"/>
      <c r="BE30" s="275"/>
      <c r="BF30" s="275"/>
      <c r="BH30" s="277"/>
    </row>
    <row r="31" spans="1:60" ht="16.5" hidden="1" customHeight="1" x14ac:dyDescent="0.3">
      <c r="A31" s="260">
        <v>9</v>
      </c>
      <c r="B31" s="261"/>
      <c r="C31" s="261"/>
      <c r="D31" s="262" t="s">
        <v>15</v>
      </c>
      <c r="E31" s="262" t="s">
        <v>113</v>
      </c>
      <c r="F31" s="263" t="s">
        <v>15</v>
      </c>
      <c r="G31" s="264" t="s">
        <v>113</v>
      </c>
      <c r="H31" s="281"/>
      <c r="I31" s="265"/>
      <c r="J31" s="266" t="s">
        <v>115</v>
      </c>
      <c r="K31" s="262"/>
      <c r="L31" s="262"/>
      <c r="M31" s="262">
        <v>62030</v>
      </c>
      <c r="N31" s="262" t="s">
        <v>22</v>
      </c>
      <c r="O31" s="262" t="s">
        <v>56</v>
      </c>
      <c r="P31" s="262" t="s">
        <v>57</v>
      </c>
      <c r="Q31" s="262" t="s">
        <v>63</v>
      </c>
      <c r="R31" s="262" t="s">
        <v>28</v>
      </c>
      <c r="S31" s="267" t="s">
        <v>28</v>
      </c>
      <c r="T31" s="268" t="s">
        <v>951</v>
      </c>
      <c r="U31" s="269"/>
      <c r="V31" s="269">
        <v>0</v>
      </c>
      <c r="W31" s="278">
        <v>6934520</v>
      </c>
      <c r="X31" s="270"/>
      <c r="Y31" s="262" t="s">
        <v>27</v>
      </c>
      <c r="Z31" s="271" t="s">
        <v>27</v>
      </c>
      <c r="AA31" s="287"/>
      <c r="AB31" s="287"/>
      <c r="AC31" s="272">
        <f t="shared" si="3"/>
        <v>13150180</v>
      </c>
      <c r="AD31" s="272">
        <v>13150180</v>
      </c>
      <c r="AE31" s="272">
        <f t="shared" si="4"/>
        <v>0</v>
      </c>
      <c r="AF31" s="273">
        <v>632340</v>
      </c>
      <c r="AG31" s="274">
        <v>632340</v>
      </c>
      <c r="AH31" s="273"/>
      <c r="AI31" s="273">
        <v>1317400</v>
      </c>
      <c r="AJ31" s="274">
        <v>1317400</v>
      </c>
      <c r="AK31" s="273"/>
      <c r="AL31" s="275">
        <v>1489320</v>
      </c>
      <c r="AM31" s="290">
        <v>1489320</v>
      </c>
      <c r="AN31" s="275"/>
      <c r="AO31" s="276">
        <v>1211120</v>
      </c>
      <c r="AP31" s="275"/>
      <c r="AQ31" s="275">
        <v>1000000</v>
      </c>
      <c r="AR31" s="275"/>
      <c r="AS31" s="275">
        <v>1000000</v>
      </c>
      <c r="AT31" s="275"/>
      <c r="AU31" s="275">
        <v>1000000</v>
      </c>
      <c r="AV31" s="275"/>
      <c r="AW31" s="275">
        <v>1000000</v>
      </c>
      <c r="AX31" s="275"/>
      <c r="AY31" s="275">
        <v>1000000</v>
      </c>
      <c r="AZ31" s="275"/>
      <c r="BA31" s="275">
        <v>1000000</v>
      </c>
      <c r="BB31" s="275"/>
      <c r="BC31" s="275">
        <v>1000000</v>
      </c>
      <c r="BD31" s="275"/>
      <c r="BE31" s="275">
        <v>1500000</v>
      </c>
      <c r="BF31" s="275"/>
      <c r="BH31" s="277"/>
    </row>
    <row r="32" spans="1:60" ht="16.5" hidden="1" customHeight="1" x14ac:dyDescent="0.3">
      <c r="A32" s="260">
        <v>10</v>
      </c>
      <c r="B32" s="261"/>
      <c r="C32" s="261"/>
      <c r="D32" s="262" t="s">
        <v>15</v>
      </c>
      <c r="E32" s="262" t="s">
        <v>113</v>
      </c>
      <c r="F32" s="263" t="s">
        <v>15</v>
      </c>
      <c r="G32" s="264" t="s">
        <v>113</v>
      </c>
      <c r="H32" s="281"/>
      <c r="I32" s="265"/>
      <c r="J32" s="266" t="s">
        <v>116</v>
      </c>
      <c r="K32" s="262"/>
      <c r="L32" s="262"/>
      <c r="M32" s="262">
        <v>62028</v>
      </c>
      <c r="N32" s="262" t="s">
        <v>22</v>
      </c>
      <c r="O32" s="262" t="s">
        <v>56</v>
      </c>
      <c r="P32" s="262" t="s">
        <v>57</v>
      </c>
      <c r="Q32" s="262" t="s">
        <v>63</v>
      </c>
      <c r="R32" s="262" t="s">
        <v>28</v>
      </c>
      <c r="S32" s="267" t="s">
        <v>28</v>
      </c>
      <c r="T32" s="268" t="s">
        <v>951</v>
      </c>
      <c r="U32" s="269"/>
      <c r="V32" s="269">
        <v>0</v>
      </c>
      <c r="W32" s="278">
        <v>265000</v>
      </c>
      <c r="X32" s="270"/>
      <c r="Y32" s="262" t="s">
        <v>27</v>
      </c>
      <c r="Z32" s="271" t="s">
        <v>27</v>
      </c>
      <c r="AA32" s="287"/>
      <c r="AB32" s="287"/>
      <c r="AC32" s="272">
        <f t="shared" si="3"/>
        <v>7201500</v>
      </c>
      <c r="AD32" s="272">
        <v>7201500</v>
      </c>
      <c r="AE32" s="272">
        <f t="shared" si="4"/>
        <v>0</v>
      </c>
      <c r="AF32" s="273"/>
      <c r="AG32" s="274"/>
      <c r="AH32" s="273"/>
      <c r="AI32" s="273"/>
      <c r="AJ32" s="274"/>
      <c r="AK32" s="273"/>
      <c r="AL32" s="275"/>
      <c r="AM32" s="290"/>
      <c r="AN32" s="275"/>
      <c r="AO32" s="276"/>
      <c r="AP32" s="275"/>
      <c r="AQ32" s="275">
        <v>201500</v>
      </c>
      <c r="AR32" s="275"/>
      <c r="AS32" s="275">
        <v>1000000</v>
      </c>
      <c r="AT32" s="275"/>
      <c r="AU32" s="275">
        <v>1000000</v>
      </c>
      <c r="AV32" s="275"/>
      <c r="AW32" s="275">
        <v>1000000</v>
      </c>
      <c r="AX32" s="275"/>
      <c r="AY32" s="275">
        <v>1000000</v>
      </c>
      <c r="AZ32" s="275"/>
      <c r="BA32" s="275">
        <v>1000000</v>
      </c>
      <c r="BB32" s="275"/>
      <c r="BC32" s="275">
        <v>1000000</v>
      </c>
      <c r="BD32" s="275"/>
      <c r="BE32" s="275">
        <v>1000000</v>
      </c>
      <c r="BF32" s="275"/>
      <c r="BH32" s="277"/>
    </row>
    <row r="33" spans="1:60" ht="16.5" hidden="1" customHeight="1" x14ac:dyDescent="0.3">
      <c r="A33" s="260">
        <v>11</v>
      </c>
      <c r="B33" s="261"/>
      <c r="C33" s="261"/>
      <c r="D33" s="262" t="s">
        <v>15</v>
      </c>
      <c r="E33" s="262" t="s">
        <v>113</v>
      </c>
      <c r="F33" s="263" t="s">
        <v>15</v>
      </c>
      <c r="G33" s="264" t="s">
        <v>113</v>
      </c>
      <c r="H33" s="281"/>
      <c r="I33" s="265"/>
      <c r="J33" s="266" t="s">
        <v>117</v>
      </c>
      <c r="K33" s="262"/>
      <c r="L33" s="262"/>
      <c r="M33" s="262">
        <v>62027</v>
      </c>
      <c r="N33" s="262" t="s">
        <v>22</v>
      </c>
      <c r="O33" s="262" t="s">
        <v>56</v>
      </c>
      <c r="P33" s="262" t="s">
        <v>57</v>
      </c>
      <c r="Q33" s="262" t="s">
        <v>63</v>
      </c>
      <c r="R33" s="262" t="s">
        <v>28</v>
      </c>
      <c r="S33" s="267" t="s">
        <v>28</v>
      </c>
      <c r="T33" s="268" t="s">
        <v>951</v>
      </c>
      <c r="U33" s="269"/>
      <c r="V33" s="269">
        <v>0</v>
      </c>
      <c r="W33" s="278">
        <v>24195700</v>
      </c>
      <c r="X33" s="270"/>
      <c r="Y33" s="262" t="s">
        <v>27</v>
      </c>
      <c r="Z33" s="271" t="s">
        <v>27</v>
      </c>
      <c r="AA33" s="287"/>
      <c r="AB33" s="287"/>
      <c r="AC33" s="272">
        <f t="shared" si="3"/>
        <v>46360300</v>
      </c>
      <c r="AD33" s="272">
        <v>46360300</v>
      </c>
      <c r="AE33" s="272">
        <f t="shared" si="4"/>
        <v>0</v>
      </c>
      <c r="AF33" s="273">
        <v>3446220</v>
      </c>
      <c r="AG33" s="274">
        <v>2606220</v>
      </c>
      <c r="AH33" s="273"/>
      <c r="AI33" s="273">
        <v>2100880</v>
      </c>
      <c r="AJ33" s="274">
        <v>2180880</v>
      </c>
      <c r="AK33" s="273"/>
      <c r="AL33" s="275">
        <v>2041900</v>
      </c>
      <c r="AM33" s="290">
        <v>2041900</v>
      </c>
      <c r="AN33" s="275"/>
      <c r="AO33" s="276">
        <v>2135720</v>
      </c>
      <c r="AP33" s="275"/>
      <c r="AQ33" s="275">
        <v>2395580</v>
      </c>
      <c r="AR33" s="275"/>
      <c r="AS33" s="275">
        <v>5000000</v>
      </c>
      <c r="AT33" s="275"/>
      <c r="AU33" s="275">
        <v>5000000</v>
      </c>
      <c r="AV33" s="275"/>
      <c r="AW33" s="275">
        <v>5000000</v>
      </c>
      <c r="AX33" s="275"/>
      <c r="AY33" s="275">
        <v>5000000</v>
      </c>
      <c r="AZ33" s="275"/>
      <c r="BA33" s="275">
        <v>5000000</v>
      </c>
      <c r="BB33" s="275"/>
      <c r="BC33" s="275">
        <v>5000000</v>
      </c>
      <c r="BD33" s="275"/>
      <c r="BE33" s="275">
        <v>5000000</v>
      </c>
      <c r="BF33" s="275"/>
      <c r="BH33" s="277"/>
    </row>
    <row r="34" spans="1:60" ht="16.5" hidden="1" customHeight="1" x14ac:dyDescent="0.3">
      <c r="A34" s="260">
        <v>12</v>
      </c>
      <c r="B34" s="261"/>
      <c r="C34" s="261"/>
      <c r="D34" s="262" t="s">
        <v>15</v>
      </c>
      <c r="E34" s="262" t="s">
        <v>113</v>
      </c>
      <c r="F34" s="263" t="s">
        <v>15</v>
      </c>
      <c r="G34" s="264" t="s">
        <v>113</v>
      </c>
      <c r="H34" s="281"/>
      <c r="I34" s="265"/>
      <c r="J34" s="266" t="s">
        <v>737</v>
      </c>
      <c r="K34" s="262"/>
      <c r="L34" s="262"/>
      <c r="M34" s="262">
        <v>62031</v>
      </c>
      <c r="N34" s="262"/>
      <c r="O34" s="262" t="s">
        <v>56</v>
      </c>
      <c r="P34" s="262" t="s">
        <v>57</v>
      </c>
      <c r="Q34" s="262"/>
      <c r="R34" s="262" t="s">
        <v>19</v>
      </c>
      <c r="S34" s="267" t="s">
        <v>19</v>
      </c>
      <c r="T34" s="268"/>
      <c r="U34" s="269"/>
      <c r="V34" s="269"/>
      <c r="W34" s="278">
        <v>4043000</v>
      </c>
      <c r="X34" s="270"/>
      <c r="Y34" s="262" t="s">
        <v>27</v>
      </c>
      <c r="Z34" s="271" t="s">
        <v>27</v>
      </c>
      <c r="AA34" s="287"/>
      <c r="AB34" s="287"/>
      <c r="AC34" s="272">
        <f t="shared" si="3"/>
        <v>4000000</v>
      </c>
      <c r="AD34" s="272">
        <v>4000000</v>
      </c>
      <c r="AE34" s="272">
        <f t="shared" si="4"/>
        <v>0</v>
      </c>
      <c r="AF34" s="273"/>
      <c r="AG34" s="274"/>
      <c r="AH34" s="273"/>
      <c r="AI34" s="273"/>
      <c r="AJ34" s="274"/>
      <c r="AK34" s="273"/>
      <c r="AL34" s="275"/>
      <c r="AM34" s="290"/>
      <c r="AN34" s="275"/>
      <c r="AO34" s="276"/>
      <c r="AP34" s="275"/>
      <c r="AQ34" s="275"/>
      <c r="AR34" s="275"/>
      <c r="AS34" s="275"/>
      <c r="AT34" s="275"/>
      <c r="AU34" s="275"/>
      <c r="AV34" s="275"/>
      <c r="AW34" s="275">
        <v>2000000</v>
      </c>
      <c r="AX34" s="275"/>
      <c r="AY34" s="275"/>
      <c r="AZ34" s="275"/>
      <c r="BA34" s="275"/>
      <c r="BB34" s="275"/>
      <c r="BC34" s="275">
        <v>2000000</v>
      </c>
      <c r="BD34" s="275"/>
      <c r="BE34" s="275"/>
      <c r="BF34" s="275"/>
      <c r="BH34" s="277"/>
    </row>
    <row r="35" spans="1:60" ht="16.5" hidden="1" customHeight="1" x14ac:dyDescent="0.3">
      <c r="A35" s="260">
        <v>13</v>
      </c>
      <c r="B35" s="261" t="s">
        <v>15</v>
      </c>
      <c r="C35" s="261" t="s">
        <v>847</v>
      </c>
      <c r="D35" s="262"/>
      <c r="E35" s="262"/>
      <c r="F35" s="263" t="s">
        <v>15</v>
      </c>
      <c r="G35" s="264" t="s">
        <v>113</v>
      </c>
      <c r="H35" s="281"/>
      <c r="I35" s="265"/>
      <c r="J35" s="266" t="s">
        <v>812</v>
      </c>
      <c r="K35" s="262"/>
      <c r="L35" s="262"/>
      <c r="M35" s="262">
        <v>65850</v>
      </c>
      <c r="N35" s="262"/>
      <c r="O35" s="262" t="s">
        <v>35</v>
      </c>
      <c r="P35" s="262" t="s">
        <v>57</v>
      </c>
      <c r="Q35" s="262"/>
      <c r="R35" s="262"/>
      <c r="S35" s="267" t="s">
        <v>19</v>
      </c>
      <c r="T35" s="268"/>
      <c r="U35" s="269"/>
      <c r="V35" s="269"/>
      <c r="W35" s="278">
        <v>0</v>
      </c>
      <c r="X35" s="270"/>
      <c r="Y35" s="262"/>
      <c r="Z35" s="271" t="s">
        <v>27</v>
      </c>
      <c r="AA35" s="287"/>
      <c r="AB35" s="287"/>
      <c r="AC35" s="272">
        <f t="shared" si="3"/>
        <v>10134120</v>
      </c>
      <c r="AD35" s="272">
        <v>10134120</v>
      </c>
      <c r="AE35" s="272">
        <f t="shared" si="4"/>
        <v>0</v>
      </c>
      <c r="AF35" s="273"/>
      <c r="AG35" s="274"/>
      <c r="AH35" s="273"/>
      <c r="AI35" s="273"/>
      <c r="AJ35" s="274"/>
      <c r="AK35" s="273"/>
      <c r="AL35" s="275">
        <v>1423400</v>
      </c>
      <c r="AM35" s="290">
        <v>1423400</v>
      </c>
      <c r="AN35" s="275"/>
      <c r="AO35" s="276">
        <v>1187400</v>
      </c>
      <c r="AP35" s="275"/>
      <c r="AQ35" s="275">
        <v>1923320</v>
      </c>
      <c r="AR35" s="275"/>
      <c r="AS35" s="275">
        <v>800000</v>
      </c>
      <c r="AT35" s="275"/>
      <c r="AU35" s="275">
        <v>800000</v>
      </c>
      <c r="AV35" s="275"/>
      <c r="AW35" s="275">
        <v>800000</v>
      </c>
      <c r="AX35" s="275"/>
      <c r="AY35" s="275">
        <v>800000</v>
      </c>
      <c r="AZ35" s="275"/>
      <c r="BA35" s="275">
        <v>800000</v>
      </c>
      <c r="BB35" s="275"/>
      <c r="BC35" s="275">
        <v>800000</v>
      </c>
      <c r="BD35" s="275"/>
      <c r="BE35" s="275">
        <v>800000</v>
      </c>
      <c r="BF35" s="275"/>
      <c r="BH35" s="277"/>
    </row>
    <row r="36" spans="1:60" ht="16.5" hidden="1" customHeight="1" x14ac:dyDescent="0.3">
      <c r="A36" s="260">
        <v>14</v>
      </c>
      <c r="B36" s="261" t="s">
        <v>331</v>
      </c>
      <c r="C36" s="261" t="s">
        <v>710</v>
      </c>
      <c r="D36" s="262"/>
      <c r="E36" s="262"/>
      <c r="F36" s="263" t="s">
        <v>15</v>
      </c>
      <c r="G36" s="264" t="s">
        <v>113</v>
      </c>
      <c r="H36" s="281"/>
      <c r="I36" s="265"/>
      <c r="J36" s="266" t="s">
        <v>813</v>
      </c>
      <c r="K36" s="262"/>
      <c r="L36" s="262"/>
      <c r="M36" s="262">
        <v>65852</v>
      </c>
      <c r="N36" s="262"/>
      <c r="O36" s="262" t="s">
        <v>35</v>
      </c>
      <c r="P36" s="262" t="s">
        <v>57</v>
      </c>
      <c r="Q36" s="262"/>
      <c r="R36" s="262"/>
      <c r="S36" s="267" t="s">
        <v>19</v>
      </c>
      <c r="T36" s="268" t="s">
        <v>951</v>
      </c>
      <c r="U36" s="269"/>
      <c r="V36" s="269"/>
      <c r="W36" s="278">
        <v>0</v>
      </c>
      <c r="X36" s="270"/>
      <c r="Y36" s="262"/>
      <c r="Z36" s="271" t="s">
        <v>27</v>
      </c>
      <c r="AA36" s="287"/>
      <c r="AB36" s="287"/>
      <c r="AC36" s="272">
        <f t="shared" si="3"/>
        <v>7291680</v>
      </c>
      <c r="AD36" s="272">
        <v>7291680</v>
      </c>
      <c r="AE36" s="272">
        <f t="shared" si="4"/>
        <v>0</v>
      </c>
      <c r="AF36" s="273"/>
      <c r="AG36" s="274"/>
      <c r="AH36" s="273"/>
      <c r="AI36" s="273"/>
      <c r="AJ36" s="274"/>
      <c r="AK36" s="273"/>
      <c r="AL36" s="275">
        <v>1464010</v>
      </c>
      <c r="AM36" s="290">
        <v>1464010</v>
      </c>
      <c r="AN36" s="275"/>
      <c r="AO36" s="276">
        <v>955800</v>
      </c>
      <c r="AP36" s="275"/>
      <c r="AQ36" s="275">
        <v>1371870</v>
      </c>
      <c r="AR36" s="275" t="s">
        <v>1038</v>
      </c>
      <c r="AS36" s="275">
        <v>500000</v>
      </c>
      <c r="AT36" s="275"/>
      <c r="AU36" s="275">
        <v>500000</v>
      </c>
      <c r="AV36" s="275"/>
      <c r="AW36" s="275">
        <v>500000</v>
      </c>
      <c r="AX36" s="275"/>
      <c r="AY36" s="275">
        <v>500000</v>
      </c>
      <c r="AZ36" s="275"/>
      <c r="BA36" s="275">
        <v>500000</v>
      </c>
      <c r="BB36" s="275"/>
      <c r="BC36" s="275">
        <v>500000</v>
      </c>
      <c r="BD36" s="275"/>
      <c r="BE36" s="275">
        <v>500000</v>
      </c>
      <c r="BF36" s="275"/>
      <c r="BH36" s="277"/>
    </row>
    <row r="37" spans="1:60" ht="16.5" hidden="1" customHeight="1" x14ac:dyDescent="0.3">
      <c r="A37" s="260">
        <v>15</v>
      </c>
      <c r="B37" s="261"/>
      <c r="C37" s="261"/>
      <c r="D37" s="262" t="s">
        <v>15</v>
      </c>
      <c r="E37" s="262" t="s">
        <v>113</v>
      </c>
      <c r="F37" s="263" t="s">
        <v>15</v>
      </c>
      <c r="G37" s="264" t="s">
        <v>113</v>
      </c>
      <c r="H37" s="281"/>
      <c r="I37" s="265"/>
      <c r="J37" s="266" t="s">
        <v>118</v>
      </c>
      <c r="K37" s="262"/>
      <c r="L37" s="262"/>
      <c r="M37" s="262">
        <v>13199</v>
      </c>
      <c r="N37" s="262" t="s">
        <v>22</v>
      </c>
      <c r="O37" s="262" t="s">
        <v>56</v>
      </c>
      <c r="P37" s="262" t="s">
        <v>57</v>
      </c>
      <c r="Q37" s="262" t="s">
        <v>63</v>
      </c>
      <c r="R37" s="262" t="s">
        <v>28</v>
      </c>
      <c r="S37" s="267" t="s">
        <v>28</v>
      </c>
      <c r="T37" s="268" t="s">
        <v>951</v>
      </c>
      <c r="U37" s="269"/>
      <c r="V37" s="269">
        <v>0</v>
      </c>
      <c r="W37" s="278">
        <v>10584360</v>
      </c>
      <c r="X37" s="270"/>
      <c r="Y37" s="262" t="s">
        <v>27</v>
      </c>
      <c r="Z37" s="271" t="s">
        <v>1039</v>
      </c>
      <c r="AA37" s="287"/>
      <c r="AB37" s="287"/>
      <c r="AC37" s="272">
        <f t="shared" si="3"/>
        <v>30221820</v>
      </c>
      <c r="AD37" s="272">
        <v>30221820</v>
      </c>
      <c r="AE37" s="272">
        <f t="shared" si="4"/>
        <v>0</v>
      </c>
      <c r="AF37" s="273">
        <v>2454980</v>
      </c>
      <c r="AG37" s="274">
        <v>2454980</v>
      </c>
      <c r="AH37" s="273"/>
      <c r="AI37" s="273">
        <v>1206720</v>
      </c>
      <c r="AJ37" s="274">
        <v>1206720</v>
      </c>
      <c r="AK37" s="273"/>
      <c r="AL37" s="275">
        <v>1087620</v>
      </c>
      <c r="AM37" s="290">
        <v>1087620</v>
      </c>
      <c r="AN37" s="275"/>
      <c r="AO37" s="276">
        <v>2576100</v>
      </c>
      <c r="AP37" s="275"/>
      <c r="AQ37" s="275">
        <v>1896400</v>
      </c>
      <c r="AR37" s="275"/>
      <c r="AS37" s="275">
        <v>3000000</v>
      </c>
      <c r="AT37" s="275"/>
      <c r="AU37" s="275">
        <v>3000000</v>
      </c>
      <c r="AV37" s="275"/>
      <c r="AW37" s="275">
        <v>3000000</v>
      </c>
      <c r="AX37" s="275"/>
      <c r="AY37" s="275">
        <v>3000000</v>
      </c>
      <c r="AZ37" s="275"/>
      <c r="BA37" s="275">
        <v>3000000</v>
      </c>
      <c r="BB37" s="275"/>
      <c r="BC37" s="275">
        <v>3000000</v>
      </c>
      <c r="BD37" s="275"/>
      <c r="BE37" s="275">
        <v>3000000</v>
      </c>
      <c r="BF37" s="275"/>
      <c r="BH37" s="277"/>
    </row>
    <row r="38" spans="1:60" ht="16.5" hidden="1" customHeight="1" x14ac:dyDescent="0.3">
      <c r="A38" s="260">
        <v>16</v>
      </c>
      <c r="B38" s="261" t="s">
        <v>331</v>
      </c>
      <c r="C38" s="261" t="s">
        <v>710</v>
      </c>
      <c r="D38" s="262"/>
      <c r="E38" s="262"/>
      <c r="F38" s="263" t="s">
        <v>15</v>
      </c>
      <c r="G38" s="264" t="s">
        <v>113</v>
      </c>
      <c r="H38" s="281"/>
      <c r="I38" s="265"/>
      <c r="J38" s="266" t="s">
        <v>814</v>
      </c>
      <c r="K38" s="262"/>
      <c r="L38" s="262"/>
      <c r="M38" s="262">
        <v>65853</v>
      </c>
      <c r="N38" s="262"/>
      <c r="O38" s="262" t="s">
        <v>35</v>
      </c>
      <c r="P38" s="262" t="s">
        <v>57</v>
      </c>
      <c r="Q38" s="262"/>
      <c r="R38" s="262"/>
      <c r="S38" s="267" t="s">
        <v>19</v>
      </c>
      <c r="T38" s="268" t="s">
        <v>951</v>
      </c>
      <c r="U38" s="269"/>
      <c r="V38" s="269"/>
      <c r="W38" s="278">
        <v>0</v>
      </c>
      <c r="X38" s="270"/>
      <c r="Y38" s="262"/>
      <c r="Z38" s="271" t="s">
        <v>27</v>
      </c>
      <c r="AA38" s="287"/>
      <c r="AB38" s="287"/>
      <c r="AC38" s="272">
        <f t="shared" si="3"/>
        <v>11200760</v>
      </c>
      <c r="AD38" s="272">
        <v>11200760</v>
      </c>
      <c r="AE38" s="272">
        <f t="shared" si="4"/>
        <v>0</v>
      </c>
      <c r="AF38" s="273"/>
      <c r="AG38" s="274"/>
      <c r="AH38" s="273"/>
      <c r="AI38" s="273"/>
      <c r="AJ38" s="274"/>
      <c r="AK38" s="273"/>
      <c r="AL38" s="275">
        <v>1114200</v>
      </c>
      <c r="AM38" s="290">
        <v>1114200</v>
      </c>
      <c r="AN38" s="275"/>
      <c r="AO38" s="276">
        <v>1225660</v>
      </c>
      <c r="AP38" s="275"/>
      <c r="AQ38" s="275">
        <v>1860900</v>
      </c>
      <c r="AR38" s="275"/>
      <c r="AS38" s="275">
        <v>1000000</v>
      </c>
      <c r="AT38" s="275"/>
      <c r="AU38" s="275">
        <v>1000000</v>
      </c>
      <c r="AV38" s="275"/>
      <c r="AW38" s="275">
        <v>1000000</v>
      </c>
      <c r="AX38" s="275"/>
      <c r="AY38" s="275">
        <v>1000000</v>
      </c>
      <c r="AZ38" s="275"/>
      <c r="BA38" s="275">
        <v>1000000</v>
      </c>
      <c r="BB38" s="275"/>
      <c r="BC38" s="275">
        <v>1000000</v>
      </c>
      <c r="BD38" s="275"/>
      <c r="BE38" s="275">
        <v>1000000</v>
      </c>
      <c r="BF38" s="275"/>
      <c r="BH38" s="277"/>
    </row>
    <row r="39" spans="1:60" ht="16.5" hidden="1" customHeight="1" x14ac:dyDescent="0.3">
      <c r="A39" s="260">
        <v>17</v>
      </c>
      <c r="B39" s="261" t="s">
        <v>331</v>
      </c>
      <c r="C39" s="261" t="s">
        <v>710</v>
      </c>
      <c r="D39" s="262"/>
      <c r="E39" s="262"/>
      <c r="F39" s="263" t="s">
        <v>15</v>
      </c>
      <c r="G39" s="264" t="s">
        <v>113</v>
      </c>
      <c r="H39" s="281"/>
      <c r="I39" s="265"/>
      <c r="J39" s="266" t="s">
        <v>815</v>
      </c>
      <c r="K39" s="262"/>
      <c r="L39" s="262"/>
      <c r="M39" s="262">
        <v>65855</v>
      </c>
      <c r="N39" s="262"/>
      <c r="O39" s="262" t="s">
        <v>35</v>
      </c>
      <c r="P39" s="262" t="s">
        <v>57</v>
      </c>
      <c r="Q39" s="262"/>
      <c r="R39" s="262"/>
      <c r="S39" s="267" t="s">
        <v>19</v>
      </c>
      <c r="T39" s="268" t="s">
        <v>951</v>
      </c>
      <c r="U39" s="269"/>
      <c r="V39" s="269"/>
      <c r="W39" s="278">
        <v>0</v>
      </c>
      <c r="X39" s="270"/>
      <c r="Y39" s="262"/>
      <c r="Z39" s="271" t="s">
        <v>27</v>
      </c>
      <c r="AA39" s="287"/>
      <c r="AB39" s="287"/>
      <c r="AC39" s="272">
        <f t="shared" si="3"/>
        <v>6357850</v>
      </c>
      <c r="AD39" s="272">
        <v>6357850</v>
      </c>
      <c r="AE39" s="272">
        <f t="shared" si="4"/>
        <v>0</v>
      </c>
      <c r="AF39" s="273"/>
      <c r="AG39" s="274"/>
      <c r="AH39" s="273"/>
      <c r="AI39" s="273"/>
      <c r="AJ39" s="274"/>
      <c r="AK39" s="273"/>
      <c r="AL39" s="275">
        <v>1024500</v>
      </c>
      <c r="AM39" s="290">
        <v>1024500</v>
      </c>
      <c r="AN39" s="275"/>
      <c r="AO39" s="276">
        <v>812450</v>
      </c>
      <c r="AP39" s="275"/>
      <c r="AQ39" s="275">
        <v>1020900</v>
      </c>
      <c r="AR39" s="275"/>
      <c r="AS39" s="275">
        <v>500000</v>
      </c>
      <c r="AT39" s="275"/>
      <c r="AU39" s="275">
        <v>500000</v>
      </c>
      <c r="AV39" s="275"/>
      <c r="AW39" s="275">
        <v>500000</v>
      </c>
      <c r="AX39" s="275"/>
      <c r="AY39" s="275">
        <v>500000</v>
      </c>
      <c r="AZ39" s="275"/>
      <c r="BA39" s="275">
        <v>500000</v>
      </c>
      <c r="BB39" s="275"/>
      <c r="BC39" s="275">
        <v>500000</v>
      </c>
      <c r="BD39" s="275"/>
      <c r="BE39" s="275">
        <v>500000</v>
      </c>
      <c r="BF39" s="275"/>
      <c r="BH39" s="277"/>
    </row>
    <row r="40" spans="1:60" ht="16.5" hidden="1" customHeight="1" x14ac:dyDescent="0.3">
      <c r="A40" s="260">
        <v>18</v>
      </c>
      <c r="B40" s="261" t="s">
        <v>15</v>
      </c>
      <c r="C40" s="261" t="s">
        <v>847</v>
      </c>
      <c r="D40" s="262"/>
      <c r="E40" s="262"/>
      <c r="F40" s="263" t="s">
        <v>15</v>
      </c>
      <c r="G40" s="264" t="s">
        <v>113</v>
      </c>
      <c r="H40" s="281"/>
      <c r="I40" s="265"/>
      <c r="J40" s="266" t="s">
        <v>817</v>
      </c>
      <c r="K40" s="262"/>
      <c r="L40" s="262"/>
      <c r="M40" s="262">
        <v>65856</v>
      </c>
      <c r="N40" s="262"/>
      <c r="O40" s="262" t="s">
        <v>35</v>
      </c>
      <c r="P40" s="262" t="s">
        <v>57</v>
      </c>
      <c r="Q40" s="262"/>
      <c r="R40" s="262"/>
      <c r="S40" s="267" t="s">
        <v>19</v>
      </c>
      <c r="T40" s="268" t="s">
        <v>951</v>
      </c>
      <c r="U40" s="269"/>
      <c r="V40" s="269"/>
      <c r="W40" s="278">
        <v>0</v>
      </c>
      <c r="X40" s="270"/>
      <c r="Y40" s="262"/>
      <c r="Z40" s="271" t="s">
        <v>27</v>
      </c>
      <c r="AA40" s="287"/>
      <c r="AB40" s="287"/>
      <c r="AC40" s="272">
        <f t="shared" si="3"/>
        <v>2100000</v>
      </c>
      <c r="AD40" s="272">
        <v>2100000</v>
      </c>
      <c r="AE40" s="272">
        <f t="shared" si="4"/>
        <v>0</v>
      </c>
      <c r="AF40" s="273"/>
      <c r="AG40" s="274"/>
      <c r="AH40" s="273"/>
      <c r="AI40" s="273"/>
      <c r="AJ40" s="274"/>
      <c r="AK40" s="273"/>
      <c r="AL40" s="275"/>
      <c r="AM40" s="290"/>
      <c r="AN40" s="275"/>
      <c r="AO40" s="276"/>
      <c r="AP40" s="275"/>
      <c r="AQ40" s="275"/>
      <c r="AR40" s="275"/>
      <c r="AS40" s="275">
        <v>300000</v>
      </c>
      <c r="AT40" s="275"/>
      <c r="AU40" s="275">
        <v>300000</v>
      </c>
      <c r="AV40" s="275"/>
      <c r="AW40" s="275">
        <v>300000</v>
      </c>
      <c r="AX40" s="275"/>
      <c r="AY40" s="275">
        <v>300000</v>
      </c>
      <c r="AZ40" s="275"/>
      <c r="BA40" s="275">
        <v>300000</v>
      </c>
      <c r="BB40" s="275"/>
      <c r="BC40" s="275">
        <v>300000</v>
      </c>
      <c r="BD40" s="275"/>
      <c r="BE40" s="275">
        <v>300000</v>
      </c>
      <c r="BF40" s="275"/>
      <c r="BH40" s="277"/>
    </row>
    <row r="41" spans="1:60" ht="16.5" hidden="1" customHeight="1" x14ac:dyDescent="0.3">
      <c r="A41" s="260">
        <v>19</v>
      </c>
      <c r="B41" s="261" t="s">
        <v>331</v>
      </c>
      <c r="C41" s="261" t="s">
        <v>707</v>
      </c>
      <c r="D41" s="262"/>
      <c r="E41" s="262"/>
      <c r="F41" s="263" t="s">
        <v>15</v>
      </c>
      <c r="G41" s="264" t="s">
        <v>113</v>
      </c>
      <c r="H41" s="281"/>
      <c r="I41" s="265"/>
      <c r="J41" s="266" t="s">
        <v>818</v>
      </c>
      <c r="K41" s="262"/>
      <c r="L41" s="262"/>
      <c r="M41" s="262">
        <v>65857</v>
      </c>
      <c r="N41" s="262"/>
      <c r="O41" s="262" t="s">
        <v>35</v>
      </c>
      <c r="P41" s="262" t="s">
        <v>57</v>
      </c>
      <c r="Q41" s="262"/>
      <c r="R41" s="262"/>
      <c r="S41" s="267" t="s">
        <v>19</v>
      </c>
      <c r="T41" s="268" t="s">
        <v>951</v>
      </c>
      <c r="U41" s="269"/>
      <c r="V41" s="269"/>
      <c r="W41" s="278">
        <v>0</v>
      </c>
      <c r="X41" s="270"/>
      <c r="Y41" s="262"/>
      <c r="Z41" s="271" t="s">
        <v>27</v>
      </c>
      <c r="AA41" s="287"/>
      <c r="AB41" s="287"/>
      <c r="AC41" s="272">
        <f t="shared" si="3"/>
        <v>5638900</v>
      </c>
      <c r="AD41" s="272">
        <v>5638900</v>
      </c>
      <c r="AE41" s="272">
        <f t="shared" si="4"/>
        <v>0</v>
      </c>
      <c r="AF41" s="273"/>
      <c r="AG41" s="274"/>
      <c r="AH41" s="273"/>
      <c r="AI41" s="273"/>
      <c r="AJ41" s="274"/>
      <c r="AK41" s="273"/>
      <c r="AL41" s="275">
        <v>696200</v>
      </c>
      <c r="AM41" s="290">
        <v>696200</v>
      </c>
      <c r="AN41" s="275"/>
      <c r="AO41" s="276">
        <v>767200</v>
      </c>
      <c r="AP41" s="275"/>
      <c r="AQ41" s="275">
        <v>675500</v>
      </c>
      <c r="AR41" s="275"/>
      <c r="AS41" s="275">
        <v>500000</v>
      </c>
      <c r="AT41" s="275"/>
      <c r="AU41" s="275">
        <v>500000</v>
      </c>
      <c r="AV41" s="275"/>
      <c r="AW41" s="275">
        <v>500000</v>
      </c>
      <c r="AX41" s="275"/>
      <c r="AY41" s="275">
        <v>500000</v>
      </c>
      <c r="AZ41" s="275"/>
      <c r="BA41" s="275">
        <v>500000</v>
      </c>
      <c r="BB41" s="275"/>
      <c r="BC41" s="275">
        <v>500000</v>
      </c>
      <c r="BD41" s="275"/>
      <c r="BE41" s="275">
        <v>500000</v>
      </c>
      <c r="BF41" s="275"/>
      <c r="BH41" s="277"/>
    </row>
    <row r="42" spans="1:60" ht="16.5" hidden="1" customHeight="1" x14ac:dyDescent="0.3">
      <c r="A42" s="260">
        <v>20</v>
      </c>
      <c r="B42" s="261"/>
      <c r="C42" s="261"/>
      <c r="D42" s="262" t="s">
        <v>15</v>
      </c>
      <c r="E42" s="262" t="s">
        <v>113</v>
      </c>
      <c r="F42" s="263" t="s">
        <v>15</v>
      </c>
      <c r="G42" s="264" t="s">
        <v>113</v>
      </c>
      <c r="H42" s="281"/>
      <c r="I42" s="265"/>
      <c r="J42" s="266" t="s">
        <v>1037</v>
      </c>
      <c r="K42" s="262"/>
      <c r="L42" s="262"/>
      <c r="M42" s="262">
        <v>8899</v>
      </c>
      <c r="N42" s="262" t="s">
        <v>22</v>
      </c>
      <c r="O42" s="262" t="s">
        <v>56</v>
      </c>
      <c r="P42" s="262" t="s">
        <v>57</v>
      </c>
      <c r="Q42" s="262" t="s">
        <v>63</v>
      </c>
      <c r="R42" s="262" t="s">
        <v>28</v>
      </c>
      <c r="S42" s="267" t="s">
        <v>28</v>
      </c>
      <c r="T42" s="268" t="s">
        <v>951</v>
      </c>
      <c r="U42" s="269"/>
      <c r="V42" s="269">
        <v>0</v>
      </c>
      <c r="W42" s="278">
        <v>43956580</v>
      </c>
      <c r="X42" s="270"/>
      <c r="Y42" s="262" t="s">
        <v>27</v>
      </c>
      <c r="Z42" s="271" t="s">
        <v>27</v>
      </c>
      <c r="AA42" s="287"/>
      <c r="AB42" s="287"/>
      <c r="AC42" s="272">
        <f t="shared" si="3"/>
        <v>92676280</v>
      </c>
      <c r="AD42" s="272">
        <v>92676280</v>
      </c>
      <c r="AE42" s="272">
        <f t="shared" si="4"/>
        <v>0</v>
      </c>
      <c r="AF42" s="273"/>
      <c r="AG42" s="274"/>
      <c r="AH42" s="273"/>
      <c r="AI42" s="273">
        <v>6737800</v>
      </c>
      <c r="AJ42" s="274">
        <v>6737800</v>
      </c>
      <c r="AK42" s="273"/>
      <c r="AL42" s="275">
        <v>8431100</v>
      </c>
      <c r="AM42" s="290">
        <v>8431100</v>
      </c>
      <c r="AN42" s="275"/>
      <c r="AO42" s="276">
        <v>8172880</v>
      </c>
      <c r="AP42" s="275"/>
      <c r="AQ42" s="275">
        <v>8334500</v>
      </c>
      <c r="AR42" s="275"/>
      <c r="AS42" s="275">
        <v>8000000</v>
      </c>
      <c r="AT42" s="275"/>
      <c r="AU42" s="275">
        <v>8000000</v>
      </c>
      <c r="AV42" s="275"/>
      <c r="AW42" s="275">
        <v>7000000</v>
      </c>
      <c r="AX42" s="275"/>
      <c r="AY42" s="275">
        <v>8000000</v>
      </c>
      <c r="AZ42" s="275"/>
      <c r="BA42" s="275">
        <v>8000000</v>
      </c>
      <c r="BB42" s="275"/>
      <c r="BC42" s="275">
        <v>7000000</v>
      </c>
      <c r="BD42" s="275"/>
      <c r="BE42" s="275">
        <v>15000000</v>
      </c>
      <c r="BF42" s="275"/>
      <c r="BH42" s="277"/>
    </row>
    <row r="43" spans="1:60" ht="16.5" hidden="1" customHeight="1" x14ac:dyDescent="0.3">
      <c r="A43" s="260">
        <v>21</v>
      </c>
      <c r="B43" s="261"/>
      <c r="C43" s="261"/>
      <c r="D43" s="262" t="s">
        <v>15</v>
      </c>
      <c r="E43" s="262" t="s">
        <v>113</v>
      </c>
      <c r="F43" s="263" t="s">
        <v>15</v>
      </c>
      <c r="G43" s="264" t="s">
        <v>113</v>
      </c>
      <c r="H43" s="281"/>
      <c r="I43" s="265"/>
      <c r="J43" s="266" t="s">
        <v>119</v>
      </c>
      <c r="K43" s="262"/>
      <c r="L43" s="262"/>
      <c r="M43" s="262">
        <v>8899</v>
      </c>
      <c r="N43" s="262" t="s">
        <v>22</v>
      </c>
      <c r="O43" s="262" t="s">
        <v>56</v>
      </c>
      <c r="P43" s="262" t="s">
        <v>57</v>
      </c>
      <c r="Q43" s="262"/>
      <c r="R43" s="262" t="s">
        <v>397</v>
      </c>
      <c r="S43" s="267" t="s">
        <v>823</v>
      </c>
      <c r="T43" s="268"/>
      <c r="U43" s="269"/>
      <c r="V43" s="269"/>
      <c r="W43" s="278">
        <v>6000000</v>
      </c>
      <c r="X43" s="270"/>
      <c r="Y43" s="262" t="s">
        <v>27</v>
      </c>
      <c r="Z43" s="271" t="s">
        <v>24</v>
      </c>
      <c r="AA43" s="287"/>
      <c r="AB43" s="287"/>
      <c r="AC43" s="272">
        <f t="shared" si="3"/>
        <v>6000000</v>
      </c>
      <c r="AD43" s="272">
        <v>6000000</v>
      </c>
      <c r="AE43" s="272">
        <f t="shared" si="4"/>
        <v>0</v>
      </c>
      <c r="AF43" s="273"/>
      <c r="AG43" s="274"/>
      <c r="AH43" s="273"/>
      <c r="AI43" s="273"/>
      <c r="AJ43" s="274"/>
      <c r="AK43" s="273"/>
      <c r="AL43" s="275"/>
      <c r="AM43" s="290"/>
      <c r="AN43" s="275"/>
      <c r="AO43" s="276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>
        <v>6000000</v>
      </c>
      <c r="AZ43" s="275"/>
      <c r="BA43" s="275"/>
      <c r="BB43" s="275"/>
      <c r="BC43" s="275"/>
      <c r="BD43" s="275"/>
      <c r="BE43" s="275"/>
      <c r="BF43" s="275"/>
      <c r="BH43" s="277"/>
    </row>
    <row r="44" spans="1:60" ht="16.5" hidden="1" customHeight="1" x14ac:dyDescent="0.3">
      <c r="A44" s="260">
        <v>22</v>
      </c>
      <c r="B44" s="261"/>
      <c r="C44" s="261"/>
      <c r="D44" s="262" t="s">
        <v>15</v>
      </c>
      <c r="E44" s="262" t="s">
        <v>113</v>
      </c>
      <c r="F44" s="263" t="s">
        <v>15</v>
      </c>
      <c r="G44" s="264" t="s">
        <v>113</v>
      </c>
      <c r="H44" s="281"/>
      <c r="I44" s="265"/>
      <c r="J44" s="266" t="s">
        <v>738</v>
      </c>
      <c r="K44" s="262"/>
      <c r="L44" s="262"/>
      <c r="M44" s="262">
        <v>62029</v>
      </c>
      <c r="N44" s="262" t="s">
        <v>22</v>
      </c>
      <c r="O44" s="262" t="s">
        <v>56</v>
      </c>
      <c r="P44" s="262" t="s">
        <v>57</v>
      </c>
      <c r="Q44" s="262" t="s">
        <v>63</v>
      </c>
      <c r="R44" s="262" t="s">
        <v>28</v>
      </c>
      <c r="S44" s="267" t="s">
        <v>28</v>
      </c>
      <c r="T44" s="268" t="s">
        <v>951</v>
      </c>
      <c r="U44" s="269"/>
      <c r="V44" s="269">
        <v>0</v>
      </c>
      <c r="W44" s="278">
        <v>9725520</v>
      </c>
      <c r="X44" s="270"/>
      <c r="Y44" s="262" t="s">
        <v>27</v>
      </c>
      <c r="Z44" s="271" t="s">
        <v>27</v>
      </c>
      <c r="AA44" s="287"/>
      <c r="AB44" s="287"/>
      <c r="AC44" s="272">
        <f t="shared" si="3"/>
        <v>24130560</v>
      </c>
      <c r="AD44" s="272">
        <v>24130560</v>
      </c>
      <c r="AE44" s="272">
        <f t="shared" si="4"/>
        <v>0</v>
      </c>
      <c r="AF44" s="273"/>
      <c r="AG44" s="274"/>
      <c r="AH44" s="273"/>
      <c r="AI44" s="273">
        <v>1897100</v>
      </c>
      <c r="AJ44" s="274">
        <v>1914380</v>
      </c>
      <c r="AK44" s="273"/>
      <c r="AL44" s="275">
        <v>2562060</v>
      </c>
      <c r="AM44" s="290">
        <v>2562060</v>
      </c>
      <c r="AN44" s="275"/>
      <c r="AO44" s="276">
        <v>1754960</v>
      </c>
      <c r="AP44" s="275"/>
      <c r="AQ44" s="275">
        <v>1899160</v>
      </c>
      <c r="AR44" s="275"/>
      <c r="AS44" s="275">
        <v>2000000</v>
      </c>
      <c r="AT44" s="275"/>
      <c r="AU44" s="275">
        <v>2000000</v>
      </c>
      <c r="AV44" s="275"/>
      <c r="AW44" s="275">
        <v>2000000</v>
      </c>
      <c r="AX44" s="275"/>
      <c r="AY44" s="275">
        <v>2000000</v>
      </c>
      <c r="AZ44" s="275"/>
      <c r="BA44" s="275">
        <v>2000000</v>
      </c>
      <c r="BB44" s="275"/>
      <c r="BC44" s="275">
        <v>2000000</v>
      </c>
      <c r="BD44" s="275"/>
      <c r="BE44" s="275">
        <v>4000000</v>
      </c>
      <c r="BF44" s="275"/>
      <c r="BH44" s="277"/>
    </row>
    <row r="45" spans="1:60" ht="16.5" hidden="1" customHeight="1" x14ac:dyDescent="0.3">
      <c r="A45" s="260">
        <v>23</v>
      </c>
      <c r="B45" s="261"/>
      <c r="C45" s="261"/>
      <c r="D45" s="262" t="s">
        <v>15</v>
      </c>
      <c r="E45" s="262" t="s">
        <v>113</v>
      </c>
      <c r="F45" s="263" t="s">
        <v>15</v>
      </c>
      <c r="G45" s="264" t="s">
        <v>113</v>
      </c>
      <c r="H45" s="281"/>
      <c r="I45" s="265"/>
      <c r="J45" s="266" t="s">
        <v>120</v>
      </c>
      <c r="K45" s="262"/>
      <c r="L45" s="262"/>
      <c r="M45" s="262">
        <v>63600</v>
      </c>
      <c r="N45" s="262" t="s">
        <v>22</v>
      </c>
      <c r="O45" s="262" t="s">
        <v>56</v>
      </c>
      <c r="P45" s="262" t="s">
        <v>57</v>
      </c>
      <c r="Q45" s="262" t="s">
        <v>63</v>
      </c>
      <c r="R45" s="262" t="s">
        <v>28</v>
      </c>
      <c r="S45" s="267" t="s">
        <v>28</v>
      </c>
      <c r="T45" s="268" t="s">
        <v>951</v>
      </c>
      <c r="U45" s="269"/>
      <c r="V45" s="269">
        <v>0</v>
      </c>
      <c r="W45" s="278">
        <v>293801000</v>
      </c>
      <c r="X45" s="270"/>
      <c r="Y45" s="262" t="s">
        <v>27</v>
      </c>
      <c r="Z45" s="271" t="s">
        <v>27</v>
      </c>
      <c r="AA45" s="287"/>
      <c r="AB45" s="287"/>
      <c r="AC45" s="272">
        <f t="shared" si="3"/>
        <v>525857200</v>
      </c>
      <c r="AD45" s="272">
        <v>525857200</v>
      </c>
      <c r="AE45" s="272">
        <f t="shared" si="4"/>
        <v>0</v>
      </c>
      <c r="AF45" s="273">
        <v>39034550</v>
      </c>
      <c r="AG45" s="274">
        <v>39174750</v>
      </c>
      <c r="AH45" s="273"/>
      <c r="AI45" s="273">
        <v>50000000</v>
      </c>
      <c r="AJ45" s="274">
        <v>38321800</v>
      </c>
      <c r="AK45" s="273"/>
      <c r="AL45" s="275">
        <v>41355150</v>
      </c>
      <c r="AM45" s="290">
        <v>41355150</v>
      </c>
      <c r="AN45" s="275"/>
      <c r="AO45" s="276">
        <v>44002750</v>
      </c>
      <c r="AP45" s="275"/>
      <c r="AQ45" s="275">
        <v>44002750</v>
      </c>
      <c r="AR45" s="275"/>
      <c r="AS45" s="275">
        <v>53000000</v>
      </c>
      <c r="AT45" s="275"/>
      <c r="AU45" s="275">
        <v>40000000</v>
      </c>
      <c r="AV45" s="275"/>
      <c r="AW45" s="275">
        <v>50000000</v>
      </c>
      <c r="AX45" s="275"/>
      <c r="AY45" s="275">
        <v>43000000</v>
      </c>
      <c r="AZ45" s="275"/>
      <c r="BA45" s="275">
        <v>50000000</v>
      </c>
      <c r="BB45" s="275"/>
      <c r="BC45" s="275">
        <v>40000000</v>
      </c>
      <c r="BD45" s="275"/>
      <c r="BE45" s="275">
        <v>43000000</v>
      </c>
      <c r="BF45" s="275"/>
      <c r="BH45" s="277"/>
    </row>
    <row r="46" spans="1:60" ht="16.5" hidden="1" customHeight="1" x14ac:dyDescent="0.3">
      <c r="A46" s="260">
        <v>24</v>
      </c>
      <c r="B46" s="261"/>
      <c r="C46" s="261"/>
      <c r="D46" s="262" t="s">
        <v>15</v>
      </c>
      <c r="E46" s="262" t="s">
        <v>113</v>
      </c>
      <c r="F46" s="263" t="s">
        <v>15</v>
      </c>
      <c r="G46" s="264" t="s">
        <v>113</v>
      </c>
      <c r="H46" s="281"/>
      <c r="I46" s="265"/>
      <c r="J46" s="266" t="s">
        <v>120</v>
      </c>
      <c r="K46" s="262"/>
      <c r="L46" s="262"/>
      <c r="M46" s="262">
        <v>3436</v>
      </c>
      <c r="N46" s="262" t="s">
        <v>22</v>
      </c>
      <c r="O46" s="262" t="s">
        <v>56</v>
      </c>
      <c r="P46" s="262" t="s">
        <v>57</v>
      </c>
      <c r="Q46" s="262"/>
      <c r="R46" s="262" t="s">
        <v>397</v>
      </c>
      <c r="S46" s="267" t="s">
        <v>823</v>
      </c>
      <c r="T46" s="268"/>
      <c r="U46" s="269"/>
      <c r="V46" s="269"/>
      <c r="W46" s="278">
        <v>6000000</v>
      </c>
      <c r="X46" s="270"/>
      <c r="Y46" s="262" t="s">
        <v>27</v>
      </c>
      <c r="Z46" s="271" t="s">
        <v>24</v>
      </c>
      <c r="AA46" s="287"/>
      <c r="AB46" s="287"/>
      <c r="AC46" s="272">
        <f t="shared" si="3"/>
        <v>6000000</v>
      </c>
      <c r="AD46" s="272">
        <v>6000000</v>
      </c>
      <c r="AE46" s="272">
        <f t="shared" si="4"/>
        <v>0</v>
      </c>
      <c r="AF46" s="273"/>
      <c r="AG46" s="274"/>
      <c r="AH46" s="273"/>
      <c r="AI46" s="273"/>
      <c r="AJ46" s="274"/>
      <c r="AK46" s="273"/>
      <c r="AL46" s="275"/>
      <c r="AM46" s="290"/>
      <c r="AN46" s="275"/>
      <c r="AO46" s="276"/>
      <c r="AP46" s="275"/>
      <c r="AQ46" s="275"/>
      <c r="AR46" s="275"/>
      <c r="AS46" s="275"/>
      <c r="AT46" s="275"/>
      <c r="AU46" s="275"/>
      <c r="AV46" s="275"/>
      <c r="AW46" s="275"/>
      <c r="AX46" s="275"/>
      <c r="AY46" s="275">
        <v>6000000</v>
      </c>
      <c r="AZ46" s="275"/>
      <c r="BA46" s="275"/>
      <c r="BB46" s="275"/>
      <c r="BC46" s="275"/>
      <c r="BD46" s="275"/>
      <c r="BE46" s="275"/>
      <c r="BF46" s="275"/>
      <c r="BH46" s="277"/>
    </row>
    <row r="47" spans="1:60" ht="16.5" hidden="1" customHeight="1" x14ac:dyDescent="0.3">
      <c r="A47" s="260">
        <v>25</v>
      </c>
      <c r="B47" s="261"/>
      <c r="C47" s="261"/>
      <c r="D47" s="262" t="s">
        <v>15</v>
      </c>
      <c r="E47" s="262" t="s">
        <v>113</v>
      </c>
      <c r="F47" s="263" t="s">
        <v>15</v>
      </c>
      <c r="G47" s="264" t="s">
        <v>113</v>
      </c>
      <c r="H47" s="281"/>
      <c r="I47" s="265"/>
      <c r="J47" s="266" t="s">
        <v>121</v>
      </c>
      <c r="K47" s="262"/>
      <c r="L47" s="262"/>
      <c r="M47" s="262">
        <v>63233</v>
      </c>
      <c r="N47" s="262" t="s">
        <v>22</v>
      </c>
      <c r="O47" s="262" t="s">
        <v>56</v>
      </c>
      <c r="P47" s="262" t="s">
        <v>57</v>
      </c>
      <c r="Q47" s="262" t="s">
        <v>63</v>
      </c>
      <c r="R47" s="262" t="s">
        <v>28</v>
      </c>
      <c r="S47" s="267" t="s">
        <v>28</v>
      </c>
      <c r="T47" s="268" t="s">
        <v>951</v>
      </c>
      <c r="U47" s="269"/>
      <c r="V47" s="269">
        <v>0</v>
      </c>
      <c r="W47" s="278">
        <v>263593870</v>
      </c>
      <c r="X47" s="270"/>
      <c r="Y47" s="262" t="s">
        <v>27</v>
      </c>
      <c r="Z47" s="271" t="s">
        <v>27</v>
      </c>
      <c r="AA47" s="287"/>
      <c r="AB47" s="287"/>
      <c r="AC47" s="272">
        <f t="shared" si="3"/>
        <v>452748230</v>
      </c>
      <c r="AD47" s="272">
        <v>452748230</v>
      </c>
      <c r="AE47" s="272">
        <f t="shared" si="4"/>
        <v>0</v>
      </c>
      <c r="AF47" s="273"/>
      <c r="AG47" s="274">
        <v>1200000</v>
      </c>
      <c r="AH47" s="273"/>
      <c r="AI47" s="273">
        <v>40000000</v>
      </c>
      <c r="AJ47" s="274">
        <v>40713300</v>
      </c>
      <c r="AK47" s="273"/>
      <c r="AL47" s="275">
        <v>42958600</v>
      </c>
      <c r="AM47" s="290">
        <v>42958600</v>
      </c>
      <c r="AN47" s="275"/>
      <c r="AO47" s="276">
        <v>39978010</v>
      </c>
      <c r="AP47" s="275"/>
      <c r="AQ47" s="275">
        <v>52898320</v>
      </c>
      <c r="AR47" s="275"/>
      <c r="AS47" s="275">
        <v>30000000</v>
      </c>
      <c r="AT47" s="275"/>
      <c r="AU47" s="275">
        <v>40000000</v>
      </c>
      <c r="AV47" s="275"/>
      <c r="AW47" s="275">
        <v>30000000</v>
      </c>
      <c r="AX47" s="275"/>
      <c r="AY47" s="275">
        <v>35000000</v>
      </c>
      <c r="AZ47" s="275"/>
      <c r="BA47" s="275">
        <v>30000000</v>
      </c>
      <c r="BB47" s="275"/>
      <c r="BC47" s="275">
        <v>40000000</v>
      </c>
      <c r="BD47" s="275"/>
      <c r="BE47" s="275">
        <v>70000000</v>
      </c>
      <c r="BF47" s="275"/>
      <c r="BH47" s="277"/>
    </row>
    <row r="48" spans="1:60" ht="16.5" hidden="1" customHeight="1" x14ac:dyDescent="0.3">
      <c r="A48" s="260">
        <v>26</v>
      </c>
      <c r="B48" s="261"/>
      <c r="C48" s="261"/>
      <c r="D48" s="262" t="s">
        <v>15</v>
      </c>
      <c r="E48" s="262" t="s">
        <v>113</v>
      </c>
      <c r="F48" s="263" t="s">
        <v>15</v>
      </c>
      <c r="G48" s="264" t="s">
        <v>113</v>
      </c>
      <c r="H48" s="281"/>
      <c r="I48" s="265"/>
      <c r="J48" s="266" t="s">
        <v>121</v>
      </c>
      <c r="K48" s="262"/>
      <c r="L48" s="262"/>
      <c r="M48" s="262">
        <v>63233</v>
      </c>
      <c r="N48" s="262" t="s">
        <v>22</v>
      </c>
      <c r="O48" s="262" t="s">
        <v>56</v>
      </c>
      <c r="P48" s="262" t="s">
        <v>57</v>
      </c>
      <c r="Q48" s="262"/>
      <c r="R48" s="262" t="s">
        <v>397</v>
      </c>
      <c r="S48" s="267" t="s">
        <v>823</v>
      </c>
      <c r="T48" s="268"/>
      <c r="U48" s="269"/>
      <c r="V48" s="269"/>
      <c r="W48" s="278">
        <v>18000000</v>
      </c>
      <c r="X48" s="270"/>
      <c r="Y48" s="262" t="s">
        <v>27</v>
      </c>
      <c r="Z48" s="271" t="s">
        <v>27</v>
      </c>
      <c r="AA48" s="287"/>
      <c r="AB48" s="287"/>
      <c r="AC48" s="272">
        <f t="shared" si="3"/>
        <v>10000000</v>
      </c>
      <c r="AD48" s="272">
        <v>10000000</v>
      </c>
      <c r="AE48" s="272">
        <f t="shared" si="4"/>
        <v>0</v>
      </c>
      <c r="AF48" s="273"/>
      <c r="AG48" s="274"/>
      <c r="AH48" s="273"/>
      <c r="AI48" s="273"/>
      <c r="AJ48" s="274"/>
      <c r="AK48" s="273"/>
      <c r="AL48" s="275"/>
      <c r="AM48" s="290"/>
      <c r="AN48" s="275"/>
      <c r="AO48" s="276">
        <v>5000000</v>
      </c>
      <c r="AP48" s="275"/>
      <c r="AQ48" s="275"/>
      <c r="AR48" s="275"/>
      <c r="AS48" s="275"/>
      <c r="AT48" s="275"/>
      <c r="AU48" s="275"/>
      <c r="AV48" s="275"/>
      <c r="AW48" s="275"/>
      <c r="AX48" s="275"/>
      <c r="AY48" s="275">
        <v>5000000</v>
      </c>
      <c r="AZ48" s="275"/>
      <c r="BA48" s="275"/>
      <c r="BB48" s="275"/>
      <c r="BC48" s="275"/>
      <c r="BD48" s="275"/>
      <c r="BE48" s="275"/>
      <c r="BF48" s="275"/>
      <c r="BH48" s="277"/>
    </row>
    <row r="49" spans="1:60" ht="16.5" hidden="1" customHeight="1" x14ac:dyDescent="0.3">
      <c r="A49" s="260">
        <v>27</v>
      </c>
      <c r="B49" s="261"/>
      <c r="C49" s="261"/>
      <c r="D49" s="262"/>
      <c r="E49" s="262"/>
      <c r="F49" s="263" t="s">
        <v>15</v>
      </c>
      <c r="G49" s="264" t="s">
        <v>113</v>
      </c>
      <c r="H49" s="281"/>
      <c r="I49" s="265"/>
      <c r="J49" s="266" t="s">
        <v>956</v>
      </c>
      <c r="K49" s="262"/>
      <c r="L49" s="262"/>
      <c r="M49" s="262">
        <v>66507</v>
      </c>
      <c r="N49" s="262"/>
      <c r="O49" s="262"/>
      <c r="P49" s="262"/>
      <c r="Q49" s="262"/>
      <c r="R49" s="262"/>
      <c r="S49" s="267" t="s">
        <v>832</v>
      </c>
      <c r="T49" s="268"/>
      <c r="U49" s="269"/>
      <c r="V49" s="269"/>
      <c r="W49" s="278">
        <v>0</v>
      </c>
      <c r="X49" s="270"/>
      <c r="Y49" s="262"/>
      <c r="Z49" s="271" t="s">
        <v>27</v>
      </c>
      <c r="AA49" s="287"/>
      <c r="AB49" s="287"/>
      <c r="AC49" s="272">
        <f t="shared" si="3"/>
        <v>4560000</v>
      </c>
      <c r="AD49" s="272">
        <v>4560000</v>
      </c>
      <c r="AE49" s="272">
        <f t="shared" si="4"/>
        <v>0</v>
      </c>
      <c r="AF49" s="273"/>
      <c r="AG49" s="274"/>
      <c r="AH49" s="273"/>
      <c r="AI49" s="273"/>
      <c r="AJ49" s="274"/>
      <c r="AK49" s="273"/>
      <c r="AL49" s="275"/>
      <c r="AM49" s="290"/>
      <c r="AN49" s="275"/>
      <c r="AO49" s="276">
        <v>4560000</v>
      </c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H49" s="277"/>
    </row>
    <row r="50" spans="1:60" ht="16.5" hidden="1" customHeight="1" x14ac:dyDescent="0.3">
      <c r="A50" s="260">
        <v>28</v>
      </c>
      <c r="B50" s="261"/>
      <c r="C50" s="261"/>
      <c r="D50" s="262" t="s">
        <v>15</v>
      </c>
      <c r="E50" s="262" t="s">
        <v>113</v>
      </c>
      <c r="F50" s="263" t="s">
        <v>15</v>
      </c>
      <c r="G50" s="264" t="s">
        <v>113</v>
      </c>
      <c r="H50" s="281"/>
      <c r="I50" s="265"/>
      <c r="J50" s="266" t="s">
        <v>122</v>
      </c>
      <c r="K50" s="262"/>
      <c r="L50" s="262"/>
      <c r="M50" s="262">
        <v>3893</v>
      </c>
      <c r="N50" s="262" t="s">
        <v>22</v>
      </c>
      <c r="O50" s="262" t="s">
        <v>56</v>
      </c>
      <c r="P50" s="262" t="s">
        <v>57</v>
      </c>
      <c r="Q50" s="262" t="s">
        <v>63</v>
      </c>
      <c r="R50" s="262" t="s">
        <v>28</v>
      </c>
      <c r="S50" s="267" t="s">
        <v>28</v>
      </c>
      <c r="T50" s="268" t="s">
        <v>951</v>
      </c>
      <c r="U50" s="269"/>
      <c r="V50" s="269">
        <v>0</v>
      </c>
      <c r="W50" s="278">
        <v>28603310</v>
      </c>
      <c r="X50" s="270"/>
      <c r="Y50" s="262" t="s">
        <v>27</v>
      </c>
      <c r="Z50" s="271" t="s">
        <v>27</v>
      </c>
      <c r="AA50" s="287"/>
      <c r="AB50" s="287"/>
      <c r="AC50" s="272">
        <f t="shared" si="3"/>
        <v>67199750</v>
      </c>
      <c r="AD50" s="272">
        <v>67199750</v>
      </c>
      <c r="AE50" s="272">
        <f t="shared" si="4"/>
        <v>0</v>
      </c>
      <c r="AF50" s="273">
        <v>4296810</v>
      </c>
      <c r="AG50" s="274"/>
      <c r="AH50" s="273"/>
      <c r="AI50" s="273">
        <v>4101320</v>
      </c>
      <c r="AJ50" s="274">
        <v>8445210</v>
      </c>
      <c r="AK50" s="273"/>
      <c r="AL50" s="275">
        <v>7473020</v>
      </c>
      <c r="AM50" s="290">
        <v>7473020</v>
      </c>
      <c r="AN50" s="275"/>
      <c r="AO50" s="276">
        <v>5639220</v>
      </c>
      <c r="AP50" s="275"/>
      <c r="AQ50" s="275">
        <v>7642300</v>
      </c>
      <c r="AR50" s="275"/>
      <c r="AS50" s="275">
        <v>6000000</v>
      </c>
      <c r="AT50" s="275"/>
      <c r="AU50" s="275">
        <v>6000000</v>
      </c>
      <c r="AV50" s="275"/>
      <c r="AW50" s="275">
        <v>4000000</v>
      </c>
      <c r="AX50" s="275"/>
      <c r="AY50" s="275">
        <v>6000000</v>
      </c>
      <c r="AZ50" s="275"/>
      <c r="BA50" s="275">
        <v>6000000</v>
      </c>
      <c r="BB50" s="275"/>
      <c r="BC50" s="275">
        <v>6000000</v>
      </c>
      <c r="BD50" s="275"/>
      <c r="BE50" s="275">
        <v>4000000</v>
      </c>
      <c r="BF50" s="275"/>
      <c r="BH50" s="277"/>
    </row>
    <row r="51" spans="1:60" ht="16.5" hidden="1" customHeight="1" x14ac:dyDescent="0.3">
      <c r="A51" s="260">
        <v>29</v>
      </c>
      <c r="B51" s="261"/>
      <c r="C51" s="261"/>
      <c r="D51" s="262" t="s">
        <v>15</v>
      </c>
      <c r="E51" s="262" t="s">
        <v>113</v>
      </c>
      <c r="F51" s="263" t="s">
        <v>15</v>
      </c>
      <c r="G51" s="264" t="s">
        <v>113</v>
      </c>
      <c r="H51" s="281"/>
      <c r="I51" s="265"/>
      <c r="J51" s="266" t="s">
        <v>123</v>
      </c>
      <c r="K51" s="262"/>
      <c r="L51" s="262"/>
      <c r="M51" s="262">
        <v>9242</v>
      </c>
      <c r="N51" s="262" t="s">
        <v>32</v>
      </c>
      <c r="O51" s="262" t="s">
        <v>56</v>
      </c>
      <c r="P51" s="262" t="s">
        <v>124</v>
      </c>
      <c r="Q51" s="262" t="s">
        <v>44</v>
      </c>
      <c r="R51" s="262" t="s">
        <v>469</v>
      </c>
      <c r="S51" s="267" t="s">
        <v>469</v>
      </c>
      <c r="T51" s="268"/>
      <c r="U51" s="269">
        <v>350000000</v>
      </c>
      <c r="V51" s="269">
        <v>357000000</v>
      </c>
      <c r="W51" s="278">
        <v>356400000</v>
      </c>
      <c r="X51" s="270"/>
      <c r="Y51" s="262" t="s">
        <v>27</v>
      </c>
      <c r="Z51" s="271" t="s">
        <v>27</v>
      </c>
      <c r="AA51" s="287"/>
      <c r="AB51" s="287"/>
      <c r="AC51" s="272">
        <f t="shared" si="3"/>
        <v>356000000</v>
      </c>
      <c r="AD51" s="272">
        <v>356000000</v>
      </c>
      <c r="AE51" s="272">
        <f t="shared" si="4"/>
        <v>0</v>
      </c>
      <c r="AF51" s="273"/>
      <c r="AG51" s="274"/>
      <c r="AH51" s="273"/>
      <c r="AI51" s="273">
        <v>249200000</v>
      </c>
      <c r="AJ51" s="274"/>
      <c r="AK51" s="273"/>
      <c r="AL51" s="275">
        <v>249200000</v>
      </c>
      <c r="AM51" s="290">
        <v>249200000</v>
      </c>
      <c r="AN51" s="275" t="s">
        <v>948</v>
      </c>
      <c r="AO51" s="276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>
        <v>106800000</v>
      </c>
      <c r="BF51" s="275"/>
      <c r="BH51" s="277"/>
    </row>
    <row r="52" spans="1:60" ht="16.5" hidden="1" customHeight="1" x14ac:dyDescent="0.3">
      <c r="A52" s="260">
        <v>30</v>
      </c>
      <c r="B52" s="261"/>
      <c r="C52" s="261"/>
      <c r="D52" s="262" t="s">
        <v>15</v>
      </c>
      <c r="E52" s="262" t="s">
        <v>113</v>
      </c>
      <c r="F52" s="263" t="s">
        <v>15</v>
      </c>
      <c r="G52" s="264" t="s">
        <v>113</v>
      </c>
      <c r="H52" s="281"/>
      <c r="I52" s="265"/>
      <c r="J52" s="266" t="s">
        <v>123</v>
      </c>
      <c r="K52" s="262"/>
      <c r="L52" s="262"/>
      <c r="M52" s="262">
        <v>9242</v>
      </c>
      <c r="N52" s="262" t="s">
        <v>32</v>
      </c>
      <c r="O52" s="262" t="s">
        <v>56</v>
      </c>
      <c r="P52" s="262" t="s">
        <v>124</v>
      </c>
      <c r="Q52" s="262" t="s">
        <v>23</v>
      </c>
      <c r="R52" s="262" t="s">
        <v>397</v>
      </c>
      <c r="S52" s="267" t="s">
        <v>823</v>
      </c>
      <c r="T52" s="268"/>
      <c r="U52" s="269"/>
      <c r="V52" s="269">
        <v>0</v>
      </c>
      <c r="W52" s="278">
        <v>0</v>
      </c>
      <c r="X52" s="270"/>
      <c r="Y52" s="262" t="s">
        <v>25</v>
      </c>
      <c r="Z52" s="271" t="s">
        <v>74</v>
      </c>
      <c r="AA52" s="287"/>
      <c r="AB52" s="287"/>
      <c r="AC52" s="272">
        <f t="shared" si="3"/>
        <v>270000000</v>
      </c>
      <c r="AD52" s="272">
        <v>270000000</v>
      </c>
      <c r="AE52" s="272">
        <f t="shared" si="4"/>
        <v>0</v>
      </c>
      <c r="AF52" s="273"/>
      <c r="AG52" s="274"/>
      <c r="AH52" s="273"/>
      <c r="AI52" s="273"/>
      <c r="AJ52" s="274"/>
      <c r="AK52" s="273"/>
      <c r="AL52" s="275"/>
      <c r="AM52" s="290"/>
      <c r="AN52" s="275"/>
      <c r="AO52" s="276">
        <v>189000000</v>
      </c>
      <c r="AP52" s="275"/>
      <c r="AQ52" s="275"/>
      <c r="AR52" s="275"/>
      <c r="AS52" s="275"/>
      <c r="AT52" s="275"/>
      <c r="AU52" s="275"/>
      <c r="AV52" s="275"/>
      <c r="AW52" s="275"/>
      <c r="AX52" s="275"/>
      <c r="AY52" s="275"/>
      <c r="AZ52" s="275"/>
      <c r="BA52" s="275"/>
      <c r="BB52" s="275"/>
      <c r="BC52" s="275"/>
      <c r="BD52" s="275"/>
      <c r="BE52" s="275">
        <v>81000000</v>
      </c>
      <c r="BF52" s="275"/>
      <c r="BH52" s="277"/>
    </row>
    <row r="53" spans="1:60" ht="16.5" hidden="1" customHeight="1" x14ac:dyDescent="0.3">
      <c r="A53" s="260">
        <v>31</v>
      </c>
      <c r="B53" s="261"/>
      <c r="C53" s="261"/>
      <c r="D53" s="262" t="s">
        <v>15</v>
      </c>
      <c r="E53" s="262" t="s">
        <v>113</v>
      </c>
      <c r="F53" s="263" t="s">
        <v>15</v>
      </c>
      <c r="G53" s="264" t="s">
        <v>113</v>
      </c>
      <c r="H53" s="281"/>
      <c r="I53" s="265"/>
      <c r="J53" s="266" t="s">
        <v>123</v>
      </c>
      <c r="K53" s="262"/>
      <c r="L53" s="262"/>
      <c r="M53" s="262">
        <v>9242</v>
      </c>
      <c r="N53" s="262" t="s">
        <v>32</v>
      </c>
      <c r="O53" s="262" t="s">
        <v>56</v>
      </c>
      <c r="P53" s="262" t="s">
        <v>124</v>
      </c>
      <c r="Q53" s="262" t="s">
        <v>111</v>
      </c>
      <c r="R53" s="262" t="s">
        <v>472</v>
      </c>
      <c r="S53" s="267" t="s">
        <v>824</v>
      </c>
      <c r="T53" s="268"/>
      <c r="U53" s="269">
        <v>679000000</v>
      </c>
      <c r="V53" s="269">
        <v>714060000</v>
      </c>
      <c r="W53" s="278">
        <v>756000000</v>
      </c>
      <c r="X53" s="270"/>
      <c r="Y53" s="262" t="s">
        <v>27</v>
      </c>
      <c r="Z53" s="271" t="s">
        <v>27</v>
      </c>
      <c r="AA53" s="287"/>
      <c r="AB53" s="287"/>
      <c r="AC53" s="272">
        <f t="shared" si="3"/>
        <v>756000000</v>
      </c>
      <c r="AD53" s="272">
        <v>756000000</v>
      </c>
      <c r="AE53" s="272">
        <f t="shared" si="4"/>
        <v>0</v>
      </c>
      <c r="AF53" s="273"/>
      <c r="AG53" s="274"/>
      <c r="AH53" s="273"/>
      <c r="AI53" s="273"/>
      <c r="AJ53" s="274"/>
      <c r="AK53" s="273"/>
      <c r="AL53" s="275"/>
      <c r="AM53" s="290"/>
      <c r="AN53" s="275"/>
      <c r="AO53" s="276">
        <v>189000000</v>
      </c>
      <c r="AP53" s="275"/>
      <c r="AQ53" s="275"/>
      <c r="AR53" s="275"/>
      <c r="AS53" s="275"/>
      <c r="AT53" s="275"/>
      <c r="AU53" s="275">
        <v>189000000</v>
      </c>
      <c r="AV53" s="275"/>
      <c r="AW53" s="275"/>
      <c r="AX53" s="275"/>
      <c r="AY53" s="275"/>
      <c r="AZ53" s="275"/>
      <c r="BA53" s="275">
        <v>189000000</v>
      </c>
      <c r="BB53" s="275"/>
      <c r="BC53" s="275"/>
      <c r="BD53" s="275"/>
      <c r="BE53" s="275">
        <v>189000000</v>
      </c>
      <c r="BF53" s="275"/>
      <c r="BH53" s="277"/>
    </row>
    <row r="54" spans="1:60" ht="16.5" hidden="1" customHeight="1" x14ac:dyDescent="0.3">
      <c r="A54" s="260">
        <v>32</v>
      </c>
      <c r="B54" s="261"/>
      <c r="C54" s="261"/>
      <c r="D54" s="262" t="s">
        <v>15</v>
      </c>
      <c r="E54" s="262" t="s">
        <v>113</v>
      </c>
      <c r="F54" s="263" t="s">
        <v>15</v>
      </c>
      <c r="G54" s="264" t="s">
        <v>113</v>
      </c>
      <c r="H54" s="281"/>
      <c r="I54" s="265"/>
      <c r="J54" s="266" t="s">
        <v>739</v>
      </c>
      <c r="K54" s="262"/>
      <c r="L54" s="262"/>
      <c r="M54" s="262">
        <v>11421</v>
      </c>
      <c r="N54" s="262"/>
      <c r="O54" s="262" t="s">
        <v>35</v>
      </c>
      <c r="P54" s="262" t="s">
        <v>57</v>
      </c>
      <c r="Q54" s="262"/>
      <c r="R54" s="262"/>
      <c r="S54" s="267" t="s">
        <v>28</v>
      </c>
      <c r="T54" s="268"/>
      <c r="U54" s="269"/>
      <c r="V54" s="269"/>
      <c r="W54" s="278">
        <v>0</v>
      </c>
      <c r="X54" s="270"/>
      <c r="Y54" s="262"/>
      <c r="Z54" s="271" t="s">
        <v>25</v>
      </c>
      <c r="AA54" s="287"/>
      <c r="AB54" s="287"/>
      <c r="AC54" s="272">
        <f t="shared" si="3"/>
        <v>189000000</v>
      </c>
      <c r="AD54" s="272">
        <v>189000000</v>
      </c>
      <c r="AE54" s="272">
        <f t="shared" si="4"/>
        <v>0</v>
      </c>
      <c r="AF54" s="273"/>
      <c r="AG54" s="274"/>
      <c r="AH54" s="273"/>
      <c r="AI54" s="273"/>
      <c r="AJ54" s="274"/>
      <c r="AK54" s="273"/>
      <c r="AL54" s="275"/>
      <c r="AM54" s="290"/>
      <c r="AN54" s="275"/>
      <c r="AO54" s="276">
        <v>21000000</v>
      </c>
      <c r="AP54" s="275"/>
      <c r="AQ54" s="275">
        <v>21000000</v>
      </c>
      <c r="AR54" s="275"/>
      <c r="AS54" s="275">
        <v>21000000</v>
      </c>
      <c r="AT54" s="275"/>
      <c r="AU54" s="275">
        <v>21000000</v>
      </c>
      <c r="AV54" s="275"/>
      <c r="AW54" s="275">
        <v>21000000</v>
      </c>
      <c r="AX54" s="275"/>
      <c r="AY54" s="275">
        <v>21000000</v>
      </c>
      <c r="AZ54" s="275"/>
      <c r="BA54" s="275">
        <v>21000000</v>
      </c>
      <c r="BB54" s="275"/>
      <c r="BC54" s="275">
        <v>21000000</v>
      </c>
      <c r="BD54" s="275"/>
      <c r="BE54" s="275">
        <v>21000000</v>
      </c>
      <c r="BF54" s="275"/>
      <c r="BH54" s="277"/>
    </row>
    <row r="55" spans="1:60" ht="16.5" hidden="1" customHeight="1" x14ac:dyDescent="0.3">
      <c r="A55" s="260">
        <v>33</v>
      </c>
      <c r="B55" s="261"/>
      <c r="C55" s="261"/>
      <c r="D55" s="262" t="s">
        <v>15</v>
      </c>
      <c r="E55" s="262" t="s">
        <v>175</v>
      </c>
      <c r="F55" s="263" t="s">
        <v>15</v>
      </c>
      <c r="G55" s="264" t="s">
        <v>113</v>
      </c>
      <c r="H55" s="281"/>
      <c r="I55" s="265"/>
      <c r="J55" s="266" t="s">
        <v>211</v>
      </c>
      <c r="K55" s="262"/>
      <c r="L55" s="262"/>
      <c r="M55" s="262">
        <v>11421</v>
      </c>
      <c r="N55" s="262" t="s">
        <v>32</v>
      </c>
      <c r="O55" s="262" t="s">
        <v>212</v>
      </c>
      <c r="P55" s="262" t="s">
        <v>57</v>
      </c>
      <c r="Q55" s="262" t="s">
        <v>63</v>
      </c>
      <c r="R55" s="262" t="s">
        <v>28</v>
      </c>
      <c r="S55" s="267" t="s">
        <v>28</v>
      </c>
      <c r="T55" s="268"/>
      <c r="U55" s="269">
        <v>290712390</v>
      </c>
      <c r="V55" s="269">
        <v>86969127</v>
      </c>
      <c r="W55" s="278">
        <v>0</v>
      </c>
      <c r="X55" s="270"/>
      <c r="Y55" s="262" t="s">
        <v>20</v>
      </c>
      <c r="Z55" s="271" t="s">
        <v>74</v>
      </c>
      <c r="AA55" s="287"/>
      <c r="AB55" s="287"/>
      <c r="AC55" s="272">
        <f t="shared" si="3"/>
        <v>0</v>
      </c>
      <c r="AD55" s="272">
        <v>0</v>
      </c>
      <c r="AE55" s="272">
        <f t="shared" si="4"/>
        <v>0</v>
      </c>
      <c r="AF55" s="273"/>
      <c r="AG55" s="274"/>
      <c r="AH55" s="273"/>
      <c r="AI55" s="273"/>
      <c r="AJ55" s="274"/>
      <c r="AK55" s="273"/>
      <c r="AL55" s="275"/>
      <c r="AM55" s="290"/>
      <c r="AN55" s="275"/>
      <c r="AO55" s="276"/>
      <c r="AP55" s="275"/>
      <c r="AQ55" s="275"/>
      <c r="AR55" s="275"/>
      <c r="AS55" s="275"/>
      <c r="AT55" s="275"/>
      <c r="AU55" s="275"/>
      <c r="AV55" s="275"/>
      <c r="AW55" s="275"/>
      <c r="AX55" s="275"/>
      <c r="AY55" s="275"/>
      <c r="AZ55" s="275"/>
      <c r="BA55" s="275"/>
      <c r="BB55" s="275"/>
      <c r="BC55" s="275"/>
      <c r="BD55" s="275"/>
      <c r="BE55" s="275"/>
      <c r="BF55" s="275"/>
      <c r="BH55" s="277"/>
    </row>
    <row r="56" spans="1:60" ht="16.5" hidden="1" customHeight="1" x14ac:dyDescent="0.3">
      <c r="A56" s="260">
        <v>34</v>
      </c>
      <c r="B56" s="261"/>
      <c r="C56" s="261"/>
      <c r="D56" s="262" t="s">
        <v>15</v>
      </c>
      <c r="E56" s="262" t="s">
        <v>113</v>
      </c>
      <c r="F56" s="263" t="s">
        <v>15</v>
      </c>
      <c r="G56" s="264" t="s">
        <v>113</v>
      </c>
      <c r="H56" s="281"/>
      <c r="I56" s="265"/>
      <c r="J56" s="266" t="s">
        <v>126</v>
      </c>
      <c r="K56" s="262"/>
      <c r="L56" s="262"/>
      <c r="M56" s="262">
        <v>2969</v>
      </c>
      <c r="N56" s="262" t="s">
        <v>22</v>
      </c>
      <c r="O56" s="262" t="s">
        <v>212</v>
      </c>
      <c r="P56" s="262" t="s">
        <v>57</v>
      </c>
      <c r="Q56" s="262" t="s">
        <v>63</v>
      </c>
      <c r="R56" s="262" t="s">
        <v>28</v>
      </c>
      <c r="S56" s="267" t="s">
        <v>28</v>
      </c>
      <c r="T56" s="268" t="s">
        <v>951</v>
      </c>
      <c r="U56" s="269">
        <v>48672490</v>
      </c>
      <c r="V56" s="269">
        <v>69127840</v>
      </c>
      <c r="W56" s="278">
        <v>52509400</v>
      </c>
      <c r="X56" s="270"/>
      <c r="Y56" s="262" t="s">
        <v>27</v>
      </c>
      <c r="Z56" s="271" t="s">
        <v>27</v>
      </c>
      <c r="AA56" s="287"/>
      <c r="AB56" s="287"/>
      <c r="AC56" s="272">
        <f t="shared" si="3"/>
        <v>59996000</v>
      </c>
      <c r="AD56" s="272">
        <v>59996000</v>
      </c>
      <c r="AE56" s="272">
        <f t="shared" si="4"/>
        <v>0</v>
      </c>
      <c r="AF56" s="273">
        <v>5000000</v>
      </c>
      <c r="AG56" s="274">
        <v>1507800</v>
      </c>
      <c r="AH56" s="273"/>
      <c r="AI56" s="273">
        <v>6000000</v>
      </c>
      <c r="AJ56" s="274">
        <v>1773300</v>
      </c>
      <c r="AK56" s="273"/>
      <c r="AL56" s="275">
        <v>6312300</v>
      </c>
      <c r="AM56" s="290">
        <v>6312300</v>
      </c>
      <c r="AN56" s="275"/>
      <c r="AO56" s="276">
        <v>4698300</v>
      </c>
      <c r="AP56" s="275"/>
      <c r="AQ56" s="275">
        <v>6704300</v>
      </c>
      <c r="AR56" s="275"/>
      <c r="AS56" s="275">
        <v>6000000</v>
      </c>
      <c r="AT56" s="275"/>
      <c r="AU56" s="275">
        <v>5000000</v>
      </c>
      <c r="AV56" s="275"/>
      <c r="AW56" s="275">
        <v>6000000</v>
      </c>
      <c r="AX56" s="275"/>
      <c r="AY56" s="275">
        <v>5000000</v>
      </c>
      <c r="AZ56" s="275"/>
      <c r="BA56" s="275">
        <v>6000000</v>
      </c>
      <c r="BB56" s="275"/>
      <c r="BC56" s="275">
        <v>5000000</v>
      </c>
      <c r="BD56" s="275"/>
      <c r="BE56" s="275">
        <v>6000000</v>
      </c>
      <c r="BF56" s="275"/>
      <c r="BH56" s="277"/>
    </row>
    <row r="57" spans="1:60" ht="16.5" hidden="1" customHeight="1" x14ac:dyDescent="0.3">
      <c r="A57" s="260">
        <v>35</v>
      </c>
      <c r="B57" s="261"/>
      <c r="C57" s="261"/>
      <c r="D57" s="262" t="s">
        <v>15</v>
      </c>
      <c r="E57" s="262" t="s">
        <v>113</v>
      </c>
      <c r="F57" s="263" t="s">
        <v>15</v>
      </c>
      <c r="G57" s="264" t="s">
        <v>113</v>
      </c>
      <c r="H57" s="281"/>
      <c r="I57" s="265"/>
      <c r="J57" s="266" t="s">
        <v>126</v>
      </c>
      <c r="K57" s="262"/>
      <c r="L57" s="262"/>
      <c r="M57" s="262">
        <v>2969</v>
      </c>
      <c r="N57" s="262" t="s">
        <v>22</v>
      </c>
      <c r="O57" s="262" t="s">
        <v>56</v>
      </c>
      <c r="P57" s="262" t="s">
        <v>57</v>
      </c>
      <c r="Q57" s="262"/>
      <c r="R57" s="262" t="s">
        <v>470</v>
      </c>
      <c r="S57" s="267" t="s">
        <v>822</v>
      </c>
      <c r="T57" s="268"/>
      <c r="U57" s="269"/>
      <c r="V57" s="269">
        <v>0</v>
      </c>
      <c r="W57" s="278">
        <v>8000000</v>
      </c>
      <c r="X57" s="270"/>
      <c r="Y57" s="262" t="s">
        <v>27</v>
      </c>
      <c r="Z57" s="271" t="s">
        <v>24</v>
      </c>
      <c r="AA57" s="287"/>
      <c r="AB57" s="287"/>
      <c r="AC57" s="272">
        <f t="shared" si="3"/>
        <v>0</v>
      </c>
      <c r="AD57" s="272">
        <v>0</v>
      </c>
      <c r="AE57" s="272">
        <f t="shared" si="4"/>
        <v>0</v>
      </c>
      <c r="AF57" s="273"/>
      <c r="AG57" s="274"/>
      <c r="AH57" s="273"/>
      <c r="AI57" s="273">
        <v>9000000</v>
      </c>
      <c r="AJ57" s="274"/>
      <c r="AK57" s="273"/>
      <c r="AL57" s="275"/>
      <c r="AM57" s="290"/>
      <c r="AN57" s="275"/>
      <c r="AO57" s="276"/>
      <c r="AP57" s="275"/>
      <c r="AQ57" s="275"/>
      <c r="AR57" s="275"/>
      <c r="AS57" s="275"/>
      <c r="AT57" s="275"/>
      <c r="AU57" s="275"/>
      <c r="AV57" s="275"/>
      <c r="AW57" s="275"/>
      <c r="AX57" s="275"/>
      <c r="AY57" s="275"/>
      <c r="AZ57" s="275"/>
      <c r="BA57" s="275"/>
      <c r="BB57" s="275"/>
      <c r="BC57" s="275"/>
      <c r="BD57" s="275"/>
      <c r="BE57" s="275"/>
      <c r="BF57" s="275"/>
      <c r="BH57" s="277"/>
    </row>
    <row r="58" spans="1:60" ht="16.5" hidden="1" customHeight="1" x14ac:dyDescent="0.3">
      <c r="A58" s="260">
        <v>36</v>
      </c>
      <c r="B58" s="261"/>
      <c r="C58" s="261"/>
      <c r="D58" s="262"/>
      <c r="E58" s="262"/>
      <c r="F58" s="263" t="s">
        <v>15</v>
      </c>
      <c r="G58" s="264" t="s">
        <v>113</v>
      </c>
      <c r="H58" s="281"/>
      <c r="I58" s="265"/>
      <c r="J58" s="266" t="s">
        <v>952</v>
      </c>
      <c r="K58" s="262"/>
      <c r="L58" s="262"/>
      <c r="M58" s="262">
        <v>61134</v>
      </c>
      <c r="N58" s="262"/>
      <c r="O58" s="262"/>
      <c r="P58" s="262"/>
      <c r="Q58" s="262"/>
      <c r="R58" s="262"/>
      <c r="S58" s="267" t="s">
        <v>826</v>
      </c>
      <c r="T58" s="268"/>
      <c r="U58" s="269"/>
      <c r="V58" s="269"/>
      <c r="W58" s="278">
        <v>0</v>
      </c>
      <c r="X58" s="270"/>
      <c r="Y58" s="262"/>
      <c r="Z58" s="271" t="s">
        <v>27</v>
      </c>
      <c r="AA58" s="287"/>
      <c r="AB58" s="287"/>
      <c r="AC58" s="272">
        <f t="shared" si="3"/>
        <v>13200000</v>
      </c>
      <c r="AD58" s="272">
        <v>13200000</v>
      </c>
      <c r="AE58" s="272">
        <f t="shared" si="4"/>
        <v>0</v>
      </c>
      <c r="AF58" s="273"/>
      <c r="AG58" s="274"/>
      <c r="AH58" s="273"/>
      <c r="AI58" s="273"/>
      <c r="AJ58" s="274">
        <v>1200000</v>
      </c>
      <c r="AK58" s="273"/>
      <c r="AL58" s="275">
        <v>1200000</v>
      </c>
      <c r="AM58" s="290">
        <v>1200000</v>
      </c>
      <c r="AN58" s="275"/>
      <c r="AO58" s="276">
        <v>1200000</v>
      </c>
      <c r="AP58" s="275"/>
      <c r="AQ58" s="275">
        <v>1200000</v>
      </c>
      <c r="AR58" s="275"/>
      <c r="AS58" s="275">
        <v>1200000</v>
      </c>
      <c r="AT58" s="275"/>
      <c r="AU58" s="275">
        <v>1200000</v>
      </c>
      <c r="AV58" s="275"/>
      <c r="AW58" s="275">
        <v>1200000</v>
      </c>
      <c r="AX58" s="275"/>
      <c r="AY58" s="275">
        <v>1200000</v>
      </c>
      <c r="AZ58" s="275"/>
      <c r="BA58" s="275">
        <v>1200000</v>
      </c>
      <c r="BB58" s="275"/>
      <c r="BC58" s="275">
        <v>1200000</v>
      </c>
      <c r="BD58" s="275"/>
      <c r="BE58" s="275">
        <v>1200000</v>
      </c>
      <c r="BF58" s="275"/>
      <c r="BH58" s="277"/>
    </row>
    <row r="59" spans="1:60" ht="16.5" hidden="1" customHeight="1" x14ac:dyDescent="0.3">
      <c r="A59" s="260">
        <v>37</v>
      </c>
      <c r="B59" s="261"/>
      <c r="C59" s="261"/>
      <c r="D59" s="262"/>
      <c r="E59" s="262"/>
      <c r="F59" s="263" t="s">
        <v>15</v>
      </c>
      <c r="G59" s="264" t="s">
        <v>113</v>
      </c>
      <c r="H59" s="281"/>
      <c r="I59" s="265"/>
      <c r="J59" s="266" t="s">
        <v>982</v>
      </c>
      <c r="K59" s="262"/>
      <c r="L59" s="262"/>
      <c r="M59" s="262">
        <v>63299</v>
      </c>
      <c r="N59" s="262"/>
      <c r="O59" s="262"/>
      <c r="P59" s="262"/>
      <c r="Q59" s="262"/>
      <c r="R59" s="262"/>
      <c r="S59" s="267" t="s">
        <v>833</v>
      </c>
      <c r="T59" s="268"/>
      <c r="U59" s="269"/>
      <c r="V59" s="269"/>
      <c r="W59" s="278">
        <v>560000</v>
      </c>
      <c r="X59" s="270"/>
      <c r="Y59" s="262"/>
      <c r="Z59" s="271" t="s">
        <v>718</v>
      </c>
      <c r="AA59" s="287"/>
      <c r="AB59" s="287"/>
      <c r="AC59" s="272">
        <f t="shared" si="3"/>
        <v>0</v>
      </c>
      <c r="AD59" s="272">
        <v>0</v>
      </c>
      <c r="AE59" s="272">
        <f t="shared" si="4"/>
        <v>0</v>
      </c>
      <c r="AF59" s="273"/>
      <c r="AG59" s="274"/>
      <c r="AH59" s="273"/>
      <c r="AI59" s="273"/>
      <c r="AJ59" s="274"/>
      <c r="AK59" s="273"/>
      <c r="AL59" s="275"/>
      <c r="AM59" s="290"/>
      <c r="AN59" s="275"/>
      <c r="AO59" s="276"/>
      <c r="AP59" s="275"/>
      <c r="AQ59" s="275"/>
      <c r="AR59" s="275"/>
      <c r="AS59" s="275"/>
      <c r="AT59" s="275"/>
      <c r="AU59" s="275"/>
      <c r="AV59" s="275"/>
      <c r="AW59" s="275"/>
      <c r="AX59" s="275"/>
      <c r="AY59" s="275"/>
      <c r="AZ59" s="275"/>
      <c r="BA59" s="275"/>
      <c r="BB59" s="275"/>
      <c r="BC59" s="275"/>
      <c r="BD59" s="275"/>
      <c r="BE59" s="275"/>
      <c r="BF59" s="275"/>
      <c r="BH59" s="277"/>
    </row>
    <row r="60" spans="1:60" ht="16.5" hidden="1" customHeight="1" x14ac:dyDescent="0.3">
      <c r="A60" s="260">
        <v>38</v>
      </c>
      <c r="B60" s="261"/>
      <c r="C60" s="261"/>
      <c r="D60" s="262" t="s">
        <v>15</v>
      </c>
      <c r="E60" s="262" t="s">
        <v>113</v>
      </c>
      <c r="F60" s="263" t="s">
        <v>15</v>
      </c>
      <c r="G60" s="264" t="s">
        <v>113</v>
      </c>
      <c r="H60" s="281"/>
      <c r="I60" s="265"/>
      <c r="J60" s="266" t="s">
        <v>127</v>
      </c>
      <c r="K60" s="262"/>
      <c r="L60" s="262"/>
      <c r="M60" s="262">
        <v>3829</v>
      </c>
      <c r="N60" s="262" t="s">
        <v>32</v>
      </c>
      <c r="O60" s="262" t="s">
        <v>56</v>
      </c>
      <c r="P60" s="262" t="s">
        <v>57</v>
      </c>
      <c r="Q60" s="262" t="s">
        <v>23</v>
      </c>
      <c r="R60" s="262" t="s">
        <v>397</v>
      </c>
      <c r="S60" s="267" t="s">
        <v>823</v>
      </c>
      <c r="T60" s="268"/>
      <c r="U60" s="269"/>
      <c r="V60" s="269">
        <v>290000000</v>
      </c>
      <c r="W60" s="278">
        <v>172900000</v>
      </c>
      <c r="X60" s="270"/>
      <c r="Y60" s="262" t="s">
        <v>24</v>
      </c>
      <c r="Z60" s="271" t="s">
        <v>24</v>
      </c>
      <c r="AA60" s="287"/>
      <c r="AB60" s="287"/>
      <c r="AC60" s="272">
        <f t="shared" si="3"/>
        <v>120000000</v>
      </c>
      <c r="AD60" s="272">
        <v>120000000</v>
      </c>
      <c r="AE60" s="272">
        <f t="shared" si="4"/>
        <v>0</v>
      </c>
      <c r="AF60" s="273"/>
      <c r="AG60" s="274"/>
      <c r="AH60" s="273"/>
      <c r="AI60" s="273"/>
      <c r="AJ60" s="274"/>
      <c r="AK60" s="273"/>
      <c r="AL60" s="275"/>
      <c r="AM60" s="290"/>
      <c r="AN60" s="275"/>
      <c r="AO60" s="276"/>
      <c r="AP60" s="275"/>
      <c r="AQ60" s="275"/>
      <c r="AR60" s="275"/>
      <c r="AS60" s="275"/>
      <c r="AT60" s="275"/>
      <c r="AU60" s="275"/>
      <c r="AV60" s="275"/>
      <c r="AW60" s="275"/>
      <c r="AX60" s="275"/>
      <c r="AY60" s="275"/>
      <c r="AZ60" s="275"/>
      <c r="BA60" s="275">
        <v>120000000</v>
      </c>
      <c r="BB60" s="275"/>
      <c r="BC60" s="275"/>
      <c r="BD60" s="275"/>
      <c r="BE60" s="275"/>
      <c r="BF60" s="275"/>
      <c r="BH60" s="277"/>
    </row>
    <row r="61" spans="1:60" ht="16.5" hidden="1" customHeight="1" x14ac:dyDescent="0.3">
      <c r="A61" s="260">
        <v>39</v>
      </c>
      <c r="B61" s="261"/>
      <c r="C61" s="261"/>
      <c r="D61" s="262" t="s">
        <v>15</v>
      </c>
      <c r="E61" s="262" t="s">
        <v>113</v>
      </c>
      <c r="F61" s="263" t="s">
        <v>15</v>
      </c>
      <c r="G61" s="264" t="s">
        <v>113</v>
      </c>
      <c r="H61" s="281"/>
      <c r="I61" s="265"/>
      <c r="J61" s="266" t="s">
        <v>127</v>
      </c>
      <c r="K61" s="262"/>
      <c r="L61" s="262"/>
      <c r="M61" s="262">
        <v>3829</v>
      </c>
      <c r="N61" s="262" t="s">
        <v>32</v>
      </c>
      <c r="O61" s="262" t="s">
        <v>56</v>
      </c>
      <c r="P61" s="262" t="s">
        <v>57</v>
      </c>
      <c r="Q61" s="262"/>
      <c r="R61" s="262" t="s">
        <v>476</v>
      </c>
      <c r="S61" s="267" t="s">
        <v>825</v>
      </c>
      <c r="T61" s="268"/>
      <c r="U61" s="269"/>
      <c r="V61" s="269">
        <v>0</v>
      </c>
      <c r="W61" s="278">
        <v>0</v>
      </c>
      <c r="X61" s="270"/>
      <c r="Y61" s="262" t="s">
        <v>24</v>
      </c>
      <c r="Z61" s="271" t="s">
        <v>24</v>
      </c>
      <c r="AA61" s="287"/>
      <c r="AB61" s="287"/>
      <c r="AC61" s="272">
        <f t="shared" si="3"/>
        <v>60000000</v>
      </c>
      <c r="AD61" s="272">
        <v>60000000</v>
      </c>
      <c r="AE61" s="272">
        <f t="shared" si="4"/>
        <v>0</v>
      </c>
      <c r="AF61" s="273"/>
      <c r="AG61" s="274"/>
      <c r="AH61" s="273"/>
      <c r="AI61" s="273"/>
      <c r="AJ61" s="274"/>
      <c r="AK61" s="273"/>
      <c r="AL61" s="275"/>
      <c r="AM61" s="290"/>
      <c r="AN61" s="275"/>
      <c r="AO61" s="276"/>
      <c r="AP61" s="275"/>
      <c r="AQ61" s="275"/>
      <c r="AR61" s="275"/>
      <c r="AS61" s="275"/>
      <c r="AT61" s="275"/>
      <c r="AU61" s="275"/>
      <c r="AV61" s="275"/>
      <c r="AW61" s="275"/>
      <c r="AX61" s="275"/>
      <c r="AY61" s="275">
        <v>60000000</v>
      </c>
      <c r="AZ61" s="275"/>
      <c r="BA61" s="275"/>
      <c r="BB61" s="275"/>
      <c r="BC61" s="275"/>
      <c r="BD61" s="275"/>
      <c r="BE61" s="275"/>
      <c r="BF61" s="275"/>
      <c r="BH61" s="277"/>
    </row>
    <row r="62" spans="1:60" ht="16.5" hidden="1" customHeight="1" x14ac:dyDescent="0.3">
      <c r="A62" s="260">
        <v>40</v>
      </c>
      <c r="B62" s="261"/>
      <c r="C62" s="261"/>
      <c r="D62" s="262" t="s">
        <v>15</v>
      </c>
      <c r="E62" s="262" t="s">
        <v>113</v>
      </c>
      <c r="F62" s="263" t="s">
        <v>15</v>
      </c>
      <c r="G62" s="264" t="s">
        <v>113</v>
      </c>
      <c r="H62" s="281"/>
      <c r="I62" s="265"/>
      <c r="J62" s="266" t="s">
        <v>128</v>
      </c>
      <c r="K62" s="262"/>
      <c r="L62" s="262"/>
      <c r="M62" s="262">
        <v>2176</v>
      </c>
      <c r="N62" s="262" t="s">
        <v>22</v>
      </c>
      <c r="O62" s="262" t="s">
        <v>212</v>
      </c>
      <c r="P62" s="262" t="s">
        <v>57</v>
      </c>
      <c r="Q62" s="262" t="s">
        <v>63</v>
      </c>
      <c r="R62" s="262" t="s">
        <v>28</v>
      </c>
      <c r="S62" s="267" t="s">
        <v>28</v>
      </c>
      <c r="T62" s="268" t="s">
        <v>951</v>
      </c>
      <c r="U62" s="269">
        <v>66878280</v>
      </c>
      <c r="V62" s="269">
        <v>68167760</v>
      </c>
      <c r="W62" s="278">
        <v>87548000</v>
      </c>
      <c r="X62" s="270"/>
      <c r="Y62" s="262" t="s">
        <v>27</v>
      </c>
      <c r="Z62" s="271" t="s">
        <v>27</v>
      </c>
      <c r="AA62" s="287"/>
      <c r="AB62" s="287"/>
      <c r="AC62" s="272">
        <f t="shared" si="3"/>
        <v>82561600</v>
      </c>
      <c r="AD62" s="272">
        <v>82561600</v>
      </c>
      <c r="AE62" s="272">
        <f t="shared" si="4"/>
        <v>0</v>
      </c>
      <c r="AF62" s="273">
        <v>4715400</v>
      </c>
      <c r="AG62" s="274">
        <v>4715400</v>
      </c>
      <c r="AH62" s="273"/>
      <c r="AI62" s="273">
        <v>6000000</v>
      </c>
      <c r="AJ62" s="274">
        <v>5542000</v>
      </c>
      <c r="AK62" s="273"/>
      <c r="AL62" s="275">
        <v>6451800</v>
      </c>
      <c r="AM62" s="290">
        <v>6451800</v>
      </c>
      <c r="AN62" s="275"/>
      <c r="AO62" s="276">
        <v>5852400</v>
      </c>
      <c r="AP62" s="275"/>
      <c r="AQ62" s="275">
        <v>6000000</v>
      </c>
      <c r="AR62" s="275"/>
      <c r="AS62" s="275">
        <v>6000000</v>
      </c>
      <c r="AT62" s="275"/>
      <c r="AU62" s="275">
        <v>6000000</v>
      </c>
      <c r="AV62" s="275"/>
      <c r="AW62" s="275">
        <v>6000000</v>
      </c>
      <c r="AX62" s="275"/>
      <c r="AY62" s="275">
        <v>6000000</v>
      </c>
      <c r="AZ62" s="275"/>
      <c r="BA62" s="275">
        <v>6000000</v>
      </c>
      <c r="BB62" s="275"/>
      <c r="BC62" s="275">
        <v>6000000</v>
      </c>
      <c r="BD62" s="275"/>
      <c r="BE62" s="275">
        <v>18000000</v>
      </c>
      <c r="BF62" s="275"/>
      <c r="BH62" s="277"/>
    </row>
    <row r="63" spans="1:60" ht="16.5" hidden="1" customHeight="1" x14ac:dyDescent="0.3">
      <c r="A63" s="260">
        <v>41</v>
      </c>
      <c r="B63" s="261"/>
      <c r="C63" s="261"/>
      <c r="D63" s="262" t="s">
        <v>15</v>
      </c>
      <c r="E63" s="262" t="s">
        <v>113</v>
      </c>
      <c r="F63" s="263" t="s">
        <v>15</v>
      </c>
      <c r="G63" s="264" t="s">
        <v>113</v>
      </c>
      <c r="H63" s="281"/>
      <c r="I63" s="265"/>
      <c r="J63" s="266" t="s">
        <v>128</v>
      </c>
      <c r="K63" s="262"/>
      <c r="L63" s="262"/>
      <c r="M63" s="262">
        <v>2176</v>
      </c>
      <c r="N63" s="262" t="s">
        <v>22</v>
      </c>
      <c r="O63" s="262" t="s">
        <v>56</v>
      </c>
      <c r="P63" s="262" t="s">
        <v>156</v>
      </c>
      <c r="Q63" s="262"/>
      <c r="R63" s="262" t="s">
        <v>467</v>
      </c>
      <c r="S63" s="267" t="s">
        <v>826</v>
      </c>
      <c r="T63" s="268"/>
      <c r="U63" s="269"/>
      <c r="V63" s="269">
        <v>0</v>
      </c>
      <c r="W63" s="278">
        <v>0</v>
      </c>
      <c r="X63" s="270"/>
      <c r="Y63" s="262" t="s">
        <v>24</v>
      </c>
      <c r="Z63" s="271" t="s">
        <v>25</v>
      </c>
      <c r="AA63" s="287"/>
      <c r="AB63" s="287"/>
      <c r="AC63" s="272">
        <f t="shared" si="3"/>
        <v>54000000</v>
      </c>
      <c r="AD63" s="272">
        <v>54000000</v>
      </c>
      <c r="AE63" s="272">
        <f t="shared" si="4"/>
        <v>0</v>
      </c>
      <c r="AF63" s="273"/>
      <c r="AG63" s="274"/>
      <c r="AH63" s="273"/>
      <c r="AI63" s="273"/>
      <c r="AJ63" s="274"/>
      <c r="AK63" s="273"/>
      <c r="AL63" s="275"/>
      <c r="AM63" s="290"/>
      <c r="AN63" s="275"/>
      <c r="AO63" s="276">
        <v>30000000</v>
      </c>
      <c r="AP63" s="275"/>
      <c r="AQ63" s="275">
        <v>3000000</v>
      </c>
      <c r="AR63" s="275"/>
      <c r="AS63" s="275">
        <v>3000000</v>
      </c>
      <c r="AT63" s="275"/>
      <c r="AU63" s="275">
        <v>3000000</v>
      </c>
      <c r="AV63" s="275"/>
      <c r="AW63" s="275">
        <v>3000000</v>
      </c>
      <c r="AX63" s="275"/>
      <c r="AY63" s="275">
        <v>3000000</v>
      </c>
      <c r="AZ63" s="275"/>
      <c r="BA63" s="275">
        <v>3000000</v>
      </c>
      <c r="BB63" s="275"/>
      <c r="BC63" s="275">
        <v>3000000</v>
      </c>
      <c r="BD63" s="275"/>
      <c r="BE63" s="275">
        <v>3000000</v>
      </c>
      <c r="BF63" s="275"/>
      <c r="BH63" s="277"/>
    </row>
    <row r="64" spans="1:60" ht="16.5" hidden="1" customHeight="1" x14ac:dyDescent="0.3">
      <c r="A64" s="260">
        <v>42</v>
      </c>
      <c r="B64" s="261"/>
      <c r="C64" s="261"/>
      <c r="D64" s="262" t="s">
        <v>15</v>
      </c>
      <c r="E64" s="262" t="s">
        <v>113</v>
      </c>
      <c r="F64" s="263" t="s">
        <v>15</v>
      </c>
      <c r="G64" s="264" t="s">
        <v>113</v>
      </c>
      <c r="H64" s="281"/>
      <c r="I64" s="265"/>
      <c r="J64" s="266" t="s">
        <v>827</v>
      </c>
      <c r="K64" s="262"/>
      <c r="L64" s="262"/>
      <c r="M64" s="262">
        <v>40368</v>
      </c>
      <c r="N64" s="262" t="s">
        <v>22</v>
      </c>
      <c r="O64" s="262" t="s">
        <v>212</v>
      </c>
      <c r="P64" s="262" t="s">
        <v>57</v>
      </c>
      <c r="Q64" s="262" t="s">
        <v>18</v>
      </c>
      <c r="R64" s="262" t="s">
        <v>19</v>
      </c>
      <c r="S64" s="267" t="s">
        <v>19</v>
      </c>
      <c r="T64" s="268"/>
      <c r="U64" s="269">
        <v>15205000</v>
      </c>
      <c r="V64" s="269">
        <v>37035000</v>
      </c>
      <c r="W64" s="278">
        <v>26790000</v>
      </c>
      <c r="X64" s="270"/>
      <c r="Y64" s="262" t="s">
        <v>27</v>
      </c>
      <c r="Z64" s="271" t="s">
        <v>27</v>
      </c>
      <c r="AA64" s="287"/>
      <c r="AB64" s="287"/>
      <c r="AC64" s="272">
        <f t="shared" si="3"/>
        <v>28200000</v>
      </c>
      <c r="AD64" s="272">
        <v>28200000</v>
      </c>
      <c r="AE64" s="272">
        <f t="shared" si="4"/>
        <v>0</v>
      </c>
      <c r="AF64" s="273"/>
      <c r="AG64" s="274"/>
      <c r="AH64" s="273"/>
      <c r="AI64" s="273"/>
      <c r="AJ64" s="274">
        <v>2000000</v>
      </c>
      <c r="AK64" s="273"/>
      <c r="AL64" s="275"/>
      <c r="AM64" s="290"/>
      <c r="AN64" s="275"/>
      <c r="AO64" s="276">
        <v>2200000</v>
      </c>
      <c r="AP64" s="275"/>
      <c r="AQ64" s="275"/>
      <c r="AR64" s="275"/>
      <c r="AS64" s="275">
        <v>7000000</v>
      </c>
      <c r="AT64" s="275"/>
      <c r="AU64" s="275"/>
      <c r="AV64" s="275"/>
      <c r="AW64" s="275"/>
      <c r="AX64" s="275"/>
      <c r="AY64" s="275">
        <v>7000000</v>
      </c>
      <c r="AZ64" s="275"/>
      <c r="BA64" s="275"/>
      <c r="BB64" s="275"/>
      <c r="BC64" s="275">
        <v>10000000</v>
      </c>
      <c r="BD64" s="275"/>
      <c r="BE64" s="275"/>
      <c r="BF64" s="275"/>
      <c r="BH64" s="277"/>
    </row>
    <row r="65" spans="1:60" ht="16.5" hidden="1" customHeight="1" x14ac:dyDescent="0.3">
      <c r="A65" s="260">
        <v>43</v>
      </c>
      <c r="B65" s="261"/>
      <c r="C65" s="261"/>
      <c r="D65" s="262" t="s">
        <v>15</v>
      </c>
      <c r="E65" s="262" t="s">
        <v>113</v>
      </c>
      <c r="F65" s="263" t="s">
        <v>15</v>
      </c>
      <c r="G65" s="264" t="s">
        <v>113</v>
      </c>
      <c r="H65" s="281"/>
      <c r="I65" s="265"/>
      <c r="J65" s="266" t="s">
        <v>827</v>
      </c>
      <c r="K65" s="262"/>
      <c r="L65" s="262"/>
      <c r="M65" s="262">
        <v>40368</v>
      </c>
      <c r="N65" s="262" t="s">
        <v>22</v>
      </c>
      <c r="O65" s="262" t="s">
        <v>56</v>
      </c>
      <c r="P65" s="262" t="s">
        <v>57</v>
      </c>
      <c r="Q65" s="262" t="s">
        <v>26</v>
      </c>
      <c r="R65" s="262" t="s">
        <v>468</v>
      </c>
      <c r="S65" s="267" t="s">
        <v>468</v>
      </c>
      <c r="T65" s="268"/>
      <c r="U65" s="269">
        <v>1000000</v>
      </c>
      <c r="V65" s="269">
        <v>0</v>
      </c>
      <c r="W65" s="278">
        <v>0</v>
      </c>
      <c r="X65" s="270"/>
      <c r="Y65" s="262" t="s">
        <v>21</v>
      </c>
      <c r="Z65" s="271" t="s">
        <v>562</v>
      </c>
      <c r="AA65" s="287"/>
      <c r="AB65" s="287"/>
      <c r="AC65" s="272">
        <f t="shared" si="3"/>
        <v>0</v>
      </c>
      <c r="AD65" s="272">
        <v>0</v>
      </c>
      <c r="AE65" s="272">
        <f t="shared" si="4"/>
        <v>0</v>
      </c>
      <c r="AF65" s="273"/>
      <c r="AG65" s="274"/>
      <c r="AH65" s="273"/>
      <c r="AI65" s="273"/>
      <c r="AJ65" s="274"/>
      <c r="AK65" s="273"/>
      <c r="AL65" s="275"/>
      <c r="AM65" s="290"/>
      <c r="AN65" s="275"/>
      <c r="AO65" s="276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5"/>
      <c r="BH65" s="277"/>
    </row>
    <row r="66" spans="1:60" ht="16.5" hidden="1" customHeight="1" x14ac:dyDescent="0.3">
      <c r="A66" s="260">
        <v>44</v>
      </c>
      <c r="B66" s="261"/>
      <c r="C66" s="261"/>
      <c r="D66" s="262" t="s">
        <v>15</v>
      </c>
      <c r="E66" s="262" t="s">
        <v>113</v>
      </c>
      <c r="F66" s="263" t="s">
        <v>15</v>
      </c>
      <c r="G66" s="264" t="s">
        <v>113</v>
      </c>
      <c r="H66" s="281"/>
      <c r="I66" s="265"/>
      <c r="J66" s="266" t="s">
        <v>660</v>
      </c>
      <c r="K66" s="262"/>
      <c r="L66" s="262"/>
      <c r="M66" s="262">
        <v>13505</v>
      </c>
      <c r="N66" s="262" t="s">
        <v>53</v>
      </c>
      <c r="O66" s="262" t="s">
        <v>56</v>
      </c>
      <c r="P66" s="262" t="s">
        <v>57</v>
      </c>
      <c r="Q66" s="262"/>
      <c r="R66" s="262" t="s">
        <v>19</v>
      </c>
      <c r="S66" s="267" t="s">
        <v>19</v>
      </c>
      <c r="T66" s="268"/>
      <c r="U66" s="269"/>
      <c r="V66" s="269"/>
      <c r="W66" s="278">
        <v>27272728</v>
      </c>
      <c r="X66" s="270"/>
      <c r="Y66" s="262" t="s">
        <v>27</v>
      </c>
      <c r="Z66" s="271" t="s">
        <v>27</v>
      </c>
      <c r="AA66" s="287"/>
      <c r="AB66" s="287"/>
      <c r="AC66" s="272">
        <f t="shared" si="3"/>
        <v>27272727.5</v>
      </c>
      <c r="AD66" s="272">
        <v>27272727.5</v>
      </c>
      <c r="AE66" s="272">
        <f t="shared" si="4"/>
        <v>0</v>
      </c>
      <c r="AF66" s="273">
        <v>13636363.5</v>
      </c>
      <c r="AG66" s="274"/>
      <c r="AH66" s="273"/>
      <c r="AI66" s="273"/>
      <c r="AJ66" s="274"/>
      <c r="AK66" s="273"/>
      <c r="AL66" s="275"/>
      <c r="AM66" s="290"/>
      <c r="AN66" s="275"/>
      <c r="AO66" s="276">
        <v>13636364</v>
      </c>
      <c r="AP66" s="275"/>
      <c r="AQ66" s="275"/>
      <c r="AR66" s="275"/>
      <c r="AS66" s="275"/>
      <c r="AT66" s="275"/>
      <c r="AU66" s="275"/>
      <c r="AV66" s="275"/>
      <c r="AW66" s="275"/>
      <c r="AX66" s="275"/>
      <c r="AY66" s="275"/>
      <c r="AZ66" s="275"/>
      <c r="BA66" s="275"/>
      <c r="BB66" s="275"/>
      <c r="BC66" s="275"/>
      <c r="BD66" s="275"/>
      <c r="BE66" s="275">
        <v>13636363.5</v>
      </c>
      <c r="BF66" s="275"/>
      <c r="BH66" s="277"/>
    </row>
    <row r="67" spans="1:60" ht="16.5" hidden="1" customHeight="1" x14ac:dyDescent="0.3">
      <c r="A67" s="260">
        <v>45</v>
      </c>
      <c r="B67" s="261"/>
      <c r="C67" s="261"/>
      <c r="D67" s="262" t="s">
        <v>15</v>
      </c>
      <c r="E67" s="262" t="s">
        <v>113</v>
      </c>
      <c r="F67" s="263" t="s">
        <v>15</v>
      </c>
      <c r="G67" s="264" t="s">
        <v>113</v>
      </c>
      <c r="H67" s="281"/>
      <c r="I67" s="265"/>
      <c r="J67" s="266" t="s">
        <v>129</v>
      </c>
      <c r="K67" s="262"/>
      <c r="L67" s="262"/>
      <c r="M67" s="262">
        <v>57267</v>
      </c>
      <c r="N67" s="262" t="s">
        <v>22</v>
      </c>
      <c r="O67" s="262" t="s">
        <v>212</v>
      </c>
      <c r="P67" s="262" t="s">
        <v>57</v>
      </c>
      <c r="Q67" s="262" t="s">
        <v>63</v>
      </c>
      <c r="R67" s="262" t="s">
        <v>28</v>
      </c>
      <c r="S67" s="267" t="s">
        <v>28</v>
      </c>
      <c r="T67" s="268" t="s">
        <v>951</v>
      </c>
      <c r="U67" s="269">
        <v>76269005</v>
      </c>
      <c r="V67" s="269">
        <v>74875450</v>
      </c>
      <c r="W67" s="278">
        <v>56487800</v>
      </c>
      <c r="X67" s="270"/>
      <c r="Y67" s="262" t="s">
        <v>27</v>
      </c>
      <c r="Z67" s="271" t="s">
        <v>27</v>
      </c>
      <c r="AA67" s="287"/>
      <c r="AB67" s="287"/>
      <c r="AC67" s="272">
        <f t="shared" si="3"/>
        <v>52388400</v>
      </c>
      <c r="AD67" s="272">
        <v>52388400</v>
      </c>
      <c r="AE67" s="272">
        <f t="shared" si="4"/>
        <v>0</v>
      </c>
      <c r="AF67" s="273">
        <v>2385800</v>
      </c>
      <c r="AG67" s="274">
        <v>2385800</v>
      </c>
      <c r="AH67" s="273"/>
      <c r="AI67" s="273">
        <v>5000000</v>
      </c>
      <c r="AJ67" s="274">
        <v>3385900</v>
      </c>
      <c r="AK67" s="273"/>
      <c r="AL67" s="275">
        <v>3196500</v>
      </c>
      <c r="AM67" s="290">
        <v>3196500</v>
      </c>
      <c r="AN67" s="275"/>
      <c r="AO67" s="276">
        <v>3420200</v>
      </c>
      <c r="AP67" s="275"/>
      <c r="AQ67" s="275">
        <v>5000000</v>
      </c>
      <c r="AR67" s="275"/>
      <c r="AS67" s="275">
        <v>5000000</v>
      </c>
      <c r="AT67" s="275"/>
      <c r="AU67" s="275">
        <v>5000000</v>
      </c>
      <c r="AV67" s="275"/>
      <c r="AW67" s="275">
        <v>5000000</v>
      </c>
      <c r="AX67" s="275"/>
      <c r="AY67" s="275">
        <v>5000000</v>
      </c>
      <c r="AZ67" s="275"/>
      <c r="BA67" s="275">
        <v>5000000</v>
      </c>
      <c r="BB67" s="275"/>
      <c r="BC67" s="275">
        <v>5000000</v>
      </c>
      <c r="BD67" s="275"/>
      <c r="BE67" s="275">
        <v>5000000</v>
      </c>
      <c r="BF67" s="275"/>
      <c r="BH67" s="277"/>
    </row>
    <row r="68" spans="1:60" ht="16.5" hidden="1" customHeight="1" x14ac:dyDescent="0.3">
      <c r="A68" s="260">
        <v>46</v>
      </c>
      <c r="B68" s="261"/>
      <c r="C68" s="261"/>
      <c r="D68" s="262" t="s">
        <v>15</v>
      </c>
      <c r="E68" s="262" t="s">
        <v>113</v>
      </c>
      <c r="F68" s="263" t="s">
        <v>15</v>
      </c>
      <c r="G68" s="264" t="s">
        <v>113</v>
      </c>
      <c r="H68" s="281"/>
      <c r="I68" s="265"/>
      <c r="J68" s="266" t="s">
        <v>129</v>
      </c>
      <c r="K68" s="262"/>
      <c r="L68" s="262"/>
      <c r="M68" s="262">
        <v>57267</v>
      </c>
      <c r="N68" s="262" t="s">
        <v>22</v>
      </c>
      <c r="O68" s="262" t="s">
        <v>56</v>
      </c>
      <c r="P68" s="262" t="s">
        <v>57</v>
      </c>
      <c r="Q68" s="262" t="s">
        <v>58</v>
      </c>
      <c r="R68" s="262" t="s">
        <v>470</v>
      </c>
      <c r="S68" s="267" t="s">
        <v>822</v>
      </c>
      <c r="T68" s="268"/>
      <c r="U68" s="269"/>
      <c r="V68" s="269">
        <v>0</v>
      </c>
      <c r="W68" s="278">
        <v>0</v>
      </c>
      <c r="X68" s="270"/>
      <c r="Y68" s="262" t="s">
        <v>24</v>
      </c>
      <c r="Z68" s="271" t="s">
        <v>24</v>
      </c>
      <c r="AA68" s="287"/>
      <c r="AB68" s="287"/>
      <c r="AC68" s="272">
        <f t="shared" si="3"/>
        <v>40000000</v>
      </c>
      <c r="AD68" s="272">
        <v>40000000</v>
      </c>
      <c r="AE68" s="272">
        <f t="shared" si="4"/>
        <v>0</v>
      </c>
      <c r="AF68" s="273"/>
      <c r="AG68" s="274"/>
      <c r="AH68" s="273"/>
      <c r="AI68" s="273"/>
      <c r="AJ68" s="274"/>
      <c r="AK68" s="273"/>
      <c r="AL68" s="275"/>
      <c r="AM68" s="290"/>
      <c r="AN68" s="275"/>
      <c r="AO68" s="276"/>
      <c r="AP68" s="275"/>
      <c r="AQ68" s="291">
        <v>40000000</v>
      </c>
      <c r="AR68" s="275"/>
      <c r="AS68" s="275"/>
      <c r="AT68" s="275"/>
      <c r="AU68" s="275"/>
      <c r="AV68" s="275"/>
      <c r="AW68" s="275"/>
      <c r="AX68" s="275"/>
      <c r="AY68" s="275"/>
      <c r="AZ68" s="275"/>
      <c r="BA68" s="275"/>
      <c r="BB68" s="275"/>
      <c r="BC68" s="275"/>
      <c r="BD68" s="275"/>
      <c r="BE68" s="275"/>
      <c r="BF68" s="275"/>
      <c r="BH68" s="277"/>
    </row>
    <row r="69" spans="1:60" ht="16.5" hidden="1" customHeight="1" x14ac:dyDescent="0.3">
      <c r="A69" s="260">
        <v>47</v>
      </c>
      <c r="B69" s="261"/>
      <c r="C69" s="261"/>
      <c r="D69" s="262" t="s">
        <v>15</v>
      </c>
      <c r="E69" s="262" t="s">
        <v>113</v>
      </c>
      <c r="F69" s="263" t="s">
        <v>15</v>
      </c>
      <c r="G69" s="264" t="s">
        <v>113</v>
      </c>
      <c r="H69" s="281"/>
      <c r="I69" s="265"/>
      <c r="J69" s="266" t="s">
        <v>129</v>
      </c>
      <c r="K69" s="262"/>
      <c r="L69" s="262"/>
      <c r="M69" s="262">
        <v>57267</v>
      </c>
      <c r="N69" s="262" t="s">
        <v>22</v>
      </c>
      <c r="O69" s="262" t="s">
        <v>56</v>
      </c>
      <c r="P69" s="262" t="s">
        <v>57</v>
      </c>
      <c r="Q69" s="262" t="s">
        <v>54</v>
      </c>
      <c r="R69" s="262" t="s">
        <v>467</v>
      </c>
      <c r="S69" s="267" t="s">
        <v>826</v>
      </c>
      <c r="T69" s="268"/>
      <c r="U69" s="269">
        <v>35000000</v>
      </c>
      <c r="V69" s="269">
        <v>0</v>
      </c>
      <c r="W69" s="278">
        <v>0</v>
      </c>
      <c r="X69" s="270"/>
      <c r="Y69" s="262" t="s">
        <v>21</v>
      </c>
      <c r="Z69" s="271" t="s">
        <v>21</v>
      </c>
      <c r="AA69" s="287"/>
      <c r="AB69" s="287"/>
      <c r="AC69" s="272">
        <f t="shared" si="3"/>
        <v>0</v>
      </c>
      <c r="AD69" s="272">
        <v>0</v>
      </c>
      <c r="AE69" s="272">
        <f t="shared" si="4"/>
        <v>0</v>
      </c>
      <c r="AF69" s="273"/>
      <c r="AG69" s="274"/>
      <c r="AH69" s="273"/>
      <c r="AI69" s="273"/>
      <c r="AJ69" s="274"/>
      <c r="AK69" s="273"/>
      <c r="AL69" s="275"/>
      <c r="AM69" s="290"/>
      <c r="AN69" s="275"/>
      <c r="AO69" s="276"/>
      <c r="AP69" s="275"/>
      <c r="AQ69" s="275"/>
      <c r="AR69" s="275"/>
      <c r="AS69" s="275"/>
      <c r="AT69" s="275"/>
      <c r="AU69" s="275"/>
      <c r="AV69" s="275"/>
      <c r="AW69" s="275"/>
      <c r="AX69" s="275"/>
      <c r="AY69" s="275"/>
      <c r="AZ69" s="275"/>
      <c r="BA69" s="275"/>
      <c r="BB69" s="275"/>
      <c r="BC69" s="275"/>
      <c r="BD69" s="275"/>
      <c r="BE69" s="275"/>
      <c r="BF69" s="275"/>
      <c r="BH69" s="277"/>
    </row>
    <row r="70" spans="1:60" ht="16.5" hidden="1" customHeight="1" x14ac:dyDescent="0.3">
      <c r="A70" s="260">
        <v>48</v>
      </c>
      <c r="B70" s="261"/>
      <c r="C70" s="261"/>
      <c r="D70" s="262" t="s">
        <v>15</v>
      </c>
      <c r="E70" s="262" t="s">
        <v>113</v>
      </c>
      <c r="F70" s="263" t="s">
        <v>15</v>
      </c>
      <c r="G70" s="264" t="s">
        <v>113</v>
      </c>
      <c r="H70" s="281"/>
      <c r="I70" s="265"/>
      <c r="J70" s="266" t="s">
        <v>130</v>
      </c>
      <c r="K70" s="262"/>
      <c r="L70" s="262"/>
      <c r="M70" s="262">
        <v>45755</v>
      </c>
      <c r="N70" s="262" t="s">
        <v>22</v>
      </c>
      <c r="O70" s="262" t="s">
        <v>212</v>
      </c>
      <c r="P70" s="262" t="s">
        <v>57</v>
      </c>
      <c r="Q70" s="262" t="s">
        <v>59</v>
      </c>
      <c r="R70" s="262" t="s">
        <v>476</v>
      </c>
      <c r="S70" s="267" t="s">
        <v>825</v>
      </c>
      <c r="T70" s="268"/>
      <c r="U70" s="269"/>
      <c r="V70" s="269">
        <v>30000000</v>
      </c>
      <c r="W70" s="278">
        <v>30000000</v>
      </c>
      <c r="X70" s="270"/>
      <c r="Y70" s="262" t="s">
        <v>27</v>
      </c>
      <c r="Z70" s="271" t="s">
        <v>27</v>
      </c>
      <c r="AA70" s="287"/>
      <c r="AB70" s="287"/>
      <c r="AC70" s="272">
        <f t="shared" si="3"/>
        <v>30000000</v>
      </c>
      <c r="AD70" s="272">
        <v>30000000</v>
      </c>
      <c r="AE70" s="272">
        <f t="shared" si="4"/>
        <v>0</v>
      </c>
      <c r="AF70" s="273"/>
      <c r="AG70" s="274"/>
      <c r="AH70" s="273"/>
      <c r="AI70" s="273"/>
      <c r="AJ70" s="274"/>
      <c r="AK70" s="273"/>
      <c r="AL70" s="275"/>
      <c r="AM70" s="290"/>
      <c r="AN70" s="275"/>
      <c r="AO70" s="276"/>
      <c r="AP70" s="275"/>
      <c r="AQ70" s="275">
        <v>15000000</v>
      </c>
      <c r="AR70" s="275"/>
      <c r="AS70" s="275"/>
      <c r="AT70" s="275"/>
      <c r="AU70" s="275"/>
      <c r="AV70" s="275"/>
      <c r="AW70" s="275"/>
      <c r="AX70" s="275"/>
      <c r="AY70" s="275"/>
      <c r="AZ70" s="275"/>
      <c r="BA70" s="275"/>
      <c r="BB70" s="275"/>
      <c r="BC70" s="275"/>
      <c r="BD70" s="275"/>
      <c r="BE70" s="275">
        <v>15000000</v>
      </c>
      <c r="BF70" s="275"/>
      <c r="BH70" s="277"/>
    </row>
    <row r="71" spans="1:60" ht="16.5" hidden="1" customHeight="1" x14ac:dyDescent="0.3">
      <c r="A71" s="260">
        <v>49</v>
      </c>
      <c r="B71" s="261"/>
      <c r="C71" s="261"/>
      <c r="D71" s="262" t="s">
        <v>15</v>
      </c>
      <c r="E71" s="262" t="s">
        <v>113</v>
      </c>
      <c r="F71" s="263" t="s">
        <v>15</v>
      </c>
      <c r="G71" s="264" t="s">
        <v>113</v>
      </c>
      <c r="H71" s="281"/>
      <c r="I71" s="265"/>
      <c r="J71" s="266" t="s">
        <v>131</v>
      </c>
      <c r="K71" s="262"/>
      <c r="L71" s="262"/>
      <c r="M71" s="262">
        <v>3823</v>
      </c>
      <c r="N71" s="262" t="s">
        <v>22</v>
      </c>
      <c r="O71" s="262" t="s">
        <v>35</v>
      </c>
      <c r="P71" s="262" t="s">
        <v>57</v>
      </c>
      <c r="Q71" s="262" t="s">
        <v>44</v>
      </c>
      <c r="R71" s="262" t="s">
        <v>469</v>
      </c>
      <c r="S71" s="267" t="s">
        <v>469</v>
      </c>
      <c r="T71" s="268"/>
      <c r="U71" s="269"/>
      <c r="V71" s="269">
        <v>24442433</v>
      </c>
      <c r="W71" s="278">
        <v>0</v>
      </c>
      <c r="X71" s="270"/>
      <c r="Y71" s="262" t="s">
        <v>24</v>
      </c>
      <c r="Z71" s="271" t="s">
        <v>25</v>
      </c>
      <c r="AA71" s="287"/>
      <c r="AB71" s="287"/>
      <c r="AC71" s="272">
        <f t="shared" si="3"/>
        <v>30000000</v>
      </c>
      <c r="AD71" s="272">
        <v>30000000</v>
      </c>
      <c r="AE71" s="272">
        <f t="shared" si="4"/>
        <v>0</v>
      </c>
      <c r="AF71" s="273"/>
      <c r="AG71" s="274"/>
      <c r="AH71" s="273"/>
      <c r="AI71" s="273"/>
      <c r="AJ71" s="274"/>
      <c r="AK71" s="273"/>
      <c r="AL71" s="275"/>
      <c r="AM71" s="290"/>
      <c r="AN71" s="275"/>
      <c r="AO71" s="276"/>
      <c r="AP71" s="275"/>
      <c r="AQ71" s="275"/>
      <c r="AR71" s="275"/>
      <c r="AS71" s="275">
        <v>30000000</v>
      </c>
      <c r="AT71" s="275"/>
      <c r="AU71" s="275"/>
      <c r="AV71" s="275"/>
      <c r="AW71" s="275"/>
      <c r="AX71" s="275"/>
      <c r="AY71" s="275"/>
      <c r="AZ71" s="275"/>
      <c r="BA71" s="275"/>
      <c r="BB71" s="275"/>
      <c r="BC71" s="275"/>
      <c r="BD71" s="275"/>
      <c r="BE71" s="275"/>
      <c r="BF71" s="275"/>
      <c r="BH71" s="277"/>
    </row>
    <row r="72" spans="1:60" ht="16.5" hidden="1" customHeight="1" x14ac:dyDescent="0.3">
      <c r="A72" s="260">
        <v>50</v>
      </c>
      <c r="B72" s="261"/>
      <c r="C72" s="261"/>
      <c r="D72" s="262" t="s">
        <v>15</v>
      </c>
      <c r="E72" s="262" t="s">
        <v>113</v>
      </c>
      <c r="F72" s="263" t="s">
        <v>15</v>
      </c>
      <c r="G72" s="264" t="s">
        <v>113</v>
      </c>
      <c r="H72" s="281"/>
      <c r="I72" s="265"/>
      <c r="J72" s="266" t="s">
        <v>132</v>
      </c>
      <c r="K72" s="262"/>
      <c r="L72" s="262"/>
      <c r="M72" s="262">
        <v>48998</v>
      </c>
      <c r="N72" s="262" t="s">
        <v>22</v>
      </c>
      <c r="O72" s="262" t="s">
        <v>212</v>
      </c>
      <c r="P72" s="262" t="s">
        <v>57</v>
      </c>
      <c r="Q72" s="262" t="s">
        <v>54</v>
      </c>
      <c r="R72" s="262" t="s">
        <v>467</v>
      </c>
      <c r="S72" s="267" t="s">
        <v>826</v>
      </c>
      <c r="T72" s="268"/>
      <c r="U72" s="269">
        <v>27818182</v>
      </c>
      <c r="V72" s="269">
        <v>24000000</v>
      </c>
      <c r="W72" s="278">
        <v>24000000</v>
      </c>
      <c r="X72" s="270"/>
      <c r="Y72" s="262" t="s">
        <v>27</v>
      </c>
      <c r="Z72" s="271" t="s">
        <v>27</v>
      </c>
      <c r="AA72" s="287"/>
      <c r="AB72" s="287"/>
      <c r="AC72" s="272">
        <f t="shared" si="3"/>
        <v>24000000</v>
      </c>
      <c r="AD72" s="272">
        <v>24000000</v>
      </c>
      <c r="AE72" s="272">
        <f t="shared" si="4"/>
        <v>0</v>
      </c>
      <c r="AF72" s="273">
        <v>2000000</v>
      </c>
      <c r="AG72" s="274">
        <v>2000000</v>
      </c>
      <c r="AH72" s="273"/>
      <c r="AI72" s="273">
        <v>2000000</v>
      </c>
      <c r="AJ72" s="274">
        <v>2000000</v>
      </c>
      <c r="AK72" s="273"/>
      <c r="AL72" s="275">
        <v>2000000</v>
      </c>
      <c r="AM72" s="290">
        <v>2000000</v>
      </c>
      <c r="AN72" s="275"/>
      <c r="AO72" s="276">
        <v>2000000</v>
      </c>
      <c r="AP72" s="275"/>
      <c r="AQ72" s="275">
        <v>2000000</v>
      </c>
      <c r="AR72" s="275"/>
      <c r="AS72" s="275">
        <v>2000000</v>
      </c>
      <c r="AT72" s="275"/>
      <c r="AU72" s="275">
        <v>2000000</v>
      </c>
      <c r="AV72" s="275"/>
      <c r="AW72" s="275">
        <v>2000000</v>
      </c>
      <c r="AX72" s="275"/>
      <c r="AY72" s="275">
        <v>2000000</v>
      </c>
      <c r="AZ72" s="275"/>
      <c r="BA72" s="275">
        <v>2000000</v>
      </c>
      <c r="BB72" s="275"/>
      <c r="BC72" s="275">
        <v>2000000</v>
      </c>
      <c r="BD72" s="275"/>
      <c r="BE72" s="275">
        <v>2000000</v>
      </c>
      <c r="BF72" s="275"/>
      <c r="BH72" s="277"/>
    </row>
    <row r="73" spans="1:60" ht="16.5" hidden="1" customHeight="1" x14ac:dyDescent="0.3">
      <c r="A73" s="260">
        <v>51</v>
      </c>
      <c r="B73" s="261"/>
      <c r="C73" s="261"/>
      <c r="D73" s="262" t="s">
        <v>15</v>
      </c>
      <c r="E73" s="262" t="s">
        <v>113</v>
      </c>
      <c r="F73" s="263" t="s">
        <v>15</v>
      </c>
      <c r="G73" s="264" t="s">
        <v>113</v>
      </c>
      <c r="H73" s="281"/>
      <c r="I73" s="265"/>
      <c r="J73" s="266" t="s">
        <v>133</v>
      </c>
      <c r="K73" s="262"/>
      <c r="L73" s="262"/>
      <c r="M73" s="262">
        <v>46945</v>
      </c>
      <c r="N73" s="262" t="s">
        <v>22</v>
      </c>
      <c r="O73" s="262"/>
      <c r="P73" s="262" t="s">
        <v>57</v>
      </c>
      <c r="Q73" s="262" t="s">
        <v>59</v>
      </c>
      <c r="R73" s="262" t="s">
        <v>476</v>
      </c>
      <c r="S73" s="267" t="s">
        <v>825</v>
      </c>
      <c r="T73" s="268"/>
      <c r="U73" s="269">
        <v>150000000</v>
      </c>
      <c r="V73" s="269">
        <v>0</v>
      </c>
      <c r="W73" s="278">
        <v>0</v>
      </c>
      <c r="X73" s="270"/>
      <c r="Y73" s="262" t="s">
        <v>21</v>
      </c>
      <c r="Z73" s="271" t="s">
        <v>562</v>
      </c>
      <c r="AA73" s="287"/>
      <c r="AB73" s="287"/>
      <c r="AC73" s="272">
        <f t="shared" si="3"/>
        <v>0</v>
      </c>
      <c r="AD73" s="272">
        <v>0</v>
      </c>
      <c r="AE73" s="272">
        <f t="shared" si="4"/>
        <v>0</v>
      </c>
      <c r="AF73" s="273"/>
      <c r="AG73" s="274"/>
      <c r="AH73" s="273"/>
      <c r="AI73" s="273"/>
      <c r="AJ73" s="274"/>
      <c r="AK73" s="273"/>
      <c r="AL73" s="275"/>
      <c r="AM73" s="290"/>
      <c r="AN73" s="275"/>
      <c r="AO73" s="276"/>
      <c r="AP73" s="275"/>
      <c r="AQ73" s="275"/>
      <c r="AR73" s="275"/>
      <c r="AS73" s="275"/>
      <c r="AT73" s="275"/>
      <c r="AU73" s="275"/>
      <c r="AV73" s="275"/>
      <c r="AW73" s="275"/>
      <c r="AX73" s="275"/>
      <c r="AY73" s="275"/>
      <c r="AZ73" s="275"/>
      <c r="BA73" s="275"/>
      <c r="BB73" s="275"/>
      <c r="BC73" s="275"/>
      <c r="BD73" s="275"/>
      <c r="BE73" s="275"/>
      <c r="BF73" s="275"/>
      <c r="BH73" s="277"/>
    </row>
    <row r="74" spans="1:60" ht="16.5" hidden="1" customHeight="1" x14ac:dyDescent="0.3">
      <c r="A74" s="260">
        <v>52</v>
      </c>
      <c r="B74" s="261"/>
      <c r="C74" s="261"/>
      <c r="D74" s="262" t="s">
        <v>15</v>
      </c>
      <c r="E74" s="262" t="s">
        <v>113</v>
      </c>
      <c r="F74" s="263" t="s">
        <v>15</v>
      </c>
      <c r="G74" s="264" t="s">
        <v>113</v>
      </c>
      <c r="H74" s="281"/>
      <c r="I74" s="265"/>
      <c r="J74" s="266" t="s">
        <v>134</v>
      </c>
      <c r="K74" s="262"/>
      <c r="L74" s="262"/>
      <c r="M74" s="262">
        <v>21875</v>
      </c>
      <c r="N74" s="262" t="s">
        <v>22</v>
      </c>
      <c r="O74" s="262" t="s">
        <v>212</v>
      </c>
      <c r="P74" s="262" t="s">
        <v>57</v>
      </c>
      <c r="Q74" s="262" t="s">
        <v>18</v>
      </c>
      <c r="R74" s="262" t="s">
        <v>19</v>
      </c>
      <c r="S74" s="267" t="s">
        <v>19</v>
      </c>
      <c r="T74" s="268"/>
      <c r="U74" s="269">
        <v>8825000</v>
      </c>
      <c r="V74" s="269">
        <v>0</v>
      </c>
      <c r="W74" s="278">
        <v>0</v>
      </c>
      <c r="X74" s="270"/>
      <c r="Y74" s="262" t="s">
        <v>21</v>
      </c>
      <c r="Z74" s="271" t="s">
        <v>562</v>
      </c>
      <c r="AA74" s="287"/>
      <c r="AB74" s="287"/>
      <c r="AC74" s="272">
        <f t="shared" si="3"/>
        <v>0</v>
      </c>
      <c r="AD74" s="272">
        <v>0</v>
      </c>
      <c r="AE74" s="272">
        <f t="shared" si="4"/>
        <v>0</v>
      </c>
      <c r="AF74" s="273"/>
      <c r="AG74" s="274"/>
      <c r="AH74" s="273"/>
      <c r="AI74" s="273"/>
      <c r="AJ74" s="274"/>
      <c r="AK74" s="273"/>
      <c r="AL74" s="275"/>
      <c r="AM74" s="290"/>
      <c r="AN74" s="275"/>
      <c r="AO74" s="276"/>
      <c r="AP74" s="275"/>
      <c r="AQ74" s="275"/>
      <c r="AR74" s="275"/>
      <c r="AS74" s="275"/>
      <c r="AT74" s="275"/>
      <c r="AU74" s="275"/>
      <c r="AV74" s="275"/>
      <c r="AW74" s="275"/>
      <c r="AX74" s="275"/>
      <c r="AY74" s="275"/>
      <c r="AZ74" s="275"/>
      <c r="BA74" s="275"/>
      <c r="BB74" s="275"/>
      <c r="BC74" s="275"/>
      <c r="BD74" s="275"/>
      <c r="BE74" s="275"/>
      <c r="BF74" s="275"/>
      <c r="BH74" s="277"/>
    </row>
    <row r="75" spans="1:60" ht="16.5" hidden="1" customHeight="1" x14ac:dyDescent="0.3">
      <c r="A75" s="260">
        <v>53</v>
      </c>
      <c r="B75" s="261"/>
      <c r="C75" s="261"/>
      <c r="D75" s="262" t="s">
        <v>15</v>
      </c>
      <c r="E75" s="262" t="s">
        <v>113</v>
      </c>
      <c r="F75" s="263" t="s">
        <v>15</v>
      </c>
      <c r="G75" s="264" t="s">
        <v>113</v>
      </c>
      <c r="H75" s="281"/>
      <c r="I75" s="265"/>
      <c r="J75" s="266" t="s">
        <v>134</v>
      </c>
      <c r="K75" s="262"/>
      <c r="L75" s="262"/>
      <c r="M75" s="262">
        <v>3745</v>
      </c>
      <c r="N75" s="262" t="s">
        <v>22</v>
      </c>
      <c r="O75" s="262" t="s">
        <v>212</v>
      </c>
      <c r="P75" s="262" t="s">
        <v>57</v>
      </c>
      <c r="Q75" s="262"/>
      <c r="R75" s="262" t="s">
        <v>31</v>
      </c>
      <c r="S75" s="267" t="s">
        <v>31</v>
      </c>
      <c r="T75" s="268"/>
      <c r="U75" s="269"/>
      <c r="V75" s="269"/>
      <c r="W75" s="278">
        <v>0</v>
      </c>
      <c r="X75" s="270"/>
      <c r="Y75" s="262" t="s">
        <v>27</v>
      </c>
      <c r="Z75" s="271" t="s">
        <v>27</v>
      </c>
      <c r="AA75" s="287"/>
      <c r="AB75" s="287"/>
      <c r="AC75" s="272">
        <f t="shared" si="3"/>
        <v>21000000</v>
      </c>
      <c r="AD75" s="272">
        <v>21000000</v>
      </c>
      <c r="AE75" s="272">
        <f t="shared" si="4"/>
        <v>0</v>
      </c>
      <c r="AF75" s="273"/>
      <c r="AG75" s="274"/>
      <c r="AH75" s="273"/>
      <c r="AI75" s="273"/>
      <c r="AJ75" s="274"/>
      <c r="AK75" s="273"/>
      <c r="AL75" s="275"/>
      <c r="AM75" s="290"/>
      <c r="AN75" s="275"/>
      <c r="AO75" s="276"/>
      <c r="AP75" s="275"/>
      <c r="AQ75" s="275"/>
      <c r="AR75" s="275"/>
      <c r="AS75" s="275"/>
      <c r="AT75" s="275"/>
      <c r="AU75" s="275">
        <v>21000000</v>
      </c>
      <c r="AV75" s="275"/>
      <c r="AW75" s="275"/>
      <c r="AX75" s="275"/>
      <c r="AY75" s="275"/>
      <c r="AZ75" s="275"/>
      <c r="BA75" s="275"/>
      <c r="BB75" s="275"/>
      <c r="BC75" s="275"/>
      <c r="BD75" s="275"/>
      <c r="BE75" s="275"/>
      <c r="BF75" s="275"/>
      <c r="BH75" s="277"/>
    </row>
    <row r="76" spans="1:60" ht="16.5" hidden="1" customHeight="1" x14ac:dyDescent="0.3">
      <c r="A76" s="260">
        <v>54</v>
      </c>
      <c r="B76" s="261"/>
      <c r="C76" s="261"/>
      <c r="D76" s="262" t="s">
        <v>15</v>
      </c>
      <c r="E76" s="262" t="s">
        <v>113</v>
      </c>
      <c r="F76" s="263" t="s">
        <v>15</v>
      </c>
      <c r="G76" s="264" t="s">
        <v>113</v>
      </c>
      <c r="H76" s="281"/>
      <c r="I76" s="265"/>
      <c r="J76" s="266" t="s">
        <v>134</v>
      </c>
      <c r="K76" s="262"/>
      <c r="L76" s="262"/>
      <c r="M76" s="262">
        <v>21875</v>
      </c>
      <c r="N76" s="262" t="s">
        <v>22</v>
      </c>
      <c r="O76" s="262" t="s">
        <v>212</v>
      </c>
      <c r="P76" s="262" t="s">
        <v>57</v>
      </c>
      <c r="Q76" s="262" t="s">
        <v>44</v>
      </c>
      <c r="R76" s="262" t="s">
        <v>469</v>
      </c>
      <c r="S76" s="267" t="s">
        <v>826</v>
      </c>
      <c r="T76" s="268"/>
      <c r="U76" s="269">
        <v>59454545</v>
      </c>
      <c r="V76" s="269">
        <v>54000000</v>
      </c>
      <c r="W76" s="278">
        <v>54000000</v>
      </c>
      <c r="X76" s="270"/>
      <c r="Y76" s="262" t="s">
        <v>27</v>
      </c>
      <c r="Z76" s="271" t="s">
        <v>27</v>
      </c>
      <c r="AA76" s="287"/>
      <c r="AB76" s="287"/>
      <c r="AC76" s="272">
        <f t="shared" si="3"/>
        <v>54000000</v>
      </c>
      <c r="AD76" s="272">
        <v>54000000</v>
      </c>
      <c r="AE76" s="272">
        <f t="shared" si="4"/>
        <v>0</v>
      </c>
      <c r="AF76" s="273">
        <v>4500000</v>
      </c>
      <c r="AG76" s="274">
        <v>4500000</v>
      </c>
      <c r="AH76" s="273"/>
      <c r="AI76" s="273">
        <v>4500000</v>
      </c>
      <c r="AJ76" s="274">
        <v>4500000</v>
      </c>
      <c r="AK76" s="273"/>
      <c r="AL76" s="275">
        <v>4500000</v>
      </c>
      <c r="AM76" s="290">
        <v>4500000</v>
      </c>
      <c r="AN76" s="275"/>
      <c r="AO76" s="276">
        <v>4500000</v>
      </c>
      <c r="AP76" s="275"/>
      <c r="AQ76" s="275">
        <v>4500000</v>
      </c>
      <c r="AR76" s="275"/>
      <c r="AS76" s="275">
        <v>4500000</v>
      </c>
      <c r="AT76" s="275"/>
      <c r="AU76" s="275">
        <v>4500000</v>
      </c>
      <c r="AV76" s="275"/>
      <c r="AW76" s="275">
        <v>4500000</v>
      </c>
      <c r="AX76" s="275"/>
      <c r="AY76" s="275">
        <v>4500000</v>
      </c>
      <c r="AZ76" s="275"/>
      <c r="BA76" s="275">
        <v>4500000</v>
      </c>
      <c r="BB76" s="275"/>
      <c r="BC76" s="275">
        <v>4500000</v>
      </c>
      <c r="BD76" s="275"/>
      <c r="BE76" s="275">
        <v>4500000</v>
      </c>
      <c r="BF76" s="275"/>
      <c r="BH76" s="277"/>
    </row>
    <row r="77" spans="1:60" ht="16.5" hidden="1" customHeight="1" x14ac:dyDescent="0.3">
      <c r="A77" s="260">
        <v>55</v>
      </c>
      <c r="B77" s="261"/>
      <c r="C77" s="261"/>
      <c r="D77" s="262" t="s">
        <v>15</v>
      </c>
      <c r="E77" s="262" t="s">
        <v>113</v>
      </c>
      <c r="F77" s="263" t="s">
        <v>15</v>
      </c>
      <c r="G77" s="264" t="s">
        <v>113</v>
      </c>
      <c r="H77" s="281"/>
      <c r="I77" s="265"/>
      <c r="J77" s="266" t="s">
        <v>135</v>
      </c>
      <c r="K77" s="262"/>
      <c r="L77" s="262"/>
      <c r="M77" s="262">
        <v>3745</v>
      </c>
      <c r="N77" s="262" t="s">
        <v>22</v>
      </c>
      <c r="O77" s="262" t="s">
        <v>212</v>
      </c>
      <c r="P77" s="262" t="s">
        <v>57</v>
      </c>
      <c r="Q77" s="262" t="s">
        <v>63</v>
      </c>
      <c r="R77" s="262" t="s">
        <v>28</v>
      </c>
      <c r="S77" s="267" t="s">
        <v>28</v>
      </c>
      <c r="T77" s="268" t="s">
        <v>951</v>
      </c>
      <c r="U77" s="269"/>
      <c r="V77" s="269">
        <v>370049200</v>
      </c>
      <c r="W77" s="278">
        <v>461407800</v>
      </c>
      <c r="X77" s="270"/>
      <c r="Y77" s="262" t="s">
        <v>27</v>
      </c>
      <c r="Z77" s="271" t="s">
        <v>27</v>
      </c>
      <c r="AA77" s="287"/>
      <c r="AB77" s="287"/>
      <c r="AC77" s="272">
        <f t="shared" si="3"/>
        <v>408938310</v>
      </c>
      <c r="AD77" s="272">
        <v>408938310</v>
      </c>
      <c r="AE77" s="272">
        <f t="shared" si="4"/>
        <v>0</v>
      </c>
      <c r="AF77" s="273">
        <v>28902770</v>
      </c>
      <c r="AG77" s="274">
        <v>31220560</v>
      </c>
      <c r="AH77" s="273"/>
      <c r="AI77" s="273">
        <v>35000000</v>
      </c>
      <c r="AJ77" s="274">
        <v>31659350</v>
      </c>
      <c r="AK77" s="273"/>
      <c r="AL77" s="275">
        <v>34851730</v>
      </c>
      <c r="AM77" s="290">
        <v>33786330</v>
      </c>
      <c r="AN77" s="275"/>
      <c r="AO77" s="276">
        <v>42272070</v>
      </c>
      <c r="AP77" s="275"/>
      <c r="AQ77" s="275">
        <v>35000000</v>
      </c>
      <c r="AR77" s="275"/>
      <c r="AS77" s="275">
        <v>35000000</v>
      </c>
      <c r="AT77" s="275"/>
      <c r="AU77" s="275">
        <v>35000000</v>
      </c>
      <c r="AV77" s="275"/>
      <c r="AW77" s="275">
        <v>30000000</v>
      </c>
      <c r="AX77" s="275"/>
      <c r="AY77" s="275">
        <v>35000000</v>
      </c>
      <c r="AZ77" s="275"/>
      <c r="BA77" s="275">
        <v>35000000</v>
      </c>
      <c r="BB77" s="275"/>
      <c r="BC77" s="275">
        <v>35000000</v>
      </c>
      <c r="BD77" s="275"/>
      <c r="BE77" s="275">
        <v>30000000</v>
      </c>
      <c r="BF77" s="275"/>
      <c r="BH77" s="277"/>
    </row>
    <row r="78" spans="1:60" ht="16.5" hidden="1" customHeight="1" x14ac:dyDescent="0.3">
      <c r="A78" s="260">
        <v>56</v>
      </c>
      <c r="B78" s="261"/>
      <c r="C78" s="261"/>
      <c r="D78" s="262" t="s">
        <v>15</v>
      </c>
      <c r="E78" s="262" t="s">
        <v>113</v>
      </c>
      <c r="F78" s="263" t="s">
        <v>15</v>
      </c>
      <c r="G78" s="264" t="s">
        <v>113</v>
      </c>
      <c r="H78" s="281"/>
      <c r="I78" s="265"/>
      <c r="J78" s="266" t="s">
        <v>135</v>
      </c>
      <c r="K78" s="262"/>
      <c r="L78" s="262"/>
      <c r="M78" s="262">
        <v>3745</v>
      </c>
      <c r="N78" s="262" t="s">
        <v>22</v>
      </c>
      <c r="O78" s="262" t="s">
        <v>56</v>
      </c>
      <c r="P78" s="262" t="s">
        <v>57</v>
      </c>
      <c r="Q78" s="262" t="s">
        <v>26</v>
      </c>
      <c r="R78" s="262" t="s">
        <v>468</v>
      </c>
      <c r="S78" s="267" t="s">
        <v>468</v>
      </c>
      <c r="T78" s="268"/>
      <c r="U78" s="269"/>
      <c r="V78" s="269">
        <v>5000000</v>
      </c>
      <c r="W78" s="278">
        <v>0</v>
      </c>
      <c r="X78" s="270"/>
      <c r="Y78" s="262" t="s">
        <v>20</v>
      </c>
      <c r="Z78" s="271" t="s">
        <v>27</v>
      </c>
      <c r="AA78" s="287"/>
      <c r="AB78" s="287"/>
      <c r="AC78" s="272">
        <f t="shared" si="3"/>
        <v>0</v>
      </c>
      <c r="AD78" s="272">
        <v>0</v>
      </c>
      <c r="AE78" s="272">
        <f t="shared" si="4"/>
        <v>0</v>
      </c>
      <c r="AF78" s="273"/>
      <c r="AG78" s="274"/>
      <c r="AH78" s="273"/>
      <c r="AI78" s="273"/>
      <c r="AJ78" s="274"/>
      <c r="AK78" s="273"/>
      <c r="AL78" s="275"/>
      <c r="AM78" s="290"/>
      <c r="AN78" s="275"/>
      <c r="AO78" s="276"/>
      <c r="AP78" s="275"/>
      <c r="AQ78" s="275"/>
      <c r="AR78" s="275"/>
      <c r="AS78" s="275"/>
      <c r="AT78" s="275"/>
      <c r="AU78" s="275"/>
      <c r="AV78" s="275"/>
      <c r="AW78" s="275"/>
      <c r="AX78" s="275"/>
      <c r="AY78" s="275"/>
      <c r="AZ78" s="275"/>
      <c r="BA78" s="275"/>
      <c r="BB78" s="275"/>
      <c r="BC78" s="275"/>
      <c r="BD78" s="275"/>
      <c r="BE78" s="275"/>
      <c r="BF78" s="275"/>
      <c r="BH78" s="277"/>
    </row>
    <row r="79" spans="1:60" ht="16.5" hidden="1" customHeight="1" x14ac:dyDescent="0.3">
      <c r="A79" s="260">
        <v>57</v>
      </c>
      <c r="B79" s="261"/>
      <c r="C79" s="261"/>
      <c r="D79" s="262" t="s">
        <v>15</v>
      </c>
      <c r="E79" s="262" t="s">
        <v>113</v>
      </c>
      <c r="F79" s="263" t="s">
        <v>15</v>
      </c>
      <c r="G79" s="264" t="s">
        <v>113</v>
      </c>
      <c r="H79" s="281"/>
      <c r="I79" s="265"/>
      <c r="J79" s="266" t="s">
        <v>628</v>
      </c>
      <c r="K79" s="262"/>
      <c r="L79" s="262"/>
      <c r="M79" s="262">
        <v>61219</v>
      </c>
      <c r="N79" s="262" t="s">
        <v>22</v>
      </c>
      <c r="O79" s="262" t="s">
        <v>212</v>
      </c>
      <c r="P79" s="262" t="s">
        <v>57</v>
      </c>
      <c r="Q79" s="262" t="s">
        <v>18</v>
      </c>
      <c r="R79" s="262" t="s">
        <v>19</v>
      </c>
      <c r="S79" s="267" t="s">
        <v>19</v>
      </c>
      <c r="T79" s="268"/>
      <c r="U79" s="269"/>
      <c r="V79" s="269">
        <v>234000</v>
      </c>
      <c r="W79" s="278">
        <v>528000</v>
      </c>
      <c r="X79" s="270"/>
      <c r="Y79" s="262" t="s">
        <v>20</v>
      </c>
      <c r="Z79" s="271" t="s">
        <v>24</v>
      </c>
      <c r="AA79" s="287"/>
      <c r="AB79" s="287"/>
      <c r="AC79" s="272">
        <f t="shared" si="3"/>
        <v>1000000</v>
      </c>
      <c r="AD79" s="272">
        <v>1000000</v>
      </c>
      <c r="AE79" s="272">
        <f t="shared" si="4"/>
        <v>0</v>
      </c>
      <c r="AF79" s="273"/>
      <c r="AG79" s="274"/>
      <c r="AH79" s="273"/>
      <c r="AI79" s="273"/>
      <c r="AJ79" s="274"/>
      <c r="AK79" s="273"/>
      <c r="AL79" s="275"/>
      <c r="AM79" s="290"/>
      <c r="AN79" s="275"/>
      <c r="AO79" s="276"/>
      <c r="AP79" s="275"/>
      <c r="AQ79" s="275"/>
      <c r="AR79" s="275"/>
      <c r="AS79" s="275">
        <v>1000000</v>
      </c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H79" s="277"/>
    </row>
    <row r="80" spans="1:60" ht="16.5" hidden="1" customHeight="1" x14ac:dyDescent="0.3">
      <c r="A80" s="260">
        <v>58</v>
      </c>
      <c r="B80" s="261"/>
      <c r="C80" s="261"/>
      <c r="D80" s="262" t="s">
        <v>15</v>
      </c>
      <c r="E80" s="262" t="s">
        <v>113</v>
      </c>
      <c r="F80" s="263" t="s">
        <v>15</v>
      </c>
      <c r="G80" s="264" t="s">
        <v>113</v>
      </c>
      <c r="H80" s="281"/>
      <c r="I80" s="265"/>
      <c r="J80" s="266" t="s">
        <v>629</v>
      </c>
      <c r="K80" s="262"/>
      <c r="L80" s="262"/>
      <c r="M80" s="262">
        <v>3211</v>
      </c>
      <c r="N80" s="262" t="s">
        <v>22</v>
      </c>
      <c r="O80" s="262" t="s">
        <v>56</v>
      </c>
      <c r="P80" s="262" t="s">
        <v>57</v>
      </c>
      <c r="Q80" s="262" t="s">
        <v>18</v>
      </c>
      <c r="R80" s="262" t="s">
        <v>19</v>
      </c>
      <c r="S80" s="267" t="s">
        <v>19</v>
      </c>
      <c r="T80" s="268"/>
      <c r="U80" s="269">
        <v>2760000</v>
      </c>
      <c r="V80" s="269">
        <v>6707499</v>
      </c>
      <c r="W80" s="278">
        <v>0</v>
      </c>
      <c r="X80" s="270"/>
      <c r="Y80" s="262" t="s">
        <v>27</v>
      </c>
      <c r="Z80" s="271" t="s">
        <v>24</v>
      </c>
      <c r="AA80" s="287"/>
      <c r="AB80" s="287"/>
      <c r="AC80" s="272">
        <f t="shared" si="3"/>
        <v>3000000</v>
      </c>
      <c r="AD80" s="272">
        <v>3000000</v>
      </c>
      <c r="AE80" s="272">
        <f t="shared" si="4"/>
        <v>0</v>
      </c>
      <c r="AF80" s="273"/>
      <c r="AG80" s="274"/>
      <c r="AH80" s="273"/>
      <c r="AI80" s="273"/>
      <c r="AJ80" s="274"/>
      <c r="AK80" s="273"/>
      <c r="AL80" s="275"/>
      <c r="AM80" s="290"/>
      <c r="AN80" s="275"/>
      <c r="AO80" s="276"/>
      <c r="AP80" s="275"/>
      <c r="AQ80" s="275"/>
      <c r="AR80" s="275"/>
      <c r="AS80" s="275"/>
      <c r="AT80" s="275"/>
      <c r="AU80" s="275"/>
      <c r="AV80" s="275"/>
      <c r="AW80" s="275">
        <v>3000000</v>
      </c>
      <c r="AX80" s="275"/>
      <c r="AY80" s="275"/>
      <c r="AZ80" s="275"/>
      <c r="BA80" s="275"/>
      <c r="BB80" s="275"/>
      <c r="BC80" s="275"/>
      <c r="BD80" s="275"/>
      <c r="BE80" s="275"/>
      <c r="BF80" s="275"/>
      <c r="BH80" s="277"/>
    </row>
    <row r="81" spans="1:60" ht="16.5" hidden="1" customHeight="1" x14ac:dyDescent="0.3">
      <c r="A81" s="260">
        <v>59</v>
      </c>
      <c r="B81" s="261"/>
      <c r="C81" s="261"/>
      <c r="D81" s="262" t="s">
        <v>15</v>
      </c>
      <c r="E81" s="262" t="s">
        <v>113</v>
      </c>
      <c r="F81" s="263" t="s">
        <v>15</v>
      </c>
      <c r="G81" s="264" t="s">
        <v>113</v>
      </c>
      <c r="H81" s="281"/>
      <c r="I81" s="265"/>
      <c r="J81" s="266" t="s">
        <v>629</v>
      </c>
      <c r="K81" s="262"/>
      <c r="L81" s="262"/>
      <c r="M81" s="262">
        <v>3211</v>
      </c>
      <c r="N81" s="262" t="s">
        <v>22</v>
      </c>
      <c r="O81" s="262" t="s">
        <v>56</v>
      </c>
      <c r="P81" s="262" t="s">
        <v>57</v>
      </c>
      <c r="Q81" s="262" t="s">
        <v>26</v>
      </c>
      <c r="R81" s="262" t="s">
        <v>478</v>
      </c>
      <c r="S81" s="267" t="s">
        <v>478</v>
      </c>
      <c r="T81" s="268"/>
      <c r="U81" s="269"/>
      <c r="V81" s="269">
        <v>2900000</v>
      </c>
      <c r="W81" s="278">
        <v>0</v>
      </c>
      <c r="X81" s="270"/>
      <c r="Y81" s="262" t="s">
        <v>20</v>
      </c>
      <c r="Z81" s="271" t="s">
        <v>562</v>
      </c>
      <c r="AA81" s="287"/>
      <c r="AB81" s="287"/>
      <c r="AC81" s="272">
        <f t="shared" si="3"/>
        <v>0</v>
      </c>
      <c r="AD81" s="272">
        <v>0</v>
      </c>
      <c r="AE81" s="272">
        <f t="shared" si="4"/>
        <v>0</v>
      </c>
      <c r="AF81" s="273"/>
      <c r="AG81" s="274"/>
      <c r="AH81" s="273"/>
      <c r="AI81" s="273"/>
      <c r="AJ81" s="274"/>
      <c r="AK81" s="273"/>
      <c r="AL81" s="275"/>
      <c r="AM81" s="290"/>
      <c r="AN81" s="275"/>
      <c r="AO81" s="276"/>
      <c r="AP81" s="275"/>
      <c r="AQ81" s="275"/>
      <c r="AR81" s="275"/>
      <c r="AS81" s="275"/>
      <c r="AT81" s="275"/>
      <c r="AU81" s="275"/>
      <c r="AV81" s="275"/>
      <c r="AW81" s="275"/>
      <c r="AX81" s="275"/>
      <c r="AY81" s="275"/>
      <c r="AZ81" s="275"/>
      <c r="BA81" s="275"/>
      <c r="BB81" s="275"/>
      <c r="BC81" s="275"/>
      <c r="BD81" s="275"/>
      <c r="BE81" s="275"/>
      <c r="BF81" s="275"/>
      <c r="BH81" s="277"/>
    </row>
    <row r="82" spans="1:60" ht="16.5" hidden="1" customHeight="1" x14ac:dyDescent="0.3">
      <c r="A82" s="260">
        <v>60</v>
      </c>
      <c r="B82" s="261"/>
      <c r="C82" s="261"/>
      <c r="D82" s="262" t="s">
        <v>15</v>
      </c>
      <c r="E82" s="262" t="s">
        <v>113</v>
      </c>
      <c r="F82" s="263" t="s">
        <v>15</v>
      </c>
      <c r="G82" s="264" t="s">
        <v>113</v>
      </c>
      <c r="H82" s="281"/>
      <c r="I82" s="265"/>
      <c r="J82" s="266" t="s">
        <v>740</v>
      </c>
      <c r="K82" s="262"/>
      <c r="L82" s="262"/>
      <c r="M82" s="262">
        <v>11180</v>
      </c>
      <c r="N82" s="262" t="s">
        <v>22</v>
      </c>
      <c r="O82" s="262" t="s">
        <v>56</v>
      </c>
      <c r="P82" s="262" t="s">
        <v>57</v>
      </c>
      <c r="Q82" s="262" t="s">
        <v>18</v>
      </c>
      <c r="R82" s="262" t="s">
        <v>19</v>
      </c>
      <c r="S82" s="267" t="s">
        <v>19</v>
      </c>
      <c r="T82" s="268"/>
      <c r="U82" s="269">
        <v>955000</v>
      </c>
      <c r="V82" s="269">
        <v>0</v>
      </c>
      <c r="W82" s="278">
        <v>0</v>
      </c>
      <c r="X82" s="270"/>
      <c r="Y82" s="262" t="s">
        <v>21</v>
      </c>
      <c r="Z82" s="271" t="s">
        <v>562</v>
      </c>
      <c r="AA82" s="287"/>
      <c r="AB82" s="287"/>
      <c r="AC82" s="272">
        <f t="shared" si="3"/>
        <v>0</v>
      </c>
      <c r="AD82" s="272">
        <v>0</v>
      </c>
      <c r="AE82" s="272">
        <f t="shared" si="4"/>
        <v>0</v>
      </c>
      <c r="AF82" s="273"/>
      <c r="AG82" s="274"/>
      <c r="AH82" s="273"/>
      <c r="AI82" s="273"/>
      <c r="AJ82" s="274"/>
      <c r="AK82" s="273"/>
      <c r="AL82" s="275"/>
      <c r="AM82" s="290"/>
      <c r="AN82" s="275"/>
      <c r="AO82" s="276"/>
      <c r="AP82" s="275"/>
      <c r="AQ82" s="275"/>
      <c r="AR82" s="275"/>
      <c r="AS82" s="275"/>
      <c r="AT82" s="275"/>
      <c r="AU82" s="275"/>
      <c r="AV82" s="275"/>
      <c r="AW82" s="275"/>
      <c r="AX82" s="275"/>
      <c r="AY82" s="275"/>
      <c r="AZ82" s="275"/>
      <c r="BA82" s="275"/>
      <c r="BB82" s="275"/>
      <c r="BC82" s="275"/>
      <c r="BD82" s="275"/>
      <c r="BE82" s="275"/>
      <c r="BF82" s="275"/>
      <c r="BH82" s="277"/>
    </row>
    <row r="83" spans="1:60" ht="16.5" hidden="1" customHeight="1" x14ac:dyDescent="0.3">
      <c r="A83" s="260">
        <v>61</v>
      </c>
      <c r="B83" s="261"/>
      <c r="C83" s="261"/>
      <c r="D83" s="262" t="s">
        <v>15</v>
      </c>
      <c r="E83" s="262" t="s">
        <v>113</v>
      </c>
      <c r="F83" s="263" t="s">
        <v>15</v>
      </c>
      <c r="G83" s="264" t="s">
        <v>113</v>
      </c>
      <c r="H83" s="281"/>
      <c r="I83" s="265"/>
      <c r="J83" s="266" t="s">
        <v>343</v>
      </c>
      <c r="K83" s="262"/>
      <c r="L83" s="262"/>
      <c r="M83" s="262">
        <v>2095</v>
      </c>
      <c r="N83" s="262" t="s">
        <v>22</v>
      </c>
      <c r="O83" s="262" t="s">
        <v>35</v>
      </c>
      <c r="P83" s="262" t="s">
        <v>124</v>
      </c>
      <c r="Q83" s="262" t="s">
        <v>44</v>
      </c>
      <c r="R83" s="262" t="s">
        <v>469</v>
      </c>
      <c r="S83" s="267" t="s">
        <v>469</v>
      </c>
      <c r="T83" s="268"/>
      <c r="U83" s="269">
        <v>18181818</v>
      </c>
      <c r="V83" s="269">
        <v>0</v>
      </c>
      <c r="W83" s="278">
        <v>4600000</v>
      </c>
      <c r="X83" s="270"/>
      <c r="Y83" s="262" t="s">
        <v>25</v>
      </c>
      <c r="Z83" s="271" t="s">
        <v>25</v>
      </c>
      <c r="AA83" s="287"/>
      <c r="AB83" s="287"/>
      <c r="AC83" s="272">
        <f t="shared" si="3"/>
        <v>40000000</v>
      </c>
      <c r="AD83" s="272">
        <v>40000000</v>
      </c>
      <c r="AE83" s="272">
        <f t="shared" si="4"/>
        <v>0</v>
      </c>
      <c r="AF83" s="273"/>
      <c r="AG83" s="274"/>
      <c r="AH83" s="273"/>
      <c r="AI83" s="273"/>
      <c r="AJ83" s="274"/>
      <c r="AK83" s="273"/>
      <c r="AL83" s="275"/>
      <c r="AM83" s="290"/>
      <c r="AN83" s="275"/>
      <c r="AO83" s="276"/>
      <c r="AP83" s="275"/>
      <c r="AQ83" s="291">
        <v>20000000</v>
      </c>
      <c r="AR83" s="275"/>
      <c r="AS83" s="275"/>
      <c r="AT83" s="275"/>
      <c r="AU83" s="275"/>
      <c r="AV83" s="275"/>
      <c r="AW83" s="275">
        <v>20000000</v>
      </c>
      <c r="AX83" s="275"/>
      <c r="AY83" s="275"/>
      <c r="AZ83" s="275"/>
      <c r="BA83" s="275"/>
      <c r="BB83" s="275"/>
      <c r="BC83" s="275"/>
      <c r="BD83" s="275"/>
      <c r="BE83" s="275"/>
      <c r="BF83" s="275"/>
      <c r="BH83" s="277"/>
    </row>
    <row r="84" spans="1:60" ht="16.5" hidden="1" customHeight="1" x14ac:dyDescent="0.3">
      <c r="A84" s="260">
        <v>62</v>
      </c>
      <c r="B84" s="261"/>
      <c r="C84" s="261"/>
      <c r="D84" s="262" t="s">
        <v>15</v>
      </c>
      <c r="E84" s="262" t="s">
        <v>113</v>
      </c>
      <c r="F84" s="263" t="s">
        <v>15</v>
      </c>
      <c r="G84" s="264" t="s">
        <v>113</v>
      </c>
      <c r="H84" s="281"/>
      <c r="I84" s="265"/>
      <c r="J84" s="266" t="s">
        <v>343</v>
      </c>
      <c r="K84" s="262"/>
      <c r="L84" s="262"/>
      <c r="M84" s="262">
        <v>2095</v>
      </c>
      <c r="N84" s="262" t="s">
        <v>22</v>
      </c>
      <c r="O84" s="262" t="s">
        <v>35</v>
      </c>
      <c r="P84" s="262" t="s">
        <v>124</v>
      </c>
      <c r="Q84" s="262"/>
      <c r="R84" s="262"/>
      <c r="S84" s="267" t="s">
        <v>828</v>
      </c>
      <c r="T84" s="268"/>
      <c r="U84" s="269"/>
      <c r="V84" s="269"/>
      <c r="W84" s="278">
        <v>0</v>
      </c>
      <c r="X84" s="270"/>
      <c r="Y84" s="262"/>
      <c r="Z84" s="271" t="s">
        <v>25</v>
      </c>
      <c r="AA84" s="287"/>
      <c r="AB84" s="287"/>
      <c r="AC84" s="272">
        <f t="shared" si="3"/>
        <v>20000000</v>
      </c>
      <c r="AD84" s="272">
        <v>20000000</v>
      </c>
      <c r="AE84" s="272">
        <f t="shared" si="4"/>
        <v>0</v>
      </c>
      <c r="AF84" s="273"/>
      <c r="AG84" s="274"/>
      <c r="AH84" s="273"/>
      <c r="AI84" s="273"/>
      <c r="AJ84" s="274"/>
      <c r="AK84" s="273"/>
      <c r="AL84" s="275"/>
      <c r="AM84" s="290"/>
      <c r="AN84" s="275"/>
      <c r="AO84" s="276"/>
      <c r="AP84" s="275"/>
      <c r="AQ84" s="291">
        <v>20000000</v>
      </c>
      <c r="AR84" s="275"/>
      <c r="AS84" s="275"/>
      <c r="AT84" s="275"/>
      <c r="AU84" s="275"/>
      <c r="AV84" s="275"/>
      <c r="AW84" s="275"/>
      <c r="AX84" s="275"/>
      <c r="AY84" s="275"/>
      <c r="AZ84" s="275"/>
      <c r="BA84" s="275"/>
      <c r="BB84" s="275"/>
      <c r="BC84" s="275"/>
      <c r="BD84" s="275"/>
      <c r="BE84" s="275"/>
      <c r="BF84" s="275"/>
      <c r="BH84" s="277"/>
    </row>
    <row r="85" spans="1:60" ht="16.5" hidden="1" customHeight="1" x14ac:dyDescent="0.3">
      <c r="A85" s="260">
        <v>63</v>
      </c>
      <c r="B85" s="261"/>
      <c r="C85" s="261"/>
      <c r="D85" s="262"/>
      <c r="E85" s="262"/>
      <c r="F85" s="263" t="s">
        <v>15</v>
      </c>
      <c r="G85" s="264" t="s">
        <v>113</v>
      </c>
      <c r="H85" s="281"/>
      <c r="I85" s="265"/>
      <c r="J85" s="266" t="s">
        <v>955</v>
      </c>
      <c r="K85" s="262"/>
      <c r="L85" s="262"/>
      <c r="M85" s="262"/>
      <c r="N85" s="262"/>
      <c r="O85" s="262" t="s">
        <v>56</v>
      </c>
      <c r="P85" s="262" t="s">
        <v>124</v>
      </c>
      <c r="Q85" s="262"/>
      <c r="R85" s="262"/>
      <c r="S85" s="267" t="s">
        <v>19</v>
      </c>
      <c r="T85" s="268"/>
      <c r="U85" s="269"/>
      <c r="V85" s="269"/>
      <c r="W85" s="278">
        <v>0</v>
      </c>
      <c r="X85" s="270"/>
      <c r="Y85" s="262"/>
      <c r="Z85" s="271" t="s">
        <v>27</v>
      </c>
      <c r="AA85" s="287"/>
      <c r="AB85" s="287"/>
      <c r="AC85" s="272">
        <f t="shared" si="3"/>
        <v>0</v>
      </c>
      <c r="AD85" s="272">
        <v>0</v>
      </c>
      <c r="AE85" s="272">
        <f t="shared" si="4"/>
        <v>0</v>
      </c>
      <c r="AF85" s="273"/>
      <c r="AG85" s="274"/>
      <c r="AH85" s="273"/>
      <c r="AI85" s="273"/>
      <c r="AJ85" s="274"/>
      <c r="AK85" s="273"/>
      <c r="AL85" s="275"/>
      <c r="AM85" s="290"/>
      <c r="AN85" s="275"/>
      <c r="AO85" s="276"/>
      <c r="AP85" s="275"/>
      <c r="AQ85" s="275"/>
      <c r="AR85" s="275"/>
      <c r="AS85" s="275"/>
      <c r="AT85" s="275"/>
      <c r="AU85" s="275"/>
      <c r="AV85" s="275"/>
      <c r="AW85" s="275"/>
      <c r="AX85" s="275"/>
      <c r="AY85" s="275"/>
      <c r="AZ85" s="275"/>
      <c r="BA85" s="275"/>
      <c r="BB85" s="275"/>
      <c r="BC85" s="275"/>
      <c r="BD85" s="275"/>
      <c r="BE85" s="275"/>
      <c r="BF85" s="275"/>
      <c r="BH85" s="277"/>
    </row>
    <row r="86" spans="1:60" ht="16.5" hidden="1" customHeight="1" x14ac:dyDescent="0.3">
      <c r="A86" s="260">
        <v>64</v>
      </c>
      <c r="B86" s="261"/>
      <c r="C86" s="261"/>
      <c r="D86" s="262" t="s">
        <v>15</v>
      </c>
      <c r="E86" s="262" t="s">
        <v>113</v>
      </c>
      <c r="F86" s="263" t="s">
        <v>15</v>
      </c>
      <c r="G86" s="264" t="s">
        <v>113</v>
      </c>
      <c r="H86" s="281"/>
      <c r="I86" s="265"/>
      <c r="J86" s="266" t="s">
        <v>661</v>
      </c>
      <c r="K86" s="262"/>
      <c r="L86" s="262"/>
      <c r="M86" s="262">
        <v>24161</v>
      </c>
      <c r="N86" s="262" t="s">
        <v>22</v>
      </c>
      <c r="O86" s="262" t="s">
        <v>35</v>
      </c>
      <c r="P86" s="262" t="s">
        <v>57</v>
      </c>
      <c r="Q86" s="262"/>
      <c r="R86" s="262" t="s">
        <v>19</v>
      </c>
      <c r="S86" s="267" t="s">
        <v>19</v>
      </c>
      <c r="T86" s="268"/>
      <c r="U86" s="269"/>
      <c r="V86" s="269"/>
      <c r="W86" s="278">
        <v>2050000</v>
      </c>
      <c r="X86" s="270"/>
      <c r="Y86" s="262" t="s">
        <v>27</v>
      </c>
      <c r="Z86" s="271" t="s">
        <v>24</v>
      </c>
      <c r="AA86" s="287"/>
      <c r="AB86" s="287"/>
      <c r="AC86" s="272">
        <f t="shared" si="3"/>
        <v>3000000</v>
      </c>
      <c r="AD86" s="272">
        <v>3000000</v>
      </c>
      <c r="AE86" s="272">
        <f t="shared" si="4"/>
        <v>0</v>
      </c>
      <c r="AF86" s="273"/>
      <c r="AG86" s="274"/>
      <c r="AH86" s="273"/>
      <c r="AI86" s="273"/>
      <c r="AJ86" s="274"/>
      <c r="AK86" s="273"/>
      <c r="AL86" s="275"/>
      <c r="AM86" s="290"/>
      <c r="AN86" s="275"/>
      <c r="AO86" s="276"/>
      <c r="AP86" s="275"/>
      <c r="AQ86" s="275"/>
      <c r="AR86" s="275"/>
      <c r="AS86" s="275">
        <v>3000000</v>
      </c>
      <c r="AT86" s="275"/>
      <c r="AU86" s="275"/>
      <c r="AV86" s="275"/>
      <c r="AW86" s="275"/>
      <c r="AX86" s="275"/>
      <c r="AY86" s="275"/>
      <c r="AZ86" s="275"/>
      <c r="BA86" s="275"/>
      <c r="BB86" s="275"/>
      <c r="BC86" s="275"/>
      <c r="BD86" s="275"/>
      <c r="BE86" s="275"/>
      <c r="BF86" s="275"/>
      <c r="BH86" s="277"/>
    </row>
    <row r="87" spans="1:60" ht="16.5" hidden="1" customHeight="1" x14ac:dyDescent="0.3">
      <c r="A87" s="260">
        <v>65</v>
      </c>
      <c r="B87" s="261"/>
      <c r="C87" s="261"/>
      <c r="D87" s="262" t="s">
        <v>15</v>
      </c>
      <c r="E87" s="262" t="s">
        <v>113</v>
      </c>
      <c r="F87" s="263" t="s">
        <v>15</v>
      </c>
      <c r="G87" s="264" t="s">
        <v>113</v>
      </c>
      <c r="H87" s="281"/>
      <c r="I87" s="265"/>
      <c r="J87" s="266" t="s">
        <v>136</v>
      </c>
      <c r="K87" s="262"/>
      <c r="L87" s="262"/>
      <c r="M87" s="262">
        <v>3882</v>
      </c>
      <c r="N87" s="262" t="s">
        <v>22</v>
      </c>
      <c r="O87" s="262" t="s">
        <v>212</v>
      </c>
      <c r="P87" s="262" t="s">
        <v>57</v>
      </c>
      <c r="Q87" s="262" t="s">
        <v>63</v>
      </c>
      <c r="R87" s="262" t="s">
        <v>28</v>
      </c>
      <c r="S87" s="267" t="s">
        <v>28</v>
      </c>
      <c r="T87" s="268" t="s">
        <v>951</v>
      </c>
      <c r="U87" s="269">
        <v>159931995</v>
      </c>
      <c r="V87" s="269">
        <v>129256748</v>
      </c>
      <c r="W87" s="278">
        <v>147993840</v>
      </c>
      <c r="X87" s="270"/>
      <c r="Y87" s="262" t="s">
        <v>27</v>
      </c>
      <c r="Z87" s="271" t="s">
        <v>27</v>
      </c>
      <c r="AA87" s="287"/>
      <c r="AB87" s="287"/>
      <c r="AC87" s="272">
        <f t="shared" ref="AC87:AC150" si="5">AG87+AJ87+AM87+AO87+AQ87+AS87+AU87+AW87+AY87+BA87+BC87+BE87</f>
        <v>122962280</v>
      </c>
      <c r="AD87" s="272">
        <v>122962280</v>
      </c>
      <c r="AE87" s="272">
        <f t="shared" ref="AE87:AE150" si="6">AC87-AD87</f>
        <v>0</v>
      </c>
      <c r="AF87" s="273">
        <v>6921840</v>
      </c>
      <c r="AG87" s="274">
        <v>6540840</v>
      </c>
      <c r="AH87" s="273"/>
      <c r="AI87" s="273">
        <v>6253300</v>
      </c>
      <c r="AJ87" s="274">
        <v>6298300</v>
      </c>
      <c r="AK87" s="273"/>
      <c r="AL87" s="275">
        <v>11771460</v>
      </c>
      <c r="AM87" s="290">
        <v>11771460</v>
      </c>
      <c r="AN87" s="275"/>
      <c r="AO87" s="276">
        <v>9594140</v>
      </c>
      <c r="AP87" s="275"/>
      <c r="AQ87" s="275">
        <v>7757540</v>
      </c>
      <c r="AR87" s="275"/>
      <c r="AS87" s="275">
        <v>8000000</v>
      </c>
      <c r="AT87" s="275"/>
      <c r="AU87" s="275">
        <v>7000000</v>
      </c>
      <c r="AV87" s="275"/>
      <c r="AW87" s="275">
        <v>8000000</v>
      </c>
      <c r="AX87" s="275"/>
      <c r="AY87" s="275">
        <v>25000000</v>
      </c>
      <c r="AZ87" s="275"/>
      <c r="BA87" s="275">
        <v>8000000</v>
      </c>
      <c r="BB87" s="275"/>
      <c r="BC87" s="275">
        <v>15000000</v>
      </c>
      <c r="BD87" s="275"/>
      <c r="BE87" s="275">
        <v>10000000</v>
      </c>
      <c r="BF87" s="275"/>
      <c r="BH87" s="277"/>
    </row>
    <row r="88" spans="1:60" ht="16.5" hidden="1" customHeight="1" x14ac:dyDescent="0.3">
      <c r="A88" s="260">
        <v>66</v>
      </c>
      <c r="B88" s="261"/>
      <c r="C88" s="261"/>
      <c r="D88" s="262" t="s">
        <v>15</v>
      </c>
      <c r="E88" s="262" t="s">
        <v>113</v>
      </c>
      <c r="F88" s="263" t="s">
        <v>15</v>
      </c>
      <c r="G88" s="264" t="s">
        <v>113</v>
      </c>
      <c r="H88" s="281"/>
      <c r="I88" s="265"/>
      <c r="J88" s="266" t="s">
        <v>136</v>
      </c>
      <c r="K88" s="262"/>
      <c r="L88" s="262"/>
      <c r="M88" s="262">
        <v>3882</v>
      </c>
      <c r="N88" s="262" t="s">
        <v>22</v>
      </c>
      <c r="O88" s="262" t="s">
        <v>56</v>
      </c>
      <c r="P88" s="262" t="s">
        <v>57</v>
      </c>
      <c r="Q88" s="262" t="s">
        <v>63</v>
      </c>
      <c r="R88" s="262" t="s">
        <v>28</v>
      </c>
      <c r="S88" s="267" t="s">
        <v>28</v>
      </c>
      <c r="T88" s="268"/>
      <c r="U88" s="269"/>
      <c r="V88" s="269"/>
      <c r="W88" s="278">
        <v>0</v>
      </c>
      <c r="X88" s="270"/>
      <c r="Y88" s="262"/>
      <c r="Z88" s="271" t="s">
        <v>24</v>
      </c>
      <c r="AA88" s="287"/>
      <c r="AB88" s="287"/>
      <c r="AC88" s="272">
        <f t="shared" si="5"/>
        <v>0</v>
      </c>
      <c r="AD88" s="272">
        <v>0</v>
      </c>
      <c r="AE88" s="272">
        <f t="shared" si="6"/>
        <v>0</v>
      </c>
      <c r="AF88" s="273"/>
      <c r="AG88" s="274"/>
      <c r="AH88" s="273" t="s">
        <v>820</v>
      </c>
      <c r="AI88" s="273"/>
      <c r="AJ88" s="274"/>
      <c r="AK88" s="273"/>
      <c r="AL88" s="275"/>
      <c r="AM88" s="290"/>
      <c r="AN88" s="275"/>
      <c r="AO88" s="276"/>
      <c r="AP88" s="275"/>
      <c r="AQ88" s="275"/>
      <c r="AR88" s="275"/>
      <c r="AS88" s="275"/>
      <c r="AT88" s="275"/>
      <c r="AU88" s="275"/>
      <c r="AV88" s="275"/>
      <c r="AW88" s="275"/>
      <c r="AX88" s="275"/>
      <c r="AY88" s="275"/>
      <c r="AZ88" s="275"/>
      <c r="BA88" s="275"/>
      <c r="BB88" s="275"/>
      <c r="BC88" s="275"/>
      <c r="BD88" s="275"/>
      <c r="BE88" s="275"/>
      <c r="BF88" s="275"/>
      <c r="BH88" s="277"/>
    </row>
    <row r="89" spans="1:60" ht="16.5" hidden="1" customHeight="1" x14ac:dyDescent="0.3">
      <c r="A89" s="260">
        <v>67</v>
      </c>
      <c r="B89" s="261"/>
      <c r="C89" s="261"/>
      <c r="D89" s="262" t="s">
        <v>15</v>
      </c>
      <c r="E89" s="262" t="s">
        <v>113</v>
      </c>
      <c r="F89" s="263" t="s">
        <v>15</v>
      </c>
      <c r="G89" s="264" t="s">
        <v>113</v>
      </c>
      <c r="H89" s="281"/>
      <c r="I89" s="265"/>
      <c r="J89" s="266" t="s">
        <v>136</v>
      </c>
      <c r="K89" s="262"/>
      <c r="L89" s="262"/>
      <c r="M89" s="262">
        <v>3882</v>
      </c>
      <c r="N89" s="262" t="s">
        <v>22</v>
      </c>
      <c r="O89" s="262" t="s">
        <v>56</v>
      </c>
      <c r="P89" s="262" t="s">
        <v>57</v>
      </c>
      <c r="Q89" s="262" t="s">
        <v>30</v>
      </c>
      <c r="R89" s="262" t="s">
        <v>31</v>
      </c>
      <c r="S89" s="267" t="s">
        <v>31</v>
      </c>
      <c r="T89" s="268"/>
      <c r="U89" s="269">
        <v>39307000</v>
      </c>
      <c r="V89" s="269">
        <v>42582000</v>
      </c>
      <c r="W89" s="278">
        <v>26124000</v>
      </c>
      <c r="X89" s="270"/>
      <c r="Y89" s="262" t="s">
        <v>27</v>
      </c>
      <c r="Z89" s="271" t="s">
        <v>24</v>
      </c>
      <c r="AA89" s="287"/>
      <c r="AB89" s="287"/>
      <c r="AC89" s="272">
        <f t="shared" si="5"/>
        <v>40000000</v>
      </c>
      <c r="AD89" s="272">
        <v>40000000</v>
      </c>
      <c r="AE89" s="272">
        <f t="shared" si="6"/>
        <v>0</v>
      </c>
      <c r="AF89" s="273"/>
      <c r="AG89" s="274"/>
      <c r="AH89" s="273"/>
      <c r="AI89" s="273"/>
      <c r="AJ89" s="274"/>
      <c r="AK89" s="273"/>
      <c r="AL89" s="275"/>
      <c r="AM89" s="290"/>
      <c r="AN89" s="275"/>
      <c r="AO89" s="276"/>
      <c r="AP89" s="275"/>
      <c r="AQ89" s="275"/>
      <c r="AR89" s="275"/>
      <c r="AS89" s="275">
        <v>15000000</v>
      </c>
      <c r="AT89" s="275"/>
      <c r="AU89" s="275"/>
      <c r="AV89" s="275"/>
      <c r="AW89" s="275"/>
      <c r="AX89" s="275"/>
      <c r="AY89" s="275">
        <v>15000000</v>
      </c>
      <c r="AZ89" s="275"/>
      <c r="BA89" s="275"/>
      <c r="BB89" s="275"/>
      <c r="BC89" s="275">
        <v>10000000</v>
      </c>
      <c r="BD89" s="275"/>
      <c r="BE89" s="275"/>
      <c r="BF89" s="275"/>
      <c r="BH89" s="277"/>
    </row>
    <row r="90" spans="1:60" ht="16.5" hidden="1" customHeight="1" x14ac:dyDescent="0.3">
      <c r="A90" s="260">
        <v>68</v>
      </c>
      <c r="B90" s="261"/>
      <c r="C90" s="261"/>
      <c r="D90" s="262" t="s">
        <v>15</v>
      </c>
      <c r="E90" s="262" t="s">
        <v>113</v>
      </c>
      <c r="F90" s="263" t="s">
        <v>15</v>
      </c>
      <c r="G90" s="264" t="s">
        <v>113</v>
      </c>
      <c r="H90" s="281"/>
      <c r="I90" s="265"/>
      <c r="J90" s="266" t="s">
        <v>136</v>
      </c>
      <c r="K90" s="262"/>
      <c r="L90" s="262"/>
      <c r="M90" s="262">
        <v>3882</v>
      </c>
      <c r="N90" s="262" t="s">
        <v>22</v>
      </c>
      <c r="O90" s="262" t="s">
        <v>56</v>
      </c>
      <c r="P90" s="262" t="s">
        <v>57</v>
      </c>
      <c r="Q90" s="262" t="s">
        <v>46</v>
      </c>
      <c r="R90" s="262" t="s">
        <v>47</v>
      </c>
      <c r="S90" s="267" t="s">
        <v>47</v>
      </c>
      <c r="T90" s="268"/>
      <c r="U90" s="269">
        <v>60000000</v>
      </c>
      <c r="V90" s="269">
        <v>60000000</v>
      </c>
      <c r="W90" s="278">
        <v>60000000</v>
      </c>
      <c r="X90" s="270"/>
      <c r="Y90" s="262" t="s">
        <v>27</v>
      </c>
      <c r="Z90" s="271" t="s">
        <v>27</v>
      </c>
      <c r="AA90" s="287"/>
      <c r="AB90" s="287"/>
      <c r="AC90" s="272">
        <f t="shared" si="5"/>
        <v>20000000</v>
      </c>
      <c r="AD90" s="272">
        <v>20000000</v>
      </c>
      <c r="AE90" s="272">
        <f t="shared" si="6"/>
        <v>0</v>
      </c>
      <c r="AF90" s="273">
        <v>5000000</v>
      </c>
      <c r="AG90" s="274">
        <v>5000000</v>
      </c>
      <c r="AH90" s="273"/>
      <c r="AI90" s="273">
        <v>5000000</v>
      </c>
      <c r="AJ90" s="274">
        <v>5000000</v>
      </c>
      <c r="AK90" s="273"/>
      <c r="AL90" s="275">
        <v>5000000</v>
      </c>
      <c r="AM90" s="290">
        <v>5000000</v>
      </c>
      <c r="AN90" s="275"/>
      <c r="AO90" s="276">
        <v>5000000</v>
      </c>
      <c r="AP90" s="275"/>
      <c r="AQ90" s="275"/>
      <c r="AR90" s="275"/>
      <c r="AS90" s="275"/>
      <c r="AT90" s="275"/>
      <c r="AU90" s="275"/>
      <c r="AV90" s="275"/>
      <c r="AW90" s="275"/>
      <c r="AX90" s="275"/>
      <c r="AY90" s="275"/>
      <c r="AZ90" s="275"/>
      <c r="BA90" s="275"/>
      <c r="BB90" s="275"/>
      <c r="BC90" s="275"/>
      <c r="BD90" s="275"/>
      <c r="BE90" s="275"/>
      <c r="BF90" s="275"/>
      <c r="BH90" s="277"/>
    </row>
    <row r="91" spans="1:60" ht="16.5" hidden="1" customHeight="1" x14ac:dyDescent="0.3">
      <c r="A91" s="260">
        <v>69</v>
      </c>
      <c r="B91" s="261"/>
      <c r="C91" s="261"/>
      <c r="D91" s="262" t="s">
        <v>15</v>
      </c>
      <c r="E91" s="262" t="s">
        <v>113</v>
      </c>
      <c r="F91" s="263" t="s">
        <v>15</v>
      </c>
      <c r="G91" s="264" t="s">
        <v>113</v>
      </c>
      <c r="H91" s="281"/>
      <c r="I91" s="265"/>
      <c r="J91" s="266" t="s">
        <v>136</v>
      </c>
      <c r="K91" s="262"/>
      <c r="L91" s="262"/>
      <c r="M91" s="262">
        <v>3882</v>
      </c>
      <c r="N91" s="262" t="s">
        <v>22</v>
      </c>
      <c r="O91" s="262" t="s">
        <v>56</v>
      </c>
      <c r="P91" s="262" t="s">
        <v>57</v>
      </c>
      <c r="Q91" s="262" t="s">
        <v>23</v>
      </c>
      <c r="R91" s="262" t="s">
        <v>397</v>
      </c>
      <c r="S91" s="267" t="s">
        <v>823</v>
      </c>
      <c r="T91" s="268"/>
      <c r="U91" s="269"/>
      <c r="V91" s="269">
        <v>0</v>
      </c>
      <c r="W91" s="278">
        <v>5400000</v>
      </c>
      <c r="X91" s="270"/>
      <c r="Y91" s="262" t="s">
        <v>24</v>
      </c>
      <c r="Z91" s="271" t="s">
        <v>27</v>
      </c>
      <c r="AA91" s="287"/>
      <c r="AB91" s="287"/>
      <c r="AC91" s="272">
        <f t="shared" si="5"/>
        <v>7400000</v>
      </c>
      <c r="AD91" s="272">
        <v>7400000</v>
      </c>
      <c r="AE91" s="272">
        <f t="shared" si="6"/>
        <v>0</v>
      </c>
      <c r="AF91" s="273"/>
      <c r="AG91" s="274"/>
      <c r="AH91" s="273"/>
      <c r="AI91" s="273"/>
      <c r="AJ91" s="274"/>
      <c r="AK91" s="273"/>
      <c r="AL91" s="275">
        <v>5400000</v>
      </c>
      <c r="AM91" s="290"/>
      <c r="AN91" s="275"/>
      <c r="AO91" s="276">
        <v>5400000</v>
      </c>
      <c r="AP91" s="275"/>
      <c r="AQ91" s="275"/>
      <c r="AR91" s="275"/>
      <c r="AS91" s="275"/>
      <c r="AT91" s="275"/>
      <c r="AU91" s="275">
        <v>2000000</v>
      </c>
      <c r="AV91" s="275"/>
      <c r="AW91" s="275"/>
      <c r="AX91" s="275"/>
      <c r="AY91" s="275"/>
      <c r="AZ91" s="275"/>
      <c r="BA91" s="275"/>
      <c r="BB91" s="275"/>
      <c r="BC91" s="275"/>
      <c r="BD91" s="275"/>
      <c r="BE91" s="275"/>
      <c r="BF91" s="275"/>
      <c r="BH91" s="277"/>
    </row>
    <row r="92" spans="1:60" ht="16.5" hidden="1" customHeight="1" x14ac:dyDescent="0.3">
      <c r="A92" s="260">
        <v>70</v>
      </c>
      <c r="B92" s="261"/>
      <c r="C92" s="261"/>
      <c r="D92" s="262" t="s">
        <v>15</v>
      </c>
      <c r="E92" s="262" t="s">
        <v>113</v>
      </c>
      <c r="F92" s="263" t="s">
        <v>15</v>
      </c>
      <c r="G92" s="264" t="s">
        <v>113</v>
      </c>
      <c r="H92" s="281"/>
      <c r="I92" s="265"/>
      <c r="J92" s="266" t="s">
        <v>137</v>
      </c>
      <c r="K92" s="262"/>
      <c r="L92" s="262"/>
      <c r="M92" s="262">
        <v>42782</v>
      </c>
      <c r="N92" s="262" t="s">
        <v>22</v>
      </c>
      <c r="O92" s="262" t="s">
        <v>212</v>
      </c>
      <c r="P92" s="262" t="s">
        <v>57</v>
      </c>
      <c r="Q92" s="262" t="s">
        <v>54</v>
      </c>
      <c r="R92" s="262" t="s">
        <v>467</v>
      </c>
      <c r="S92" s="267" t="s">
        <v>826</v>
      </c>
      <c r="T92" s="268"/>
      <c r="U92" s="269">
        <v>13311000</v>
      </c>
      <c r="V92" s="269">
        <v>18641000</v>
      </c>
      <c r="W92" s="278">
        <v>23581000</v>
      </c>
      <c r="X92" s="270"/>
      <c r="Y92" s="262" t="s">
        <v>27</v>
      </c>
      <c r="Z92" s="271" t="s">
        <v>27</v>
      </c>
      <c r="AA92" s="287"/>
      <c r="AB92" s="287"/>
      <c r="AC92" s="272">
        <f t="shared" si="5"/>
        <v>24000000</v>
      </c>
      <c r="AD92" s="272">
        <v>24000000</v>
      </c>
      <c r="AE92" s="272">
        <f t="shared" si="6"/>
        <v>0</v>
      </c>
      <c r="AF92" s="273"/>
      <c r="AG92" s="274"/>
      <c r="AH92" s="273"/>
      <c r="AI92" s="273"/>
      <c r="AJ92" s="274"/>
      <c r="AK92" s="273"/>
      <c r="AL92" s="275"/>
      <c r="AM92" s="290"/>
      <c r="AN92" s="275"/>
      <c r="AO92" s="276"/>
      <c r="AP92" s="275"/>
      <c r="AQ92" s="275"/>
      <c r="AR92" s="275"/>
      <c r="AS92" s="275">
        <v>12000000</v>
      </c>
      <c r="AT92" s="275"/>
      <c r="AU92" s="275"/>
      <c r="AV92" s="275"/>
      <c r="AW92" s="275"/>
      <c r="AX92" s="275"/>
      <c r="AY92" s="275"/>
      <c r="AZ92" s="275"/>
      <c r="BA92" s="275">
        <v>12000000</v>
      </c>
      <c r="BB92" s="275"/>
      <c r="BC92" s="275"/>
      <c r="BD92" s="275"/>
      <c r="BE92" s="275"/>
      <c r="BF92" s="275"/>
      <c r="BH92" s="277"/>
    </row>
    <row r="93" spans="1:60" ht="16.5" hidden="1" customHeight="1" x14ac:dyDescent="0.3">
      <c r="A93" s="260">
        <v>71</v>
      </c>
      <c r="B93" s="261"/>
      <c r="C93" s="261"/>
      <c r="D93" s="262" t="s">
        <v>15</v>
      </c>
      <c r="E93" s="262" t="s">
        <v>113</v>
      </c>
      <c r="F93" s="263" t="s">
        <v>15</v>
      </c>
      <c r="G93" s="264" t="s">
        <v>113</v>
      </c>
      <c r="H93" s="281"/>
      <c r="I93" s="265"/>
      <c r="J93" s="266" t="s">
        <v>138</v>
      </c>
      <c r="K93" s="262"/>
      <c r="L93" s="262"/>
      <c r="M93" s="262">
        <v>46076</v>
      </c>
      <c r="N93" s="262" t="s">
        <v>22</v>
      </c>
      <c r="O93" s="262" t="s">
        <v>212</v>
      </c>
      <c r="P93" s="262" t="s">
        <v>57</v>
      </c>
      <c r="Q93" s="262" t="s">
        <v>63</v>
      </c>
      <c r="R93" s="262" t="s">
        <v>28</v>
      </c>
      <c r="S93" s="267" t="s">
        <v>28</v>
      </c>
      <c r="T93" s="268" t="s">
        <v>951</v>
      </c>
      <c r="U93" s="269">
        <v>200134396</v>
      </c>
      <c r="V93" s="269">
        <v>195137580</v>
      </c>
      <c r="W93" s="278">
        <v>140881440</v>
      </c>
      <c r="X93" s="270"/>
      <c r="Y93" s="262" t="s">
        <v>27</v>
      </c>
      <c r="Z93" s="271" t="s">
        <v>27</v>
      </c>
      <c r="AA93" s="287"/>
      <c r="AB93" s="287"/>
      <c r="AC93" s="272">
        <f t="shared" si="5"/>
        <v>113000000</v>
      </c>
      <c r="AD93" s="272">
        <v>113000000</v>
      </c>
      <c r="AE93" s="272">
        <f t="shared" si="6"/>
        <v>0</v>
      </c>
      <c r="AF93" s="273"/>
      <c r="AG93" s="274"/>
      <c r="AH93" s="273"/>
      <c r="AI93" s="273"/>
      <c r="AJ93" s="274"/>
      <c r="AK93" s="273"/>
      <c r="AL93" s="275"/>
      <c r="AM93" s="290"/>
      <c r="AN93" s="275"/>
      <c r="AO93" s="276">
        <v>38000000</v>
      </c>
      <c r="AP93" s="275"/>
      <c r="AQ93" s="275"/>
      <c r="AR93" s="275"/>
      <c r="AS93" s="275"/>
      <c r="AT93" s="275"/>
      <c r="AU93" s="275">
        <v>25000000</v>
      </c>
      <c r="AV93" s="275"/>
      <c r="AW93" s="275"/>
      <c r="AX93" s="275"/>
      <c r="AY93" s="275"/>
      <c r="AZ93" s="275"/>
      <c r="BA93" s="275">
        <v>25000000</v>
      </c>
      <c r="BB93" s="275"/>
      <c r="BC93" s="275"/>
      <c r="BD93" s="275"/>
      <c r="BE93" s="275">
        <v>25000000</v>
      </c>
      <c r="BF93" s="275"/>
      <c r="BH93" s="277"/>
    </row>
    <row r="94" spans="1:60" ht="16.5" hidden="1" customHeight="1" x14ac:dyDescent="0.3">
      <c r="A94" s="260">
        <v>72</v>
      </c>
      <c r="B94" s="261"/>
      <c r="C94" s="261"/>
      <c r="D94" s="262" t="s">
        <v>15</v>
      </c>
      <c r="E94" s="262" t="s">
        <v>113</v>
      </c>
      <c r="F94" s="263" t="s">
        <v>15</v>
      </c>
      <c r="G94" s="264" t="s">
        <v>113</v>
      </c>
      <c r="H94" s="281"/>
      <c r="I94" s="265"/>
      <c r="J94" s="266" t="s">
        <v>138</v>
      </c>
      <c r="K94" s="262"/>
      <c r="L94" s="262"/>
      <c r="M94" s="262">
        <v>46076</v>
      </c>
      <c r="N94" s="262" t="s">
        <v>22</v>
      </c>
      <c r="O94" s="262" t="s">
        <v>56</v>
      </c>
      <c r="P94" s="262" t="s">
        <v>57</v>
      </c>
      <c r="Q94" s="262" t="s">
        <v>63</v>
      </c>
      <c r="R94" s="262" t="s">
        <v>28</v>
      </c>
      <c r="S94" s="267" t="s">
        <v>28</v>
      </c>
      <c r="T94" s="268"/>
      <c r="U94" s="269"/>
      <c r="V94" s="269">
        <v>0</v>
      </c>
      <c r="W94" s="278">
        <v>0</v>
      </c>
      <c r="X94" s="270"/>
      <c r="Y94" s="262" t="s">
        <v>24</v>
      </c>
      <c r="Z94" s="271" t="s">
        <v>24</v>
      </c>
      <c r="AA94" s="287"/>
      <c r="AB94" s="287"/>
      <c r="AC94" s="272">
        <f t="shared" si="5"/>
        <v>90000000</v>
      </c>
      <c r="AD94" s="272">
        <v>90000000</v>
      </c>
      <c r="AE94" s="272">
        <f t="shared" si="6"/>
        <v>0</v>
      </c>
      <c r="AF94" s="273"/>
      <c r="AG94" s="274"/>
      <c r="AH94" s="273"/>
      <c r="AI94" s="273"/>
      <c r="AJ94" s="274"/>
      <c r="AK94" s="273"/>
      <c r="AL94" s="275"/>
      <c r="AM94" s="290"/>
      <c r="AN94" s="275"/>
      <c r="AO94" s="276"/>
      <c r="AP94" s="275"/>
      <c r="AQ94" s="275"/>
      <c r="AR94" s="275"/>
      <c r="AS94" s="275"/>
      <c r="AT94" s="275"/>
      <c r="AU94" s="275">
        <v>30000000</v>
      </c>
      <c r="AV94" s="275"/>
      <c r="AW94" s="275"/>
      <c r="AX94" s="275"/>
      <c r="AY94" s="275"/>
      <c r="AZ94" s="275"/>
      <c r="BA94" s="275">
        <v>30000000</v>
      </c>
      <c r="BB94" s="275"/>
      <c r="BC94" s="275"/>
      <c r="BD94" s="275"/>
      <c r="BE94" s="275">
        <v>30000000</v>
      </c>
      <c r="BF94" s="275"/>
      <c r="BH94" s="277"/>
    </row>
    <row r="95" spans="1:60" ht="16.5" hidden="1" customHeight="1" x14ac:dyDescent="0.3">
      <c r="A95" s="260">
        <v>73</v>
      </c>
      <c r="B95" s="261"/>
      <c r="C95" s="261"/>
      <c r="D95" s="262" t="s">
        <v>15</v>
      </c>
      <c r="E95" s="262" t="s">
        <v>113</v>
      </c>
      <c r="F95" s="263" t="s">
        <v>15</v>
      </c>
      <c r="G95" s="264" t="s">
        <v>113</v>
      </c>
      <c r="H95" s="281"/>
      <c r="I95" s="265"/>
      <c r="J95" s="266" t="s">
        <v>138</v>
      </c>
      <c r="K95" s="262"/>
      <c r="L95" s="262"/>
      <c r="M95" s="262">
        <v>46076</v>
      </c>
      <c r="N95" s="262" t="s">
        <v>22</v>
      </c>
      <c r="O95" s="262" t="s">
        <v>35</v>
      </c>
      <c r="P95" s="262" t="s">
        <v>57</v>
      </c>
      <c r="Q95" s="262"/>
      <c r="R95" s="262"/>
      <c r="S95" s="267" t="s">
        <v>822</v>
      </c>
      <c r="T95" s="268"/>
      <c r="U95" s="269"/>
      <c r="V95" s="269"/>
      <c r="W95" s="278">
        <v>0</v>
      </c>
      <c r="X95" s="270"/>
      <c r="Y95" s="262"/>
      <c r="Z95" s="271" t="s">
        <v>25</v>
      </c>
      <c r="AA95" s="287"/>
      <c r="AB95" s="287"/>
      <c r="AC95" s="272">
        <f t="shared" si="5"/>
        <v>20000000</v>
      </c>
      <c r="AD95" s="272">
        <v>20000000</v>
      </c>
      <c r="AE95" s="272">
        <f t="shared" si="6"/>
        <v>0</v>
      </c>
      <c r="AF95" s="273"/>
      <c r="AG95" s="274"/>
      <c r="AH95" s="273"/>
      <c r="AI95" s="273"/>
      <c r="AJ95" s="274"/>
      <c r="AK95" s="273"/>
      <c r="AL95" s="275"/>
      <c r="AM95" s="290"/>
      <c r="AN95" s="275"/>
      <c r="AO95" s="276"/>
      <c r="AP95" s="275"/>
      <c r="AQ95" s="291">
        <v>20000000</v>
      </c>
      <c r="AR95" s="275"/>
      <c r="AS95" s="275"/>
      <c r="AT95" s="275"/>
      <c r="AU95" s="275"/>
      <c r="AV95" s="275"/>
      <c r="AW95" s="275"/>
      <c r="AX95" s="275"/>
      <c r="AY95" s="275"/>
      <c r="AZ95" s="275"/>
      <c r="BA95" s="275"/>
      <c r="BB95" s="275"/>
      <c r="BC95" s="275"/>
      <c r="BD95" s="275"/>
      <c r="BE95" s="275"/>
      <c r="BF95" s="275"/>
      <c r="BH95" s="277"/>
    </row>
    <row r="96" spans="1:60" ht="16.5" hidden="1" customHeight="1" x14ac:dyDescent="0.3">
      <c r="A96" s="260">
        <v>74</v>
      </c>
      <c r="B96" s="261"/>
      <c r="C96" s="261"/>
      <c r="D96" s="262" t="s">
        <v>15</v>
      </c>
      <c r="E96" s="262" t="s">
        <v>113</v>
      </c>
      <c r="F96" s="263" t="s">
        <v>15</v>
      </c>
      <c r="G96" s="264" t="s">
        <v>113</v>
      </c>
      <c r="H96" s="281"/>
      <c r="I96" s="265"/>
      <c r="J96" s="266" t="s">
        <v>138</v>
      </c>
      <c r="K96" s="262"/>
      <c r="L96" s="262"/>
      <c r="M96" s="262">
        <v>46076</v>
      </c>
      <c r="N96" s="262" t="s">
        <v>22</v>
      </c>
      <c r="O96" s="262" t="s">
        <v>56</v>
      </c>
      <c r="P96" s="262" t="s">
        <v>57</v>
      </c>
      <c r="Q96" s="262" t="s">
        <v>23</v>
      </c>
      <c r="R96" s="262" t="s">
        <v>397</v>
      </c>
      <c r="S96" s="267" t="s">
        <v>823</v>
      </c>
      <c r="T96" s="268"/>
      <c r="U96" s="269"/>
      <c r="V96" s="269">
        <v>6742500</v>
      </c>
      <c r="W96" s="278">
        <v>4000000</v>
      </c>
      <c r="X96" s="270"/>
      <c r="Y96" s="262" t="s">
        <v>27</v>
      </c>
      <c r="Z96" s="271" t="s">
        <v>24</v>
      </c>
      <c r="AA96" s="287"/>
      <c r="AB96" s="287"/>
      <c r="AC96" s="272">
        <f t="shared" si="5"/>
        <v>5000000</v>
      </c>
      <c r="AD96" s="272">
        <v>5000000</v>
      </c>
      <c r="AE96" s="272">
        <f t="shared" si="6"/>
        <v>0</v>
      </c>
      <c r="AF96" s="273"/>
      <c r="AG96" s="274"/>
      <c r="AH96" s="273"/>
      <c r="AI96" s="273"/>
      <c r="AJ96" s="274"/>
      <c r="AK96" s="273"/>
      <c r="AL96" s="275"/>
      <c r="AM96" s="290"/>
      <c r="AN96" s="275"/>
      <c r="AO96" s="276"/>
      <c r="AP96" s="275"/>
      <c r="AQ96" s="275">
        <v>5000000</v>
      </c>
      <c r="AR96" s="275"/>
      <c r="AS96" s="275"/>
      <c r="AT96" s="275"/>
      <c r="AU96" s="275"/>
      <c r="AV96" s="275"/>
      <c r="AW96" s="275"/>
      <c r="AX96" s="275"/>
      <c r="AY96" s="275"/>
      <c r="AZ96" s="275"/>
      <c r="BA96" s="275"/>
      <c r="BB96" s="275"/>
      <c r="BC96" s="275"/>
      <c r="BD96" s="275"/>
      <c r="BE96" s="275"/>
      <c r="BF96" s="275"/>
      <c r="BH96" s="277"/>
    </row>
    <row r="97" spans="1:60" ht="16.5" hidden="1" customHeight="1" x14ac:dyDescent="0.3">
      <c r="A97" s="260">
        <v>75</v>
      </c>
      <c r="B97" s="261"/>
      <c r="C97" s="261"/>
      <c r="D97" s="262" t="s">
        <v>15</v>
      </c>
      <c r="E97" s="262" t="s">
        <v>113</v>
      </c>
      <c r="F97" s="263" t="s">
        <v>15</v>
      </c>
      <c r="G97" s="264" t="s">
        <v>113</v>
      </c>
      <c r="H97" s="281"/>
      <c r="I97" s="265"/>
      <c r="J97" s="266" t="s">
        <v>139</v>
      </c>
      <c r="K97" s="262"/>
      <c r="L97" s="262"/>
      <c r="M97" s="262">
        <v>58628</v>
      </c>
      <c r="N97" s="262" t="s">
        <v>22</v>
      </c>
      <c r="O97" s="262" t="s">
        <v>212</v>
      </c>
      <c r="P97" s="262" t="s">
        <v>57</v>
      </c>
      <c r="Q97" s="262" t="s">
        <v>63</v>
      </c>
      <c r="R97" s="262" t="s">
        <v>28</v>
      </c>
      <c r="S97" s="267" t="s">
        <v>28</v>
      </c>
      <c r="T97" s="268"/>
      <c r="U97" s="269">
        <v>3455820</v>
      </c>
      <c r="V97" s="269">
        <v>0</v>
      </c>
      <c r="W97" s="278">
        <v>0</v>
      </c>
      <c r="X97" s="270"/>
      <c r="Y97" s="262" t="s">
        <v>27</v>
      </c>
      <c r="Z97" s="271" t="s">
        <v>27</v>
      </c>
      <c r="AA97" s="287"/>
      <c r="AB97" s="287"/>
      <c r="AC97" s="272">
        <f t="shared" si="5"/>
        <v>3000000</v>
      </c>
      <c r="AD97" s="272">
        <v>3000000</v>
      </c>
      <c r="AE97" s="272">
        <f t="shared" si="6"/>
        <v>0</v>
      </c>
      <c r="AF97" s="273"/>
      <c r="AG97" s="274"/>
      <c r="AH97" s="273"/>
      <c r="AI97" s="273"/>
      <c r="AJ97" s="274"/>
      <c r="AK97" s="273"/>
      <c r="AL97" s="275"/>
      <c r="AM97" s="290"/>
      <c r="AN97" s="275"/>
      <c r="AO97" s="276"/>
      <c r="AP97" s="275"/>
      <c r="AQ97" s="275"/>
      <c r="AR97" s="275"/>
      <c r="AS97" s="275"/>
      <c r="AT97" s="275"/>
      <c r="AU97" s="275">
        <v>1000000</v>
      </c>
      <c r="AV97" s="275"/>
      <c r="AW97" s="275"/>
      <c r="AX97" s="275"/>
      <c r="AY97" s="275">
        <v>1000000</v>
      </c>
      <c r="AZ97" s="275"/>
      <c r="BA97" s="275"/>
      <c r="BB97" s="275"/>
      <c r="BC97" s="275">
        <v>1000000</v>
      </c>
      <c r="BD97" s="275"/>
      <c r="BE97" s="275"/>
      <c r="BF97" s="275"/>
      <c r="BH97" s="277"/>
    </row>
    <row r="98" spans="1:60" ht="16.5" hidden="1" customHeight="1" x14ac:dyDescent="0.3">
      <c r="A98" s="260">
        <v>76</v>
      </c>
      <c r="B98" s="261"/>
      <c r="C98" s="261"/>
      <c r="D98" s="262" t="s">
        <v>15</v>
      </c>
      <c r="E98" s="262" t="s">
        <v>113</v>
      </c>
      <c r="F98" s="263" t="s">
        <v>15</v>
      </c>
      <c r="G98" s="264" t="s">
        <v>113</v>
      </c>
      <c r="H98" s="281"/>
      <c r="I98" s="265"/>
      <c r="J98" s="266" t="s">
        <v>139</v>
      </c>
      <c r="K98" s="262"/>
      <c r="L98" s="262"/>
      <c r="M98" s="262">
        <v>58628</v>
      </c>
      <c r="N98" s="262" t="s">
        <v>22</v>
      </c>
      <c r="O98" s="262" t="s">
        <v>212</v>
      </c>
      <c r="P98" s="262"/>
      <c r="Q98" s="262" t="s">
        <v>26</v>
      </c>
      <c r="R98" s="262" t="s">
        <v>468</v>
      </c>
      <c r="S98" s="267" t="s">
        <v>468</v>
      </c>
      <c r="T98" s="268"/>
      <c r="U98" s="269">
        <v>7200000</v>
      </c>
      <c r="V98" s="269">
        <v>0</v>
      </c>
      <c r="W98" s="278">
        <v>0</v>
      </c>
      <c r="X98" s="270"/>
      <c r="Y98" s="262" t="s">
        <v>24</v>
      </c>
      <c r="Z98" s="271" t="s">
        <v>24</v>
      </c>
      <c r="AA98" s="287"/>
      <c r="AB98" s="287"/>
      <c r="AC98" s="272">
        <f t="shared" si="5"/>
        <v>6000000</v>
      </c>
      <c r="AD98" s="272">
        <v>6000000</v>
      </c>
      <c r="AE98" s="272">
        <f t="shared" si="6"/>
        <v>0</v>
      </c>
      <c r="AF98" s="273"/>
      <c r="AG98" s="274"/>
      <c r="AH98" s="273"/>
      <c r="AI98" s="273"/>
      <c r="AJ98" s="274"/>
      <c r="AK98" s="273"/>
      <c r="AL98" s="275"/>
      <c r="AM98" s="290"/>
      <c r="AN98" s="275"/>
      <c r="AO98" s="276"/>
      <c r="AP98" s="275"/>
      <c r="AQ98" s="291">
        <v>3000000</v>
      </c>
      <c r="AR98" s="275"/>
      <c r="AS98" s="275"/>
      <c r="AT98" s="275"/>
      <c r="AU98" s="275"/>
      <c r="AV98" s="275"/>
      <c r="AW98" s="275"/>
      <c r="AX98" s="275"/>
      <c r="AY98" s="275">
        <v>3000000</v>
      </c>
      <c r="AZ98" s="275"/>
      <c r="BA98" s="275"/>
      <c r="BB98" s="275"/>
      <c r="BC98" s="275"/>
      <c r="BD98" s="275"/>
      <c r="BE98" s="275"/>
      <c r="BF98" s="275"/>
      <c r="BH98" s="277"/>
    </row>
    <row r="99" spans="1:60" ht="16.5" hidden="1" customHeight="1" x14ac:dyDescent="0.3">
      <c r="A99" s="260">
        <v>77</v>
      </c>
      <c r="B99" s="261"/>
      <c r="C99" s="261"/>
      <c r="D99" s="262"/>
      <c r="E99" s="262"/>
      <c r="F99" s="263" t="s">
        <v>15</v>
      </c>
      <c r="G99" s="264" t="s">
        <v>113</v>
      </c>
      <c r="H99" s="281"/>
      <c r="I99" s="265"/>
      <c r="J99" s="266" t="s">
        <v>953</v>
      </c>
      <c r="K99" s="262"/>
      <c r="L99" s="262"/>
      <c r="M99" s="262" t="s">
        <v>954</v>
      </c>
      <c r="N99" s="262"/>
      <c r="O99" s="262"/>
      <c r="P99" s="262"/>
      <c r="Q99" s="262"/>
      <c r="R99" s="262"/>
      <c r="S99" s="267" t="s">
        <v>28</v>
      </c>
      <c r="T99" s="268"/>
      <c r="U99" s="269"/>
      <c r="V99" s="269"/>
      <c r="W99" s="278">
        <v>0</v>
      </c>
      <c r="X99" s="270"/>
      <c r="Y99" s="262"/>
      <c r="Z99" s="271" t="s">
        <v>27</v>
      </c>
      <c r="AA99" s="287"/>
      <c r="AB99" s="287"/>
      <c r="AC99" s="272">
        <f t="shared" si="5"/>
        <v>29000000</v>
      </c>
      <c r="AD99" s="272">
        <v>29000000</v>
      </c>
      <c r="AE99" s="272">
        <f t="shared" si="6"/>
        <v>0</v>
      </c>
      <c r="AF99" s="273"/>
      <c r="AG99" s="274"/>
      <c r="AH99" s="273"/>
      <c r="AI99" s="273"/>
      <c r="AJ99" s="274"/>
      <c r="AK99" s="273"/>
      <c r="AL99" s="275"/>
      <c r="AM99" s="290"/>
      <c r="AN99" s="275"/>
      <c r="AO99" s="276"/>
      <c r="AP99" s="275"/>
      <c r="AQ99" s="275">
        <v>4000000</v>
      </c>
      <c r="AR99" s="275"/>
      <c r="AS99" s="275">
        <v>4000000</v>
      </c>
      <c r="AT99" s="275"/>
      <c r="AU99" s="275">
        <v>4000000</v>
      </c>
      <c r="AV99" s="275"/>
      <c r="AW99" s="275">
        <v>3000000</v>
      </c>
      <c r="AX99" s="275"/>
      <c r="AY99" s="275">
        <v>4000000</v>
      </c>
      <c r="AZ99" s="275"/>
      <c r="BA99" s="275">
        <v>3000000</v>
      </c>
      <c r="BB99" s="275"/>
      <c r="BC99" s="275">
        <v>4000000</v>
      </c>
      <c r="BD99" s="275"/>
      <c r="BE99" s="275">
        <v>3000000</v>
      </c>
      <c r="BF99" s="275"/>
      <c r="BH99" s="277"/>
    </row>
    <row r="100" spans="1:60" ht="16.5" hidden="1" customHeight="1" x14ac:dyDescent="0.3">
      <c r="A100" s="260">
        <v>78</v>
      </c>
      <c r="B100" s="261"/>
      <c r="C100" s="261"/>
      <c r="D100" s="262" t="s">
        <v>15</v>
      </c>
      <c r="E100" s="262" t="s">
        <v>113</v>
      </c>
      <c r="F100" s="263" t="s">
        <v>15</v>
      </c>
      <c r="G100" s="264" t="s">
        <v>113</v>
      </c>
      <c r="H100" s="281"/>
      <c r="I100" s="265"/>
      <c r="J100" s="266" t="s">
        <v>140</v>
      </c>
      <c r="K100" s="262"/>
      <c r="L100" s="262"/>
      <c r="M100" s="262">
        <v>57803</v>
      </c>
      <c r="N100" s="262" t="s">
        <v>22</v>
      </c>
      <c r="O100" s="262" t="s">
        <v>212</v>
      </c>
      <c r="P100" s="262" t="s">
        <v>57</v>
      </c>
      <c r="Q100" s="262" t="s">
        <v>18</v>
      </c>
      <c r="R100" s="262" t="s">
        <v>28</v>
      </c>
      <c r="S100" s="267" t="s">
        <v>28</v>
      </c>
      <c r="T100" s="268" t="s">
        <v>951</v>
      </c>
      <c r="U100" s="269">
        <v>34758092</v>
      </c>
      <c r="V100" s="269">
        <v>97799622</v>
      </c>
      <c r="W100" s="278">
        <v>109304300</v>
      </c>
      <c r="X100" s="270"/>
      <c r="Y100" s="262" t="s">
        <v>27</v>
      </c>
      <c r="Z100" s="271" t="s">
        <v>27</v>
      </c>
      <c r="AA100" s="287"/>
      <c r="AB100" s="287"/>
      <c r="AC100" s="272">
        <f t="shared" si="5"/>
        <v>96329420</v>
      </c>
      <c r="AD100" s="272">
        <v>96329420</v>
      </c>
      <c r="AE100" s="272">
        <f t="shared" si="6"/>
        <v>0</v>
      </c>
      <c r="AF100" s="273">
        <v>7416100</v>
      </c>
      <c r="AG100" s="274">
        <v>10204500</v>
      </c>
      <c r="AH100" s="273"/>
      <c r="AI100" s="273">
        <v>6000000</v>
      </c>
      <c r="AJ100" s="274">
        <v>7915300</v>
      </c>
      <c r="AK100" s="273"/>
      <c r="AL100" s="275">
        <v>7450380</v>
      </c>
      <c r="AM100" s="290">
        <v>7450380</v>
      </c>
      <c r="AN100" s="275"/>
      <c r="AO100" s="276">
        <v>7759240</v>
      </c>
      <c r="AP100" s="275"/>
      <c r="AQ100" s="275">
        <v>6000000</v>
      </c>
      <c r="AR100" s="275"/>
      <c r="AS100" s="275">
        <v>6000000</v>
      </c>
      <c r="AT100" s="275"/>
      <c r="AU100" s="275">
        <v>6000000</v>
      </c>
      <c r="AV100" s="275"/>
      <c r="AW100" s="275">
        <v>7000000</v>
      </c>
      <c r="AX100" s="275"/>
      <c r="AY100" s="275">
        <v>6000000</v>
      </c>
      <c r="AZ100" s="275"/>
      <c r="BA100" s="275">
        <v>7000000</v>
      </c>
      <c r="BB100" s="275"/>
      <c r="BC100" s="275">
        <v>15000000</v>
      </c>
      <c r="BD100" s="275"/>
      <c r="BE100" s="275">
        <v>10000000</v>
      </c>
      <c r="BF100" s="275"/>
      <c r="BH100" s="277"/>
    </row>
    <row r="101" spans="1:60" ht="16.5" hidden="1" customHeight="1" x14ac:dyDescent="0.3">
      <c r="A101" s="260">
        <v>79</v>
      </c>
      <c r="B101" s="261"/>
      <c r="C101" s="261"/>
      <c r="D101" s="262" t="s">
        <v>15</v>
      </c>
      <c r="E101" s="262" t="s">
        <v>113</v>
      </c>
      <c r="F101" s="263" t="s">
        <v>15</v>
      </c>
      <c r="G101" s="264" t="s">
        <v>113</v>
      </c>
      <c r="H101" s="281"/>
      <c r="I101" s="265"/>
      <c r="J101" s="266" t="s">
        <v>140</v>
      </c>
      <c r="K101" s="262"/>
      <c r="L101" s="262"/>
      <c r="M101" s="262">
        <v>4654</v>
      </c>
      <c r="N101" s="262" t="s">
        <v>22</v>
      </c>
      <c r="O101" s="262" t="s">
        <v>212</v>
      </c>
      <c r="P101" s="262"/>
      <c r="Q101" s="262" t="s">
        <v>26</v>
      </c>
      <c r="R101" s="262" t="s">
        <v>468</v>
      </c>
      <c r="S101" s="267" t="s">
        <v>468</v>
      </c>
      <c r="T101" s="268"/>
      <c r="U101" s="269"/>
      <c r="V101" s="269">
        <v>0</v>
      </c>
      <c r="W101" s="278">
        <v>0</v>
      </c>
      <c r="X101" s="270"/>
      <c r="Y101" s="262" t="s">
        <v>24</v>
      </c>
      <c r="Z101" s="271" t="s">
        <v>25</v>
      </c>
      <c r="AA101" s="287"/>
      <c r="AB101" s="287"/>
      <c r="AC101" s="272">
        <f t="shared" si="5"/>
        <v>5000000</v>
      </c>
      <c r="AD101" s="272">
        <v>5000000</v>
      </c>
      <c r="AE101" s="272">
        <f t="shared" si="6"/>
        <v>0</v>
      </c>
      <c r="AF101" s="273"/>
      <c r="AG101" s="274"/>
      <c r="AH101" s="273"/>
      <c r="AI101" s="273"/>
      <c r="AJ101" s="274"/>
      <c r="AK101" s="273"/>
      <c r="AL101" s="275"/>
      <c r="AM101" s="290"/>
      <c r="AN101" s="275"/>
      <c r="AO101" s="276"/>
      <c r="AP101" s="275"/>
      <c r="AQ101" s="291">
        <v>5000000</v>
      </c>
      <c r="AR101" s="275"/>
      <c r="AS101" s="275"/>
      <c r="AT101" s="275"/>
      <c r="AU101" s="275"/>
      <c r="AV101" s="275"/>
      <c r="AW101" s="275"/>
      <c r="AX101" s="275"/>
      <c r="AY101" s="275"/>
      <c r="AZ101" s="275"/>
      <c r="BA101" s="275"/>
      <c r="BB101" s="275"/>
      <c r="BC101" s="275"/>
      <c r="BD101" s="275"/>
      <c r="BE101" s="275"/>
      <c r="BF101" s="275"/>
      <c r="BH101" s="277"/>
    </row>
    <row r="102" spans="1:60" ht="16.5" hidden="1" customHeight="1" x14ac:dyDescent="0.3">
      <c r="A102" s="260">
        <v>80</v>
      </c>
      <c r="B102" s="261"/>
      <c r="C102" s="261"/>
      <c r="D102" s="262" t="s">
        <v>15</v>
      </c>
      <c r="E102" s="262" t="s">
        <v>113</v>
      </c>
      <c r="F102" s="263" t="s">
        <v>15</v>
      </c>
      <c r="G102" s="264" t="s">
        <v>113</v>
      </c>
      <c r="H102" s="281"/>
      <c r="I102" s="265"/>
      <c r="J102" s="266" t="s">
        <v>141</v>
      </c>
      <c r="K102" s="262"/>
      <c r="L102" s="262"/>
      <c r="M102" s="262">
        <v>46253</v>
      </c>
      <c r="N102" s="262" t="s">
        <v>17</v>
      </c>
      <c r="O102" s="262" t="s">
        <v>212</v>
      </c>
      <c r="P102" s="262" t="s">
        <v>57</v>
      </c>
      <c r="Q102" s="262" t="s">
        <v>63</v>
      </c>
      <c r="R102" s="262" t="s">
        <v>19</v>
      </c>
      <c r="S102" s="267" t="s">
        <v>19</v>
      </c>
      <c r="T102" s="268"/>
      <c r="U102" s="269">
        <v>17248000</v>
      </c>
      <c r="V102" s="269">
        <v>13000000</v>
      </c>
      <c r="W102" s="278">
        <v>9015000</v>
      </c>
      <c r="X102" s="270"/>
      <c r="Y102" s="262" t="s">
        <v>27</v>
      </c>
      <c r="Z102" s="271" t="s">
        <v>24</v>
      </c>
      <c r="AA102" s="287"/>
      <c r="AB102" s="287"/>
      <c r="AC102" s="272">
        <f t="shared" si="5"/>
        <v>10000000</v>
      </c>
      <c r="AD102" s="272">
        <v>10000000</v>
      </c>
      <c r="AE102" s="272">
        <f t="shared" si="6"/>
        <v>0</v>
      </c>
      <c r="AF102" s="273"/>
      <c r="AG102" s="274"/>
      <c r="AH102" s="273"/>
      <c r="AI102" s="273"/>
      <c r="AJ102" s="274"/>
      <c r="AK102" s="273"/>
      <c r="AL102" s="275"/>
      <c r="AM102" s="290"/>
      <c r="AN102" s="275"/>
      <c r="AO102" s="276"/>
      <c r="AP102" s="275"/>
      <c r="AQ102" s="291">
        <v>5000000</v>
      </c>
      <c r="AR102" s="275"/>
      <c r="AS102" s="275"/>
      <c r="AT102" s="275"/>
      <c r="AU102" s="275"/>
      <c r="AV102" s="275"/>
      <c r="AW102" s="275"/>
      <c r="AX102" s="275"/>
      <c r="AY102" s="275"/>
      <c r="AZ102" s="275"/>
      <c r="BA102" s="275">
        <v>5000000</v>
      </c>
      <c r="BB102" s="275"/>
      <c r="BC102" s="275"/>
      <c r="BD102" s="275"/>
      <c r="BE102" s="275"/>
      <c r="BF102" s="275"/>
      <c r="BH102" s="277"/>
    </row>
    <row r="103" spans="1:60" ht="16.5" hidden="1" customHeight="1" x14ac:dyDescent="0.3">
      <c r="A103" s="260">
        <v>81</v>
      </c>
      <c r="B103" s="261"/>
      <c r="C103" s="261"/>
      <c r="D103" s="262" t="s">
        <v>15</v>
      </c>
      <c r="E103" s="262" t="s">
        <v>113</v>
      </c>
      <c r="F103" s="263" t="s">
        <v>15</v>
      </c>
      <c r="G103" s="264" t="s">
        <v>113</v>
      </c>
      <c r="H103" s="281"/>
      <c r="I103" s="265"/>
      <c r="J103" s="266" t="s">
        <v>141</v>
      </c>
      <c r="K103" s="262"/>
      <c r="L103" s="262"/>
      <c r="M103" s="262">
        <v>46253</v>
      </c>
      <c r="N103" s="262" t="s">
        <v>17</v>
      </c>
      <c r="O103" s="262" t="s">
        <v>212</v>
      </c>
      <c r="P103" s="262" t="s">
        <v>57</v>
      </c>
      <c r="Q103" s="262" t="s">
        <v>46</v>
      </c>
      <c r="R103" s="262" t="s">
        <v>47</v>
      </c>
      <c r="S103" s="267" t="s">
        <v>47</v>
      </c>
      <c r="T103" s="268"/>
      <c r="U103" s="269">
        <v>50000000</v>
      </c>
      <c r="V103" s="269">
        <v>37000000</v>
      </c>
      <c r="W103" s="278">
        <v>50000000</v>
      </c>
      <c r="X103" s="270"/>
      <c r="Y103" s="262" t="s">
        <v>27</v>
      </c>
      <c r="Z103" s="271" t="s">
        <v>27</v>
      </c>
      <c r="AA103" s="287"/>
      <c r="AB103" s="287"/>
      <c r="AC103" s="272">
        <f t="shared" si="5"/>
        <v>20000000</v>
      </c>
      <c r="AD103" s="272">
        <v>20000000</v>
      </c>
      <c r="AE103" s="272">
        <f t="shared" si="6"/>
        <v>0</v>
      </c>
      <c r="AF103" s="273">
        <v>4000000</v>
      </c>
      <c r="AG103" s="274">
        <v>4000000</v>
      </c>
      <c r="AH103" s="273"/>
      <c r="AI103" s="273">
        <v>4000000</v>
      </c>
      <c r="AJ103" s="274">
        <v>4000000</v>
      </c>
      <c r="AK103" s="273"/>
      <c r="AL103" s="275">
        <v>4000000</v>
      </c>
      <c r="AM103" s="290">
        <v>4000000</v>
      </c>
      <c r="AN103" s="275"/>
      <c r="AO103" s="276">
        <v>4000000</v>
      </c>
      <c r="AP103" s="275"/>
      <c r="AQ103" s="275">
        <v>4000000</v>
      </c>
      <c r="AR103" s="275"/>
      <c r="AS103" s="275"/>
      <c r="AT103" s="275"/>
      <c r="AU103" s="275"/>
      <c r="AV103" s="275"/>
      <c r="AW103" s="275"/>
      <c r="AX103" s="275"/>
      <c r="AY103" s="275"/>
      <c r="AZ103" s="275"/>
      <c r="BA103" s="275"/>
      <c r="BB103" s="275"/>
      <c r="BC103" s="275"/>
      <c r="BD103" s="275"/>
      <c r="BE103" s="275"/>
      <c r="BF103" s="275"/>
      <c r="BH103" s="277"/>
    </row>
    <row r="104" spans="1:60" ht="16.5" hidden="1" customHeight="1" x14ac:dyDescent="0.3">
      <c r="A104" s="260">
        <v>82</v>
      </c>
      <c r="B104" s="261"/>
      <c r="C104" s="261"/>
      <c r="D104" s="262" t="s">
        <v>15</v>
      </c>
      <c r="E104" s="262" t="s">
        <v>113</v>
      </c>
      <c r="F104" s="263" t="s">
        <v>15</v>
      </c>
      <c r="G104" s="264" t="s">
        <v>113</v>
      </c>
      <c r="H104" s="281"/>
      <c r="I104" s="265"/>
      <c r="J104" s="266" t="s">
        <v>141</v>
      </c>
      <c r="K104" s="262"/>
      <c r="L104" s="262"/>
      <c r="M104" s="262">
        <v>46253</v>
      </c>
      <c r="N104" s="262" t="s">
        <v>17</v>
      </c>
      <c r="O104" s="262" t="s">
        <v>212</v>
      </c>
      <c r="P104" s="262" t="s">
        <v>57</v>
      </c>
      <c r="Q104" s="262" t="s">
        <v>46</v>
      </c>
      <c r="R104" s="262" t="s">
        <v>47</v>
      </c>
      <c r="S104" s="267" t="s">
        <v>47</v>
      </c>
      <c r="T104" s="268"/>
      <c r="U104" s="269"/>
      <c r="V104" s="269"/>
      <c r="W104" s="278">
        <v>0</v>
      </c>
      <c r="X104" s="270"/>
      <c r="Y104" s="262"/>
      <c r="Z104" s="271" t="s">
        <v>24</v>
      </c>
      <c r="AA104" s="287"/>
      <c r="AB104" s="287"/>
      <c r="AC104" s="272">
        <f t="shared" si="5"/>
        <v>30000000</v>
      </c>
      <c r="AD104" s="272">
        <v>30000000</v>
      </c>
      <c r="AE104" s="272">
        <f t="shared" si="6"/>
        <v>0</v>
      </c>
      <c r="AF104" s="273"/>
      <c r="AG104" s="274"/>
      <c r="AH104" s="273"/>
      <c r="AI104" s="273"/>
      <c r="AJ104" s="274"/>
      <c r="AK104" s="273"/>
      <c r="AL104" s="275"/>
      <c r="AM104" s="290"/>
      <c r="AN104" s="275"/>
      <c r="AO104" s="276"/>
      <c r="AP104" s="275"/>
      <c r="AQ104" s="275"/>
      <c r="AR104" s="275"/>
      <c r="AS104" s="275">
        <v>5000000</v>
      </c>
      <c r="AT104" s="275"/>
      <c r="AU104" s="275">
        <v>4000000</v>
      </c>
      <c r="AV104" s="275"/>
      <c r="AW104" s="275">
        <v>4000000</v>
      </c>
      <c r="AX104" s="275"/>
      <c r="AY104" s="275">
        <v>4000000</v>
      </c>
      <c r="AZ104" s="275"/>
      <c r="BA104" s="275">
        <v>4000000</v>
      </c>
      <c r="BB104" s="275"/>
      <c r="BC104" s="275">
        <v>5000000</v>
      </c>
      <c r="BD104" s="275"/>
      <c r="BE104" s="275">
        <v>4000000</v>
      </c>
      <c r="BF104" s="275"/>
      <c r="BH104" s="277"/>
    </row>
    <row r="105" spans="1:60" ht="16.5" hidden="1" customHeight="1" x14ac:dyDescent="0.3">
      <c r="A105" s="260">
        <v>83</v>
      </c>
      <c r="B105" s="261"/>
      <c r="C105" s="261"/>
      <c r="D105" s="262" t="s">
        <v>15</v>
      </c>
      <c r="E105" s="262" t="s">
        <v>113</v>
      </c>
      <c r="F105" s="263" t="s">
        <v>15</v>
      </c>
      <c r="G105" s="264" t="s">
        <v>113</v>
      </c>
      <c r="H105" s="281"/>
      <c r="I105" s="265"/>
      <c r="J105" s="266" t="s">
        <v>141</v>
      </c>
      <c r="K105" s="262"/>
      <c r="L105" s="262"/>
      <c r="M105" s="262">
        <v>46253</v>
      </c>
      <c r="N105" s="262" t="s">
        <v>22</v>
      </c>
      <c r="O105" s="262" t="s">
        <v>212</v>
      </c>
      <c r="P105" s="262" t="s">
        <v>57</v>
      </c>
      <c r="Q105" s="262" t="s">
        <v>44</v>
      </c>
      <c r="R105" s="262" t="s">
        <v>469</v>
      </c>
      <c r="S105" s="267" t="s">
        <v>469</v>
      </c>
      <c r="T105" s="268"/>
      <c r="U105" s="269">
        <v>12000000</v>
      </c>
      <c r="V105" s="269">
        <v>9500000</v>
      </c>
      <c r="W105" s="278">
        <v>10197000</v>
      </c>
      <c r="X105" s="270"/>
      <c r="Y105" s="262" t="s">
        <v>27</v>
      </c>
      <c r="Z105" s="271" t="s">
        <v>25</v>
      </c>
      <c r="AA105" s="287"/>
      <c r="AB105" s="287"/>
      <c r="AC105" s="272">
        <f t="shared" si="5"/>
        <v>11000000</v>
      </c>
      <c r="AD105" s="272">
        <v>11000000</v>
      </c>
      <c r="AE105" s="272">
        <f t="shared" si="6"/>
        <v>0</v>
      </c>
      <c r="AF105" s="273"/>
      <c r="AG105" s="274"/>
      <c r="AH105" s="273"/>
      <c r="AI105" s="273"/>
      <c r="AJ105" s="274"/>
      <c r="AK105" s="273"/>
      <c r="AL105" s="275"/>
      <c r="AM105" s="290"/>
      <c r="AN105" s="275"/>
      <c r="AO105" s="276"/>
      <c r="AP105" s="275"/>
      <c r="AQ105" s="291">
        <v>5000000</v>
      </c>
      <c r="AR105" s="275"/>
      <c r="AS105" s="275"/>
      <c r="AT105" s="275"/>
      <c r="AU105" s="275"/>
      <c r="AV105" s="275"/>
      <c r="AW105" s="275">
        <v>6000000</v>
      </c>
      <c r="AX105" s="275"/>
      <c r="AY105" s="275"/>
      <c r="AZ105" s="275"/>
      <c r="BA105" s="275"/>
      <c r="BB105" s="275"/>
      <c r="BC105" s="275"/>
      <c r="BD105" s="275"/>
      <c r="BE105" s="275"/>
      <c r="BF105" s="275"/>
      <c r="BH105" s="277"/>
    </row>
    <row r="106" spans="1:60" ht="16.5" hidden="1" customHeight="1" x14ac:dyDescent="0.3">
      <c r="A106" s="260">
        <v>84</v>
      </c>
      <c r="B106" s="261"/>
      <c r="C106" s="261"/>
      <c r="D106" s="262" t="s">
        <v>15</v>
      </c>
      <c r="E106" s="262" t="s">
        <v>113</v>
      </c>
      <c r="F106" s="263" t="s">
        <v>15</v>
      </c>
      <c r="G106" s="264" t="s">
        <v>113</v>
      </c>
      <c r="H106" s="281"/>
      <c r="I106" s="265"/>
      <c r="J106" s="266" t="s">
        <v>142</v>
      </c>
      <c r="K106" s="262"/>
      <c r="L106" s="262"/>
      <c r="M106" s="262">
        <v>18365</v>
      </c>
      <c r="N106" s="262" t="s">
        <v>17</v>
      </c>
      <c r="O106" s="262" t="s">
        <v>212</v>
      </c>
      <c r="P106" s="262" t="s">
        <v>57</v>
      </c>
      <c r="Q106" s="262" t="s">
        <v>18</v>
      </c>
      <c r="R106" s="262" t="s">
        <v>19</v>
      </c>
      <c r="S106" s="267" t="s">
        <v>19</v>
      </c>
      <c r="T106" s="268" t="s">
        <v>951</v>
      </c>
      <c r="U106" s="269">
        <v>5144000</v>
      </c>
      <c r="V106" s="269">
        <v>9164000</v>
      </c>
      <c r="W106" s="278">
        <v>2511000</v>
      </c>
      <c r="X106" s="270"/>
      <c r="Y106" s="262" t="s">
        <v>27</v>
      </c>
      <c r="Z106" s="271" t="s">
        <v>27</v>
      </c>
      <c r="AA106" s="287"/>
      <c r="AB106" s="287"/>
      <c r="AC106" s="272">
        <f t="shared" si="5"/>
        <v>9000000</v>
      </c>
      <c r="AD106" s="272">
        <v>9000000</v>
      </c>
      <c r="AE106" s="272">
        <f t="shared" si="6"/>
        <v>0</v>
      </c>
      <c r="AF106" s="273"/>
      <c r="AG106" s="274"/>
      <c r="AH106" s="273"/>
      <c r="AI106" s="273">
        <v>1000000</v>
      </c>
      <c r="AJ106" s="274"/>
      <c r="AK106" s="273"/>
      <c r="AL106" s="275"/>
      <c r="AM106" s="290"/>
      <c r="AN106" s="275"/>
      <c r="AO106" s="276">
        <v>1000000</v>
      </c>
      <c r="AP106" s="275"/>
      <c r="AQ106" s="275">
        <v>1000000</v>
      </c>
      <c r="AR106" s="275"/>
      <c r="AS106" s="275">
        <v>1000000</v>
      </c>
      <c r="AT106" s="275"/>
      <c r="AU106" s="275">
        <v>1000000</v>
      </c>
      <c r="AV106" s="275"/>
      <c r="AW106" s="275">
        <v>1000000</v>
      </c>
      <c r="AX106" s="275"/>
      <c r="AY106" s="275">
        <v>1000000</v>
      </c>
      <c r="AZ106" s="275"/>
      <c r="BA106" s="275">
        <v>1000000</v>
      </c>
      <c r="BB106" s="275"/>
      <c r="BC106" s="275">
        <v>1000000</v>
      </c>
      <c r="BD106" s="275"/>
      <c r="BE106" s="275">
        <v>1000000</v>
      </c>
      <c r="BF106" s="275"/>
      <c r="BH106" s="277"/>
    </row>
    <row r="107" spans="1:60" ht="16.5" hidden="1" customHeight="1" x14ac:dyDescent="0.3">
      <c r="A107" s="260">
        <v>85</v>
      </c>
      <c r="B107" s="261"/>
      <c r="C107" s="261"/>
      <c r="D107" s="262" t="s">
        <v>15</v>
      </c>
      <c r="E107" s="262" t="s">
        <v>113</v>
      </c>
      <c r="F107" s="263" t="s">
        <v>15</v>
      </c>
      <c r="G107" s="264" t="s">
        <v>113</v>
      </c>
      <c r="H107" s="281"/>
      <c r="I107" s="265"/>
      <c r="J107" s="266" t="s">
        <v>169</v>
      </c>
      <c r="K107" s="262"/>
      <c r="L107" s="262"/>
      <c r="M107" s="262">
        <v>58702</v>
      </c>
      <c r="N107" s="262" t="s">
        <v>22</v>
      </c>
      <c r="O107" s="262" t="s">
        <v>56</v>
      </c>
      <c r="P107" s="262" t="s">
        <v>124</v>
      </c>
      <c r="Q107" s="262" t="s">
        <v>23</v>
      </c>
      <c r="R107" s="262" t="s">
        <v>397</v>
      </c>
      <c r="S107" s="267" t="s">
        <v>823</v>
      </c>
      <c r="T107" s="268"/>
      <c r="U107" s="269">
        <v>19000000</v>
      </c>
      <c r="V107" s="269">
        <v>9000000</v>
      </c>
      <c r="W107" s="278">
        <v>0</v>
      </c>
      <c r="X107" s="270"/>
      <c r="Y107" s="262" t="s">
        <v>20</v>
      </c>
      <c r="Z107" s="271" t="s">
        <v>20</v>
      </c>
      <c r="AA107" s="287"/>
      <c r="AB107" s="287"/>
      <c r="AC107" s="272">
        <f t="shared" si="5"/>
        <v>0</v>
      </c>
      <c r="AD107" s="272">
        <v>0</v>
      </c>
      <c r="AE107" s="272">
        <f t="shared" si="6"/>
        <v>0</v>
      </c>
      <c r="AF107" s="273"/>
      <c r="AG107" s="274"/>
      <c r="AH107" s="273"/>
      <c r="AI107" s="273"/>
      <c r="AJ107" s="274"/>
      <c r="AK107" s="273"/>
      <c r="AL107" s="275"/>
      <c r="AM107" s="290"/>
      <c r="AN107" s="275"/>
      <c r="AO107" s="276"/>
      <c r="AP107" s="275"/>
      <c r="AQ107" s="275"/>
      <c r="AR107" s="275"/>
      <c r="AS107" s="275"/>
      <c r="AT107" s="275"/>
      <c r="AU107" s="275"/>
      <c r="AV107" s="275"/>
      <c r="AW107" s="275"/>
      <c r="AX107" s="275"/>
      <c r="AY107" s="275"/>
      <c r="AZ107" s="275"/>
      <c r="BA107" s="275"/>
      <c r="BB107" s="275"/>
      <c r="BC107" s="275"/>
      <c r="BD107" s="275"/>
      <c r="BE107" s="275"/>
      <c r="BF107" s="275"/>
      <c r="BH107" s="277"/>
    </row>
    <row r="108" spans="1:60" ht="16.5" hidden="1" customHeight="1" x14ac:dyDescent="0.3">
      <c r="A108" s="260">
        <v>86</v>
      </c>
      <c r="B108" s="261"/>
      <c r="C108" s="261"/>
      <c r="D108" s="262" t="s">
        <v>15</v>
      </c>
      <c r="E108" s="262" t="s">
        <v>113</v>
      </c>
      <c r="F108" s="263" t="s">
        <v>15</v>
      </c>
      <c r="G108" s="264" t="s">
        <v>113</v>
      </c>
      <c r="H108" s="281"/>
      <c r="I108" s="265"/>
      <c r="J108" s="266" t="s">
        <v>170</v>
      </c>
      <c r="K108" s="262"/>
      <c r="L108" s="262"/>
      <c r="M108" s="262">
        <v>2156</v>
      </c>
      <c r="N108" s="262"/>
      <c r="O108" s="262"/>
      <c r="P108" s="262"/>
      <c r="Q108" s="262"/>
      <c r="R108" s="262"/>
      <c r="S108" s="267" t="s">
        <v>28</v>
      </c>
      <c r="T108" s="268"/>
      <c r="U108" s="269"/>
      <c r="V108" s="269"/>
      <c r="W108" s="278">
        <v>14996300</v>
      </c>
      <c r="X108" s="270"/>
      <c r="Y108" s="262"/>
      <c r="Z108" s="271" t="s">
        <v>718</v>
      </c>
      <c r="AA108" s="287"/>
      <c r="AB108" s="287"/>
      <c r="AC108" s="272">
        <f t="shared" si="5"/>
        <v>0</v>
      </c>
      <c r="AD108" s="272">
        <v>0</v>
      </c>
      <c r="AE108" s="272">
        <f t="shared" si="6"/>
        <v>0</v>
      </c>
      <c r="AF108" s="273"/>
      <c r="AG108" s="274"/>
      <c r="AH108" s="273"/>
      <c r="AI108" s="273"/>
      <c r="AJ108" s="274"/>
      <c r="AK108" s="273"/>
      <c r="AL108" s="275"/>
      <c r="AM108" s="290"/>
      <c r="AN108" s="275"/>
      <c r="AO108" s="276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H108" s="277"/>
    </row>
    <row r="109" spans="1:60" ht="16.5" hidden="1" customHeight="1" x14ac:dyDescent="0.3">
      <c r="A109" s="260">
        <v>87</v>
      </c>
      <c r="B109" s="261"/>
      <c r="C109" s="261"/>
      <c r="D109" s="262" t="s">
        <v>15</v>
      </c>
      <c r="E109" s="262" t="s">
        <v>113</v>
      </c>
      <c r="F109" s="263" t="s">
        <v>15</v>
      </c>
      <c r="G109" s="264" t="s">
        <v>113</v>
      </c>
      <c r="H109" s="281"/>
      <c r="I109" s="265"/>
      <c r="J109" s="266" t="s">
        <v>170</v>
      </c>
      <c r="K109" s="262"/>
      <c r="L109" s="262"/>
      <c r="M109" s="262">
        <v>2156</v>
      </c>
      <c r="N109" s="262" t="s">
        <v>22</v>
      </c>
      <c r="O109" s="262" t="s">
        <v>56</v>
      </c>
      <c r="P109" s="262" t="s">
        <v>124</v>
      </c>
      <c r="Q109" s="262" t="s">
        <v>18</v>
      </c>
      <c r="R109" s="262" t="s">
        <v>19</v>
      </c>
      <c r="S109" s="267" t="s">
        <v>19</v>
      </c>
      <c r="T109" s="268"/>
      <c r="U109" s="269">
        <v>43214200</v>
      </c>
      <c r="V109" s="269">
        <v>13867120</v>
      </c>
      <c r="W109" s="278">
        <v>0</v>
      </c>
      <c r="X109" s="270"/>
      <c r="Y109" s="262" t="s">
        <v>20</v>
      </c>
      <c r="Z109" s="271" t="s">
        <v>20</v>
      </c>
      <c r="AA109" s="287"/>
      <c r="AB109" s="287"/>
      <c r="AC109" s="272">
        <f t="shared" si="5"/>
        <v>0</v>
      </c>
      <c r="AD109" s="272">
        <v>0</v>
      </c>
      <c r="AE109" s="272">
        <f t="shared" si="6"/>
        <v>0</v>
      </c>
      <c r="AF109" s="273"/>
      <c r="AG109" s="274"/>
      <c r="AH109" s="273"/>
      <c r="AI109" s="273"/>
      <c r="AJ109" s="274"/>
      <c r="AK109" s="273"/>
      <c r="AL109" s="275"/>
      <c r="AM109" s="290"/>
      <c r="AN109" s="275"/>
      <c r="AO109" s="276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H109" s="277"/>
    </row>
    <row r="110" spans="1:60" ht="16.5" hidden="1" customHeight="1" x14ac:dyDescent="0.3">
      <c r="A110" s="260">
        <v>88</v>
      </c>
      <c r="B110" s="261"/>
      <c r="C110" s="261"/>
      <c r="D110" s="262" t="s">
        <v>15</v>
      </c>
      <c r="E110" s="262" t="s">
        <v>113</v>
      </c>
      <c r="F110" s="263" t="s">
        <v>15</v>
      </c>
      <c r="G110" s="264" t="s">
        <v>113</v>
      </c>
      <c r="H110" s="281"/>
      <c r="I110" s="265"/>
      <c r="J110" s="266" t="s">
        <v>170</v>
      </c>
      <c r="K110" s="262"/>
      <c r="L110" s="262"/>
      <c r="M110" s="262">
        <v>2156</v>
      </c>
      <c r="N110" s="262" t="s">
        <v>22</v>
      </c>
      <c r="O110" s="262"/>
      <c r="P110" s="262" t="s">
        <v>124</v>
      </c>
      <c r="Q110" s="262" t="s">
        <v>23</v>
      </c>
      <c r="R110" s="262" t="s">
        <v>397</v>
      </c>
      <c r="S110" s="267" t="s">
        <v>823</v>
      </c>
      <c r="T110" s="268"/>
      <c r="U110" s="269"/>
      <c r="V110" s="269">
        <v>3100000</v>
      </c>
      <c r="W110" s="278">
        <v>0</v>
      </c>
      <c r="X110" s="270"/>
      <c r="Y110" s="262" t="s">
        <v>20</v>
      </c>
      <c r="Z110" s="271" t="s">
        <v>20</v>
      </c>
      <c r="AA110" s="287"/>
      <c r="AB110" s="287"/>
      <c r="AC110" s="272">
        <f t="shared" si="5"/>
        <v>0</v>
      </c>
      <c r="AD110" s="272">
        <v>0</v>
      </c>
      <c r="AE110" s="272">
        <f t="shared" si="6"/>
        <v>0</v>
      </c>
      <c r="AF110" s="273"/>
      <c r="AG110" s="274"/>
      <c r="AH110" s="273"/>
      <c r="AI110" s="273"/>
      <c r="AJ110" s="274"/>
      <c r="AK110" s="273"/>
      <c r="AL110" s="275"/>
      <c r="AM110" s="290"/>
      <c r="AN110" s="275"/>
      <c r="AO110" s="276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H110" s="277"/>
    </row>
    <row r="111" spans="1:60" ht="16.5" hidden="1" customHeight="1" x14ac:dyDescent="0.3">
      <c r="A111" s="260">
        <v>89</v>
      </c>
      <c r="B111" s="261"/>
      <c r="C111" s="261"/>
      <c r="D111" s="262" t="s">
        <v>15</v>
      </c>
      <c r="E111" s="262" t="s">
        <v>113</v>
      </c>
      <c r="F111" s="263" t="s">
        <v>15</v>
      </c>
      <c r="G111" s="264" t="s">
        <v>113</v>
      </c>
      <c r="H111" s="281"/>
      <c r="I111" s="265"/>
      <c r="J111" s="266" t="s">
        <v>171</v>
      </c>
      <c r="K111" s="262"/>
      <c r="L111" s="262"/>
      <c r="M111" s="262">
        <v>2156</v>
      </c>
      <c r="N111" s="262" t="s">
        <v>22</v>
      </c>
      <c r="O111" s="262" t="s">
        <v>56</v>
      </c>
      <c r="P111" s="262"/>
      <c r="Q111" s="262" t="s">
        <v>26</v>
      </c>
      <c r="R111" s="262" t="s">
        <v>468</v>
      </c>
      <c r="S111" s="267" t="s">
        <v>468</v>
      </c>
      <c r="T111" s="268"/>
      <c r="U111" s="269">
        <v>2200000</v>
      </c>
      <c r="V111" s="269">
        <v>2400000</v>
      </c>
      <c r="W111" s="278">
        <v>0</v>
      </c>
      <c r="X111" s="270"/>
      <c r="Y111" s="262" t="s">
        <v>20</v>
      </c>
      <c r="Z111" s="271" t="s">
        <v>20</v>
      </c>
      <c r="AA111" s="287"/>
      <c r="AB111" s="287"/>
      <c r="AC111" s="272">
        <f t="shared" si="5"/>
        <v>0</v>
      </c>
      <c r="AD111" s="272">
        <v>0</v>
      </c>
      <c r="AE111" s="272">
        <f t="shared" si="6"/>
        <v>0</v>
      </c>
      <c r="AF111" s="273"/>
      <c r="AG111" s="274"/>
      <c r="AH111" s="273"/>
      <c r="AI111" s="273"/>
      <c r="AJ111" s="274"/>
      <c r="AK111" s="273"/>
      <c r="AL111" s="275"/>
      <c r="AM111" s="290"/>
      <c r="AN111" s="275"/>
      <c r="AO111" s="276"/>
      <c r="AP111" s="275"/>
      <c r="AQ111" s="275"/>
      <c r="AR111" s="275"/>
      <c r="AS111" s="275"/>
      <c r="AT111" s="275"/>
      <c r="AU111" s="275"/>
      <c r="AV111" s="275"/>
      <c r="AW111" s="275"/>
      <c r="AX111" s="275"/>
      <c r="AY111" s="275"/>
      <c r="AZ111" s="275"/>
      <c r="BA111" s="275"/>
      <c r="BB111" s="275"/>
      <c r="BC111" s="275"/>
      <c r="BD111" s="275"/>
      <c r="BE111" s="275"/>
      <c r="BF111" s="275"/>
      <c r="BH111" s="277"/>
    </row>
    <row r="112" spans="1:60" ht="16.5" hidden="1" customHeight="1" x14ac:dyDescent="0.3">
      <c r="A112" s="260">
        <v>90</v>
      </c>
      <c r="B112" s="261"/>
      <c r="C112" s="261"/>
      <c r="D112" s="262" t="s">
        <v>15</v>
      </c>
      <c r="E112" s="262" t="s">
        <v>113</v>
      </c>
      <c r="F112" s="263" t="s">
        <v>15</v>
      </c>
      <c r="G112" s="264" t="s">
        <v>113</v>
      </c>
      <c r="H112" s="281"/>
      <c r="I112" s="265"/>
      <c r="J112" s="266" t="s">
        <v>172</v>
      </c>
      <c r="K112" s="262"/>
      <c r="L112" s="262"/>
      <c r="M112" s="262">
        <v>2156</v>
      </c>
      <c r="N112" s="262" t="s">
        <v>22</v>
      </c>
      <c r="O112" s="262"/>
      <c r="P112" s="262"/>
      <c r="Q112" s="262" t="s">
        <v>46</v>
      </c>
      <c r="R112" s="262" t="s">
        <v>47</v>
      </c>
      <c r="S112" s="267" t="s">
        <v>47</v>
      </c>
      <c r="T112" s="268"/>
      <c r="U112" s="269">
        <v>0</v>
      </c>
      <c r="V112" s="269">
        <v>0</v>
      </c>
      <c r="W112" s="278">
        <v>0</v>
      </c>
      <c r="X112" s="270"/>
      <c r="Y112" s="262" t="s">
        <v>20</v>
      </c>
      <c r="Z112" s="271" t="s">
        <v>20</v>
      </c>
      <c r="AA112" s="287"/>
      <c r="AB112" s="287"/>
      <c r="AC112" s="272">
        <f t="shared" si="5"/>
        <v>0</v>
      </c>
      <c r="AD112" s="272">
        <v>0</v>
      </c>
      <c r="AE112" s="272">
        <f t="shared" si="6"/>
        <v>0</v>
      </c>
      <c r="AF112" s="273"/>
      <c r="AG112" s="274"/>
      <c r="AH112" s="273"/>
      <c r="AI112" s="273"/>
      <c r="AJ112" s="274"/>
      <c r="AK112" s="273"/>
      <c r="AL112" s="275"/>
      <c r="AM112" s="290"/>
      <c r="AN112" s="275"/>
      <c r="AO112" s="276"/>
      <c r="AP112" s="275"/>
      <c r="AQ112" s="275"/>
      <c r="AR112" s="275"/>
      <c r="AS112" s="275"/>
      <c r="AT112" s="275"/>
      <c r="AU112" s="275"/>
      <c r="AV112" s="275"/>
      <c r="AW112" s="275"/>
      <c r="AX112" s="275"/>
      <c r="AY112" s="275"/>
      <c r="AZ112" s="275"/>
      <c r="BA112" s="275"/>
      <c r="BB112" s="275"/>
      <c r="BC112" s="275"/>
      <c r="BD112" s="275"/>
      <c r="BE112" s="275"/>
      <c r="BF112" s="275"/>
      <c r="BH112" s="277"/>
    </row>
    <row r="113" spans="1:60" ht="16.5" hidden="1" customHeight="1" x14ac:dyDescent="0.3">
      <c r="A113" s="260">
        <v>91</v>
      </c>
      <c r="B113" s="261"/>
      <c r="C113" s="261"/>
      <c r="D113" s="262" t="s">
        <v>331</v>
      </c>
      <c r="E113" s="262" t="s">
        <v>1</v>
      </c>
      <c r="F113" s="263" t="s">
        <v>15</v>
      </c>
      <c r="G113" s="264" t="s">
        <v>113</v>
      </c>
      <c r="H113" s="281"/>
      <c r="I113" s="265"/>
      <c r="J113" s="266" t="s">
        <v>795</v>
      </c>
      <c r="K113" s="262"/>
      <c r="L113" s="262"/>
      <c r="M113" s="262">
        <v>20272</v>
      </c>
      <c r="N113" s="262" t="s">
        <v>22</v>
      </c>
      <c r="O113" s="262"/>
      <c r="P113" s="262"/>
      <c r="Q113" s="262" t="s">
        <v>30</v>
      </c>
      <c r="R113" s="262" t="s">
        <v>31</v>
      </c>
      <c r="S113" s="267" t="s">
        <v>31</v>
      </c>
      <c r="T113" s="268"/>
      <c r="U113" s="269"/>
      <c r="V113" s="269">
        <v>0</v>
      </c>
      <c r="W113" s="278">
        <v>0</v>
      </c>
      <c r="X113" s="270"/>
      <c r="Y113" s="262" t="s">
        <v>25</v>
      </c>
      <c r="Z113" s="271" t="s">
        <v>25</v>
      </c>
      <c r="AA113" s="287"/>
      <c r="AB113" s="287"/>
      <c r="AC113" s="272">
        <f t="shared" si="5"/>
        <v>10000000</v>
      </c>
      <c r="AD113" s="272">
        <v>10000000</v>
      </c>
      <c r="AE113" s="272">
        <f t="shared" si="6"/>
        <v>0</v>
      </c>
      <c r="AF113" s="273"/>
      <c r="AG113" s="274"/>
      <c r="AH113" s="273"/>
      <c r="AI113" s="273"/>
      <c r="AJ113" s="274"/>
      <c r="AK113" s="273"/>
      <c r="AL113" s="275"/>
      <c r="AM113" s="290"/>
      <c r="AN113" s="275"/>
      <c r="AO113" s="276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>
        <v>10000000</v>
      </c>
      <c r="BF113" s="275"/>
      <c r="BH113" s="277"/>
    </row>
    <row r="114" spans="1:60" ht="16.5" hidden="1" customHeight="1" x14ac:dyDescent="0.3">
      <c r="A114" s="260">
        <v>92</v>
      </c>
      <c r="B114" s="261"/>
      <c r="C114" s="261"/>
      <c r="D114" s="262" t="s">
        <v>331</v>
      </c>
      <c r="E114" s="262" t="s">
        <v>710</v>
      </c>
      <c r="F114" s="263" t="s">
        <v>15</v>
      </c>
      <c r="G114" s="264" t="s">
        <v>113</v>
      </c>
      <c r="H114" s="281"/>
      <c r="I114" s="265"/>
      <c r="J114" s="266" t="s">
        <v>795</v>
      </c>
      <c r="K114" s="262"/>
      <c r="L114" s="262"/>
      <c r="M114" s="262">
        <v>20272</v>
      </c>
      <c r="N114" s="262"/>
      <c r="O114" s="262"/>
      <c r="P114" s="262"/>
      <c r="Q114" s="262" t="s">
        <v>30</v>
      </c>
      <c r="R114" s="262" t="s">
        <v>31</v>
      </c>
      <c r="S114" s="267" t="s">
        <v>31</v>
      </c>
      <c r="T114" s="268"/>
      <c r="U114" s="269"/>
      <c r="V114" s="269">
        <v>0</v>
      </c>
      <c r="W114" s="278">
        <v>0</v>
      </c>
      <c r="X114" s="270"/>
      <c r="Y114" s="262" t="s">
        <v>25</v>
      </c>
      <c r="Z114" s="271" t="s">
        <v>25</v>
      </c>
      <c r="AA114" s="287"/>
      <c r="AB114" s="287"/>
      <c r="AC114" s="272">
        <f t="shared" si="5"/>
        <v>0</v>
      </c>
      <c r="AD114" s="272">
        <v>0</v>
      </c>
      <c r="AE114" s="272">
        <f t="shared" si="6"/>
        <v>0</v>
      </c>
      <c r="AF114" s="273"/>
      <c r="AG114" s="274"/>
      <c r="AH114" s="273"/>
      <c r="AI114" s="273"/>
      <c r="AJ114" s="274"/>
      <c r="AK114" s="273"/>
      <c r="AL114" s="275"/>
      <c r="AM114" s="290"/>
      <c r="AN114" s="275"/>
      <c r="AO114" s="276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H114" s="277"/>
    </row>
    <row r="115" spans="1:60" ht="16.5" hidden="1" customHeight="1" x14ac:dyDescent="0.3">
      <c r="A115" s="260">
        <v>93</v>
      </c>
      <c r="B115" s="261"/>
      <c r="C115" s="261"/>
      <c r="D115" s="262" t="s">
        <v>15</v>
      </c>
      <c r="E115" s="262" t="s">
        <v>113</v>
      </c>
      <c r="F115" s="263" t="s">
        <v>15</v>
      </c>
      <c r="G115" s="264" t="s">
        <v>113</v>
      </c>
      <c r="H115" s="281"/>
      <c r="I115" s="265"/>
      <c r="J115" s="266" t="s">
        <v>143</v>
      </c>
      <c r="K115" s="262"/>
      <c r="L115" s="262"/>
      <c r="M115" s="262">
        <v>3642</v>
      </c>
      <c r="N115" s="262" t="s">
        <v>22</v>
      </c>
      <c r="O115" s="262" t="s">
        <v>56</v>
      </c>
      <c r="P115" s="262" t="s">
        <v>57</v>
      </c>
      <c r="Q115" s="262" t="s">
        <v>63</v>
      </c>
      <c r="R115" s="262" t="s">
        <v>28</v>
      </c>
      <c r="S115" s="267" t="s">
        <v>28</v>
      </c>
      <c r="T115" s="268" t="s">
        <v>951</v>
      </c>
      <c r="U115" s="269"/>
      <c r="V115" s="269">
        <v>0</v>
      </c>
      <c r="W115" s="278">
        <v>0</v>
      </c>
      <c r="X115" s="270"/>
      <c r="Y115" s="262" t="s">
        <v>27</v>
      </c>
      <c r="Z115" s="271" t="s">
        <v>27</v>
      </c>
      <c r="AA115" s="287"/>
      <c r="AB115" s="287"/>
      <c r="AC115" s="272">
        <f t="shared" si="5"/>
        <v>22473630</v>
      </c>
      <c r="AD115" s="272">
        <v>22473630</v>
      </c>
      <c r="AE115" s="272">
        <f t="shared" si="6"/>
        <v>0</v>
      </c>
      <c r="AF115" s="273">
        <v>1280060</v>
      </c>
      <c r="AG115" s="274"/>
      <c r="AH115" s="273"/>
      <c r="AI115" s="273">
        <v>984900</v>
      </c>
      <c r="AJ115" s="274">
        <v>984900</v>
      </c>
      <c r="AK115" s="273"/>
      <c r="AL115" s="275">
        <v>1625740</v>
      </c>
      <c r="AM115" s="290">
        <v>1625740</v>
      </c>
      <c r="AN115" s="275"/>
      <c r="AO115" s="276">
        <v>424950</v>
      </c>
      <c r="AP115" s="275"/>
      <c r="AQ115" s="275">
        <v>1438040</v>
      </c>
      <c r="AR115" s="275"/>
      <c r="AS115" s="275">
        <v>3000000</v>
      </c>
      <c r="AT115" s="275"/>
      <c r="AU115" s="275">
        <v>3000000</v>
      </c>
      <c r="AV115" s="275"/>
      <c r="AW115" s="275">
        <v>3000000</v>
      </c>
      <c r="AX115" s="275"/>
      <c r="AY115" s="275">
        <v>3000000</v>
      </c>
      <c r="AZ115" s="275"/>
      <c r="BA115" s="275">
        <v>2000000</v>
      </c>
      <c r="BB115" s="275"/>
      <c r="BC115" s="275">
        <v>2000000</v>
      </c>
      <c r="BD115" s="275"/>
      <c r="BE115" s="275">
        <v>2000000</v>
      </c>
      <c r="BF115" s="275"/>
      <c r="BH115" s="277"/>
    </row>
    <row r="116" spans="1:60" ht="16.5" hidden="1" customHeight="1" x14ac:dyDescent="0.3">
      <c r="A116" s="260">
        <v>94</v>
      </c>
      <c r="B116" s="261"/>
      <c r="C116" s="261"/>
      <c r="D116" s="262" t="s">
        <v>15</v>
      </c>
      <c r="E116" s="262" t="s">
        <v>113</v>
      </c>
      <c r="F116" s="263" t="s">
        <v>15</v>
      </c>
      <c r="G116" s="264" t="s">
        <v>113</v>
      </c>
      <c r="H116" s="281"/>
      <c r="I116" s="265"/>
      <c r="J116" s="266" t="s">
        <v>143</v>
      </c>
      <c r="K116" s="262"/>
      <c r="L116" s="262"/>
      <c r="M116" s="262">
        <v>3642</v>
      </c>
      <c r="N116" s="262" t="s">
        <v>22</v>
      </c>
      <c r="O116" s="262" t="s">
        <v>56</v>
      </c>
      <c r="P116" s="262" t="s">
        <v>57</v>
      </c>
      <c r="Q116" s="262" t="s">
        <v>18</v>
      </c>
      <c r="R116" s="262" t="s">
        <v>19</v>
      </c>
      <c r="S116" s="267" t="s">
        <v>19</v>
      </c>
      <c r="T116" s="268"/>
      <c r="U116" s="269">
        <v>700000</v>
      </c>
      <c r="V116" s="269">
        <v>0</v>
      </c>
      <c r="W116" s="278">
        <v>0</v>
      </c>
      <c r="X116" s="270"/>
      <c r="Y116" s="262" t="s">
        <v>20</v>
      </c>
      <c r="Z116" s="271" t="s">
        <v>562</v>
      </c>
      <c r="AA116" s="287"/>
      <c r="AB116" s="287"/>
      <c r="AC116" s="272">
        <f t="shared" si="5"/>
        <v>0</v>
      </c>
      <c r="AD116" s="272">
        <v>0</v>
      </c>
      <c r="AE116" s="272">
        <f t="shared" si="6"/>
        <v>0</v>
      </c>
      <c r="AF116" s="273"/>
      <c r="AG116" s="274"/>
      <c r="AH116" s="273"/>
      <c r="AI116" s="273"/>
      <c r="AJ116" s="274"/>
      <c r="AK116" s="273"/>
      <c r="AL116" s="275"/>
      <c r="AM116" s="290"/>
      <c r="AN116" s="275"/>
      <c r="AO116" s="276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H116" s="277"/>
    </row>
    <row r="117" spans="1:60" ht="16.5" hidden="1" customHeight="1" x14ac:dyDescent="0.3">
      <c r="A117" s="260">
        <v>95</v>
      </c>
      <c r="B117" s="261"/>
      <c r="C117" s="261"/>
      <c r="D117" s="262" t="s">
        <v>15</v>
      </c>
      <c r="E117" s="262" t="s">
        <v>113</v>
      </c>
      <c r="F117" s="263" t="s">
        <v>15</v>
      </c>
      <c r="G117" s="264" t="s">
        <v>113</v>
      </c>
      <c r="H117" s="281"/>
      <c r="I117" s="265"/>
      <c r="J117" s="266" t="s">
        <v>144</v>
      </c>
      <c r="K117" s="262"/>
      <c r="L117" s="262"/>
      <c r="M117" s="262">
        <v>2595</v>
      </c>
      <c r="N117" s="262" t="s">
        <v>22</v>
      </c>
      <c r="O117" s="262" t="s">
        <v>56</v>
      </c>
      <c r="P117" s="262"/>
      <c r="Q117" s="262" t="s">
        <v>73</v>
      </c>
      <c r="R117" s="262" t="s">
        <v>468</v>
      </c>
      <c r="S117" s="267" t="s">
        <v>468</v>
      </c>
      <c r="T117" s="268"/>
      <c r="U117" s="269"/>
      <c r="V117" s="269">
        <v>15330000</v>
      </c>
      <c r="W117" s="278">
        <v>8220000</v>
      </c>
      <c r="X117" s="270"/>
      <c r="Y117" s="262" t="s">
        <v>27</v>
      </c>
      <c r="Z117" s="271" t="s">
        <v>24</v>
      </c>
      <c r="AA117" s="287"/>
      <c r="AB117" s="287"/>
      <c r="AC117" s="272">
        <f t="shared" si="5"/>
        <v>10000000</v>
      </c>
      <c r="AD117" s="272">
        <v>10000000</v>
      </c>
      <c r="AE117" s="272">
        <f t="shared" si="6"/>
        <v>0</v>
      </c>
      <c r="AF117" s="273"/>
      <c r="AG117" s="274"/>
      <c r="AH117" s="273"/>
      <c r="AI117" s="273"/>
      <c r="AJ117" s="274"/>
      <c r="AK117" s="273"/>
      <c r="AL117" s="275"/>
      <c r="AM117" s="290"/>
      <c r="AN117" s="275"/>
      <c r="AO117" s="276"/>
      <c r="AP117" s="275"/>
      <c r="AQ117" s="275"/>
      <c r="AR117" s="275"/>
      <c r="AS117" s="275"/>
      <c r="AT117" s="275"/>
      <c r="AU117" s="275">
        <v>5000000</v>
      </c>
      <c r="AV117" s="275"/>
      <c r="AW117" s="275"/>
      <c r="AX117" s="275"/>
      <c r="AY117" s="275"/>
      <c r="AZ117" s="275"/>
      <c r="BA117" s="275">
        <v>5000000</v>
      </c>
      <c r="BB117" s="275"/>
      <c r="BC117" s="275"/>
      <c r="BD117" s="275"/>
      <c r="BE117" s="275"/>
      <c r="BF117" s="275"/>
      <c r="BH117" s="277"/>
    </row>
    <row r="118" spans="1:60" ht="16.5" hidden="1" customHeight="1" x14ac:dyDescent="0.3">
      <c r="A118" s="260">
        <v>96</v>
      </c>
      <c r="B118" s="261"/>
      <c r="C118" s="261"/>
      <c r="D118" s="262" t="s">
        <v>15</v>
      </c>
      <c r="E118" s="262" t="s">
        <v>113</v>
      </c>
      <c r="F118" s="263" t="s">
        <v>15</v>
      </c>
      <c r="G118" s="264" t="s">
        <v>113</v>
      </c>
      <c r="H118" s="281"/>
      <c r="I118" s="265"/>
      <c r="J118" s="266" t="s">
        <v>145</v>
      </c>
      <c r="K118" s="262"/>
      <c r="L118" s="262"/>
      <c r="M118" s="262">
        <v>1409</v>
      </c>
      <c r="N118" s="262" t="s">
        <v>22</v>
      </c>
      <c r="O118" s="262" t="s">
        <v>35</v>
      </c>
      <c r="P118" s="262"/>
      <c r="Q118" s="262" t="s">
        <v>63</v>
      </c>
      <c r="R118" s="262" t="s">
        <v>28</v>
      </c>
      <c r="S118" s="267" t="s">
        <v>28</v>
      </c>
      <c r="T118" s="268"/>
      <c r="U118" s="269"/>
      <c r="V118" s="269">
        <v>0</v>
      </c>
      <c r="W118" s="278">
        <v>0</v>
      </c>
      <c r="X118" s="270"/>
      <c r="Y118" s="262" t="s">
        <v>25</v>
      </c>
      <c r="Z118" s="271" t="s">
        <v>25</v>
      </c>
      <c r="AA118" s="287"/>
      <c r="AB118" s="287"/>
      <c r="AC118" s="272">
        <f t="shared" si="5"/>
        <v>75000000</v>
      </c>
      <c r="AD118" s="272">
        <v>75000000</v>
      </c>
      <c r="AE118" s="272">
        <f t="shared" si="6"/>
        <v>0</v>
      </c>
      <c r="AF118" s="273"/>
      <c r="AG118" s="274"/>
      <c r="AH118" s="273"/>
      <c r="AI118" s="273"/>
      <c r="AJ118" s="274"/>
      <c r="AK118" s="273"/>
      <c r="AL118" s="275"/>
      <c r="AM118" s="290"/>
      <c r="AN118" s="275"/>
      <c r="AO118" s="276"/>
      <c r="AP118" s="275"/>
      <c r="AQ118" s="275"/>
      <c r="AR118" s="275"/>
      <c r="AS118" s="275"/>
      <c r="AT118" s="275"/>
      <c r="AU118" s="275"/>
      <c r="AV118" s="275"/>
      <c r="AW118" s="275">
        <v>15000000</v>
      </c>
      <c r="AX118" s="275"/>
      <c r="AY118" s="275">
        <v>15000000</v>
      </c>
      <c r="AZ118" s="275"/>
      <c r="BA118" s="275">
        <v>15000000</v>
      </c>
      <c r="BB118" s="275"/>
      <c r="BC118" s="275">
        <v>15000000</v>
      </c>
      <c r="BD118" s="275"/>
      <c r="BE118" s="275">
        <v>15000000</v>
      </c>
      <c r="BF118" s="275"/>
      <c r="BH118" s="277"/>
    </row>
    <row r="119" spans="1:60" ht="16.5" hidden="1" customHeight="1" x14ac:dyDescent="0.3">
      <c r="A119" s="260">
        <v>97</v>
      </c>
      <c r="B119" s="261"/>
      <c r="C119" s="261"/>
      <c r="D119" s="262" t="s">
        <v>15</v>
      </c>
      <c r="E119" s="262" t="s">
        <v>113</v>
      </c>
      <c r="F119" s="263" t="s">
        <v>15</v>
      </c>
      <c r="G119" s="264" t="s">
        <v>113</v>
      </c>
      <c r="H119" s="281"/>
      <c r="I119" s="265"/>
      <c r="J119" s="266" t="s">
        <v>145</v>
      </c>
      <c r="K119" s="262"/>
      <c r="L119" s="262"/>
      <c r="M119" s="262">
        <v>1409</v>
      </c>
      <c r="N119" s="262" t="s">
        <v>22</v>
      </c>
      <c r="O119" s="262" t="s">
        <v>56</v>
      </c>
      <c r="P119" s="262"/>
      <c r="Q119" s="262" t="s">
        <v>26</v>
      </c>
      <c r="R119" s="262" t="s">
        <v>468</v>
      </c>
      <c r="S119" s="267" t="s">
        <v>468</v>
      </c>
      <c r="T119" s="268"/>
      <c r="U119" s="269"/>
      <c r="V119" s="269">
        <v>1100000</v>
      </c>
      <c r="W119" s="278">
        <v>0</v>
      </c>
      <c r="X119" s="270"/>
      <c r="Y119" s="262" t="s">
        <v>24</v>
      </c>
      <c r="Z119" s="271" t="s">
        <v>25</v>
      </c>
      <c r="AA119" s="287"/>
      <c r="AB119" s="287"/>
      <c r="AC119" s="272">
        <f t="shared" si="5"/>
        <v>3000000</v>
      </c>
      <c r="AD119" s="272">
        <v>3000000</v>
      </c>
      <c r="AE119" s="272">
        <f t="shared" si="6"/>
        <v>0</v>
      </c>
      <c r="AF119" s="273"/>
      <c r="AG119" s="274"/>
      <c r="AH119" s="273"/>
      <c r="AI119" s="273"/>
      <c r="AJ119" s="274"/>
      <c r="AK119" s="273"/>
      <c r="AL119" s="275"/>
      <c r="AM119" s="290"/>
      <c r="AN119" s="275"/>
      <c r="AO119" s="276"/>
      <c r="AP119" s="275"/>
      <c r="AQ119" s="275">
        <v>3000000</v>
      </c>
      <c r="AR119" s="275"/>
      <c r="AS119" s="275"/>
      <c r="AT119" s="275"/>
      <c r="AU119" s="275"/>
      <c r="AV119" s="275"/>
      <c r="AW119" s="275"/>
      <c r="AX119" s="275"/>
      <c r="AY119" s="275"/>
      <c r="AZ119" s="275"/>
      <c r="BA119" s="275"/>
      <c r="BB119" s="275"/>
      <c r="BC119" s="275"/>
      <c r="BD119" s="275"/>
      <c r="BE119" s="275"/>
      <c r="BF119" s="275"/>
      <c r="BH119" s="277"/>
    </row>
    <row r="120" spans="1:60" ht="16.5" hidden="1" customHeight="1" x14ac:dyDescent="0.3">
      <c r="A120" s="260">
        <v>98</v>
      </c>
      <c r="B120" s="261"/>
      <c r="C120" s="261"/>
      <c r="D120" s="262" t="s">
        <v>15</v>
      </c>
      <c r="E120" s="262" t="s">
        <v>113</v>
      </c>
      <c r="F120" s="263" t="s">
        <v>15</v>
      </c>
      <c r="G120" s="264" t="s">
        <v>113</v>
      </c>
      <c r="H120" s="281"/>
      <c r="I120" s="265"/>
      <c r="J120" s="266" t="s">
        <v>741</v>
      </c>
      <c r="K120" s="262"/>
      <c r="L120" s="262"/>
      <c r="M120" s="262">
        <v>2594</v>
      </c>
      <c r="N120" s="262" t="s">
        <v>22</v>
      </c>
      <c r="O120" s="262" t="s">
        <v>35</v>
      </c>
      <c r="P120" s="262"/>
      <c r="Q120" s="262"/>
      <c r="R120" s="262"/>
      <c r="S120" s="267" t="s">
        <v>822</v>
      </c>
      <c r="T120" s="268"/>
      <c r="U120" s="269"/>
      <c r="V120" s="269"/>
      <c r="W120" s="278">
        <v>0</v>
      </c>
      <c r="X120" s="270"/>
      <c r="Y120" s="262"/>
      <c r="Z120" s="271" t="s">
        <v>25</v>
      </c>
      <c r="AA120" s="287"/>
      <c r="AB120" s="287"/>
      <c r="AC120" s="272">
        <f t="shared" si="5"/>
        <v>10000000</v>
      </c>
      <c r="AD120" s="272">
        <v>10000000</v>
      </c>
      <c r="AE120" s="272">
        <f t="shared" si="6"/>
        <v>0</v>
      </c>
      <c r="AF120" s="273"/>
      <c r="AG120" s="274"/>
      <c r="AH120" s="273"/>
      <c r="AI120" s="273"/>
      <c r="AJ120" s="274"/>
      <c r="AK120" s="273"/>
      <c r="AL120" s="275"/>
      <c r="AM120" s="290"/>
      <c r="AN120" s="275"/>
      <c r="AO120" s="276"/>
      <c r="AP120" s="275"/>
      <c r="AQ120" s="275">
        <v>10000000</v>
      </c>
      <c r="AR120" s="275"/>
      <c r="AS120" s="275"/>
      <c r="AT120" s="275"/>
      <c r="AU120" s="275"/>
      <c r="AV120" s="275"/>
      <c r="AW120" s="275"/>
      <c r="AX120" s="275"/>
      <c r="AY120" s="275"/>
      <c r="AZ120" s="275"/>
      <c r="BA120" s="275"/>
      <c r="BB120" s="275"/>
      <c r="BC120" s="275"/>
      <c r="BD120" s="275"/>
      <c r="BE120" s="275"/>
      <c r="BF120" s="275"/>
      <c r="BH120" s="277"/>
    </row>
    <row r="121" spans="1:60" ht="16.5" hidden="1" customHeight="1" x14ac:dyDescent="0.3">
      <c r="A121" s="260">
        <v>99</v>
      </c>
      <c r="B121" s="261"/>
      <c r="C121" s="261"/>
      <c r="D121" s="262" t="s">
        <v>15</v>
      </c>
      <c r="E121" s="262" t="s">
        <v>113</v>
      </c>
      <c r="F121" s="263" t="s">
        <v>15</v>
      </c>
      <c r="G121" s="264" t="s">
        <v>113</v>
      </c>
      <c r="H121" s="281"/>
      <c r="I121" s="265"/>
      <c r="J121" s="266" t="s">
        <v>146</v>
      </c>
      <c r="K121" s="262"/>
      <c r="L121" s="262"/>
      <c r="M121" s="262">
        <v>29087</v>
      </c>
      <c r="N121" s="262" t="s">
        <v>32</v>
      </c>
      <c r="O121" s="262"/>
      <c r="P121" s="262" t="s">
        <v>57</v>
      </c>
      <c r="Q121" s="262" t="s">
        <v>18</v>
      </c>
      <c r="R121" s="262" t="s">
        <v>28</v>
      </c>
      <c r="S121" s="267" t="s">
        <v>28</v>
      </c>
      <c r="T121" s="268"/>
      <c r="U121" s="269">
        <v>267000000</v>
      </c>
      <c r="V121" s="269">
        <v>267300000</v>
      </c>
      <c r="W121" s="278">
        <v>259000000</v>
      </c>
      <c r="X121" s="270"/>
      <c r="Y121" s="262" t="s">
        <v>27</v>
      </c>
      <c r="Z121" s="271" t="s">
        <v>74</v>
      </c>
      <c r="AA121" s="287"/>
      <c r="AB121" s="287"/>
      <c r="AC121" s="272">
        <f t="shared" si="5"/>
        <v>78000000</v>
      </c>
      <c r="AD121" s="272">
        <v>78000000</v>
      </c>
      <c r="AE121" s="272">
        <f t="shared" si="6"/>
        <v>0</v>
      </c>
      <c r="AF121" s="273"/>
      <c r="AG121" s="274"/>
      <c r="AH121" s="273"/>
      <c r="AI121" s="273">
        <v>182000000</v>
      </c>
      <c r="AJ121" s="274"/>
      <c r="AK121" s="273"/>
      <c r="AL121" s="275"/>
      <c r="AM121" s="290"/>
      <c r="AN121" s="275"/>
      <c r="AO121" s="276"/>
      <c r="AP121" s="275"/>
      <c r="AQ121" s="275"/>
      <c r="AR121" s="275"/>
      <c r="AS121" s="275"/>
      <c r="AT121" s="275"/>
      <c r="AU121" s="275"/>
      <c r="AV121" s="275"/>
      <c r="AW121" s="275"/>
      <c r="AX121" s="275"/>
      <c r="AY121" s="275"/>
      <c r="AZ121" s="275"/>
      <c r="BA121" s="275"/>
      <c r="BB121" s="275"/>
      <c r="BC121" s="275"/>
      <c r="BD121" s="275"/>
      <c r="BE121" s="275">
        <v>78000000</v>
      </c>
      <c r="BF121" s="275"/>
      <c r="BH121" s="277"/>
    </row>
    <row r="122" spans="1:60" ht="16.5" hidden="1" customHeight="1" x14ac:dyDescent="0.3">
      <c r="A122" s="260">
        <v>100</v>
      </c>
      <c r="B122" s="261" t="s">
        <v>331</v>
      </c>
      <c r="C122" s="261" t="s">
        <v>707</v>
      </c>
      <c r="D122" s="262"/>
      <c r="E122" s="262"/>
      <c r="F122" s="263" t="s">
        <v>15</v>
      </c>
      <c r="G122" s="264" t="s">
        <v>113</v>
      </c>
      <c r="H122" s="281"/>
      <c r="I122" s="265"/>
      <c r="J122" s="266" t="s">
        <v>819</v>
      </c>
      <c r="K122" s="262"/>
      <c r="L122" s="262"/>
      <c r="M122" s="262">
        <v>65859</v>
      </c>
      <c r="N122" s="262"/>
      <c r="O122" s="262" t="s">
        <v>35</v>
      </c>
      <c r="P122" s="262" t="s">
        <v>57</v>
      </c>
      <c r="Q122" s="262"/>
      <c r="R122" s="262"/>
      <c r="S122" s="267" t="s">
        <v>19</v>
      </c>
      <c r="T122" s="268" t="s">
        <v>951</v>
      </c>
      <c r="U122" s="269"/>
      <c r="V122" s="269"/>
      <c r="W122" s="278">
        <v>0</v>
      </c>
      <c r="X122" s="270"/>
      <c r="Y122" s="262"/>
      <c r="Z122" s="271" t="s">
        <v>27</v>
      </c>
      <c r="AA122" s="287"/>
      <c r="AB122" s="287"/>
      <c r="AC122" s="272">
        <f t="shared" si="5"/>
        <v>8980400</v>
      </c>
      <c r="AD122" s="272">
        <v>8980400</v>
      </c>
      <c r="AE122" s="272">
        <f t="shared" si="6"/>
        <v>0</v>
      </c>
      <c r="AF122" s="273"/>
      <c r="AG122" s="274"/>
      <c r="AH122" s="273"/>
      <c r="AI122" s="273"/>
      <c r="AJ122" s="274"/>
      <c r="AK122" s="273"/>
      <c r="AL122" s="275">
        <v>189000</v>
      </c>
      <c r="AM122" s="290"/>
      <c r="AN122" s="275"/>
      <c r="AO122" s="276">
        <v>5024800</v>
      </c>
      <c r="AP122" s="275"/>
      <c r="AQ122" s="275">
        <v>455600</v>
      </c>
      <c r="AR122" s="275"/>
      <c r="AS122" s="275">
        <v>500000</v>
      </c>
      <c r="AT122" s="275"/>
      <c r="AU122" s="275">
        <v>500000</v>
      </c>
      <c r="AV122" s="275"/>
      <c r="AW122" s="275">
        <v>500000</v>
      </c>
      <c r="AX122" s="275"/>
      <c r="AY122" s="275">
        <v>500000</v>
      </c>
      <c r="AZ122" s="275"/>
      <c r="BA122" s="275">
        <v>500000</v>
      </c>
      <c r="BB122" s="275"/>
      <c r="BC122" s="275">
        <v>500000</v>
      </c>
      <c r="BD122" s="275"/>
      <c r="BE122" s="275">
        <v>500000</v>
      </c>
      <c r="BF122" s="275"/>
      <c r="BH122" s="277"/>
    </row>
    <row r="123" spans="1:60" ht="16.5" hidden="1" customHeight="1" x14ac:dyDescent="0.3">
      <c r="A123" s="260">
        <v>101</v>
      </c>
      <c r="B123" s="261"/>
      <c r="C123" s="261"/>
      <c r="D123" s="262" t="s">
        <v>15</v>
      </c>
      <c r="E123" s="262" t="s">
        <v>113</v>
      </c>
      <c r="F123" s="263" t="s">
        <v>15</v>
      </c>
      <c r="G123" s="264" t="s">
        <v>113</v>
      </c>
      <c r="H123" s="281"/>
      <c r="I123" s="265"/>
      <c r="J123" s="266" t="s">
        <v>147</v>
      </c>
      <c r="K123" s="262"/>
      <c r="L123" s="262"/>
      <c r="M123" s="262">
        <v>988</v>
      </c>
      <c r="N123" s="262" t="s">
        <v>22</v>
      </c>
      <c r="O123" s="262" t="s">
        <v>212</v>
      </c>
      <c r="P123" s="262" t="s">
        <v>57</v>
      </c>
      <c r="Q123" s="262" t="s">
        <v>63</v>
      </c>
      <c r="R123" s="262" t="s">
        <v>28</v>
      </c>
      <c r="S123" s="267" t="s">
        <v>28</v>
      </c>
      <c r="T123" s="268"/>
      <c r="U123" s="269">
        <v>47033280</v>
      </c>
      <c r="V123" s="269">
        <v>2368000</v>
      </c>
      <c r="W123" s="278">
        <v>7893000</v>
      </c>
      <c r="X123" s="270"/>
      <c r="Y123" s="262" t="s">
        <v>27</v>
      </c>
      <c r="Z123" s="271" t="s">
        <v>25</v>
      </c>
      <c r="AA123" s="287"/>
      <c r="AB123" s="287"/>
      <c r="AC123" s="272">
        <f t="shared" si="5"/>
        <v>10000000</v>
      </c>
      <c r="AD123" s="272">
        <v>10000000</v>
      </c>
      <c r="AE123" s="272">
        <f t="shared" si="6"/>
        <v>0</v>
      </c>
      <c r="AF123" s="273"/>
      <c r="AG123" s="274"/>
      <c r="AH123" s="273"/>
      <c r="AI123" s="273"/>
      <c r="AJ123" s="274"/>
      <c r="AK123" s="273"/>
      <c r="AL123" s="275"/>
      <c r="AM123" s="290"/>
      <c r="AN123" s="275"/>
      <c r="AO123" s="276"/>
      <c r="AP123" s="275"/>
      <c r="AQ123" s="291">
        <v>3000000</v>
      </c>
      <c r="AR123" s="275"/>
      <c r="AS123" s="275">
        <v>3000000</v>
      </c>
      <c r="AT123" s="275"/>
      <c r="AU123" s="275"/>
      <c r="AV123" s="275"/>
      <c r="AW123" s="275"/>
      <c r="AX123" s="275"/>
      <c r="AY123" s="275"/>
      <c r="AZ123" s="275"/>
      <c r="BA123" s="275">
        <v>4000000</v>
      </c>
      <c r="BB123" s="275"/>
      <c r="BC123" s="275"/>
      <c r="BD123" s="275"/>
      <c r="BE123" s="275"/>
      <c r="BF123" s="275"/>
      <c r="BH123" s="277"/>
    </row>
    <row r="124" spans="1:60" ht="16.5" hidden="1" customHeight="1" x14ac:dyDescent="0.3">
      <c r="A124" s="260">
        <v>102</v>
      </c>
      <c r="B124" s="261"/>
      <c r="C124" s="261"/>
      <c r="D124" s="262" t="s">
        <v>15</v>
      </c>
      <c r="E124" s="262" t="s">
        <v>113</v>
      </c>
      <c r="F124" s="263" t="s">
        <v>15</v>
      </c>
      <c r="G124" s="264" t="s">
        <v>113</v>
      </c>
      <c r="H124" s="281"/>
      <c r="I124" s="265"/>
      <c r="J124" s="266" t="s">
        <v>147</v>
      </c>
      <c r="K124" s="262"/>
      <c r="L124" s="262"/>
      <c r="M124" s="262">
        <v>988</v>
      </c>
      <c r="N124" s="262" t="s">
        <v>22</v>
      </c>
      <c r="O124" s="262" t="s">
        <v>212</v>
      </c>
      <c r="P124" s="262" t="s">
        <v>57</v>
      </c>
      <c r="Q124" s="262" t="s">
        <v>26</v>
      </c>
      <c r="R124" s="262"/>
      <c r="S124" s="267" t="s">
        <v>31</v>
      </c>
      <c r="T124" s="268"/>
      <c r="U124" s="269"/>
      <c r="V124" s="269"/>
      <c r="W124" s="278">
        <v>0</v>
      </c>
      <c r="X124" s="270"/>
      <c r="Y124" s="262"/>
      <c r="Z124" s="271" t="s">
        <v>27</v>
      </c>
      <c r="AA124" s="287"/>
      <c r="AB124" s="287"/>
      <c r="AC124" s="272">
        <f t="shared" si="5"/>
        <v>12800000</v>
      </c>
      <c r="AD124" s="272">
        <v>12800000</v>
      </c>
      <c r="AE124" s="272">
        <f t="shared" si="6"/>
        <v>0</v>
      </c>
      <c r="AF124" s="273"/>
      <c r="AG124" s="274"/>
      <c r="AH124" s="273"/>
      <c r="AI124" s="273"/>
      <c r="AJ124" s="274"/>
      <c r="AK124" s="273"/>
      <c r="AL124" s="275"/>
      <c r="AM124" s="290"/>
      <c r="AN124" s="275"/>
      <c r="AO124" s="276"/>
      <c r="AP124" s="275"/>
      <c r="AQ124" s="275"/>
      <c r="AR124" s="275"/>
      <c r="AS124" s="275"/>
      <c r="AT124" s="275"/>
      <c r="AU124" s="275">
        <v>10000000</v>
      </c>
      <c r="AV124" s="275"/>
      <c r="AW124" s="275"/>
      <c r="AX124" s="275"/>
      <c r="AY124" s="275"/>
      <c r="AZ124" s="275"/>
      <c r="BA124" s="275">
        <v>2800000</v>
      </c>
      <c r="BB124" s="275"/>
      <c r="BC124" s="275"/>
      <c r="BD124" s="275"/>
      <c r="BE124" s="275"/>
      <c r="BF124" s="275"/>
      <c r="BH124" s="277"/>
    </row>
    <row r="125" spans="1:60" ht="16.5" hidden="1" customHeight="1" x14ac:dyDescent="0.3">
      <c r="A125" s="260">
        <v>103</v>
      </c>
      <c r="B125" s="261"/>
      <c r="C125" s="261"/>
      <c r="D125" s="262" t="s">
        <v>15</v>
      </c>
      <c r="E125" s="262" t="s">
        <v>113</v>
      </c>
      <c r="F125" s="263" t="s">
        <v>15</v>
      </c>
      <c r="G125" s="264" t="s">
        <v>113</v>
      </c>
      <c r="H125" s="281"/>
      <c r="I125" s="265"/>
      <c r="J125" s="266" t="s">
        <v>147</v>
      </c>
      <c r="K125" s="262"/>
      <c r="L125" s="262"/>
      <c r="M125" s="262">
        <v>988</v>
      </c>
      <c r="N125" s="262" t="s">
        <v>22</v>
      </c>
      <c r="O125" s="262" t="s">
        <v>212</v>
      </c>
      <c r="P125" s="262" t="s">
        <v>57</v>
      </c>
      <c r="Q125" s="262" t="s">
        <v>26</v>
      </c>
      <c r="R125" s="262" t="s">
        <v>468</v>
      </c>
      <c r="S125" s="267" t="s">
        <v>468</v>
      </c>
      <c r="T125" s="268"/>
      <c r="U125" s="269"/>
      <c r="V125" s="269">
        <v>21183273</v>
      </c>
      <c r="W125" s="278">
        <v>7200000</v>
      </c>
      <c r="X125" s="270"/>
      <c r="Y125" s="262" t="s">
        <v>27</v>
      </c>
      <c r="Z125" s="271" t="s">
        <v>25</v>
      </c>
      <c r="AA125" s="287"/>
      <c r="AB125" s="287"/>
      <c r="AC125" s="272">
        <f t="shared" si="5"/>
        <v>6000000</v>
      </c>
      <c r="AD125" s="272">
        <v>6000000</v>
      </c>
      <c r="AE125" s="272">
        <f t="shared" si="6"/>
        <v>0</v>
      </c>
      <c r="AF125" s="273"/>
      <c r="AG125" s="274"/>
      <c r="AH125" s="273"/>
      <c r="AI125" s="273"/>
      <c r="AJ125" s="274"/>
      <c r="AK125" s="273"/>
      <c r="AL125" s="275"/>
      <c r="AM125" s="290"/>
      <c r="AN125" s="275"/>
      <c r="AO125" s="276"/>
      <c r="AP125" s="275"/>
      <c r="AQ125" s="275">
        <v>3000000</v>
      </c>
      <c r="AR125" s="275"/>
      <c r="AS125" s="275"/>
      <c r="AT125" s="275"/>
      <c r="AU125" s="275"/>
      <c r="AV125" s="275"/>
      <c r="AW125" s="275"/>
      <c r="AX125" s="275"/>
      <c r="AY125" s="275"/>
      <c r="AZ125" s="275"/>
      <c r="BA125" s="275">
        <v>3000000</v>
      </c>
      <c r="BB125" s="275"/>
      <c r="BC125" s="275"/>
      <c r="BD125" s="275"/>
      <c r="BE125" s="275"/>
      <c r="BF125" s="275"/>
      <c r="BH125" s="277"/>
    </row>
    <row r="126" spans="1:60" ht="16.5" hidden="1" customHeight="1" x14ac:dyDescent="0.3">
      <c r="A126" s="260">
        <v>104</v>
      </c>
      <c r="B126" s="261" t="s">
        <v>331</v>
      </c>
      <c r="C126" s="261" t="s">
        <v>707</v>
      </c>
      <c r="D126" s="262"/>
      <c r="E126" s="262"/>
      <c r="F126" s="263" t="s">
        <v>15</v>
      </c>
      <c r="G126" s="264" t="s">
        <v>113</v>
      </c>
      <c r="H126" s="281"/>
      <c r="I126" s="265"/>
      <c r="J126" s="266" t="s">
        <v>811</v>
      </c>
      <c r="K126" s="262"/>
      <c r="L126" s="262"/>
      <c r="M126" s="262">
        <v>65698</v>
      </c>
      <c r="N126" s="262"/>
      <c r="O126" s="262" t="s">
        <v>35</v>
      </c>
      <c r="P126" s="262" t="s">
        <v>57</v>
      </c>
      <c r="Q126" s="262"/>
      <c r="R126" s="262"/>
      <c r="S126" s="267" t="s">
        <v>19</v>
      </c>
      <c r="T126" s="268" t="s">
        <v>951</v>
      </c>
      <c r="U126" s="269"/>
      <c r="V126" s="269"/>
      <c r="W126" s="278">
        <v>0</v>
      </c>
      <c r="X126" s="270"/>
      <c r="Y126" s="262"/>
      <c r="Z126" s="271" t="s">
        <v>27</v>
      </c>
      <c r="AA126" s="287"/>
      <c r="AB126" s="287"/>
      <c r="AC126" s="272">
        <f t="shared" si="5"/>
        <v>8761450</v>
      </c>
      <c r="AD126" s="272">
        <v>8761450</v>
      </c>
      <c r="AE126" s="272">
        <f t="shared" si="6"/>
        <v>0</v>
      </c>
      <c r="AF126" s="273">
        <v>854450</v>
      </c>
      <c r="AG126" s="274">
        <v>854450</v>
      </c>
      <c r="AH126" s="273"/>
      <c r="AI126" s="273">
        <v>800000</v>
      </c>
      <c r="AJ126" s="274">
        <v>274600</v>
      </c>
      <c r="AK126" s="273"/>
      <c r="AL126" s="275">
        <v>453000</v>
      </c>
      <c r="AM126" s="290">
        <v>453000</v>
      </c>
      <c r="AN126" s="275"/>
      <c r="AO126" s="276">
        <v>779400</v>
      </c>
      <c r="AP126" s="275"/>
      <c r="AQ126" s="275">
        <v>800000</v>
      </c>
      <c r="AR126" s="275"/>
      <c r="AS126" s="275">
        <v>800000</v>
      </c>
      <c r="AT126" s="275"/>
      <c r="AU126" s="275">
        <v>800000</v>
      </c>
      <c r="AV126" s="275"/>
      <c r="AW126" s="275">
        <v>800000</v>
      </c>
      <c r="AX126" s="275"/>
      <c r="AY126" s="275">
        <v>800000</v>
      </c>
      <c r="AZ126" s="275"/>
      <c r="BA126" s="275">
        <v>800000</v>
      </c>
      <c r="BB126" s="275"/>
      <c r="BC126" s="275">
        <v>800000</v>
      </c>
      <c r="BD126" s="275"/>
      <c r="BE126" s="275">
        <v>800000</v>
      </c>
      <c r="BF126" s="275"/>
      <c r="BH126" s="277"/>
    </row>
    <row r="127" spans="1:60" ht="16.5" hidden="1" customHeight="1" x14ac:dyDescent="0.3">
      <c r="A127" s="260">
        <v>105</v>
      </c>
      <c r="B127" s="261"/>
      <c r="C127" s="261"/>
      <c r="D127" s="262" t="s">
        <v>15</v>
      </c>
      <c r="E127" s="262" t="s">
        <v>113</v>
      </c>
      <c r="F127" s="263" t="s">
        <v>15</v>
      </c>
      <c r="G127" s="264" t="s">
        <v>113</v>
      </c>
      <c r="H127" s="281"/>
      <c r="I127" s="265"/>
      <c r="J127" s="266" t="s">
        <v>583</v>
      </c>
      <c r="K127" s="262"/>
      <c r="L127" s="262"/>
      <c r="M127" s="262">
        <v>28071</v>
      </c>
      <c r="N127" s="262" t="s">
        <v>42</v>
      </c>
      <c r="O127" s="262" t="s">
        <v>212</v>
      </c>
      <c r="P127" s="262" t="s">
        <v>57</v>
      </c>
      <c r="Q127" s="262" t="s">
        <v>30</v>
      </c>
      <c r="R127" s="262" t="s">
        <v>31</v>
      </c>
      <c r="S127" s="267" t="s">
        <v>31</v>
      </c>
      <c r="T127" s="268"/>
      <c r="U127" s="269">
        <v>25000000</v>
      </c>
      <c r="V127" s="269">
        <v>25000000</v>
      </c>
      <c r="W127" s="278">
        <v>25000000</v>
      </c>
      <c r="X127" s="270"/>
      <c r="Y127" s="262" t="s">
        <v>27</v>
      </c>
      <c r="Z127" s="271" t="s">
        <v>27</v>
      </c>
      <c r="AA127" s="287"/>
      <c r="AB127" s="287"/>
      <c r="AC127" s="272">
        <f t="shared" si="5"/>
        <v>25000000</v>
      </c>
      <c r="AD127" s="272">
        <v>25000000</v>
      </c>
      <c r="AE127" s="272">
        <f t="shared" si="6"/>
        <v>0</v>
      </c>
      <c r="AF127" s="273"/>
      <c r="AG127" s="274"/>
      <c r="AH127" s="273"/>
      <c r="AI127" s="273"/>
      <c r="AJ127" s="274"/>
      <c r="AK127" s="273"/>
      <c r="AL127" s="275"/>
      <c r="AM127" s="290"/>
      <c r="AN127" s="275"/>
      <c r="AO127" s="276"/>
      <c r="AP127" s="275"/>
      <c r="AQ127" s="275"/>
      <c r="AR127" s="275"/>
      <c r="AS127" s="275"/>
      <c r="AT127" s="275"/>
      <c r="AU127" s="275">
        <v>15000000</v>
      </c>
      <c r="AV127" s="275"/>
      <c r="AW127" s="275"/>
      <c r="AX127" s="275"/>
      <c r="AY127" s="275"/>
      <c r="AZ127" s="275"/>
      <c r="BA127" s="275"/>
      <c r="BB127" s="275"/>
      <c r="BC127" s="275">
        <v>10000000</v>
      </c>
      <c r="BD127" s="275"/>
      <c r="BE127" s="275"/>
      <c r="BF127" s="275"/>
      <c r="BH127" s="277"/>
    </row>
    <row r="128" spans="1:60" ht="16.5" hidden="1" customHeight="1" x14ac:dyDescent="0.3">
      <c r="A128" s="260">
        <v>106</v>
      </c>
      <c r="B128" s="261"/>
      <c r="C128" s="261"/>
      <c r="D128" s="262" t="s">
        <v>15</v>
      </c>
      <c r="E128" s="262" t="s">
        <v>113</v>
      </c>
      <c r="F128" s="263" t="s">
        <v>15</v>
      </c>
      <c r="G128" s="264" t="s">
        <v>113</v>
      </c>
      <c r="H128" s="281"/>
      <c r="I128" s="265"/>
      <c r="J128" s="266" t="s">
        <v>148</v>
      </c>
      <c r="K128" s="262"/>
      <c r="L128" s="262"/>
      <c r="M128" s="262">
        <v>26318</v>
      </c>
      <c r="N128" s="262" t="s">
        <v>22</v>
      </c>
      <c r="O128" s="262" t="s">
        <v>212</v>
      </c>
      <c r="P128" s="262"/>
      <c r="Q128" s="262" t="s">
        <v>23</v>
      </c>
      <c r="R128" s="262" t="s">
        <v>397</v>
      </c>
      <c r="S128" s="267" t="s">
        <v>823</v>
      </c>
      <c r="T128" s="268"/>
      <c r="U128" s="269">
        <v>36000000</v>
      </c>
      <c r="V128" s="269">
        <v>44545455</v>
      </c>
      <c r="W128" s="278">
        <v>169288182</v>
      </c>
      <c r="X128" s="270"/>
      <c r="Y128" s="262" t="s">
        <v>25</v>
      </c>
      <c r="Z128" s="271" t="s">
        <v>718</v>
      </c>
      <c r="AA128" s="287"/>
      <c r="AB128" s="287"/>
      <c r="AC128" s="272">
        <f t="shared" si="5"/>
        <v>0</v>
      </c>
      <c r="AD128" s="272">
        <v>0</v>
      </c>
      <c r="AE128" s="272">
        <f t="shared" si="6"/>
        <v>0</v>
      </c>
      <c r="AF128" s="273"/>
      <c r="AG128" s="274"/>
      <c r="AH128" s="273"/>
      <c r="AI128" s="273"/>
      <c r="AJ128" s="274"/>
      <c r="AK128" s="273"/>
      <c r="AL128" s="275"/>
      <c r="AM128" s="290"/>
      <c r="AN128" s="275"/>
      <c r="AO128" s="276"/>
      <c r="AP128" s="275"/>
      <c r="AQ128" s="275"/>
      <c r="AR128" s="275"/>
      <c r="AS128" s="275"/>
      <c r="AT128" s="275"/>
      <c r="AU128" s="275"/>
      <c r="AV128" s="275"/>
      <c r="AW128" s="275"/>
      <c r="AX128" s="275"/>
      <c r="AY128" s="275"/>
      <c r="AZ128" s="275"/>
      <c r="BA128" s="275"/>
      <c r="BB128" s="275"/>
      <c r="BC128" s="275"/>
      <c r="BD128" s="275"/>
      <c r="BE128" s="275"/>
      <c r="BF128" s="275"/>
      <c r="BH128" s="277"/>
    </row>
    <row r="129" spans="1:60" ht="16.5" hidden="1" customHeight="1" x14ac:dyDescent="0.3">
      <c r="A129" s="260">
        <v>107</v>
      </c>
      <c r="B129" s="261"/>
      <c r="C129" s="261"/>
      <c r="D129" s="262" t="s">
        <v>15</v>
      </c>
      <c r="E129" s="262" t="s">
        <v>113</v>
      </c>
      <c r="F129" s="263" t="s">
        <v>15</v>
      </c>
      <c r="G129" s="264" t="s">
        <v>113</v>
      </c>
      <c r="H129" s="281"/>
      <c r="I129" s="265"/>
      <c r="J129" s="266" t="s">
        <v>1018</v>
      </c>
      <c r="K129" s="262"/>
      <c r="L129" s="262"/>
      <c r="M129" s="262">
        <v>26318</v>
      </c>
      <c r="N129" s="262" t="s">
        <v>32</v>
      </c>
      <c r="O129" s="262" t="s">
        <v>212</v>
      </c>
      <c r="P129" s="262" t="s">
        <v>57</v>
      </c>
      <c r="Q129" s="262" t="s">
        <v>54</v>
      </c>
      <c r="R129" s="262" t="s">
        <v>467</v>
      </c>
      <c r="S129" s="267" t="s">
        <v>826</v>
      </c>
      <c r="T129" s="268"/>
      <c r="U129" s="269">
        <v>711692000</v>
      </c>
      <c r="V129" s="269">
        <v>687100909</v>
      </c>
      <c r="W129" s="278">
        <v>643658000</v>
      </c>
      <c r="X129" s="270"/>
      <c r="Y129" s="262" t="s">
        <v>27</v>
      </c>
      <c r="Z129" s="271" t="s">
        <v>27</v>
      </c>
      <c r="AA129" s="287"/>
      <c r="AB129" s="287"/>
      <c r="AC129" s="272">
        <f t="shared" si="5"/>
        <v>674110000</v>
      </c>
      <c r="AD129" s="272">
        <v>674110000</v>
      </c>
      <c r="AE129" s="272">
        <f t="shared" si="6"/>
        <v>0</v>
      </c>
      <c r="AF129" s="273">
        <v>60000000</v>
      </c>
      <c r="AG129" s="274">
        <v>79810000</v>
      </c>
      <c r="AH129" s="273"/>
      <c r="AI129" s="273">
        <v>50000000</v>
      </c>
      <c r="AJ129" s="274">
        <v>64850000</v>
      </c>
      <c r="AK129" s="273"/>
      <c r="AL129" s="275">
        <v>53700000</v>
      </c>
      <c r="AM129" s="290">
        <v>69420000</v>
      </c>
      <c r="AN129" s="275"/>
      <c r="AO129" s="276">
        <v>40030000</v>
      </c>
      <c r="AP129" s="275"/>
      <c r="AQ129" s="275">
        <v>60000000</v>
      </c>
      <c r="AR129" s="275"/>
      <c r="AS129" s="275">
        <v>50000000</v>
      </c>
      <c r="AT129" s="275"/>
      <c r="AU129" s="275">
        <v>60000000</v>
      </c>
      <c r="AV129" s="275"/>
      <c r="AW129" s="275">
        <v>50000000</v>
      </c>
      <c r="AX129" s="275"/>
      <c r="AY129" s="275">
        <v>60000000</v>
      </c>
      <c r="AZ129" s="275"/>
      <c r="BA129" s="275">
        <v>50000000</v>
      </c>
      <c r="BB129" s="275"/>
      <c r="BC129" s="275">
        <v>50000000</v>
      </c>
      <c r="BD129" s="275"/>
      <c r="BE129" s="275">
        <v>40000000</v>
      </c>
      <c r="BF129" s="275"/>
      <c r="BH129" s="277"/>
    </row>
    <row r="130" spans="1:60" ht="16.5" hidden="1" customHeight="1" x14ac:dyDescent="0.3">
      <c r="A130" s="260">
        <v>108</v>
      </c>
      <c r="B130" s="261" t="s">
        <v>331</v>
      </c>
      <c r="C130" s="261" t="s">
        <v>707</v>
      </c>
      <c r="D130" s="262"/>
      <c r="E130" s="262"/>
      <c r="F130" s="263" t="s">
        <v>15</v>
      </c>
      <c r="G130" s="264" t="s">
        <v>113</v>
      </c>
      <c r="H130" s="281"/>
      <c r="I130" s="265"/>
      <c r="J130" s="266" t="s">
        <v>742</v>
      </c>
      <c r="K130" s="262"/>
      <c r="L130" s="262"/>
      <c r="M130" s="262">
        <v>65860</v>
      </c>
      <c r="N130" s="262"/>
      <c r="O130" s="262" t="s">
        <v>35</v>
      </c>
      <c r="P130" s="262" t="s">
        <v>57</v>
      </c>
      <c r="Q130" s="262"/>
      <c r="R130" s="262"/>
      <c r="S130" s="267" t="s">
        <v>19</v>
      </c>
      <c r="T130" s="268" t="s">
        <v>951</v>
      </c>
      <c r="U130" s="269"/>
      <c r="V130" s="269"/>
      <c r="W130" s="278">
        <v>0</v>
      </c>
      <c r="X130" s="270"/>
      <c r="Y130" s="262"/>
      <c r="Z130" s="271" t="s">
        <v>27</v>
      </c>
      <c r="AA130" s="287"/>
      <c r="AB130" s="287"/>
      <c r="AC130" s="272">
        <f t="shared" si="5"/>
        <v>3221500</v>
      </c>
      <c r="AD130" s="272">
        <v>3221500</v>
      </c>
      <c r="AE130" s="272">
        <f t="shared" si="6"/>
        <v>0</v>
      </c>
      <c r="AF130" s="273"/>
      <c r="AG130" s="274">
        <v>118000</v>
      </c>
      <c r="AH130" s="273"/>
      <c r="AI130" s="273"/>
      <c r="AJ130" s="274"/>
      <c r="AK130" s="273"/>
      <c r="AL130" s="275">
        <v>159000</v>
      </c>
      <c r="AM130" s="290">
        <v>159000</v>
      </c>
      <c r="AN130" s="275"/>
      <c r="AO130" s="276">
        <v>544500</v>
      </c>
      <c r="AP130" s="275"/>
      <c r="AQ130" s="275">
        <v>300000</v>
      </c>
      <c r="AR130" s="275"/>
      <c r="AS130" s="275">
        <v>300000</v>
      </c>
      <c r="AT130" s="275"/>
      <c r="AU130" s="275">
        <v>300000</v>
      </c>
      <c r="AV130" s="275"/>
      <c r="AW130" s="275">
        <v>300000</v>
      </c>
      <c r="AX130" s="275"/>
      <c r="AY130" s="275">
        <v>300000</v>
      </c>
      <c r="AZ130" s="275"/>
      <c r="BA130" s="275">
        <v>300000</v>
      </c>
      <c r="BB130" s="275"/>
      <c r="BC130" s="275">
        <v>300000</v>
      </c>
      <c r="BD130" s="275"/>
      <c r="BE130" s="275">
        <v>300000</v>
      </c>
      <c r="BF130" s="275"/>
      <c r="BH130" s="277"/>
    </row>
    <row r="131" spans="1:60" ht="16.5" hidden="1" customHeight="1" x14ac:dyDescent="0.3">
      <c r="A131" s="260">
        <v>109</v>
      </c>
      <c r="B131" s="261"/>
      <c r="C131" s="261"/>
      <c r="D131" s="262" t="s">
        <v>15</v>
      </c>
      <c r="E131" s="262" t="s">
        <v>113</v>
      </c>
      <c r="F131" s="263" t="s">
        <v>15</v>
      </c>
      <c r="G131" s="264" t="s">
        <v>113</v>
      </c>
      <c r="H131" s="281"/>
      <c r="I131" s="265"/>
      <c r="J131" s="266" t="s">
        <v>742</v>
      </c>
      <c r="K131" s="262"/>
      <c r="L131" s="262"/>
      <c r="M131" s="262">
        <v>61984</v>
      </c>
      <c r="N131" s="262"/>
      <c r="O131" s="262"/>
      <c r="P131" s="262"/>
      <c r="Q131" s="262"/>
      <c r="R131" s="262" t="s">
        <v>19</v>
      </c>
      <c r="S131" s="267" t="s">
        <v>19</v>
      </c>
      <c r="T131" s="268"/>
      <c r="U131" s="269"/>
      <c r="V131" s="269"/>
      <c r="W131" s="278">
        <v>2014000</v>
      </c>
      <c r="X131" s="270"/>
      <c r="Y131" s="262" t="s">
        <v>27</v>
      </c>
      <c r="Z131" s="271" t="s">
        <v>718</v>
      </c>
      <c r="AA131" s="287"/>
      <c r="AB131" s="287"/>
      <c r="AC131" s="272">
        <f t="shared" si="5"/>
        <v>0</v>
      </c>
      <c r="AD131" s="272">
        <v>0</v>
      </c>
      <c r="AE131" s="272">
        <f t="shared" si="6"/>
        <v>0</v>
      </c>
      <c r="AF131" s="273"/>
      <c r="AG131" s="274"/>
      <c r="AH131" s="273"/>
      <c r="AI131" s="273"/>
      <c r="AJ131" s="274"/>
      <c r="AK131" s="273"/>
      <c r="AL131" s="275"/>
      <c r="AM131" s="290"/>
      <c r="AN131" s="275"/>
      <c r="AO131" s="276"/>
      <c r="AP131" s="275"/>
      <c r="AQ131" s="275"/>
      <c r="AR131" s="275"/>
      <c r="AS131" s="275"/>
      <c r="AT131" s="275"/>
      <c r="AU131" s="275"/>
      <c r="AV131" s="275"/>
      <c r="AW131" s="275"/>
      <c r="AX131" s="275"/>
      <c r="AY131" s="275"/>
      <c r="AZ131" s="275"/>
      <c r="BA131" s="275"/>
      <c r="BB131" s="275"/>
      <c r="BC131" s="275"/>
      <c r="BD131" s="275"/>
      <c r="BE131" s="275"/>
      <c r="BF131" s="275"/>
      <c r="BH131" s="277"/>
    </row>
    <row r="132" spans="1:60" ht="16.5" hidden="1" customHeight="1" x14ac:dyDescent="0.3">
      <c r="A132" s="260">
        <v>110</v>
      </c>
      <c r="B132" s="261"/>
      <c r="C132" s="261"/>
      <c r="D132" s="262"/>
      <c r="E132" s="262"/>
      <c r="F132" s="263" t="s">
        <v>15</v>
      </c>
      <c r="G132" s="264" t="s">
        <v>113</v>
      </c>
      <c r="H132" s="281"/>
      <c r="I132" s="265"/>
      <c r="J132" s="266" t="s">
        <v>799</v>
      </c>
      <c r="K132" s="262"/>
      <c r="L132" s="262"/>
      <c r="M132" s="262">
        <v>9602</v>
      </c>
      <c r="N132" s="262"/>
      <c r="O132" s="262"/>
      <c r="P132" s="262"/>
      <c r="Q132" s="262"/>
      <c r="R132" s="262"/>
      <c r="S132" s="267" t="s">
        <v>823</v>
      </c>
      <c r="T132" s="268"/>
      <c r="U132" s="269"/>
      <c r="V132" s="269"/>
      <c r="W132" s="278">
        <v>87500000</v>
      </c>
      <c r="X132" s="270"/>
      <c r="Y132" s="262"/>
      <c r="Z132" s="271" t="s">
        <v>27</v>
      </c>
      <c r="AA132" s="287"/>
      <c r="AB132" s="287"/>
      <c r="AC132" s="272">
        <f t="shared" si="5"/>
        <v>30000000</v>
      </c>
      <c r="AD132" s="272">
        <v>30000000</v>
      </c>
      <c r="AE132" s="272">
        <f t="shared" si="6"/>
        <v>0</v>
      </c>
      <c r="AF132" s="273"/>
      <c r="AG132" s="274"/>
      <c r="AH132" s="273"/>
      <c r="AI132" s="273"/>
      <c r="AJ132" s="274"/>
      <c r="AK132" s="273"/>
      <c r="AL132" s="275"/>
      <c r="AM132" s="290"/>
      <c r="AN132" s="275"/>
      <c r="AO132" s="276">
        <v>30000000</v>
      </c>
      <c r="AP132" s="275"/>
      <c r="AQ132" s="275"/>
      <c r="AR132" s="275"/>
      <c r="AS132" s="275"/>
      <c r="AT132" s="275"/>
      <c r="AU132" s="275"/>
      <c r="AV132" s="275"/>
      <c r="AW132" s="275"/>
      <c r="AX132" s="275"/>
      <c r="AY132" s="275"/>
      <c r="AZ132" s="275"/>
      <c r="BA132" s="275"/>
      <c r="BB132" s="275"/>
      <c r="BC132" s="275"/>
      <c r="BD132" s="275"/>
      <c r="BE132" s="275"/>
      <c r="BF132" s="275"/>
      <c r="BH132" s="277"/>
    </row>
    <row r="133" spans="1:60" ht="16.5" hidden="1" customHeight="1" x14ac:dyDescent="0.3">
      <c r="A133" s="260">
        <v>111</v>
      </c>
      <c r="B133" s="261"/>
      <c r="C133" s="261"/>
      <c r="D133" s="262"/>
      <c r="E133" s="262"/>
      <c r="F133" s="263" t="s">
        <v>15</v>
      </c>
      <c r="G133" s="264" t="s">
        <v>113</v>
      </c>
      <c r="H133" s="281"/>
      <c r="I133" s="265"/>
      <c r="J133" s="266" t="s">
        <v>983</v>
      </c>
      <c r="K133" s="262"/>
      <c r="L133" s="262"/>
      <c r="M133" s="262">
        <v>63298</v>
      </c>
      <c r="N133" s="262"/>
      <c r="O133" s="262"/>
      <c r="P133" s="262"/>
      <c r="Q133" s="262"/>
      <c r="R133" s="262"/>
      <c r="S133" s="267" t="s">
        <v>833</v>
      </c>
      <c r="T133" s="268"/>
      <c r="U133" s="269"/>
      <c r="V133" s="269"/>
      <c r="W133" s="278">
        <v>560000</v>
      </c>
      <c r="X133" s="270"/>
      <c r="Y133" s="262"/>
      <c r="Z133" s="271" t="s">
        <v>718</v>
      </c>
      <c r="AA133" s="287"/>
      <c r="AB133" s="287"/>
      <c r="AC133" s="272">
        <f t="shared" si="5"/>
        <v>0</v>
      </c>
      <c r="AD133" s="272">
        <v>0</v>
      </c>
      <c r="AE133" s="272">
        <f t="shared" si="6"/>
        <v>0</v>
      </c>
      <c r="AF133" s="273"/>
      <c r="AG133" s="274"/>
      <c r="AH133" s="273"/>
      <c r="AI133" s="273"/>
      <c r="AJ133" s="274"/>
      <c r="AK133" s="273"/>
      <c r="AL133" s="275"/>
      <c r="AM133" s="290"/>
      <c r="AN133" s="275"/>
      <c r="AO133" s="276"/>
      <c r="AP133" s="275"/>
      <c r="AQ133" s="275"/>
      <c r="AR133" s="275"/>
      <c r="AS133" s="275"/>
      <c r="AT133" s="275"/>
      <c r="AU133" s="275"/>
      <c r="AV133" s="275"/>
      <c r="AW133" s="275"/>
      <c r="AX133" s="275"/>
      <c r="AY133" s="275"/>
      <c r="AZ133" s="275"/>
      <c r="BA133" s="275"/>
      <c r="BB133" s="275"/>
      <c r="BC133" s="275"/>
      <c r="BD133" s="275"/>
      <c r="BE133" s="275"/>
      <c r="BF133" s="275"/>
      <c r="BH133" s="277"/>
    </row>
    <row r="134" spans="1:60" ht="16.5" hidden="1" customHeight="1" x14ac:dyDescent="0.3">
      <c r="A134" s="260">
        <v>112</v>
      </c>
      <c r="B134" s="261"/>
      <c r="C134" s="261"/>
      <c r="D134" s="262" t="s">
        <v>15</v>
      </c>
      <c r="E134" s="262" t="s">
        <v>113</v>
      </c>
      <c r="F134" s="263" t="s">
        <v>15</v>
      </c>
      <c r="G134" s="264" t="s">
        <v>113</v>
      </c>
      <c r="H134" s="281"/>
      <c r="I134" s="265"/>
      <c r="J134" s="266" t="s">
        <v>150</v>
      </c>
      <c r="K134" s="262"/>
      <c r="L134" s="262"/>
      <c r="M134" s="262">
        <v>12267</v>
      </c>
      <c r="N134" s="262" t="s">
        <v>17</v>
      </c>
      <c r="O134" s="262" t="s">
        <v>212</v>
      </c>
      <c r="P134" s="262" t="s">
        <v>57</v>
      </c>
      <c r="Q134" s="262" t="s">
        <v>18</v>
      </c>
      <c r="R134" s="262" t="s">
        <v>19</v>
      </c>
      <c r="S134" s="267" t="s">
        <v>19</v>
      </c>
      <c r="T134" s="268"/>
      <c r="U134" s="269">
        <v>4018000</v>
      </c>
      <c r="V134" s="269">
        <v>616000</v>
      </c>
      <c r="W134" s="278">
        <v>8272000</v>
      </c>
      <c r="X134" s="270"/>
      <c r="Y134" s="262" t="s">
        <v>27</v>
      </c>
      <c r="Z134" s="271" t="s">
        <v>27</v>
      </c>
      <c r="AA134" s="287"/>
      <c r="AB134" s="287"/>
      <c r="AC134" s="272">
        <f t="shared" si="5"/>
        <v>9724000</v>
      </c>
      <c r="AD134" s="272">
        <v>9724000</v>
      </c>
      <c r="AE134" s="272">
        <f t="shared" si="6"/>
        <v>0</v>
      </c>
      <c r="AF134" s="273"/>
      <c r="AG134" s="274"/>
      <c r="AH134" s="273"/>
      <c r="AI134" s="273"/>
      <c r="AJ134" s="274"/>
      <c r="AK134" s="273"/>
      <c r="AL134" s="275">
        <v>7724000</v>
      </c>
      <c r="AM134" s="290">
        <v>7724000</v>
      </c>
      <c r="AN134" s="275"/>
      <c r="AO134" s="276"/>
      <c r="AP134" s="275"/>
      <c r="AQ134" s="275"/>
      <c r="AR134" s="275"/>
      <c r="AS134" s="275"/>
      <c r="AT134" s="275"/>
      <c r="AU134" s="275"/>
      <c r="AV134" s="275"/>
      <c r="AW134" s="275"/>
      <c r="AX134" s="275"/>
      <c r="AY134" s="275"/>
      <c r="AZ134" s="275"/>
      <c r="BA134" s="275">
        <v>2000000</v>
      </c>
      <c r="BB134" s="275"/>
      <c r="BC134" s="275"/>
      <c r="BD134" s="275"/>
      <c r="BE134" s="275"/>
      <c r="BF134" s="275"/>
      <c r="BH134" s="277"/>
    </row>
    <row r="135" spans="1:60" ht="16.5" hidden="1" customHeight="1" x14ac:dyDescent="0.3">
      <c r="A135" s="260">
        <v>113</v>
      </c>
      <c r="B135" s="261"/>
      <c r="C135" s="261"/>
      <c r="D135" s="262" t="s">
        <v>15</v>
      </c>
      <c r="E135" s="262" t="s">
        <v>113</v>
      </c>
      <c r="F135" s="263" t="s">
        <v>15</v>
      </c>
      <c r="G135" s="264" t="s">
        <v>113</v>
      </c>
      <c r="H135" s="281"/>
      <c r="I135" s="265"/>
      <c r="J135" s="266" t="s">
        <v>150</v>
      </c>
      <c r="K135" s="262"/>
      <c r="L135" s="262"/>
      <c r="M135" s="262">
        <v>12267</v>
      </c>
      <c r="N135" s="262" t="s">
        <v>17</v>
      </c>
      <c r="O135" s="262" t="s">
        <v>212</v>
      </c>
      <c r="P135" s="262" t="s">
        <v>57</v>
      </c>
      <c r="Q135" s="262" t="s">
        <v>46</v>
      </c>
      <c r="R135" s="262" t="s">
        <v>47</v>
      </c>
      <c r="S135" s="267" t="s">
        <v>47</v>
      </c>
      <c r="T135" s="268"/>
      <c r="U135" s="269">
        <v>78000000</v>
      </c>
      <c r="V135" s="269">
        <v>78000000</v>
      </c>
      <c r="W135" s="278">
        <v>78000000</v>
      </c>
      <c r="X135" s="270"/>
      <c r="Y135" s="262" t="s">
        <v>27</v>
      </c>
      <c r="Z135" s="271" t="s">
        <v>27</v>
      </c>
      <c r="AA135" s="287"/>
      <c r="AB135" s="287"/>
      <c r="AC135" s="272">
        <f t="shared" si="5"/>
        <v>78000000</v>
      </c>
      <c r="AD135" s="272">
        <v>78000000</v>
      </c>
      <c r="AE135" s="272">
        <f t="shared" si="6"/>
        <v>0</v>
      </c>
      <c r="AF135" s="273">
        <v>6500000</v>
      </c>
      <c r="AG135" s="274">
        <v>6500000</v>
      </c>
      <c r="AH135" s="273"/>
      <c r="AI135" s="273">
        <v>6500000</v>
      </c>
      <c r="AJ135" s="274">
        <v>6500000</v>
      </c>
      <c r="AK135" s="273"/>
      <c r="AL135" s="275">
        <v>6500000</v>
      </c>
      <c r="AM135" s="290">
        <v>6500000</v>
      </c>
      <c r="AN135" s="275"/>
      <c r="AO135" s="276">
        <v>6500000</v>
      </c>
      <c r="AP135" s="275"/>
      <c r="AQ135" s="275">
        <v>6500000</v>
      </c>
      <c r="AR135" s="275"/>
      <c r="AS135" s="275">
        <v>6500000</v>
      </c>
      <c r="AT135" s="275"/>
      <c r="AU135" s="275">
        <v>6500000</v>
      </c>
      <c r="AV135" s="275"/>
      <c r="AW135" s="275">
        <v>6500000</v>
      </c>
      <c r="AX135" s="275"/>
      <c r="AY135" s="275">
        <v>6500000</v>
      </c>
      <c r="AZ135" s="275"/>
      <c r="BA135" s="275">
        <v>6500000</v>
      </c>
      <c r="BB135" s="275"/>
      <c r="BC135" s="275">
        <v>6500000</v>
      </c>
      <c r="BD135" s="275"/>
      <c r="BE135" s="275">
        <v>6500000</v>
      </c>
      <c r="BF135" s="275"/>
      <c r="BH135" s="277"/>
    </row>
    <row r="136" spans="1:60" ht="16.5" hidden="1" customHeight="1" x14ac:dyDescent="0.3">
      <c r="A136" s="260">
        <v>114</v>
      </c>
      <c r="B136" s="261"/>
      <c r="C136" s="261"/>
      <c r="D136" s="262" t="s">
        <v>15</v>
      </c>
      <c r="E136" s="262" t="s">
        <v>113</v>
      </c>
      <c r="F136" s="263" t="s">
        <v>15</v>
      </c>
      <c r="G136" s="264" t="s">
        <v>113</v>
      </c>
      <c r="H136" s="281"/>
      <c r="I136" s="265"/>
      <c r="J136" s="266" t="s">
        <v>151</v>
      </c>
      <c r="K136" s="262"/>
      <c r="L136" s="262"/>
      <c r="M136" s="262">
        <v>15109</v>
      </c>
      <c r="N136" s="262" t="s">
        <v>53</v>
      </c>
      <c r="O136" s="262" t="s">
        <v>212</v>
      </c>
      <c r="P136" s="262" t="s">
        <v>57</v>
      </c>
      <c r="Q136" s="262" t="s">
        <v>30</v>
      </c>
      <c r="R136" s="262" t="s">
        <v>31</v>
      </c>
      <c r="S136" s="267" t="s">
        <v>31</v>
      </c>
      <c r="T136" s="268"/>
      <c r="U136" s="269">
        <v>8500000</v>
      </c>
      <c r="V136" s="269">
        <v>8863000</v>
      </c>
      <c r="W136" s="278">
        <v>9099000</v>
      </c>
      <c r="X136" s="270"/>
      <c r="Y136" s="262" t="s">
        <v>27</v>
      </c>
      <c r="Z136" s="271" t="s">
        <v>27</v>
      </c>
      <c r="AA136" s="287"/>
      <c r="AB136" s="287"/>
      <c r="AC136" s="272">
        <f t="shared" si="5"/>
        <v>10380000</v>
      </c>
      <c r="AD136" s="272">
        <v>10380000</v>
      </c>
      <c r="AE136" s="272">
        <f t="shared" si="6"/>
        <v>0</v>
      </c>
      <c r="AF136" s="273"/>
      <c r="AG136" s="274"/>
      <c r="AH136" s="273"/>
      <c r="AI136" s="273"/>
      <c r="AJ136" s="274"/>
      <c r="AK136" s="273"/>
      <c r="AL136" s="275">
        <v>2880000</v>
      </c>
      <c r="AM136" s="290">
        <v>2880000</v>
      </c>
      <c r="AN136" s="275"/>
      <c r="AO136" s="276"/>
      <c r="AP136" s="275"/>
      <c r="AQ136" s="275"/>
      <c r="AR136" s="275"/>
      <c r="AS136" s="275"/>
      <c r="AT136" s="275"/>
      <c r="AU136" s="275">
        <v>2000000</v>
      </c>
      <c r="AV136" s="275"/>
      <c r="AW136" s="275"/>
      <c r="AX136" s="275"/>
      <c r="AY136" s="275"/>
      <c r="AZ136" s="275"/>
      <c r="BA136" s="275">
        <v>3000000</v>
      </c>
      <c r="BB136" s="275"/>
      <c r="BC136" s="275"/>
      <c r="BD136" s="275"/>
      <c r="BE136" s="275">
        <v>2500000</v>
      </c>
      <c r="BF136" s="275"/>
      <c r="BH136" s="277"/>
    </row>
    <row r="137" spans="1:60" ht="16.5" hidden="1" customHeight="1" x14ac:dyDescent="0.3">
      <c r="A137" s="260">
        <v>115</v>
      </c>
      <c r="B137" s="261"/>
      <c r="C137" s="261"/>
      <c r="D137" s="262" t="s">
        <v>15</v>
      </c>
      <c r="E137" s="262" t="s">
        <v>113</v>
      </c>
      <c r="F137" s="263" t="s">
        <v>15</v>
      </c>
      <c r="G137" s="264" t="s">
        <v>113</v>
      </c>
      <c r="H137" s="281"/>
      <c r="I137" s="265"/>
      <c r="J137" s="266" t="s">
        <v>152</v>
      </c>
      <c r="K137" s="262"/>
      <c r="L137" s="262"/>
      <c r="M137" s="262">
        <v>16408</v>
      </c>
      <c r="N137" s="262" t="s">
        <v>22</v>
      </c>
      <c r="O137" s="262"/>
      <c r="P137" s="262"/>
      <c r="Q137" s="262" t="s">
        <v>18</v>
      </c>
      <c r="R137" s="262" t="s">
        <v>28</v>
      </c>
      <c r="S137" s="267" t="s">
        <v>28</v>
      </c>
      <c r="T137" s="268"/>
      <c r="U137" s="269">
        <v>126890333</v>
      </c>
      <c r="V137" s="269">
        <v>0</v>
      </c>
      <c r="W137" s="278">
        <v>0</v>
      </c>
      <c r="X137" s="270"/>
      <c r="Y137" s="262" t="s">
        <v>21</v>
      </c>
      <c r="Z137" s="271" t="s">
        <v>562</v>
      </c>
      <c r="AA137" s="287"/>
      <c r="AB137" s="287"/>
      <c r="AC137" s="272">
        <f t="shared" si="5"/>
        <v>0</v>
      </c>
      <c r="AD137" s="272">
        <v>0</v>
      </c>
      <c r="AE137" s="272">
        <f t="shared" si="6"/>
        <v>0</v>
      </c>
      <c r="AF137" s="273"/>
      <c r="AG137" s="274"/>
      <c r="AH137" s="273"/>
      <c r="AI137" s="273"/>
      <c r="AJ137" s="274"/>
      <c r="AK137" s="273"/>
      <c r="AL137" s="275"/>
      <c r="AM137" s="290"/>
      <c r="AN137" s="275"/>
      <c r="AO137" s="276"/>
      <c r="AP137" s="275"/>
      <c r="AQ137" s="275"/>
      <c r="AR137" s="275"/>
      <c r="AS137" s="275"/>
      <c r="AT137" s="275"/>
      <c r="AU137" s="275"/>
      <c r="AV137" s="275"/>
      <c r="AW137" s="275"/>
      <c r="AX137" s="275"/>
      <c r="AY137" s="275"/>
      <c r="AZ137" s="275"/>
      <c r="BA137" s="275"/>
      <c r="BB137" s="275"/>
      <c r="BC137" s="275"/>
      <c r="BD137" s="275"/>
      <c r="BE137" s="275"/>
      <c r="BF137" s="275"/>
      <c r="BH137" s="277"/>
    </row>
    <row r="138" spans="1:60" ht="16.5" hidden="1" customHeight="1" x14ac:dyDescent="0.3">
      <c r="A138" s="260">
        <v>116</v>
      </c>
      <c r="B138" s="261"/>
      <c r="C138" s="261"/>
      <c r="D138" s="262" t="s">
        <v>15</v>
      </c>
      <c r="E138" s="262" t="s">
        <v>0</v>
      </c>
      <c r="F138" s="263" t="s">
        <v>15</v>
      </c>
      <c r="G138" s="264" t="s">
        <v>0</v>
      </c>
      <c r="H138" s="281"/>
      <c r="I138" s="265"/>
      <c r="J138" s="266" t="s">
        <v>204</v>
      </c>
      <c r="K138" s="262"/>
      <c r="L138" s="262"/>
      <c r="M138" s="262">
        <v>12080</v>
      </c>
      <c r="N138" s="262" t="s">
        <v>22</v>
      </c>
      <c r="O138" s="262" t="s">
        <v>35</v>
      </c>
      <c r="P138" s="262" t="s">
        <v>57</v>
      </c>
      <c r="Q138" s="262" t="s">
        <v>18</v>
      </c>
      <c r="R138" s="262" t="s">
        <v>28</v>
      </c>
      <c r="S138" s="267" t="s">
        <v>28</v>
      </c>
      <c r="T138" s="268" t="s">
        <v>951</v>
      </c>
      <c r="U138" s="269" t="s">
        <v>154</v>
      </c>
      <c r="V138" s="269">
        <v>0</v>
      </c>
      <c r="W138" s="278">
        <v>127496280</v>
      </c>
      <c r="X138" s="270"/>
      <c r="Y138" s="262" t="s">
        <v>27</v>
      </c>
      <c r="Z138" s="271" t="s">
        <v>27</v>
      </c>
      <c r="AA138" s="287"/>
      <c r="AB138" s="287"/>
      <c r="AC138" s="272">
        <f t="shared" si="5"/>
        <v>115815046</v>
      </c>
      <c r="AD138" s="272">
        <v>115815046</v>
      </c>
      <c r="AE138" s="272">
        <f t="shared" si="6"/>
        <v>0</v>
      </c>
      <c r="AF138" s="273"/>
      <c r="AG138" s="274"/>
      <c r="AH138" s="273" t="s">
        <v>852</v>
      </c>
      <c r="AI138" s="273">
        <v>8000000</v>
      </c>
      <c r="AJ138" s="274">
        <v>819926</v>
      </c>
      <c r="AK138" s="273"/>
      <c r="AL138" s="275">
        <v>4990000</v>
      </c>
      <c r="AM138" s="290">
        <v>4995120</v>
      </c>
      <c r="AN138" s="275"/>
      <c r="AO138" s="276">
        <v>9000000</v>
      </c>
      <c r="AP138" s="275"/>
      <c r="AQ138" s="275">
        <v>12000000</v>
      </c>
      <c r="AR138" s="275"/>
      <c r="AS138" s="275">
        <v>12000000</v>
      </c>
      <c r="AT138" s="275"/>
      <c r="AU138" s="275">
        <v>12000000</v>
      </c>
      <c r="AV138" s="275"/>
      <c r="AW138" s="275">
        <v>12000000</v>
      </c>
      <c r="AX138" s="275"/>
      <c r="AY138" s="275">
        <v>12000000</v>
      </c>
      <c r="AZ138" s="275"/>
      <c r="BA138" s="275">
        <v>12000000</v>
      </c>
      <c r="BB138" s="275"/>
      <c r="BC138" s="275">
        <v>15000000</v>
      </c>
      <c r="BD138" s="275"/>
      <c r="BE138" s="275">
        <v>14000000</v>
      </c>
      <c r="BF138" s="275"/>
      <c r="BH138" s="277"/>
    </row>
    <row r="139" spans="1:60" ht="16.5" hidden="1" customHeight="1" x14ac:dyDescent="0.3">
      <c r="A139" s="260">
        <v>117</v>
      </c>
      <c r="B139" s="261"/>
      <c r="C139" s="261"/>
      <c r="D139" s="262" t="s">
        <v>15</v>
      </c>
      <c r="E139" s="262" t="s">
        <v>0</v>
      </c>
      <c r="F139" s="263" t="s">
        <v>15</v>
      </c>
      <c r="G139" s="264" t="s">
        <v>0</v>
      </c>
      <c r="H139" s="281"/>
      <c r="I139" s="265"/>
      <c r="J139" s="266" t="s">
        <v>155</v>
      </c>
      <c r="K139" s="262"/>
      <c r="L139" s="262"/>
      <c r="M139" s="262">
        <v>3708</v>
      </c>
      <c r="N139" s="262" t="s">
        <v>32</v>
      </c>
      <c r="O139" s="262" t="s">
        <v>56</v>
      </c>
      <c r="P139" s="262"/>
      <c r="Q139" s="262" t="s">
        <v>18</v>
      </c>
      <c r="R139" s="262" t="s">
        <v>19</v>
      </c>
      <c r="S139" s="267" t="s">
        <v>19</v>
      </c>
      <c r="T139" s="268"/>
      <c r="U139" s="269">
        <v>84791494</v>
      </c>
      <c r="V139" s="269">
        <v>0</v>
      </c>
      <c r="W139" s="278">
        <v>0</v>
      </c>
      <c r="X139" s="270"/>
      <c r="Y139" s="262" t="s">
        <v>24</v>
      </c>
      <c r="Z139" s="271" t="s">
        <v>27</v>
      </c>
      <c r="AA139" s="287"/>
      <c r="AB139" s="287"/>
      <c r="AC139" s="272">
        <f t="shared" si="5"/>
        <v>200000000</v>
      </c>
      <c r="AD139" s="272">
        <v>200000000</v>
      </c>
      <c r="AE139" s="272">
        <f t="shared" si="6"/>
        <v>0</v>
      </c>
      <c r="AF139" s="273"/>
      <c r="AG139" s="274"/>
      <c r="AH139" s="273"/>
      <c r="AI139" s="273"/>
      <c r="AJ139" s="274"/>
      <c r="AK139" s="273"/>
      <c r="AL139" s="275"/>
      <c r="AM139" s="290"/>
      <c r="AN139" s="275"/>
      <c r="AO139" s="276"/>
      <c r="AP139" s="275"/>
      <c r="AQ139" s="275"/>
      <c r="AR139" s="275"/>
      <c r="AS139" s="275"/>
      <c r="AT139" s="275"/>
      <c r="AU139" s="275">
        <v>100000000</v>
      </c>
      <c r="AV139" s="275"/>
      <c r="AW139" s="275"/>
      <c r="AX139" s="275"/>
      <c r="AY139" s="275"/>
      <c r="AZ139" s="275"/>
      <c r="BA139" s="275"/>
      <c r="BB139" s="275"/>
      <c r="BC139" s="275"/>
      <c r="BD139" s="275"/>
      <c r="BE139" s="275">
        <v>100000000</v>
      </c>
      <c r="BF139" s="275"/>
      <c r="BH139" s="277"/>
    </row>
    <row r="140" spans="1:60" ht="16.5" hidden="1" customHeight="1" x14ac:dyDescent="0.3">
      <c r="A140" s="260">
        <v>118</v>
      </c>
      <c r="B140" s="261"/>
      <c r="C140" s="261"/>
      <c r="D140" s="262" t="s">
        <v>15</v>
      </c>
      <c r="E140" s="262" t="s">
        <v>0</v>
      </c>
      <c r="F140" s="263" t="s">
        <v>15</v>
      </c>
      <c r="G140" s="264" t="s">
        <v>0</v>
      </c>
      <c r="H140" s="281"/>
      <c r="I140" s="265"/>
      <c r="J140" s="266" t="s">
        <v>155</v>
      </c>
      <c r="K140" s="262"/>
      <c r="L140" s="262"/>
      <c r="M140" s="262">
        <v>3708</v>
      </c>
      <c r="N140" s="262" t="s">
        <v>32</v>
      </c>
      <c r="O140" s="262" t="s">
        <v>56</v>
      </c>
      <c r="P140" s="262" t="s">
        <v>156</v>
      </c>
      <c r="Q140" s="262" t="s">
        <v>44</v>
      </c>
      <c r="R140" s="262" t="s">
        <v>469</v>
      </c>
      <c r="S140" s="267" t="s">
        <v>469</v>
      </c>
      <c r="T140" s="268"/>
      <c r="U140" s="269"/>
      <c r="V140" s="269">
        <v>148595000</v>
      </c>
      <c r="W140" s="278">
        <v>21995300</v>
      </c>
      <c r="X140" s="270"/>
      <c r="Y140" s="262" t="s">
        <v>27</v>
      </c>
      <c r="Z140" s="271" t="s">
        <v>27</v>
      </c>
      <c r="AA140" s="287"/>
      <c r="AB140" s="287"/>
      <c r="AC140" s="272">
        <f t="shared" si="5"/>
        <v>21595000</v>
      </c>
      <c r="AD140" s="272">
        <v>21595000</v>
      </c>
      <c r="AE140" s="272">
        <f t="shared" si="6"/>
        <v>0</v>
      </c>
      <c r="AF140" s="273"/>
      <c r="AG140" s="274">
        <v>7945000</v>
      </c>
      <c r="AH140" s="273"/>
      <c r="AI140" s="273"/>
      <c r="AJ140" s="274">
        <v>6195000</v>
      </c>
      <c r="AK140" s="273"/>
      <c r="AL140" s="275"/>
      <c r="AM140" s="290">
        <v>7455000</v>
      </c>
      <c r="AN140" s="275"/>
      <c r="AO140" s="276"/>
      <c r="AP140" s="275"/>
      <c r="AQ140" s="275"/>
      <c r="AR140" s="275"/>
      <c r="AS140" s="275"/>
      <c r="AT140" s="275"/>
      <c r="AU140" s="275"/>
      <c r="AV140" s="275"/>
      <c r="AW140" s="275"/>
      <c r="AX140" s="275"/>
      <c r="AY140" s="275"/>
      <c r="AZ140" s="275"/>
      <c r="BA140" s="275"/>
      <c r="BB140" s="275"/>
      <c r="BC140" s="275"/>
      <c r="BD140" s="275"/>
      <c r="BE140" s="275"/>
      <c r="BF140" s="275"/>
      <c r="BH140" s="277"/>
    </row>
    <row r="141" spans="1:60" ht="16.5" hidden="1" customHeight="1" x14ac:dyDescent="0.3">
      <c r="A141" s="260">
        <v>119</v>
      </c>
      <c r="B141" s="261"/>
      <c r="C141" s="261"/>
      <c r="D141" s="262" t="s">
        <v>15</v>
      </c>
      <c r="E141" s="262" t="s">
        <v>0</v>
      </c>
      <c r="F141" s="263" t="s">
        <v>15</v>
      </c>
      <c r="G141" s="264" t="s">
        <v>0</v>
      </c>
      <c r="H141" s="281"/>
      <c r="I141" s="265"/>
      <c r="J141" s="266" t="s">
        <v>155</v>
      </c>
      <c r="K141" s="262"/>
      <c r="L141" s="262"/>
      <c r="M141" s="262">
        <v>3708</v>
      </c>
      <c r="N141" s="262" t="s">
        <v>32</v>
      </c>
      <c r="O141" s="262" t="s">
        <v>56</v>
      </c>
      <c r="P141" s="262" t="s">
        <v>156</v>
      </c>
      <c r="Q141" s="262" t="s">
        <v>26</v>
      </c>
      <c r="R141" s="262" t="s">
        <v>468</v>
      </c>
      <c r="S141" s="267" t="s">
        <v>468</v>
      </c>
      <c r="T141" s="268"/>
      <c r="U141" s="269">
        <v>16344999.999999998</v>
      </c>
      <c r="V141" s="269">
        <v>24210000</v>
      </c>
      <c r="W141" s="278">
        <v>7030000</v>
      </c>
      <c r="X141" s="270"/>
      <c r="Y141" s="262" t="s">
        <v>24</v>
      </c>
      <c r="Z141" s="271" t="s">
        <v>24</v>
      </c>
      <c r="AA141" s="287"/>
      <c r="AB141" s="287"/>
      <c r="AC141" s="272">
        <f t="shared" si="5"/>
        <v>26000000</v>
      </c>
      <c r="AD141" s="272">
        <v>26000000</v>
      </c>
      <c r="AE141" s="272">
        <f t="shared" si="6"/>
        <v>0</v>
      </c>
      <c r="AF141" s="273"/>
      <c r="AG141" s="274"/>
      <c r="AH141" s="273"/>
      <c r="AI141" s="273"/>
      <c r="AJ141" s="274"/>
      <c r="AK141" s="273"/>
      <c r="AL141" s="275"/>
      <c r="AM141" s="290"/>
      <c r="AN141" s="275"/>
      <c r="AO141" s="276"/>
      <c r="AP141" s="275"/>
      <c r="AQ141" s="275"/>
      <c r="AR141" s="275"/>
      <c r="AS141" s="275"/>
      <c r="AT141" s="275"/>
      <c r="AU141" s="275"/>
      <c r="AV141" s="275"/>
      <c r="AW141" s="275"/>
      <c r="AX141" s="275"/>
      <c r="AY141" s="275">
        <v>13000000</v>
      </c>
      <c r="AZ141" s="275"/>
      <c r="BA141" s="275">
        <v>13000000</v>
      </c>
      <c r="BB141" s="275"/>
      <c r="BC141" s="275"/>
      <c r="BD141" s="275"/>
      <c r="BE141" s="275"/>
      <c r="BF141" s="275"/>
      <c r="BH141" s="277"/>
    </row>
    <row r="142" spans="1:60" ht="16.5" hidden="1" customHeight="1" x14ac:dyDescent="0.3">
      <c r="A142" s="260">
        <v>120</v>
      </c>
      <c r="B142" s="261"/>
      <c r="C142" s="261"/>
      <c r="D142" s="262" t="s">
        <v>15</v>
      </c>
      <c r="E142" s="262" t="s">
        <v>0</v>
      </c>
      <c r="F142" s="263" t="s">
        <v>15</v>
      </c>
      <c r="G142" s="264" t="s">
        <v>0</v>
      </c>
      <c r="H142" s="281"/>
      <c r="I142" s="265"/>
      <c r="J142" s="266" t="s">
        <v>157</v>
      </c>
      <c r="K142" s="262"/>
      <c r="L142" s="262"/>
      <c r="M142" s="262">
        <v>29192</v>
      </c>
      <c r="N142" s="262" t="s">
        <v>32</v>
      </c>
      <c r="O142" s="262" t="s">
        <v>56</v>
      </c>
      <c r="P142" s="262"/>
      <c r="Q142" s="262" t="s">
        <v>23</v>
      </c>
      <c r="R142" s="262" t="s">
        <v>397</v>
      </c>
      <c r="S142" s="267" t="s">
        <v>823</v>
      </c>
      <c r="T142" s="268"/>
      <c r="U142" s="269"/>
      <c r="V142" s="269">
        <v>5000000</v>
      </c>
      <c r="W142" s="278">
        <v>0</v>
      </c>
      <c r="X142" s="270"/>
      <c r="Y142" s="262" t="s">
        <v>25</v>
      </c>
      <c r="Z142" s="271" t="s">
        <v>25</v>
      </c>
      <c r="AA142" s="287"/>
      <c r="AB142" s="287"/>
      <c r="AC142" s="272">
        <f t="shared" si="5"/>
        <v>10000000</v>
      </c>
      <c r="AD142" s="272">
        <v>10000000</v>
      </c>
      <c r="AE142" s="272">
        <f t="shared" si="6"/>
        <v>0</v>
      </c>
      <c r="AF142" s="273"/>
      <c r="AG142" s="274"/>
      <c r="AH142" s="273"/>
      <c r="AI142" s="273"/>
      <c r="AJ142" s="274"/>
      <c r="AK142" s="273"/>
      <c r="AL142" s="275"/>
      <c r="AM142" s="290"/>
      <c r="AN142" s="275"/>
      <c r="AO142" s="276"/>
      <c r="AP142" s="275"/>
      <c r="AQ142" s="275"/>
      <c r="AR142" s="275"/>
      <c r="AS142" s="275"/>
      <c r="AT142" s="275"/>
      <c r="AU142" s="275"/>
      <c r="AV142" s="275"/>
      <c r="AW142" s="275"/>
      <c r="AX142" s="275"/>
      <c r="AY142" s="275"/>
      <c r="AZ142" s="275"/>
      <c r="BA142" s="275">
        <v>10000000</v>
      </c>
      <c r="BB142" s="275"/>
      <c r="BC142" s="275"/>
      <c r="BD142" s="275"/>
      <c r="BE142" s="275"/>
      <c r="BF142" s="275"/>
      <c r="BH142" s="277"/>
    </row>
    <row r="143" spans="1:60" ht="16.5" hidden="1" customHeight="1" x14ac:dyDescent="0.3">
      <c r="A143" s="260">
        <v>121</v>
      </c>
      <c r="B143" s="261"/>
      <c r="C143" s="261"/>
      <c r="D143" s="262" t="s">
        <v>15</v>
      </c>
      <c r="E143" s="262" t="s">
        <v>0</v>
      </c>
      <c r="F143" s="263" t="s">
        <v>15</v>
      </c>
      <c r="G143" s="264" t="s">
        <v>0</v>
      </c>
      <c r="H143" s="281"/>
      <c r="I143" s="265"/>
      <c r="J143" s="266" t="s">
        <v>158</v>
      </c>
      <c r="K143" s="262"/>
      <c r="L143" s="262"/>
      <c r="M143" s="262">
        <v>40006</v>
      </c>
      <c r="N143" s="262" t="s">
        <v>32</v>
      </c>
      <c r="O143" s="262"/>
      <c r="P143" s="262" t="s">
        <v>124</v>
      </c>
      <c r="Q143" s="262" t="s">
        <v>26</v>
      </c>
      <c r="R143" s="262" t="s">
        <v>468</v>
      </c>
      <c r="S143" s="267" t="s">
        <v>468</v>
      </c>
      <c r="T143" s="268"/>
      <c r="U143" s="269">
        <v>4000000</v>
      </c>
      <c r="V143" s="269">
        <v>0</v>
      </c>
      <c r="W143" s="278">
        <v>0</v>
      </c>
      <c r="X143" s="270"/>
      <c r="Y143" s="262" t="s">
        <v>21</v>
      </c>
      <c r="Z143" s="271" t="s">
        <v>21</v>
      </c>
      <c r="AA143" s="287"/>
      <c r="AB143" s="287"/>
      <c r="AC143" s="272">
        <f t="shared" si="5"/>
        <v>0</v>
      </c>
      <c r="AD143" s="272">
        <v>0</v>
      </c>
      <c r="AE143" s="272">
        <f t="shared" si="6"/>
        <v>0</v>
      </c>
      <c r="AF143" s="273"/>
      <c r="AG143" s="274"/>
      <c r="AH143" s="273"/>
      <c r="AI143" s="273"/>
      <c r="AJ143" s="274"/>
      <c r="AK143" s="273"/>
      <c r="AL143" s="275"/>
      <c r="AM143" s="290"/>
      <c r="AN143" s="275"/>
      <c r="AO143" s="276"/>
      <c r="AP143" s="275"/>
      <c r="AQ143" s="275"/>
      <c r="AR143" s="275"/>
      <c r="AS143" s="275"/>
      <c r="AT143" s="275"/>
      <c r="AU143" s="275"/>
      <c r="AV143" s="275"/>
      <c r="AW143" s="275"/>
      <c r="AX143" s="275"/>
      <c r="AY143" s="275"/>
      <c r="AZ143" s="275"/>
      <c r="BA143" s="275"/>
      <c r="BB143" s="275"/>
      <c r="BC143" s="275"/>
      <c r="BD143" s="275"/>
      <c r="BE143" s="275"/>
      <c r="BF143" s="275"/>
      <c r="BH143" s="277"/>
    </row>
    <row r="144" spans="1:60" ht="16.5" hidden="1" customHeight="1" x14ac:dyDescent="0.3">
      <c r="A144" s="260">
        <v>122</v>
      </c>
      <c r="B144" s="261"/>
      <c r="C144" s="261"/>
      <c r="D144" s="262" t="s">
        <v>15</v>
      </c>
      <c r="E144" s="262" t="s">
        <v>0</v>
      </c>
      <c r="F144" s="263" t="s">
        <v>15</v>
      </c>
      <c r="G144" s="264" t="s">
        <v>0</v>
      </c>
      <c r="H144" s="281"/>
      <c r="I144" s="265"/>
      <c r="J144" s="266" t="s">
        <v>159</v>
      </c>
      <c r="K144" s="262"/>
      <c r="L144" s="262"/>
      <c r="M144" s="262">
        <v>29192</v>
      </c>
      <c r="N144" s="262" t="s">
        <v>32</v>
      </c>
      <c r="O144" s="262" t="s">
        <v>56</v>
      </c>
      <c r="P144" s="262" t="s">
        <v>57</v>
      </c>
      <c r="Q144" s="262" t="s">
        <v>160</v>
      </c>
      <c r="R144" s="262" t="s">
        <v>19</v>
      </c>
      <c r="S144" s="267" t="s">
        <v>19</v>
      </c>
      <c r="T144" s="268"/>
      <c r="U144" s="269"/>
      <c r="V144" s="269">
        <v>0</v>
      </c>
      <c r="W144" s="278">
        <v>0</v>
      </c>
      <c r="X144" s="270"/>
      <c r="Y144" s="262" t="s">
        <v>20</v>
      </c>
      <c r="Z144" s="271" t="s">
        <v>20</v>
      </c>
      <c r="AA144" s="287"/>
      <c r="AB144" s="287"/>
      <c r="AC144" s="272">
        <f t="shared" si="5"/>
        <v>0</v>
      </c>
      <c r="AD144" s="272">
        <v>0</v>
      </c>
      <c r="AE144" s="272">
        <f t="shared" si="6"/>
        <v>0</v>
      </c>
      <c r="AF144" s="273"/>
      <c r="AG144" s="274"/>
      <c r="AH144" s="273"/>
      <c r="AI144" s="273"/>
      <c r="AJ144" s="274"/>
      <c r="AK144" s="273"/>
      <c r="AL144" s="275"/>
      <c r="AM144" s="290"/>
      <c r="AN144" s="275"/>
      <c r="AO144" s="276"/>
      <c r="AP144" s="275"/>
      <c r="AQ144" s="275"/>
      <c r="AR144" s="275"/>
      <c r="AS144" s="275"/>
      <c r="AT144" s="275"/>
      <c r="AU144" s="275"/>
      <c r="AV144" s="275"/>
      <c r="AW144" s="275"/>
      <c r="AX144" s="275"/>
      <c r="AY144" s="275"/>
      <c r="AZ144" s="275"/>
      <c r="BA144" s="275"/>
      <c r="BB144" s="275"/>
      <c r="BC144" s="275"/>
      <c r="BD144" s="275"/>
      <c r="BE144" s="275"/>
      <c r="BF144" s="275"/>
      <c r="BH144" s="277"/>
    </row>
    <row r="145" spans="1:60" ht="16.5" hidden="1" customHeight="1" x14ac:dyDescent="0.3">
      <c r="A145" s="260">
        <v>123</v>
      </c>
      <c r="B145" s="261"/>
      <c r="C145" s="261"/>
      <c r="D145" s="262" t="s">
        <v>15</v>
      </c>
      <c r="E145" s="262" t="s">
        <v>0</v>
      </c>
      <c r="F145" s="263" t="s">
        <v>15</v>
      </c>
      <c r="G145" s="264" t="s">
        <v>0</v>
      </c>
      <c r="H145" s="281"/>
      <c r="I145" s="265"/>
      <c r="J145" s="266" t="s">
        <v>159</v>
      </c>
      <c r="K145" s="262"/>
      <c r="L145" s="262"/>
      <c r="M145" s="262">
        <v>29192</v>
      </c>
      <c r="N145" s="262" t="s">
        <v>32</v>
      </c>
      <c r="O145" s="262" t="s">
        <v>56</v>
      </c>
      <c r="P145" s="262"/>
      <c r="Q145" s="262" t="s">
        <v>54</v>
      </c>
      <c r="R145" s="262" t="s">
        <v>467</v>
      </c>
      <c r="S145" s="267" t="s">
        <v>826</v>
      </c>
      <c r="T145" s="268"/>
      <c r="U145" s="269">
        <v>195109906</v>
      </c>
      <c r="V145" s="269">
        <v>0</v>
      </c>
      <c r="W145" s="278">
        <v>0</v>
      </c>
      <c r="X145" s="270"/>
      <c r="Y145" s="262" t="s">
        <v>21</v>
      </c>
      <c r="Z145" s="271" t="s">
        <v>21</v>
      </c>
      <c r="AA145" s="287"/>
      <c r="AB145" s="287"/>
      <c r="AC145" s="272">
        <f t="shared" si="5"/>
        <v>0</v>
      </c>
      <c r="AD145" s="272">
        <v>0</v>
      </c>
      <c r="AE145" s="272">
        <f t="shared" si="6"/>
        <v>0</v>
      </c>
      <c r="AF145" s="273"/>
      <c r="AG145" s="274"/>
      <c r="AH145" s="273"/>
      <c r="AI145" s="273"/>
      <c r="AJ145" s="274"/>
      <c r="AK145" s="273"/>
      <c r="AL145" s="275"/>
      <c r="AM145" s="290"/>
      <c r="AN145" s="275"/>
      <c r="AO145" s="276"/>
      <c r="AP145" s="275"/>
      <c r="AQ145" s="275"/>
      <c r="AR145" s="275"/>
      <c r="AS145" s="275"/>
      <c r="AT145" s="275"/>
      <c r="AU145" s="275"/>
      <c r="AV145" s="275"/>
      <c r="AW145" s="275"/>
      <c r="AX145" s="275"/>
      <c r="AY145" s="275"/>
      <c r="AZ145" s="275"/>
      <c r="BA145" s="275"/>
      <c r="BB145" s="275"/>
      <c r="BC145" s="275"/>
      <c r="BD145" s="275"/>
      <c r="BE145" s="275"/>
      <c r="BF145" s="275"/>
      <c r="BH145" s="277"/>
    </row>
    <row r="146" spans="1:60" ht="16.5" hidden="1" customHeight="1" x14ac:dyDescent="0.3">
      <c r="A146" s="260">
        <v>124</v>
      </c>
      <c r="B146" s="261"/>
      <c r="C146" s="261"/>
      <c r="D146" s="262" t="s">
        <v>15</v>
      </c>
      <c r="E146" s="262" t="s">
        <v>0</v>
      </c>
      <c r="F146" s="263" t="s">
        <v>15</v>
      </c>
      <c r="G146" s="264" t="s">
        <v>0</v>
      </c>
      <c r="H146" s="281"/>
      <c r="I146" s="265"/>
      <c r="J146" s="266" t="s">
        <v>159</v>
      </c>
      <c r="K146" s="262"/>
      <c r="L146" s="262"/>
      <c r="M146" s="262">
        <v>29192</v>
      </c>
      <c r="N146" s="262" t="s">
        <v>32</v>
      </c>
      <c r="O146" s="262" t="s">
        <v>56</v>
      </c>
      <c r="P146" s="262" t="s">
        <v>57</v>
      </c>
      <c r="Q146" s="262" t="s">
        <v>59</v>
      </c>
      <c r="R146" s="262" t="s">
        <v>476</v>
      </c>
      <c r="S146" s="267" t="s">
        <v>825</v>
      </c>
      <c r="T146" s="268"/>
      <c r="U146" s="269">
        <v>200661090</v>
      </c>
      <c r="V146" s="269">
        <v>0</v>
      </c>
      <c r="W146" s="278">
        <v>0</v>
      </c>
      <c r="X146" s="270"/>
      <c r="Y146" s="262" t="s">
        <v>20</v>
      </c>
      <c r="Z146" s="271" t="s">
        <v>20</v>
      </c>
      <c r="AA146" s="287"/>
      <c r="AB146" s="287"/>
      <c r="AC146" s="272">
        <f t="shared" si="5"/>
        <v>0</v>
      </c>
      <c r="AD146" s="272">
        <v>0</v>
      </c>
      <c r="AE146" s="272">
        <f t="shared" si="6"/>
        <v>0</v>
      </c>
      <c r="AF146" s="273"/>
      <c r="AG146" s="274"/>
      <c r="AH146" s="273"/>
      <c r="AI146" s="273"/>
      <c r="AJ146" s="274"/>
      <c r="AK146" s="273"/>
      <c r="AL146" s="275"/>
      <c r="AM146" s="290"/>
      <c r="AN146" s="275"/>
      <c r="AO146" s="276"/>
      <c r="AP146" s="275"/>
      <c r="AQ146" s="275"/>
      <c r="AR146" s="275"/>
      <c r="AS146" s="275"/>
      <c r="AT146" s="275"/>
      <c r="AU146" s="275"/>
      <c r="AV146" s="275"/>
      <c r="AW146" s="275"/>
      <c r="AX146" s="275"/>
      <c r="AY146" s="275"/>
      <c r="AZ146" s="275"/>
      <c r="BA146" s="275"/>
      <c r="BB146" s="275"/>
      <c r="BC146" s="275"/>
      <c r="BD146" s="275"/>
      <c r="BE146" s="275"/>
      <c r="BF146" s="275"/>
      <c r="BH146" s="277"/>
    </row>
    <row r="147" spans="1:60" ht="16.5" hidden="1" customHeight="1" x14ac:dyDescent="0.3">
      <c r="A147" s="260">
        <v>125</v>
      </c>
      <c r="B147" s="261"/>
      <c r="C147" s="261"/>
      <c r="D147" s="262" t="s">
        <v>15</v>
      </c>
      <c r="E147" s="262" t="s">
        <v>606</v>
      </c>
      <c r="F147" s="263" t="s">
        <v>15</v>
      </c>
      <c r="G147" s="264" t="s">
        <v>0</v>
      </c>
      <c r="H147" s="281"/>
      <c r="I147" s="265"/>
      <c r="J147" s="266" t="s">
        <v>161</v>
      </c>
      <c r="K147" s="262"/>
      <c r="L147" s="262"/>
      <c r="M147" s="262">
        <v>29192</v>
      </c>
      <c r="N147" s="262" t="s">
        <v>32</v>
      </c>
      <c r="O147" s="262" t="s">
        <v>212</v>
      </c>
      <c r="P147" s="262" t="s">
        <v>57</v>
      </c>
      <c r="Q147" s="262" t="s">
        <v>160</v>
      </c>
      <c r="R147" s="262" t="s">
        <v>19</v>
      </c>
      <c r="S147" s="267" t="s">
        <v>19</v>
      </c>
      <c r="T147" s="268"/>
      <c r="U147" s="269"/>
      <c r="V147" s="269">
        <v>0</v>
      </c>
      <c r="W147" s="278">
        <v>78875175</v>
      </c>
      <c r="X147" s="270"/>
      <c r="Y147" s="262" t="s">
        <v>27</v>
      </c>
      <c r="Z147" s="271" t="s">
        <v>718</v>
      </c>
      <c r="AA147" s="287"/>
      <c r="AB147" s="287"/>
      <c r="AC147" s="272">
        <f t="shared" si="5"/>
        <v>0</v>
      </c>
      <c r="AD147" s="272">
        <v>0</v>
      </c>
      <c r="AE147" s="272">
        <f t="shared" si="6"/>
        <v>0</v>
      </c>
      <c r="AF147" s="273"/>
      <c r="AG147" s="274"/>
      <c r="AH147" s="273"/>
      <c r="AI147" s="273"/>
      <c r="AJ147" s="274"/>
      <c r="AK147" s="273"/>
      <c r="AL147" s="275"/>
      <c r="AM147" s="290"/>
      <c r="AN147" s="275"/>
      <c r="AO147" s="276"/>
      <c r="AP147" s="275"/>
      <c r="AQ147" s="275"/>
      <c r="AR147" s="275"/>
      <c r="AS147" s="275"/>
      <c r="AT147" s="275"/>
      <c r="AU147" s="275"/>
      <c r="AV147" s="275"/>
      <c r="AW147" s="275"/>
      <c r="AX147" s="275"/>
      <c r="AY147" s="275"/>
      <c r="AZ147" s="275"/>
      <c r="BA147" s="275"/>
      <c r="BB147" s="275"/>
      <c r="BC147" s="275"/>
      <c r="BD147" s="275"/>
      <c r="BE147" s="275"/>
      <c r="BF147" s="275"/>
      <c r="BH147" s="277"/>
    </row>
    <row r="148" spans="1:60" ht="16.5" hidden="1" customHeight="1" x14ac:dyDescent="0.3">
      <c r="A148" s="260">
        <v>126</v>
      </c>
      <c r="B148" s="261"/>
      <c r="C148" s="261"/>
      <c r="D148" s="262" t="s">
        <v>15</v>
      </c>
      <c r="E148" s="262" t="s">
        <v>0</v>
      </c>
      <c r="F148" s="263" t="s">
        <v>15</v>
      </c>
      <c r="G148" s="264" t="s">
        <v>0</v>
      </c>
      <c r="H148" s="281"/>
      <c r="I148" s="265"/>
      <c r="J148" s="266" t="s">
        <v>161</v>
      </c>
      <c r="K148" s="262"/>
      <c r="L148" s="262"/>
      <c r="M148" s="262">
        <v>29192</v>
      </c>
      <c r="N148" s="262" t="s">
        <v>32</v>
      </c>
      <c r="O148" s="262" t="s">
        <v>212</v>
      </c>
      <c r="P148" s="262" t="s">
        <v>57</v>
      </c>
      <c r="Q148" s="262" t="s">
        <v>59</v>
      </c>
      <c r="R148" s="262" t="s">
        <v>476</v>
      </c>
      <c r="S148" s="267" t="s">
        <v>825</v>
      </c>
      <c r="T148" s="268"/>
      <c r="U148" s="269"/>
      <c r="V148" s="269">
        <v>0</v>
      </c>
      <c r="W148" s="278">
        <v>130890000</v>
      </c>
      <c r="X148" s="270"/>
      <c r="Y148" s="262" t="s">
        <v>27</v>
      </c>
      <c r="Z148" s="271" t="s">
        <v>20</v>
      </c>
      <c r="AA148" s="287"/>
      <c r="AB148" s="287"/>
      <c r="AC148" s="272">
        <f t="shared" si="5"/>
        <v>0</v>
      </c>
      <c r="AD148" s="272">
        <v>0</v>
      </c>
      <c r="AE148" s="272">
        <f t="shared" si="6"/>
        <v>0</v>
      </c>
      <c r="AF148" s="273"/>
      <c r="AG148" s="274"/>
      <c r="AH148" s="273"/>
      <c r="AI148" s="273"/>
      <c r="AJ148" s="274"/>
      <c r="AK148" s="273"/>
      <c r="AL148" s="275"/>
      <c r="AM148" s="290"/>
      <c r="AN148" s="275"/>
      <c r="AO148" s="276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H148" s="277"/>
    </row>
    <row r="149" spans="1:60" ht="16.5" hidden="1" customHeight="1" x14ac:dyDescent="0.3">
      <c r="A149" s="260">
        <v>127</v>
      </c>
      <c r="B149" s="261"/>
      <c r="C149" s="261"/>
      <c r="D149" s="262" t="s">
        <v>15</v>
      </c>
      <c r="E149" s="262" t="s">
        <v>0</v>
      </c>
      <c r="F149" s="263" t="s">
        <v>15</v>
      </c>
      <c r="G149" s="264" t="s">
        <v>0</v>
      </c>
      <c r="H149" s="281"/>
      <c r="I149" s="265"/>
      <c r="J149" s="266" t="s">
        <v>162</v>
      </c>
      <c r="K149" s="262"/>
      <c r="L149" s="262"/>
      <c r="M149" s="262">
        <v>29192</v>
      </c>
      <c r="N149" s="262" t="s">
        <v>32</v>
      </c>
      <c r="O149" s="262" t="s">
        <v>56</v>
      </c>
      <c r="P149" s="262" t="s">
        <v>57</v>
      </c>
      <c r="Q149" s="262" t="s">
        <v>59</v>
      </c>
      <c r="R149" s="262" t="s">
        <v>476</v>
      </c>
      <c r="S149" s="267" t="s">
        <v>825</v>
      </c>
      <c r="T149" s="268"/>
      <c r="U149" s="269"/>
      <c r="V149" s="269">
        <v>247470000</v>
      </c>
      <c r="W149" s="278">
        <v>129670000</v>
      </c>
      <c r="X149" s="270"/>
      <c r="Y149" s="262" t="s">
        <v>27</v>
      </c>
      <c r="Z149" s="271" t="s">
        <v>27</v>
      </c>
      <c r="AA149" s="287"/>
      <c r="AB149" s="287"/>
      <c r="AC149" s="272">
        <f t="shared" si="5"/>
        <v>130000000</v>
      </c>
      <c r="AD149" s="272">
        <v>130000000</v>
      </c>
      <c r="AE149" s="272">
        <f t="shared" si="6"/>
        <v>0</v>
      </c>
      <c r="AF149" s="273"/>
      <c r="AG149" s="274"/>
      <c r="AH149" s="273"/>
      <c r="AI149" s="273"/>
      <c r="AJ149" s="274"/>
      <c r="AK149" s="273"/>
      <c r="AL149" s="275"/>
      <c r="AM149" s="290"/>
      <c r="AN149" s="275"/>
      <c r="AO149" s="276">
        <v>65000000</v>
      </c>
      <c r="AP149" s="275"/>
      <c r="AQ149" s="275"/>
      <c r="AR149" s="275"/>
      <c r="AS149" s="275"/>
      <c r="AT149" s="275"/>
      <c r="AU149" s="275">
        <v>65000000</v>
      </c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H149" s="277"/>
    </row>
    <row r="150" spans="1:60" ht="16.5" hidden="1" customHeight="1" x14ac:dyDescent="0.3">
      <c r="A150" s="260">
        <v>128</v>
      </c>
      <c r="B150" s="261"/>
      <c r="C150" s="261"/>
      <c r="D150" s="262" t="s">
        <v>15</v>
      </c>
      <c r="E150" s="262" t="s">
        <v>0</v>
      </c>
      <c r="F150" s="263" t="s">
        <v>15</v>
      </c>
      <c r="G150" s="264" t="s">
        <v>0</v>
      </c>
      <c r="H150" s="281"/>
      <c r="I150" s="265"/>
      <c r="J150" s="266" t="s">
        <v>725</v>
      </c>
      <c r="K150" s="262"/>
      <c r="L150" s="262"/>
      <c r="M150" s="262">
        <v>29192</v>
      </c>
      <c r="N150" s="262" t="s">
        <v>32</v>
      </c>
      <c r="O150" s="262" t="s">
        <v>56</v>
      </c>
      <c r="P150" s="262" t="s">
        <v>57</v>
      </c>
      <c r="Q150" s="262"/>
      <c r="R150" s="262" t="s">
        <v>476</v>
      </c>
      <c r="S150" s="267" t="s">
        <v>825</v>
      </c>
      <c r="T150" s="268"/>
      <c r="U150" s="269"/>
      <c r="V150" s="269"/>
      <c r="W150" s="278">
        <v>0</v>
      </c>
      <c r="X150" s="270"/>
      <c r="Y150" s="262"/>
      <c r="Z150" s="271" t="s">
        <v>24</v>
      </c>
      <c r="AA150" s="287"/>
      <c r="AB150" s="287"/>
      <c r="AC150" s="272">
        <f t="shared" si="5"/>
        <v>130000000</v>
      </c>
      <c r="AD150" s="272">
        <v>130000000</v>
      </c>
      <c r="AE150" s="272">
        <f t="shared" si="6"/>
        <v>0</v>
      </c>
      <c r="AF150" s="273"/>
      <c r="AG150" s="274"/>
      <c r="AH150" s="273"/>
      <c r="AI150" s="273"/>
      <c r="AJ150" s="274"/>
      <c r="AK150" s="273"/>
      <c r="AL150" s="275"/>
      <c r="AM150" s="290"/>
      <c r="AN150" s="275"/>
      <c r="AO150" s="276"/>
      <c r="AP150" s="275"/>
      <c r="AQ150" s="275"/>
      <c r="AR150" s="275"/>
      <c r="AS150" s="275"/>
      <c r="AT150" s="275"/>
      <c r="AU150" s="275"/>
      <c r="AV150" s="275"/>
      <c r="AW150" s="275"/>
      <c r="AX150" s="275"/>
      <c r="AY150" s="275"/>
      <c r="AZ150" s="275"/>
      <c r="BA150" s="275">
        <v>65000000</v>
      </c>
      <c r="BB150" s="275"/>
      <c r="BC150" s="275"/>
      <c r="BD150" s="275"/>
      <c r="BE150" s="275">
        <v>65000000</v>
      </c>
      <c r="BF150" s="275"/>
      <c r="BH150" s="277"/>
    </row>
    <row r="151" spans="1:60" ht="16.5" hidden="1" customHeight="1" x14ac:dyDescent="0.3">
      <c r="A151" s="260">
        <v>129</v>
      </c>
      <c r="B151" s="261"/>
      <c r="C151" s="261"/>
      <c r="D151" s="262" t="s">
        <v>15</v>
      </c>
      <c r="E151" s="262" t="s">
        <v>0</v>
      </c>
      <c r="F151" s="263" t="s">
        <v>15</v>
      </c>
      <c r="G151" s="264" t="s">
        <v>0</v>
      </c>
      <c r="H151" s="281"/>
      <c r="I151" s="265"/>
      <c r="J151" s="266" t="s">
        <v>205</v>
      </c>
      <c r="K151" s="262"/>
      <c r="L151" s="262"/>
      <c r="M151" s="262">
        <v>16346</v>
      </c>
      <c r="N151" s="262" t="s">
        <v>32</v>
      </c>
      <c r="O151" s="262" t="s">
        <v>56</v>
      </c>
      <c r="P151" s="262" t="s">
        <v>57</v>
      </c>
      <c r="Q151" s="262" t="s">
        <v>63</v>
      </c>
      <c r="R151" s="262" t="s">
        <v>28</v>
      </c>
      <c r="S151" s="267" t="s">
        <v>28</v>
      </c>
      <c r="T151" s="268"/>
      <c r="U151" s="269">
        <v>86916000</v>
      </c>
      <c r="V151" s="269">
        <v>67284000</v>
      </c>
      <c r="W151" s="278">
        <v>0</v>
      </c>
      <c r="X151" s="270"/>
      <c r="Y151" s="262" t="s">
        <v>74</v>
      </c>
      <c r="Z151" s="271" t="s">
        <v>27</v>
      </c>
      <c r="AA151" s="287"/>
      <c r="AB151" s="287"/>
      <c r="AC151" s="272">
        <f t="shared" ref="AC151:AC214" si="7">AG151+AJ151+AM151+AO151+AQ151+AS151+AU151+AW151+AY151+BA151+BC151+BE151</f>
        <v>59053500</v>
      </c>
      <c r="AD151" s="272">
        <v>59053500</v>
      </c>
      <c r="AE151" s="272">
        <f t="shared" ref="AE151:AE214" si="8">AC151-AD151</f>
        <v>0</v>
      </c>
      <c r="AF151" s="273"/>
      <c r="AG151" s="274"/>
      <c r="AH151" s="273"/>
      <c r="AI151" s="273">
        <v>5400000</v>
      </c>
      <c r="AJ151" s="274">
        <v>5233500</v>
      </c>
      <c r="AK151" s="273"/>
      <c r="AL151" s="275">
        <v>10800000</v>
      </c>
      <c r="AM151" s="290">
        <v>5220000</v>
      </c>
      <c r="AN151" s="275"/>
      <c r="AO151" s="276">
        <v>5400000</v>
      </c>
      <c r="AP151" s="275"/>
      <c r="AQ151" s="275">
        <v>5400000</v>
      </c>
      <c r="AR151" s="275"/>
      <c r="AS151" s="275">
        <v>5400000</v>
      </c>
      <c r="AT151" s="275"/>
      <c r="AU151" s="275">
        <v>5400000</v>
      </c>
      <c r="AV151" s="275"/>
      <c r="AW151" s="275">
        <v>5400000</v>
      </c>
      <c r="AX151" s="275"/>
      <c r="AY151" s="275">
        <v>5400000</v>
      </c>
      <c r="AZ151" s="275"/>
      <c r="BA151" s="275">
        <v>5400000</v>
      </c>
      <c r="BB151" s="275"/>
      <c r="BC151" s="275">
        <v>5400000</v>
      </c>
      <c r="BD151" s="275"/>
      <c r="BE151" s="275">
        <v>5400000</v>
      </c>
      <c r="BF151" s="275"/>
      <c r="BH151" s="277"/>
    </row>
    <row r="152" spans="1:60" ht="16.5" hidden="1" customHeight="1" x14ac:dyDescent="0.3">
      <c r="A152" s="260">
        <v>130</v>
      </c>
      <c r="B152" s="261"/>
      <c r="C152" s="261"/>
      <c r="D152" s="262" t="s">
        <v>15</v>
      </c>
      <c r="E152" s="262" t="s">
        <v>0</v>
      </c>
      <c r="F152" s="263" t="s">
        <v>15</v>
      </c>
      <c r="G152" s="264" t="s">
        <v>0</v>
      </c>
      <c r="H152" s="281"/>
      <c r="I152" s="265"/>
      <c r="J152" s="266" t="s">
        <v>205</v>
      </c>
      <c r="K152" s="262"/>
      <c r="L152" s="262"/>
      <c r="M152" s="262">
        <v>16346</v>
      </c>
      <c r="N152" s="262" t="s">
        <v>32</v>
      </c>
      <c r="O152" s="262" t="s">
        <v>56</v>
      </c>
      <c r="P152" s="262" t="s">
        <v>57</v>
      </c>
      <c r="Q152" s="262" t="s">
        <v>30</v>
      </c>
      <c r="R152" s="262" t="s">
        <v>31</v>
      </c>
      <c r="S152" s="267" t="s">
        <v>31</v>
      </c>
      <c r="T152" s="268"/>
      <c r="U152" s="269">
        <v>19645000</v>
      </c>
      <c r="V152" s="269">
        <v>19491000</v>
      </c>
      <c r="W152" s="278">
        <v>1107000</v>
      </c>
      <c r="X152" s="270"/>
      <c r="Y152" s="262" t="s">
        <v>74</v>
      </c>
      <c r="Z152" s="271" t="s">
        <v>27</v>
      </c>
      <c r="AA152" s="287"/>
      <c r="AB152" s="287"/>
      <c r="AC152" s="272">
        <f t="shared" si="7"/>
        <v>26740000</v>
      </c>
      <c r="AD152" s="272">
        <v>26740000</v>
      </c>
      <c r="AE152" s="272">
        <f t="shared" si="8"/>
        <v>0</v>
      </c>
      <c r="AF152" s="273"/>
      <c r="AG152" s="274"/>
      <c r="AH152" s="273"/>
      <c r="AI152" s="273"/>
      <c r="AJ152" s="274"/>
      <c r="AK152" s="273"/>
      <c r="AL152" s="275"/>
      <c r="AM152" s="290"/>
      <c r="AN152" s="275"/>
      <c r="AO152" s="276"/>
      <c r="AP152" s="275"/>
      <c r="AQ152" s="275"/>
      <c r="AR152" s="275"/>
      <c r="AS152" s="275">
        <v>13370000</v>
      </c>
      <c r="AT152" s="275"/>
      <c r="AU152" s="275"/>
      <c r="AV152" s="275"/>
      <c r="AW152" s="275"/>
      <c r="AX152" s="275"/>
      <c r="AY152" s="275"/>
      <c r="AZ152" s="275"/>
      <c r="BA152" s="275"/>
      <c r="BB152" s="275"/>
      <c r="BC152" s="275"/>
      <c r="BD152" s="275"/>
      <c r="BE152" s="275">
        <v>13370000</v>
      </c>
      <c r="BF152" s="275"/>
      <c r="BH152" s="277"/>
    </row>
    <row r="153" spans="1:60" ht="16.5" hidden="1" customHeight="1" x14ac:dyDescent="0.3">
      <c r="A153" s="260">
        <v>131</v>
      </c>
      <c r="B153" s="261"/>
      <c r="C153" s="261"/>
      <c r="D153" s="262" t="s">
        <v>15</v>
      </c>
      <c r="E153" s="262" t="s">
        <v>0</v>
      </c>
      <c r="F153" s="263" t="s">
        <v>15</v>
      </c>
      <c r="G153" s="264" t="s">
        <v>0</v>
      </c>
      <c r="H153" s="281"/>
      <c r="I153" s="265"/>
      <c r="J153" s="266" t="s">
        <v>205</v>
      </c>
      <c r="K153" s="262"/>
      <c r="L153" s="262"/>
      <c r="M153" s="262">
        <v>16346</v>
      </c>
      <c r="N153" s="262" t="s">
        <v>32</v>
      </c>
      <c r="O153" s="262" t="s">
        <v>56</v>
      </c>
      <c r="P153" s="262"/>
      <c r="Q153" s="262" t="s">
        <v>26</v>
      </c>
      <c r="R153" s="262" t="s">
        <v>478</v>
      </c>
      <c r="S153" s="267" t="s">
        <v>478</v>
      </c>
      <c r="T153" s="268"/>
      <c r="U153" s="269"/>
      <c r="V153" s="269">
        <v>3200000</v>
      </c>
      <c r="W153" s="278">
        <v>0</v>
      </c>
      <c r="X153" s="270"/>
      <c r="Y153" s="262" t="s">
        <v>20</v>
      </c>
      <c r="Z153" s="271" t="s">
        <v>20</v>
      </c>
      <c r="AA153" s="287"/>
      <c r="AB153" s="287"/>
      <c r="AC153" s="272">
        <f t="shared" si="7"/>
        <v>0</v>
      </c>
      <c r="AD153" s="272">
        <v>0</v>
      </c>
      <c r="AE153" s="272">
        <f t="shared" si="8"/>
        <v>0</v>
      </c>
      <c r="AF153" s="273"/>
      <c r="AG153" s="274"/>
      <c r="AH153" s="273"/>
      <c r="AI153" s="273"/>
      <c r="AJ153" s="274"/>
      <c r="AK153" s="273"/>
      <c r="AL153" s="275"/>
      <c r="AM153" s="290"/>
      <c r="AN153" s="275"/>
      <c r="AO153" s="276"/>
      <c r="AP153" s="275"/>
      <c r="AQ153" s="275"/>
      <c r="AR153" s="275"/>
      <c r="AS153" s="275"/>
      <c r="AT153" s="275"/>
      <c r="AU153" s="275"/>
      <c r="AV153" s="275"/>
      <c r="AW153" s="275"/>
      <c r="AX153" s="275"/>
      <c r="AY153" s="275"/>
      <c r="AZ153" s="275"/>
      <c r="BA153" s="275"/>
      <c r="BB153" s="275"/>
      <c r="BC153" s="275"/>
      <c r="BD153" s="275"/>
      <c r="BE153" s="275"/>
      <c r="BF153" s="275"/>
      <c r="BH153" s="277"/>
    </row>
    <row r="154" spans="1:60" ht="16.5" hidden="1" customHeight="1" x14ac:dyDescent="0.3">
      <c r="A154" s="260">
        <v>132</v>
      </c>
      <c r="B154" s="261"/>
      <c r="C154" s="261"/>
      <c r="D154" s="262" t="s">
        <v>15</v>
      </c>
      <c r="E154" s="262" t="s">
        <v>0</v>
      </c>
      <c r="F154" s="263" t="s">
        <v>15</v>
      </c>
      <c r="G154" s="264" t="s">
        <v>0</v>
      </c>
      <c r="H154" s="281"/>
      <c r="I154" s="265"/>
      <c r="J154" s="266" t="s">
        <v>205</v>
      </c>
      <c r="K154" s="262"/>
      <c r="L154" s="262"/>
      <c r="M154" s="262">
        <v>16346</v>
      </c>
      <c r="N154" s="262" t="s">
        <v>32</v>
      </c>
      <c r="O154" s="262" t="s">
        <v>56</v>
      </c>
      <c r="P154" s="262"/>
      <c r="Q154" s="262" t="s">
        <v>55</v>
      </c>
      <c r="R154" s="262" t="s">
        <v>466</v>
      </c>
      <c r="S154" s="267" t="s">
        <v>829</v>
      </c>
      <c r="T154" s="268"/>
      <c r="U154" s="269"/>
      <c r="V154" s="269">
        <v>3000000</v>
      </c>
      <c r="W154" s="278">
        <v>0</v>
      </c>
      <c r="X154" s="270"/>
      <c r="Y154" s="262" t="s">
        <v>20</v>
      </c>
      <c r="Z154" s="271" t="s">
        <v>20</v>
      </c>
      <c r="AA154" s="287"/>
      <c r="AB154" s="287"/>
      <c r="AC154" s="272">
        <f t="shared" si="7"/>
        <v>0</v>
      </c>
      <c r="AD154" s="272">
        <v>0</v>
      </c>
      <c r="AE154" s="272">
        <f t="shared" si="8"/>
        <v>0</v>
      </c>
      <c r="AF154" s="273"/>
      <c r="AG154" s="274"/>
      <c r="AH154" s="273"/>
      <c r="AI154" s="273"/>
      <c r="AJ154" s="274"/>
      <c r="AK154" s="273"/>
      <c r="AL154" s="275"/>
      <c r="AM154" s="290"/>
      <c r="AN154" s="275"/>
      <c r="AO154" s="276"/>
      <c r="AP154" s="275"/>
      <c r="AQ154" s="275"/>
      <c r="AR154" s="275"/>
      <c r="AS154" s="275"/>
      <c r="AT154" s="275"/>
      <c r="AU154" s="275"/>
      <c r="AV154" s="275"/>
      <c r="AW154" s="275"/>
      <c r="AX154" s="275"/>
      <c r="AY154" s="275"/>
      <c r="AZ154" s="275"/>
      <c r="BA154" s="275"/>
      <c r="BB154" s="275"/>
      <c r="BC154" s="275"/>
      <c r="BD154" s="275"/>
      <c r="BE154" s="275"/>
      <c r="BF154" s="275"/>
      <c r="BH154" s="277"/>
    </row>
    <row r="155" spans="1:60" ht="16.5" hidden="1" customHeight="1" x14ac:dyDescent="0.3">
      <c r="A155" s="260">
        <v>133</v>
      </c>
      <c r="B155" s="261"/>
      <c r="C155" s="261"/>
      <c r="D155" s="262" t="s">
        <v>15</v>
      </c>
      <c r="E155" s="262" t="s">
        <v>0</v>
      </c>
      <c r="F155" s="263" t="s">
        <v>15</v>
      </c>
      <c r="G155" s="264" t="s">
        <v>0</v>
      </c>
      <c r="H155" s="281"/>
      <c r="I155" s="265"/>
      <c r="J155" s="266" t="s">
        <v>29</v>
      </c>
      <c r="K155" s="262"/>
      <c r="L155" s="262"/>
      <c r="M155" s="262">
        <v>59912</v>
      </c>
      <c r="N155" s="262" t="s">
        <v>22</v>
      </c>
      <c r="O155" s="262" t="s">
        <v>212</v>
      </c>
      <c r="P155" s="262" t="s">
        <v>57</v>
      </c>
      <c r="Q155" s="262" t="s">
        <v>30</v>
      </c>
      <c r="R155" s="262" t="s">
        <v>31</v>
      </c>
      <c r="S155" s="267" t="s">
        <v>31</v>
      </c>
      <c r="T155" s="268"/>
      <c r="U155" s="269"/>
      <c r="V155" s="269">
        <v>280000</v>
      </c>
      <c r="W155" s="278">
        <v>0</v>
      </c>
      <c r="X155" s="270"/>
      <c r="Y155" s="262" t="s">
        <v>27</v>
      </c>
      <c r="Z155" s="271" t="s">
        <v>562</v>
      </c>
      <c r="AA155" s="287"/>
      <c r="AB155" s="287"/>
      <c r="AC155" s="272">
        <f t="shared" si="7"/>
        <v>0</v>
      </c>
      <c r="AD155" s="272">
        <v>0</v>
      </c>
      <c r="AE155" s="272">
        <f t="shared" si="8"/>
        <v>0</v>
      </c>
      <c r="AF155" s="273"/>
      <c r="AG155" s="274"/>
      <c r="AH155" s="273"/>
      <c r="AI155" s="273"/>
      <c r="AJ155" s="274"/>
      <c r="AK155" s="273"/>
      <c r="AL155" s="275"/>
      <c r="AM155" s="290"/>
      <c r="AN155" s="275"/>
      <c r="AO155" s="276"/>
      <c r="AP155" s="275"/>
      <c r="AQ155" s="275"/>
      <c r="AR155" s="275"/>
      <c r="AS155" s="275"/>
      <c r="AT155" s="275"/>
      <c r="AU155" s="275"/>
      <c r="AV155" s="275"/>
      <c r="AW155" s="275"/>
      <c r="AX155" s="275"/>
      <c r="AY155" s="275"/>
      <c r="AZ155" s="275"/>
      <c r="BA155" s="275"/>
      <c r="BB155" s="275"/>
      <c r="BC155" s="275"/>
      <c r="BD155" s="275"/>
      <c r="BE155" s="275"/>
      <c r="BF155" s="275"/>
      <c r="BH155" s="277"/>
    </row>
    <row r="156" spans="1:60" ht="16.5" hidden="1" customHeight="1" x14ac:dyDescent="0.3">
      <c r="A156" s="260">
        <v>134</v>
      </c>
      <c r="B156" s="261"/>
      <c r="C156" s="261"/>
      <c r="D156" s="262" t="s">
        <v>15</v>
      </c>
      <c r="E156" s="262" t="s">
        <v>0</v>
      </c>
      <c r="F156" s="263" t="s">
        <v>15</v>
      </c>
      <c r="G156" s="264" t="s">
        <v>0</v>
      </c>
      <c r="H156" s="281"/>
      <c r="I156" s="265"/>
      <c r="J156" s="266" t="s">
        <v>206</v>
      </c>
      <c r="K156" s="262"/>
      <c r="L156" s="262"/>
      <c r="M156" s="262">
        <v>17964</v>
      </c>
      <c r="N156" s="262" t="s">
        <v>17</v>
      </c>
      <c r="O156" s="262" t="s">
        <v>56</v>
      </c>
      <c r="P156" s="262" t="s">
        <v>57</v>
      </c>
      <c r="Q156" s="262" t="s">
        <v>30</v>
      </c>
      <c r="R156" s="262" t="s">
        <v>31</v>
      </c>
      <c r="S156" s="267" t="s">
        <v>31</v>
      </c>
      <c r="T156" s="268"/>
      <c r="U156" s="269">
        <v>8300000</v>
      </c>
      <c r="V156" s="269">
        <v>8300000</v>
      </c>
      <c r="W156" s="278">
        <v>9252000</v>
      </c>
      <c r="X156" s="270"/>
      <c r="Y156" s="262" t="s">
        <v>27</v>
      </c>
      <c r="Z156" s="271" t="s">
        <v>25</v>
      </c>
      <c r="AA156" s="287"/>
      <c r="AB156" s="287"/>
      <c r="AC156" s="272">
        <f t="shared" si="7"/>
        <v>10000000</v>
      </c>
      <c r="AD156" s="272">
        <v>10000000</v>
      </c>
      <c r="AE156" s="272">
        <f t="shared" si="8"/>
        <v>0</v>
      </c>
      <c r="AF156" s="273"/>
      <c r="AG156" s="274"/>
      <c r="AH156" s="273"/>
      <c r="AI156" s="273"/>
      <c r="AJ156" s="274"/>
      <c r="AK156" s="273"/>
      <c r="AL156" s="275"/>
      <c r="AM156" s="290"/>
      <c r="AN156" s="275"/>
      <c r="AO156" s="276"/>
      <c r="AP156" s="275"/>
      <c r="AQ156" s="291">
        <v>10000000</v>
      </c>
      <c r="AR156" s="275"/>
      <c r="AS156" s="275"/>
      <c r="AT156" s="275"/>
      <c r="AU156" s="275"/>
      <c r="AV156" s="275"/>
      <c r="AW156" s="275"/>
      <c r="AX156" s="275"/>
      <c r="AY156" s="275"/>
      <c r="AZ156" s="275"/>
      <c r="BA156" s="275"/>
      <c r="BB156" s="275"/>
      <c r="BC156" s="275"/>
      <c r="BD156" s="275"/>
      <c r="BE156" s="275"/>
      <c r="BF156" s="275"/>
      <c r="BH156" s="277"/>
    </row>
    <row r="157" spans="1:60" ht="16.5" hidden="1" customHeight="1" x14ac:dyDescent="0.3">
      <c r="A157" s="260">
        <v>135</v>
      </c>
      <c r="B157" s="261"/>
      <c r="C157" s="261"/>
      <c r="D157" s="262" t="s">
        <v>15</v>
      </c>
      <c r="E157" s="262" t="s">
        <v>0</v>
      </c>
      <c r="F157" s="263" t="s">
        <v>15</v>
      </c>
      <c r="G157" s="264" t="s">
        <v>0</v>
      </c>
      <c r="H157" s="281"/>
      <c r="I157" s="265"/>
      <c r="J157" s="266" t="s">
        <v>207</v>
      </c>
      <c r="K157" s="262"/>
      <c r="L157" s="262"/>
      <c r="M157" s="262">
        <v>58453</v>
      </c>
      <c r="N157" s="262" t="s">
        <v>22</v>
      </c>
      <c r="O157" s="262" t="s">
        <v>56</v>
      </c>
      <c r="P157" s="262" t="s">
        <v>57</v>
      </c>
      <c r="Q157" s="262" t="s">
        <v>30</v>
      </c>
      <c r="R157" s="262" t="s">
        <v>31</v>
      </c>
      <c r="S157" s="267" t="s">
        <v>31</v>
      </c>
      <c r="T157" s="268"/>
      <c r="U157" s="269">
        <v>515000</v>
      </c>
      <c r="V157" s="269">
        <v>335000</v>
      </c>
      <c r="W157" s="278">
        <v>0</v>
      </c>
      <c r="X157" s="270"/>
      <c r="Y157" s="262" t="s">
        <v>25</v>
      </c>
      <c r="Z157" s="271" t="s">
        <v>25</v>
      </c>
      <c r="AA157" s="287"/>
      <c r="AB157" s="287"/>
      <c r="AC157" s="272">
        <f t="shared" si="7"/>
        <v>10000000</v>
      </c>
      <c r="AD157" s="272">
        <v>10000000</v>
      </c>
      <c r="AE157" s="272">
        <f t="shared" si="8"/>
        <v>0</v>
      </c>
      <c r="AF157" s="273"/>
      <c r="AG157" s="274"/>
      <c r="AH157" s="273"/>
      <c r="AI157" s="273"/>
      <c r="AJ157" s="274"/>
      <c r="AK157" s="273"/>
      <c r="AL157" s="275"/>
      <c r="AM157" s="290"/>
      <c r="AN157" s="275"/>
      <c r="AO157" s="276"/>
      <c r="AP157" s="275"/>
      <c r="AQ157" s="291">
        <v>10000000</v>
      </c>
      <c r="AR157" s="275"/>
      <c r="AS157" s="275"/>
      <c r="AT157" s="275"/>
      <c r="AU157" s="275"/>
      <c r="AV157" s="275"/>
      <c r="AW157" s="275"/>
      <c r="AX157" s="275"/>
      <c r="AY157" s="275"/>
      <c r="AZ157" s="275"/>
      <c r="BA157" s="275"/>
      <c r="BB157" s="275"/>
      <c r="BC157" s="275"/>
      <c r="BD157" s="275"/>
      <c r="BE157" s="275"/>
      <c r="BF157" s="275"/>
      <c r="BH157" s="277"/>
    </row>
    <row r="158" spans="1:60" ht="16.5" hidden="1" customHeight="1" x14ac:dyDescent="0.3">
      <c r="A158" s="260">
        <v>136</v>
      </c>
      <c r="B158" s="261"/>
      <c r="C158" s="261"/>
      <c r="D158" s="262" t="s">
        <v>15</v>
      </c>
      <c r="E158" s="262" t="s">
        <v>0</v>
      </c>
      <c r="F158" s="263" t="s">
        <v>15</v>
      </c>
      <c r="G158" s="264" t="s">
        <v>0</v>
      </c>
      <c r="H158" s="281"/>
      <c r="I158" s="265"/>
      <c r="J158" s="266" t="s">
        <v>655</v>
      </c>
      <c r="K158" s="262"/>
      <c r="L158" s="262"/>
      <c r="M158" s="262">
        <v>63339</v>
      </c>
      <c r="N158" s="262" t="s">
        <v>17</v>
      </c>
      <c r="O158" s="262" t="s">
        <v>35</v>
      </c>
      <c r="P158" s="262" t="s">
        <v>57</v>
      </c>
      <c r="Q158" s="262"/>
      <c r="R158" s="262" t="s">
        <v>31</v>
      </c>
      <c r="S158" s="267" t="s">
        <v>31</v>
      </c>
      <c r="T158" s="268"/>
      <c r="U158" s="269"/>
      <c r="V158" s="269">
        <v>0</v>
      </c>
      <c r="W158" s="278">
        <v>5600000</v>
      </c>
      <c r="X158" s="270"/>
      <c r="Y158" s="262" t="s">
        <v>27</v>
      </c>
      <c r="Z158" s="271" t="s">
        <v>25</v>
      </c>
      <c r="AA158" s="287"/>
      <c r="AB158" s="287"/>
      <c r="AC158" s="272">
        <f t="shared" si="7"/>
        <v>10000000</v>
      </c>
      <c r="AD158" s="272">
        <v>10000000</v>
      </c>
      <c r="AE158" s="272">
        <f t="shared" si="8"/>
        <v>0</v>
      </c>
      <c r="AF158" s="273"/>
      <c r="AG158" s="274"/>
      <c r="AH158" s="273"/>
      <c r="AI158" s="273"/>
      <c r="AJ158" s="274"/>
      <c r="AK158" s="273"/>
      <c r="AL158" s="275"/>
      <c r="AM158" s="290"/>
      <c r="AN158" s="275"/>
      <c r="AO158" s="276"/>
      <c r="AP158" s="275"/>
      <c r="AQ158" s="291">
        <v>10000000</v>
      </c>
      <c r="AR158" s="275"/>
      <c r="AS158" s="275"/>
      <c r="AT158" s="275"/>
      <c r="AU158" s="275"/>
      <c r="AV158" s="275"/>
      <c r="AW158" s="275"/>
      <c r="AX158" s="275"/>
      <c r="AY158" s="275"/>
      <c r="AZ158" s="275"/>
      <c r="BA158" s="275"/>
      <c r="BB158" s="275"/>
      <c r="BC158" s="275"/>
      <c r="BD158" s="275"/>
      <c r="BE158" s="275"/>
      <c r="BF158" s="275"/>
      <c r="BH158" s="277"/>
    </row>
    <row r="159" spans="1:60" ht="16.5" hidden="1" customHeight="1" x14ac:dyDescent="0.3">
      <c r="A159" s="260">
        <v>137</v>
      </c>
      <c r="B159" s="261"/>
      <c r="C159" s="261"/>
      <c r="D159" s="262"/>
      <c r="E159" s="262"/>
      <c r="F159" s="263" t="s">
        <v>15</v>
      </c>
      <c r="G159" s="264" t="s">
        <v>0</v>
      </c>
      <c r="H159" s="281"/>
      <c r="I159" s="265"/>
      <c r="J159" s="266" t="s">
        <v>208</v>
      </c>
      <c r="K159" s="262"/>
      <c r="L159" s="262"/>
      <c r="M159" s="262">
        <v>8714</v>
      </c>
      <c r="N159" s="262"/>
      <c r="O159" s="262"/>
      <c r="P159" s="262"/>
      <c r="Q159" s="262"/>
      <c r="R159" s="262"/>
      <c r="S159" s="267" t="s">
        <v>31</v>
      </c>
      <c r="T159" s="268"/>
      <c r="U159" s="269"/>
      <c r="V159" s="269"/>
      <c r="W159" s="278">
        <v>19400000</v>
      </c>
      <c r="X159" s="270"/>
      <c r="Y159" s="262"/>
      <c r="Z159" s="271" t="s">
        <v>718</v>
      </c>
      <c r="AA159" s="287"/>
      <c r="AB159" s="287"/>
      <c r="AC159" s="272">
        <f t="shared" si="7"/>
        <v>0</v>
      </c>
      <c r="AD159" s="272">
        <v>0</v>
      </c>
      <c r="AE159" s="272">
        <f t="shared" si="8"/>
        <v>0</v>
      </c>
      <c r="AF159" s="273"/>
      <c r="AG159" s="274"/>
      <c r="AH159" s="273"/>
      <c r="AI159" s="273"/>
      <c r="AJ159" s="274"/>
      <c r="AK159" s="273"/>
      <c r="AL159" s="275"/>
      <c r="AM159" s="290"/>
      <c r="AN159" s="275"/>
      <c r="AO159" s="276"/>
      <c r="AP159" s="275"/>
      <c r="AQ159" s="275"/>
      <c r="AR159" s="275"/>
      <c r="AS159" s="275"/>
      <c r="AT159" s="275"/>
      <c r="AU159" s="275"/>
      <c r="AV159" s="275"/>
      <c r="AW159" s="275"/>
      <c r="AX159" s="275"/>
      <c r="AY159" s="275"/>
      <c r="AZ159" s="275"/>
      <c r="BA159" s="275"/>
      <c r="BB159" s="275"/>
      <c r="BC159" s="275"/>
      <c r="BD159" s="275"/>
      <c r="BE159" s="275"/>
      <c r="BF159" s="275"/>
      <c r="BH159" s="277"/>
    </row>
    <row r="160" spans="1:60" ht="16.5" hidden="1" customHeight="1" x14ac:dyDescent="0.3">
      <c r="A160" s="260">
        <v>138</v>
      </c>
      <c r="B160" s="261"/>
      <c r="C160" s="261"/>
      <c r="D160" s="262" t="s">
        <v>15</v>
      </c>
      <c r="E160" s="262" t="s">
        <v>0</v>
      </c>
      <c r="F160" s="263" t="s">
        <v>15</v>
      </c>
      <c r="G160" s="264" t="s">
        <v>0</v>
      </c>
      <c r="H160" s="281"/>
      <c r="I160" s="265"/>
      <c r="J160" s="266" t="s">
        <v>208</v>
      </c>
      <c r="K160" s="262"/>
      <c r="L160" s="262"/>
      <c r="M160" s="262">
        <v>8714</v>
      </c>
      <c r="N160" s="262" t="s">
        <v>17</v>
      </c>
      <c r="O160" s="262" t="s">
        <v>56</v>
      </c>
      <c r="P160" s="262" t="s">
        <v>57</v>
      </c>
      <c r="Q160" s="262" t="s">
        <v>23</v>
      </c>
      <c r="R160" s="262" t="s">
        <v>397</v>
      </c>
      <c r="S160" s="267" t="s">
        <v>823</v>
      </c>
      <c r="T160" s="268"/>
      <c r="U160" s="269">
        <v>21000000</v>
      </c>
      <c r="V160" s="269">
        <v>12000000</v>
      </c>
      <c r="W160" s="278">
        <v>17000000</v>
      </c>
      <c r="X160" s="270"/>
      <c r="Y160" s="262" t="s">
        <v>27</v>
      </c>
      <c r="Z160" s="271" t="s">
        <v>24</v>
      </c>
      <c r="AA160" s="287"/>
      <c r="AB160" s="287"/>
      <c r="AC160" s="272">
        <f t="shared" si="7"/>
        <v>15000000</v>
      </c>
      <c r="AD160" s="272">
        <v>15000000</v>
      </c>
      <c r="AE160" s="272">
        <f t="shared" si="8"/>
        <v>0</v>
      </c>
      <c r="AF160" s="273"/>
      <c r="AG160" s="274"/>
      <c r="AH160" s="273"/>
      <c r="AI160" s="273"/>
      <c r="AJ160" s="274"/>
      <c r="AK160" s="273"/>
      <c r="AL160" s="275"/>
      <c r="AM160" s="290"/>
      <c r="AN160" s="275"/>
      <c r="AO160" s="276"/>
      <c r="AP160" s="275"/>
      <c r="AQ160" s="291">
        <v>15000000</v>
      </c>
      <c r="AR160" s="275"/>
      <c r="AS160" s="275"/>
      <c r="AT160" s="275"/>
      <c r="AU160" s="275"/>
      <c r="AV160" s="275"/>
      <c r="AW160" s="275"/>
      <c r="AX160" s="275"/>
      <c r="AY160" s="275"/>
      <c r="AZ160" s="275"/>
      <c r="BA160" s="275"/>
      <c r="BB160" s="275"/>
      <c r="BC160" s="275"/>
      <c r="BD160" s="275"/>
      <c r="BE160" s="275"/>
      <c r="BF160" s="275"/>
      <c r="BH160" s="277"/>
    </row>
    <row r="161" spans="1:60" ht="16.5" hidden="1" customHeight="1" x14ac:dyDescent="0.3">
      <c r="A161" s="260">
        <v>139</v>
      </c>
      <c r="B161" s="261"/>
      <c r="C161" s="261"/>
      <c r="D161" s="262" t="s">
        <v>15</v>
      </c>
      <c r="E161" s="262" t="s">
        <v>0</v>
      </c>
      <c r="F161" s="263" t="s">
        <v>15</v>
      </c>
      <c r="G161" s="264" t="s">
        <v>0</v>
      </c>
      <c r="H161" s="281"/>
      <c r="I161" s="265"/>
      <c r="J161" s="266" t="s">
        <v>209</v>
      </c>
      <c r="K161" s="262"/>
      <c r="L161" s="262"/>
      <c r="M161" s="262">
        <v>16390</v>
      </c>
      <c r="N161" s="262" t="s">
        <v>17</v>
      </c>
      <c r="O161" s="262" t="s">
        <v>56</v>
      </c>
      <c r="P161" s="262" t="s">
        <v>57</v>
      </c>
      <c r="Q161" s="262" t="s">
        <v>30</v>
      </c>
      <c r="R161" s="262" t="s">
        <v>31</v>
      </c>
      <c r="S161" s="267" t="s">
        <v>31</v>
      </c>
      <c r="T161" s="268"/>
      <c r="U161" s="269">
        <v>11600000</v>
      </c>
      <c r="V161" s="269">
        <v>11600000</v>
      </c>
      <c r="W161" s="278">
        <v>13000000</v>
      </c>
      <c r="X161" s="270"/>
      <c r="Y161" s="262" t="s">
        <v>27</v>
      </c>
      <c r="Z161" s="271" t="s">
        <v>25</v>
      </c>
      <c r="AA161" s="287"/>
      <c r="AB161" s="287"/>
      <c r="AC161" s="272">
        <f t="shared" si="7"/>
        <v>10000000</v>
      </c>
      <c r="AD161" s="272">
        <v>10000000</v>
      </c>
      <c r="AE161" s="272">
        <f t="shared" si="8"/>
        <v>0</v>
      </c>
      <c r="AF161" s="273"/>
      <c r="AG161" s="274"/>
      <c r="AH161" s="273"/>
      <c r="AI161" s="273"/>
      <c r="AJ161" s="274"/>
      <c r="AK161" s="273"/>
      <c r="AL161" s="275"/>
      <c r="AM161" s="290"/>
      <c r="AN161" s="275"/>
      <c r="AO161" s="276"/>
      <c r="AP161" s="275"/>
      <c r="AQ161" s="291">
        <v>10000000</v>
      </c>
      <c r="AR161" s="275"/>
      <c r="AS161" s="275"/>
      <c r="AT161" s="275"/>
      <c r="AU161" s="275"/>
      <c r="AV161" s="275"/>
      <c r="AW161" s="275"/>
      <c r="AX161" s="275"/>
      <c r="AY161" s="275"/>
      <c r="AZ161" s="275"/>
      <c r="BA161" s="275"/>
      <c r="BB161" s="275"/>
      <c r="BC161" s="275"/>
      <c r="BD161" s="275"/>
      <c r="BE161" s="275"/>
      <c r="BF161" s="275"/>
      <c r="BH161" s="277"/>
    </row>
    <row r="162" spans="1:60" ht="16.5" hidden="1" customHeight="1" x14ac:dyDescent="0.3">
      <c r="A162" s="260">
        <v>140</v>
      </c>
      <c r="B162" s="261"/>
      <c r="C162" s="261"/>
      <c r="D162" s="262" t="s">
        <v>15</v>
      </c>
      <c r="E162" s="262" t="s">
        <v>0</v>
      </c>
      <c r="F162" s="263" t="s">
        <v>15</v>
      </c>
      <c r="G162" s="264" t="s">
        <v>0</v>
      </c>
      <c r="H162" s="281"/>
      <c r="I162" s="265"/>
      <c r="J162" s="266" t="s">
        <v>620</v>
      </c>
      <c r="K162" s="262"/>
      <c r="L162" s="262"/>
      <c r="M162" s="262">
        <v>7653</v>
      </c>
      <c r="N162" s="262" t="s">
        <v>17</v>
      </c>
      <c r="O162" s="262" t="s">
        <v>212</v>
      </c>
      <c r="P162" s="262" t="s">
        <v>57</v>
      </c>
      <c r="Q162" s="262" t="s">
        <v>63</v>
      </c>
      <c r="R162" s="262" t="s">
        <v>28</v>
      </c>
      <c r="S162" s="267" t="s">
        <v>28</v>
      </c>
      <c r="T162" s="268"/>
      <c r="U162" s="269">
        <v>81144000</v>
      </c>
      <c r="V162" s="269">
        <v>88818182</v>
      </c>
      <c r="W162" s="278">
        <v>84800000</v>
      </c>
      <c r="X162" s="270"/>
      <c r="Y162" s="262" t="s">
        <v>27</v>
      </c>
      <c r="Z162" s="271" t="s">
        <v>27</v>
      </c>
      <c r="AA162" s="287"/>
      <c r="AB162" s="287"/>
      <c r="AC162" s="272">
        <f t="shared" si="7"/>
        <v>84500000</v>
      </c>
      <c r="AD162" s="272">
        <v>84500000</v>
      </c>
      <c r="AE162" s="272">
        <f t="shared" si="8"/>
        <v>0</v>
      </c>
      <c r="AF162" s="273"/>
      <c r="AG162" s="274"/>
      <c r="AH162" s="273"/>
      <c r="AI162" s="273">
        <v>42000000</v>
      </c>
      <c r="AJ162" s="274">
        <v>42500000</v>
      </c>
      <c r="AK162" s="273"/>
      <c r="AL162" s="275"/>
      <c r="AM162" s="290"/>
      <c r="AN162" s="275"/>
      <c r="AO162" s="276"/>
      <c r="AP162" s="275"/>
      <c r="AQ162" s="275">
        <v>42000000</v>
      </c>
      <c r="AR162" s="275"/>
      <c r="AS162" s="275"/>
      <c r="AT162" s="275"/>
      <c r="AU162" s="275"/>
      <c r="AV162" s="275"/>
      <c r="AW162" s="275"/>
      <c r="AX162" s="275"/>
      <c r="AY162" s="275"/>
      <c r="AZ162" s="275"/>
      <c r="BA162" s="275"/>
      <c r="BB162" s="275"/>
      <c r="BC162" s="275"/>
      <c r="BD162" s="275"/>
      <c r="BE162" s="275"/>
      <c r="BF162" s="275"/>
      <c r="BH162" s="277"/>
    </row>
    <row r="163" spans="1:60" ht="16.5" hidden="1" customHeight="1" x14ac:dyDescent="0.3">
      <c r="A163" s="260">
        <v>141</v>
      </c>
      <c r="B163" s="261"/>
      <c r="C163" s="261"/>
      <c r="D163" s="262" t="s">
        <v>15</v>
      </c>
      <c r="E163" s="262" t="s">
        <v>0</v>
      </c>
      <c r="F163" s="263" t="s">
        <v>15</v>
      </c>
      <c r="G163" s="264" t="s">
        <v>0</v>
      </c>
      <c r="H163" s="281"/>
      <c r="I163" s="265"/>
      <c r="J163" s="266" t="s">
        <v>620</v>
      </c>
      <c r="K163" s="262"/>
      <c r="L163" s="262"/>
      <c r="M163" s="262">
        <v>7653</v>
      </c>
      <c r="N163" s="262" t="s">
        <v>17</v>
      </c>
      <c r="O163" s="262" t="s">
        <v>56</v>
      </c>
      <c r="P163" s="262" t="s">
        <v>57</v>
      </c>
      <c r="Q163" s="262"/>
      <c r="R163" s="262"/>
      <c r="S163" s="267" t="s">
        <v>31</v>
      </c>
      <c r="T163" s="268"/>
      <c r="U163" s="269"/>
      <c r="V163" s="269"/>
      <c r="W163" s="278">
        <v>0</v>
      </c>
      <c r="X163" s="270"/>
      <c r="Y163" s="262"/>
      <c r="Z163" s="271" t="s">
        <v>27</v>
      </c>
      <c r="AA163" s="287"/>
      <c r="AB163" s="287"/>
      <c r="AC163" s="272">
        <f t="shared" si="7"/>
        <v>51974500</v>
      </c>
      <c r="AD163" s="272">
        <v>51974500</v>
      </c>
      <c r="AE163" s="272">
        <f t="shared" si="8"/>
        <v>0</v>
      </c>
      <c r="AF163" s="273"/>
      <c r="AG163" s="274">
        <v>212500</v>
      </c>
      <c r="AH163" s="273"/>
      <c r="AI163" s="273"/>
      <c r="AJ163" s="274"/>
      <c r="AK163" s="273"/>
      <c r="AL163" s="275"/>
      <c r="AM163" s="290">
        <v>1962000</v>
      </c>
      <c r="AN163" s="275"/>
      <c r="AO163" s="276"/>
      <c r="AP163" s="275"/>
      <c r="AQ163" s="275"/>
      <c r="AR163" s="275"/>
      <c r="AS163" s="275">
        <v>25000000</v>
      </c>
      <c r="AT163" s="275"/>
      <c r="AU163" s="275"/>
      <c r="AV163" s="275"/>
      <c r="AW163" s="275"/>
      <c r="AX163" s="275"/>
      <c r="AY163" s="275"/>
      <c r="AZ163" s="275"/>
      <c r="BA163" s="275"/>
      <c r="BB163" s="275"/>
      <c r="BC163" s="275"/>
      <c r="BD163" s="275"/>
      <c r="BE163" s="275">
        <v>24800000</v>
      </c>
      <c r="BF163" s="275"/>
      <c r="BH163" s="277"/>
    </row>
    <row r="164" spans="1:60" ht="16.5" hidden="1" customHeight="1" x14ac:dyDescent="0.3">
      <c r="A164" s="260">
        <v>142</v>
      </c>
      <c r="B164" s="261"/>
      <c r="C164" s="261"/>
      <c r="D164" s="262" t="s">
        <v>15</v>
      </c>
      <c r="E164" s="262" t="s">
        <v>0</v>
      </c>
      <c r="F164" s="263" t="s">
        <v>15</v>
      </c>
      <c r="G164" s="264" t="s">
        <v>0</v>
      </c>
      <c r="H164" s="281"/>
      <c r="I164" s="265"/>
      <c r="J164" s="266" t="s">
        <v>620</v>
      </c>
      <c r="K164" s="262"/>
      <c r="L164" s="262"/>
      <c r="M164" s="262">
        <v>7653</v>
      </c>
      <c r="N164" s="262" t="s">
        <v>17</v>
      </c>
      <c r="O164" s="262" t="s">
        <v>56</v>
      </c>
      <c r="P164" s="262" t="s">
        <v>57</v>
      </c>
      <c r="Q164" s="262" t="s">
        <v>23</v>
      </c>
      <c r="R164" s="262" t="s">
        <v>397</v>
      </c>
      <c r="S164" s="267" t="s">
        <v>823</v>
      </c>
      <c r="T164" s="268"/>
      <c r="U164" s="269">
        <v>10000000</v>
      </c>
      <c r="V164" s="269">
        <v>0</v>
      </c>
      <c r="W164" s="278">
        <v>0</v>
      </c>
      <c r="X164" s="270"/>
      <c r="Y164" s="262" t="s">
        <v>25</v>
      </c>
      <c r="Z164" s="271" t="s">
        <v>25</v>
      </c>
      <c r="AA164" s="287"/>
      <c r="AB164" s="287"/>
      <c r="AC164" s="272">
        <f t="shared" si="7"/>
        <v>10000000</v>
      </c>
      <c r="AD164" s="272">
        <v>10000000</v>
      </c>
      <c r="AE164" s="272">
        <f t="shared" si="8"/>
        <v>0</v>
      </c>
      <c r="AF164" s="273"/>
      <c r="AG164" s="274"/>
      <c r="AH164" s="273"/>
      <c r="AI164" s="273"/>
      <c r="AJ164" s="274"/>
      <c r="AK164" s="273"/>
      <c r="AL164" s="275"/>
      <c r="AM164" s="290"/>
      <c r="AN164" s="275"/>
      <c r="AO164" s="276"/>
      <c r="AP164" s="275"/>
      <c r="AQ164" s="275"/>
      <c r="AR164" s="275"/>
      <c r="AS164" s="275">
        <v>5000000</v>
      </c>
      <c r="AT164" s="275"/>
      <c r="AU164" s="275"/>
      <c r="AV164" s="275"/>
      <c r="AW164" s="275"/>
      <c r="AX164" s="275"/>
      <c r="AY164" s="275"/>
      <c r="AZ164" s="275"/>
      <c r="BA164" s="275"/>
      <c r="BB164" s="275"/>
      <c r="BC164" s="275"/>
      <c r="BD164" s="275"/>
      <c r="BE164" s="275">
        <v>5000000</v>
      </c>
      <c r="BF164" s="275"/>
      <c r="BH164" s="277"/>
    </row>
    <row r="165" spans="1:60" ht="16.5" hidden="1" customHeight="1" x14ac:dyDescent="0.3">
      <c r="A165" s="260">
        <v>143</v>
      </c>
      <c r="B165" s="261"/>
      <c r="C165" s="261"/>
      <c r="D165" s="262"/>
      <c r="E165" s="262"/>
      <c r="F165" s="263" t="s">
        <v>15</v>
      </c>
      <c r="G165" s="264" t="s">
        <v>0</v>
      </c>
      <c r="H165" s="281"/>
      <c r="I165" s="265"/>
      <c r="J165" s="266" t="s">
        <v>627</v>
      </c>
      <c r="K165" s="262"/>
      <c r="L165" s="262"/>
      <c r="M165" s="262">
        <v>42659</v>
      </c>
      <c r="N165" s="262"/>
      <c r="O165" s="262"/>
      <c r="P165" s="262"/>
      <c r="Q165" s="262"/>
      <c r="R165" s="262"/>
      <c r="S165" s="267" t="s">
        <v>469</v>
      </c>
      <c r="T165" s="268"/>
      <c r="U165" s="269"/>
      <c r="V165" s="269"/>
      <c r="W165" s="278">
        <v>19818182</v>
      </c>
      <c r="X165" s="270"/>
      <c r="Y165" s="262"/>
      <c r="Z165" s="271" t="s">
        <v>718</v>
      </c>
      <c r="AA165" s="287"/>
      <c r="AB165" s="287"/>
      <c r="AC165" s="272">
        <f t="shared" si="7"/>
        <v>0</v>
      </c>
      <c r="AD165" s="272">
        <v>0</v>
      </c>
      <c r="AE165" s="272">
        <f t="shared" si="8"/>
        <v>0</v>
      </c>
      <c r="AF165" s="273"/>
      <c r="AG165" s="274"/>
      <c r="AH165" s="273"/>
      <c r="AI165" s="273"/>
      <c r="AJ165" s="274"/>
      <c r="AK165" s="273"/>
      <c r="AL165" s="275"/>
      <c r="AM165" s="290"/>
      <c r="AN165" s="275"/>
      <c r="AO165" s="276"/>
      <c r="AP165" s="275"/>
      <c r="AQ165" s="275"/>
      <c r="AR165" s="275"/>
      <c r="AS165" s="275"/>
      <c r="AT165" s="275"/>
      <c r="AU165" s="275"/>
      <c r="AV165" s="275"/>
      <c r="AW165" s="275"/>
      <c r="AX165" s="275"/>
      <c r="AY165" s="275"/>
      <c r="AZ165" s="275"/>
      <c r="BA165" s="275"/>
      <c r="BB165" s="275"/>
      <c r="BC165" s="275"/>
      <c r="BD165" s="275"/>
      <c r="BE165" s="275"/>
      <c r="BF165" s="275"/>
      <c r="BH165" s="277"/>
    </row>
    <row r="166" spans="1:60" ht="16.5" hidden="1" customHeight="1" x14ac:dyDescent="0.3">
      <c r="A166" s="260">
        <v>144</v>
      </c>
      <c r="B166" s="261"/>
      <c r="C166" s="261"/>
      <c r="D166" s="262" t="s">
        <v>15</v>
      </c>
      <c r="E166" s="262" t="s">
        <v>0</v>
      </c>
      <c r="F166" s="263" t="s">
        <v>15</v>
      </c>
      <c r="G166" s="264" t="s">
        <v>0</v>
      </c>
      <c r="H166" s="281"/>
      <c r="I166" s="265"/>
      <c r="J166" s="266" t="s">
        <v>627</v>
      </c>
      <c r="K166" s="262"/>
      <c r="L166" s="262"/>
      <c r="M166" s="262">
        <v>42659</v>
      </c>
      <c r="N166" s="262" t="s">
        <v>32</v>
      </c>
      <c r="O166" s="262" t="s">
        <v>35</v>
      </c>
      <c r="P166" s="262" t="s">
        <v>124</v>
      </c>
      <c r="Q166" s="262"/>
      <c r="R166" s="262"/>
      <c r="S166" s="267" t="s">
        <v>468</v>
      </c>
      <c r="T166" s="268"/>
      <c r="U166" s="269"/>
      <c r="V166" s="269"/>
      <c r="W166" s="278">
        <v>0</v>
      </c>
      <c r="X166" s="270"/>
      <c r="Y166" s="262"/>
      <c r="Z166" s="271" t="s">
        <v>25</v>
      </c>
      <c r="AA166" s="287"/>
      <c r="AB166" s="287"/>
      <c r="AC166" s="272">
        <f t="shared" si="7"/>
        <v>30000000</v>
      </c>
      <c r="AD166" s="272">
        <v>30000000</v>
      </c>
      <c r="AE166" s="272">
        <f t="shared" si="8"/>
        <v>0</v>
      </c>
      <c r="AF166" s="273"/>
      <c r="AG166" s="274"/>
      <c r="AH166" s="273"/>
      <c r="AI166" s="273"/>
      <c r="AJ166" s="274"/>
      <c r="AK166" s="273"/>
      <c r="AL166" s="275"/>
      <c r="AM166" s="290"/>
      <c r="AN166" s="275"/>
      <c r="AO166" s="276"/>
      <c r="AP166" s="275"/>
      <c r="AQ166" s="275"/>
      <c r="AR166" s="275"/>
      <c r="AS166" s="275">
        <v>10000000</v>
      </c>
      <c r="AT166" s="275"/>
      <c r="AU166" s="275"/>
      <c r="AV166" s="275"/>
      <c r="AW166" s="275"/>
      <c r="AX166" s="275"/>
      <c r="AY166" s="275">
        <v>10000000</v>
      </c>
      <c r="AZ166" s="275"/>
      <c r="BA166" s="275"/>
      <c r="BB166" s="275"/>
      <c r="BC166" s="275"/>
      <c r="BD166" s="275"/>
      <c r="BE166" s="275">
        <v>10000000</v>
      </c>
      <c r="BF166" s="275"/>
      <c r="BH166" s="277"/>
    </row>
    <row r="167" spans="1:60" ht="16.5" hidden="1" customHeight="1" x14ac:dyDescent="0.3">
      <c r="A167" s="260">
        <v>145</v>
      </c>
      <c r="B167" s="261"/>
      <c r="C167" s="261"/>
      <c r="D167" s="262" t="s">
        <v>15</v>
      </c>
      <c r="E167" s="262" t="s">
        <v>0</v>
      </c>
      <c r="F167" s="263" t="s">
        <v>15</v>
      </c>
      <c r="G167" s="264" t="s">
        <v>0</v>
      </c>
      <c r="H167" s="281"/>
      <c r="I167" s="265"/>
      <c r="J167" s="266" t="s">
        <v>627</v>
      </c>
      <c r="K167" s="262"/>
      <c r="L167" s="262"/>
      <c r="M167" s="262">
        <v>42659</v>
      </c>
      <c r="N167" s="262" t="s">
        <v>32</v>
      </c>
      <c r="O167" s="262" t="s">
        <v>35</v>
      </c>
      <c r="P167" s="262" t="s">
        <v>124</v>
      </c>
      <c r="Q167" s="262"/>
      <c r="R167" s="262"/>
      <c r="S167" s="267" t="s">
        <v>830</v>
      </c>
      <c r="T167" s="268"/>
      <c r="U167" s="269"/>
      <c r="V167" s="269"/>
      <c r="W167" s="278">
        <v>0</v>
      </c>
      <c r="X167" s="270"/>
      <c r="Y167" s="262"/>
      <c r="Z167" s="271" t="s">
        <v>25</v>
      </c>
      <c r="AA167" s="287"/>
      <c r="AB167" s="287"/>
      <c r="AC167" s="272">
        <f t="shared" si="7"/>
        <v>15000000</v>
      </c>
      <c r="AD167" s="272">
        <v>15000000</v>
      </c>
      <c r="AE167" s="272">
        <f t="shared" si="8"/>
        <v>0</v>
      </c>
      <c r="AF167" s="273"/>
      <c r="AG167" s="274"/>
      <c r="AH167" s="273"/>
      <c r="AI167" s="273"/>
      <c r="AJ167" s="274"/>
      <c r="AK167" s="273"/>
      <c r="AL167" s="275"/>
      <c r="AM167" s="290"/>
      <c r="AN167" s="275"/>
      <c r="AO167" s="276"/>
      <c r="AP167" s="275"/>
      <c r="AQ167" s="275"/>
      <c r="AR167" s="275"/>
      <c r="AS167" s="275">
        <v>15000000</v>
      </c>
      <c r="AT167" s="275"/>
      <c r="AU167" s="275"/>
      <c r="AV167" s="275"/>
      <c r="AW167" s="275"/>
      <c r="AX167" s="275"/>
      <c r="AY167" s="275"/>
      <c r="AZ167" s="275"/>
      <c r="BA167" s="275"/>
      <c r="BB167" s="275"/>
      <c r="BC167" s="275"/>
      <c r="BD167" s="275"/>
      <c r="BE167" s="275"/>
      <c r="BF167" s="275"/>
      <c r="BH167" s="277"/>
    </row>
    <row r="168" spans="1:60" ht="16.5" hidden="1" customHeight="1" x14ac:dyDescent="0.3">
      <c r="A168" s="260">
        <v>146</v>
      </c>
      <c r="B168" s="261"/>
      <c r="C168" s="261"/>
      <c r="D168" s="262" t="s">
        <v>15</v>
      </c>
      <c r="E168" s="262" t="s">
        <v>0</v>
      </c>
      <c r="F168" s="263" t="s">
        <v>15</v>
      </c>
      <c r="G168" s="264" t="s">
        <v>0</v>
      </c>
      <c r="H168" s="281"/>
      <c r="I168" s="265"/>
      <c r="J168" s="266" t="s">
        <v>627</v>
      </c>
      <c r="K168" s="262"/>
      <c r="L168" s="262"/>
      <c r="M168" s="262">
        <v>42659</v>
      </c>
      <c r="N168" s="262" t="s">
        <v>32</v>
      </c>
      <c r="O168" s="262" t="s">
        <v>56</v>
      </c>
      <c r="P168" s="262"/>
      <c r="Q168" s="262" t="s">
        <v>55</v>
      </c>
      <c r="R168" s="262" t="s">
        <v>466</v>
      </c>
      <c r="S168" s="267" t="s">
        <v>829</v>
      </c>
      <c r="T168" s="268"/>
      <c r="U168" s="269"/>
      <c r="V168" s="269">
        <v>1200000</v>
      </c>
      <c r="W168" s="278">
        <v>0</v>
      </c>
      <c r="X168" s="270"/>
      <c r="Y168" s="262" t="s">
        <v>20</v>
      </c>
      <c r="Z168" s="271" t="s">
        <v>599</v>
      </c>
      <c r="AA168" s="287"/>
      <c r="AB168" s="287"/>
      <c r="AC168" s="272">
        <f t="shared" si="7"/>
        <v>0</v>
      </c>
      <c r="AD168" s="272">
        <v>0</v>
      </c>
      <c r="AE168" s="272">
        <f t="shared" si="8"/>
        <v>0</v>
      </c>
      <c r="AF168" s="273"/>
      <c r="AG168" s="274"/>
      <c r="AH168" s="273"/>
      <c r="AI168" s="273"/>
      <c r="AJ168" s="274"/>
      <c r="AK168" s="273"/>
      <c r="AL168" s="275"/>
      <c r="AM168" s="290"/>
      <c r="AN168" s="275"/>
      <c r="AO168" s="276"/>
      <c r="AP168" s="275"/>
      <c r="AQ168" s="275"/>
      <c r="AR168" s="275"/>
      <c r="AS168" s="275"/>
      <c r="AT168" s="275"/>
      <c r="AU168" s="275"/>
      <c r="AV168" s="275"/>
      <c r="AW168" s="275"/>
      <c r="AX168" s="275"/>
      <c r="AY168" s="275"/>
      <c r="AZ168" s="275"/>
      <c r="BA168" s="275"/>
      <c r="BB168" s="275"/>
      <c r="BC168" s="275"/>
      <c r="BD168" s="275"/>
      <c r="BE168" s="275"/>
      <c r="BF168" s="275"/>
      <c r="BH168" s="277"/>
    </row>
    <row r="169" spans="1:60" ht="16.5" hidden="1" customHeight="1" x14ac:dyDescent="0.3">
      <c r="A169" s="260">
        <v>147</v>
      </c>
      <c r="B169" s="261"/>
      <c r="C169" s="261"/>
      <c r="D169" s="262" t="s">
        <v>15</v>
      </c>
      <c r="E169" s="262" t="s">
        <v>0</v>
      </c>
      <c r="F169" s="263" t="s">
        <v>15</v>
      </c>
      <c r="G169" s="264" t="s">
        <v>0</v>
      </c>
      <c r="H169" s="281"/>
      <c r="I169" s="265"/>
      <c r="J169" s="266" t="s">
        <v>33</v>
      </c>
      <c r="K169" s="262"/>
      <c r="L169" s="262"/>
      <c r="M169" s="262">
        <v>11662</v>
      </c>
      <c r="N169" s="262" t="s">
        <v>32</v>
      </c>
      <c r="O169" s="262" t="s">
        <v>212</v>
      </c>
      <c r="P169" s="262" t="s">
        <v>57</v>
      </c>
      <c r="Q169" s="262" t="s">
        <v>63</v>
      </c>
      <c r="R169" s="262" t="s">
        <v>28</v>
      </c>
      <c r="S169" s="267" t="s">
        <v>28</v>
      </c>
      <c r="T169" s="268"/>
      <c r="U169" s="269">
        <v>77364942</v>
      </c>
      <c r="V169" s="269">
        <v>64629700</v>
      </c>
      <c r="W169" s="278">
        <v>78937727</v>
      </c>
      <c r="X169" s="270"/>
      <c r="Y169" s="262" t="s">
        <v>27</v>
      </c>
      <c r="Z169" s="271" t="s">
        <v>27</v>
      </c>
      <c r="AA169" s="287"/>
      <c r="AB169" s="287"/>
      <c r="AC169" s="272">
        <f t="shared" si="7"/>
        <v>72000000</v>
      </c>
      <c r="AD169" s="272">
        <v>72000000</v>
      </c>
      <c r="AE169" s="272">
        <f t="shared" si="8"/>
        <v>0</v>
      </c>
      <c r="AF169" s="273"/>
      <c r="AG169" s="274"/>
      <c r="AH169" s="273"/>
      <c r="AI169" s="273"/>
      <c r="AJ169" s="274"/>
      <c r="AK169" s="273"/>
      <c r="AL169" s="275"/>
      <c r="AM169" s="290"/>
      <c r="AN169" s="275"/>
      <c r="AO169" s="276"/>
      <c r="AP169" s="275"/>
      <c r="AQ169" s="275">
        <v>9000000</v>
      </c>
      <c r="AR169" s="275"/>
      <c r="AS169" s="275">
        <v>9000000</v>
      </c>
      <c r="AT169" s="275"/>
      <c r="AU169" s="275">
        <v>9000000</v>
      </c>
      <c r="AV169" s="275"/>
      <c r="AW169" s="275">
        <v>9000000</v>
      </c>
      <c r="AX169" s="275"/>
      <c r="AY169" s="275">
        <v>9000000</v>
      </c>
      <c r="AZ169" s="275"/>
      <c r="BA169" s="275">
        <v>9000000</v>
      </c>
      <c r="BB169" s="275"/>
      <c r="BC169" s="275">
        <v>9000000</v>
      </c>
      <c r="BD169" s="275"/>
      <c r="BE169" s="275">
        <v>9000000</v>
      </c>
      <c r="BF169" s="275"/>
      <c r="BH169" s="277"/>
    </row>
    <row r="170" spans="1:60" ht="16.5" hidden="1" customHeight="1" x14ac:dyDescent="0.3">
      <c r="A170" s="260">
        <v>148</v>
      </c>
      <c r="B170" s="261"/>
      <c r="C170" s="261"/>
      <c r="D170" s="262" t="s">
        <v>15</v>
      </c>
      <c r="E170" s="262" t="s">
        <v>0</v>
      </c>
      <c r="F170" s="263" t="s">
        <v>15</v>
      </c>
      <c r="G170" s="264" t="s">
        <v>0</v>
      </c>
      <c r="H170" s="281"/>
      <c r="I170" s="265"/>
      <c r="J170" s="266" t="s">
        <v>33</v>
      </c>
      <c r="K170" s="262"/>
      <c r="L170" s="262"/>
      <c r="M170" s="262">
        <v>11662</v>
      </c>
      <c r="N170" s="262" t="s">
        <v>32</v>
      </c>
      <c r="O170" s="262" t="s">
        <v>212</v>
      </c>
      <c r="P170" s="262" t="s">
        <v>57</v>
      </c>
      <c r="Q170" s="262" t="s">
        <v>30</v>
      </c>
      <c r="R170" s="262" t="s">
        <v>31</v>
      </c>
      <c r="S170" s="267" t="s">
        <v>31</v>
      </c>
      <c r="T170" s="268"/>
      <c r="U170" s="269"/>
      <c r="V170" s="269">
        <v>18000000</v>
      </c>
      <c r="W170" s="278">
        <v>1000000</v>
      </c>
      <c r="X170" s="270"/>
      <c r="Y170" s="262" t="s">
        <v>27</v>
      </c>
      <c r="Z170" s="271" t="s">
        <v>74</v>
      </c>
      <c r="AA170" s="287"/>
      <c r="AB170" s="287"/>
      <c r="AC170" s="272">
        <f t="shared" si="7"/>
        <v>0</v>
      </c>
      <c r="AD170" s="272">
        <v>0</v>
      </c>
      <c r="AE170" s="272">
        <f t="shared" si="8"/>
        <v>0</v>
      </c>
      <c r="AF170" s="273"/>
      <c r="AG170" s="274"/>
      <c r="AH170" s="273"/>
      <c r="AI170" s="273"/>
      <c r="AJ170" s="274"/>
      <c r="AK170" s="273"/>
      <c r="AL170" s="275"/>
      <c r="AM170" s="290"/>
      <c r="AN170" s="275"/>
      <c r="AO170" s="276"/>
      <c r="AP170" s="275"/>
      <c r="AQ170" s="275"/>
      <c r="AR170" s="275"/>
      <c r="AS170" s="275"/>
      <c r="AT170" s="275"/>
      <c r="AU170" s="275"/>
      <c r="AV170" s="275"/>
      <c r="AW170" s="275"/>
      <c r="AX170" s="275"/>
      <c r="AY170" s="275"/>
      <c r="AZ170" s="275"/>
      <c r="BA170" s="275"/>
      <c r="BB170" s="275"/>
      <c r="BC170" s="275"/>
      <c r="BD170" s="275"/>
      <c r="BE170" s="275"/>
      <c r="BF170" s="275"/>
      <c r="BH170" s="277"/>
    </row>
    <row r="171" spans="1:60" ht="16.5" hidden="1" customHeight="1" x14ac:dyDescent="0.3">
      <c r="A171" s="260">
        <v>149</v>
      </c>
      <c r="B171" s="261"/>
      <c r="C171" s="261"/>
      <c r="D171" s="262"/>
      <c r="E171" s="262"/>
      <c r="F171" s="263" t="s">
        <v>15</v>
      </c>
      <c r="G171" s="264" t="s">
        <v>0</v>
      </c>
      <c r="H171" s="281"/>
      <c r="I171" s="265"/>
      <c r="J171" s="266" t="s">
        <v>33</v>
      </c>
      <c r="K171" s="262"/>
      <c r="L171" s="262"/>
      <c r="M171" s="262">
        <v>11662</v>
      </c>
      <c r="N171" s="262" t="s">
        <v>32</v>
      </c>
      <c r="O171" s="262" t="s">
        <v>212</v>
      </c>
      <c r="P171" s="262" t="s">
        <v>57</v>
      </c>
      <c r="Q171" s="262" t="s">
        <v>26</v>
      </c>
      <c r="R171" s="262" t="s">
        <v>478</v>
      </c>
      <c r="S171" s="267" t="s">
        <v>478</v>
      </c>
      <c r="T171" s="268"/>
      <c r="U171" s="269"/>
      <c r="V171" s="269"/>
      <c r="W171" s="278">
        <v>0</v>
      </c>
      <c r="X171" s="270"/>
      <c r="Y171" s="262"/>
      <c r="Z171" s="271" t="s">
        <v>27</v>
      </c>
      <c r="AA171" s="287"/>
      <c r="AB171" s="287"/>
      <c r="AC171" s="272">
        <f t="shared" si="7"/>
        <v>19295455</v>
      </c>
      <c r="AD171" s="272">
        <v>19295455</v>
      </c>
      <c r="AE171" s="272">
        <f t="shared" si="8"/>
        <v>0</v>
      </c>
      <c r="AF171" s="273"/>
      <c r="AG171" s="274"/>
      <c r="AH171" s="273"/>
      <c r="AI171" s="273"/>
      <c r="AJ171" s="274">
        <v>19295455</v>
      </c>
      <c r="AK171" s="273"/>
      <c r="AL171" s="275"/>
      <c r="AM171" s="290"/>
      <c r="AN171" s="275"/>
      <c r="AO171" s="276"/>
      <c r="AP171" s="275"/>
      <c r="AQ171" s="275"/>
      <c r="AR171" s="275"/>
      <c r="AS171" s="275"/>
      <c r="AT171" s="275"/>
      <c r="AU171" s="275"/>
      <c r="AV171" s="275"/>
      <c r="AW171" s="275"/>
      <c r="AX171" s="275"/>
      <c r="AY171" s="275"/>
      <c r="AZ171" s="275"/>
      <c r="BA171" s="275"/>
      <c r="BB171" s="275"/>
      <c r="BC171" s="275"/>
      <c r="BD171" s="275"/>
      <c r="BE171" s="275"/>
      <c r="BF171" s="275"/>
      <c r="BH171" s="277"/>
    </row>
    <row r="172" spans="1:60" ht="16.5" hidden="1" customHeight="1" x14ac:dyDescent="0.3">
      <c r="A172" s="260">
        <v>150</v>
      </c>
      <c r="B172" s="261"/>
      <c r="C172" s="261"/>
      <c r="D172" s="262" t="s">
        <v>15</v>
      </c>
      <c r="E172" s="262" t="s">
        <v>0</v>
      </c>
      <c r="F172" s="263" t="s">
        <v>15</v>
      </c>
      <c r="G172" s="264" t="s">
        <v>0</v>
      </c>
      <c r="H172" s="281"/>
      <c r="I172" s="265"/>
      <c r="J172" s="266" t="s">
        <v>33</v>
      </c>
      <c r="K172" s="262"/>
      <c r="L172" s="262"/>
      <c r="M172" s="262">
        <v>11662</v>
      </c>
      <c r="N172" s="262" t="s">
        <v>32</v>
      </c>
      <c r="O172" s="262" t="s">
        <v>212</v>
      </c>
      <c r="P172" s="262" t="s">
        <v>57</v>
      </c>
      <c r="Q172" s="262" t="s">
        <v>26</v>
      </c>
      <c r="R172" s="262" t="s">
        <v>478</v>
      </c>
      <c r="S172" s="267" t="s">
        <v>478</v>
      </c>
      <c r="T172" s="268"/>
      <c r="U172" s="269">
        <v>79545454</v>
      </c>
      <c r="V172" s="269">
        <v>94018182</v>
      </c>
      <c r="W172" s="278">
        <v>97522727</v>
      </c>
      <c r="X172" s="270"/>
      <c r="Y172" s="262" t="s">
        <v>27</v>
      </c>
      <c r="Z172" s="271" t="s">
        <v>27</v>
      </c>
      <c r="AA172" s="287"/>
      <c r="AB172" s="287"/>
      <c r="AC172" s="272">
        <f t="shared" si="7"/>
        <v>90000000</v>
      </c>
      <c r="AD172" s="272">
        <v>90000000</v>
      </c>
      <c r="AE172" s="272">
        <f t="shared" si="8"/>
        <v>0</v>
      </c>
      <c r="AF172" s="273"/>
      <c r="AG172" s="274"/>
      <c r="AH172" s="273"/>
      <c r="AI172" s="273"/>
      <c r="AJ172" s="274"/>
      <c r="AK172" s="273"/>
      <c r="AL172" s="275"/>
      <c r="AM172" s="290"/>
      <c r="AN172" s="275"/>
      <c r="AO172" s="276"/>
      <c r="AP172" s="275"/>
      <c r="AQ172" s="275"/>
      <c r="AR172" s="275"/>
      <c r="AS172" s="275"/>
      <c r="AT172" s="275"/>
      <c r="AU172" s="275"/>
      <c r="AV172" s="275"/>
      <c r="AW172" s="275"/>
      <c r="AX172" s="275"/>
      <c r="AY172" s="275"/>
      <c r="AZ172" s="275"/>
      <c r="BA172" s="275"/>
      <c r="BB172" s="275"/>
      <c r="BC172" s="275"/>
      <c r="BD172" s="275"/>
      <c r="BE172" s="275">
        <v>90000000</v>
      </c>
      <c r="BF172" s="275"/>
      <c r="BH172" s="277"/>
    </row>
    <row r="173" spans="1:60" ht="16.5" hidden="1" customHeight="1" x14ac:dyDescent="0.3">
      <c r="A173" s="260">
        <v>151</v>
      </c>
      <c r="B173" s="261"/>
      <c r="C173" s="261"/>
      <c r="D173" s="262" t="s">
        <v>15</v>
      </c>
      <c r="E173" s="262" t="s">
        <v>0</v>
      </c>
      <c r="F173" s="263" t="s">
        <v>15</v>
      </c>
      <c r="G173" s="264" t="s">
        <v>0</v>
      </c>
      <c r="H173" s="281"/>
      <c r="I173" s="265"/>
      <c r="J173" s="266" t="s">
        <v>33</v>
      </c>
      <c r="K173" s="262"/>
      <c r="L173" s="262"/>
      <c r="M173" s="262">
        <v>11662</v>
      </c>
      <c r="N173" s="262" t="s">
        <v>32</v>
      </c>
      <c r="O173" s="262" t="s">
        <v>56</v>
      </c>
      <c r="P173" s="262" t="s">
        <v>57</v>
      </c>
      <c r="Q173" s="262" t="s">
        <v>23</v>
      </c>
      <c r="R173" s="262" t="s">
        <v>397</v>
      </c>
      <c r="S173" s="267" t="s">
        <v>823</v>
      </c>
      <c r="T173" s="268"/>
      <c r="U173" s="269"/>
      <c r="V173" s="269">
        <v>9824787</v>
      </c>
      <c r="W173" s="278">
        <v>0</v>
      </c>
      <c r="X173" s="270"/>
      <c r="Y173" s="262" t="s">
        <v>27</v>
      </c>
      <c r="Z173" s="271" t="s">
        <v>24</v>
      </c>
      <c r="AA173" s="287"/>
      <c r="AB173" s="287"/>
      <c r="AC173" s="272">
        <f t="shared" si="7"/>
        <v>5000000</v>
      </c>
      <c r="AD173" s="272">
        <v>5000000</v>
      </c>
      <c r="AE173" s="272">
        <f t="shared" si="8"/>
        <v>0</v>
      </c>
      <c r="AF173" s="273"/>
      <c r="AG173" s="274"/>
      <c r="AH173" s="273"/>
      <c r="AI173" s="273"/>
      <c r="AJ173" s="274"/>
      <c r="AK173" s="273"/>
      <c r="AL173" s="275"/>
      <c r="AM173" s="290"/>
      <c r="AN173" s="275"/>
      <c r="AO173" s="276"/>
      <c r="AP173" s="275"/>
      <c r="AQ173" s="275"/>
      <c r="AR173" s="275"/>
      <c r="AS173" s="275"/>
      <c r="AT173" s="275"/>
      <c r="AU173" s="275"/>
      <c r="AV173" s="275"/>
      <c r="AW173" s="275">
        <v>5000000</v>
      </c>
      <c r="AX173" s="275"/>
      <c r="AY173" s="275"/>
      <c r="AZ173" s="275"/>
      <c r="BA173" s="275"/>
      <c r="BB173" s="275"/>
      <c r="BC173" s="275"/>
      <c r="BD173" s="275"/>
      <c r="BE173" s="275"/>
      <c r="BF173" s="275"/>
      <c r="BH173" s="277"/>
    </row>
    <row r="174" spans="1:60" ht="16.5" hidden="1" customHeight="1" x14ac:dyDescent="0.3">
      <c r="A174" s="260">
        <v>152</v>
      </c>
      <c r="B174" s="261"/>
      <c r="C174" s="261"/>
      <c r="D174" s="262" t="s">
        <v>15</v>
      </c>
      <c r="E174" s="262" t="s">
        <v>0</v>
      </c>
      <c r="F174" s="263" t="s">
        <v>15</v>
      </c>
      <c r="G174" s="264" t="s">
        <v>0</v>
      </c>
      <c r="H174" s="281"/>
      <c r="I174" s="265"/>
      <c r="J174" s="266" t="s">
        <v>164</v>
      </c>
      <c r="K174" s="262"/>
      <c r="L174" s="262"/>
      <c r="M174" s="262">
        <v>57837</v>
      </c>
      <c r="N174" s="262" t="s">
        <v>32</v>
      </c>
      <c r="O174" s="262" t="s">
        <v>56</v>
      </c>
      <c r="P174" s="262" t="s">
        <v>124</v>
      </c>
      <c r="Q174" s="262" t="s">
        <v>26</v>
      </c>
      <c r="R174" s="262" t="s">
        <v>478</v>
      </c>
      <c r="S174" s="267" t="s">
        <v>478</v>
      </c>
      <c r="T174" s="268"/>
      <c r="U174" s="269">
        <v>247500000</v>
      </c>
      <c r="V174" s="269">
        <v>237954545.09090909</v>
      </c>
      <c r="W174" s="278">
        <v>289090909</v>
      </c>
      <c r="X174" s="270"/>
      <c r="Y174" s="262" t="s">
        <v>27</v>
      </c>
      <c r="Z174" s="271" t="s">
        <v>27</v>
      </c>
      <c r="AA174" s="287"/>
      <c r="AB174" s="287"/>
      <c r="AC174" s="272">
        <f t="shared" si="7"/>
        <v>19909091</v>
      </c>
      <c r="AD174" s="272">
        <v>19909091</v>
      </c>
      <c r="AE174" s="272">
        <f t="shared" si="8"/>
        <v>0</v>
      </c>
      <c r="AF174" s="273"/>
      <c r="AG174" s="274"/>
      <c r="AH174" s="273"/>
      <c r="AI174" s="273"/>
      <c r="AJ174" s="274"/>
      <c r="AK174" s="273"/>
      <c r="AL174" s="275"/>
      <c r="AM174" s="290">
        <v>19909091</v>
      </c>
      <c r="AN174" s="275"/>
      <c r="AO174" s="276"/>
      <c r="AP174" s="275"/>
      <c r="AQ174" s="275"/>
      <c r="AR174" s="275"/>
      <c r="AS174" s="275"/>
      <c r="AT174" s="275"/>
      <c r="AU174" s="275"/>
      <c r="AV174" s="275"/>
      <c r="AW174" s="275"/>
      <c r="AX174" s="275"/>
      <c r="AY174" s="275"/>
      <c r="AZ174" s="275"/>
      <c r="BA174" s="275"/>
      <c r="BB174" s="275"/>
      <c r="BC174" s="275"/>
      <c r="BD174" s="275"/>
      <c r="BE174" s="275"/>
      <c r="BF174" s="275"/>
      <c r="BH174" s="277"/>
    </row>
    <row r="175" spans="1:60" ht="16.5" hidden="1" customHeight="1" x14ac:dyDescent="0.3">
      <c r="A175" s="260">
        <v>153</v>
      </c>
      <c r="B175" s="261"/>
      <c r="C175" s="261"/>
      <c r="D175" s="262" t="s">
        <v>15</v>
      </c>
      <c r="E175" s="262" t="s">
        <v>0</v>
      </c>
      <c r="F175" s="263" t="s">
        <v>15</v>
      </c>
      <c r="G175" s="264" t="s">
        <v>0</v>
      </c>
      <c r="H175" s="281"/>
      <c r="I175" s="265"/>
      <c r="J175" s="266" t="s">
        <v>164</v>
      </c>
      <c r="K175" s="262"/>
      <c r="L175" s="262"/>
      <c r="M175" s="262">
        <v>57837</v>
      </c>
      <c r="N175" s="262" t="s">
        <v>32</v>
      </c>
      <c r="O175" s="262" t="s">
        <v>56</v>
      </c>
      <c r="P175" s="262" t="s">
        <v>124</v>
      </c>
      <c r="Q175" s="262" t="s">
        <v>26</v>
      </c>
      <c r="R175" s="262" t="s">
        <v>478</v>
      </c>
      <c r="S175" s="267" t="s">
        <v>478</v>
      </c>
      <c r="T175" s="268"/>
      <c r="U175" s="269">
        <v>247500000</v>
      </c>
      <c r="V175" s="269">
        <v>237954545.09090909</v>
      </c>
      <c r="W175" s="278">
        <v>0</v>
      </c>
      <c r="X175" s="270"/>
      <c r="Y175" s="262" t="s">
        <v>27</v>
      </c>
      <c r="Z175" s="271" t="s">
        <v>24</v>
      </c>
      <c r="AA175" s="287"/>
      <c r="AB175" s="287"/>
      <c r="AC175" s="272">
        <f t="shared" si="7"/>
        <v>241000000</v>
      </c>
      <c r="AD175" s="272">
        <v>241000000</v>
      </c>
      <c r="AE175" s="272">
        <f t="shared" si="8"/>
        <v>0</v>
      </c>
      <c r="AF175" s="273"/>
      <c r="AG175" s="274"/>
      <c r="AH175" s="273"/>
      <c r="AI175" s="273"/>
      <c r="AJ175" s="274"/>
      <c r="AK175" s="273"/>
      <c r="AL175" s="275"/>
      <c r="AM175" s="290"/>
      <c r="AN175" s="275"/>
      <c r="AO175" s="276"/>
      <c r="AP175" s="275"/>
      <c r="AQ175" s="291">
        <v>181000000</v>
      </c>
      <c r="AR175" s="275"/>
      <c r="AS175" s="275"/>
      <c r="AT175" s="275"/>
      <c r="AU175" s="275"/>
      <c r="AV175" s="275"/>
      <c r="AW175" s="275"/>
      <c r="AX175" s="275"/>
      <c r="AY175" s="275"/>
      <c r="AZ175" s="275"/>
      <c r="BA175" s="275"/>
      <c r="BB175" s="275"/>
      <c r="BC175" s="275"/>
      <c r="BD175" s="275"/>
      <c r="BE175" s="275">
        <v>60000000</v>
      </c>
      <c r="BF175" s="275"/>
      <c r="BH175" s="277"/>
    </row>
    <row r="176" spans="1:60" ht="16.5" hidden="1" customHeight="1" x14ac:dyDescent="0.3">
      <c r="A176" s="260">
        <v>154</v>
      </c>
      <c r="B176" s="261"/>
      <c r="C176" s="261"/>
      <c r="D176" s="262" t="s">
        <v>15</v>
      </c>
      <c r="E176" s="262" t="s">
        <v>0</v>
      </c>
      <c r="F176" s="263" t="s">
        <v>15</v>
      </c>
      <c r="G176" s="264" t="s">
        <v>0</v>
      </c>
      <c r="H176" s="281"/>
      <c r="I176" s="265"/>
      <c r="J176" s="266" t="s">
        <v>213</v>
      </c>
      <c r="K176" s="262"/>
      <c r="L176" s="262"/>
      <c r="M176" s="262">
        <v>59283</v>
      </c>
      <c r="N176" s="262" t="s">
        <v>22</v>
      </c>
      <c r="O176" s="262" t="s">
        <v>178</v>
      </c>
      <c r="P176" s="262"/>
      <c r="Q176" s="262" t="s">
        <v>30</v>
      </c>
      <c r="R176" s="262" t="s">
        <v>31</v>
      </c>
      <c r="S176" s="267" t="s">
        <v>31</v>
      </c>
      <c r="T176" s="268"/>
      <c r="U176" s="269">
        <v>2592000</v>
      </c>
      <c r="V176" s="269">
        <v>0</v>
      </c>
      <c r="W176" s="278">
        <v>0</v>
      </c>
      <c r="X176" s="270"/>
      <c r="Y176" s="262" t="s">
        <v>21</v>
      </c>
      <c r="Z176" s="271" t="s">
        <v>25</v>
      </c>
      <c r="AA176" s="287"/>
      <c r="AB176" s="287"/>
      <c r="AC176" s="272">
        <f t="shared" si="7"/>
        <v>1000000</v>
      </c>
      <c r="AD176" s="272">
        <v>1000000</v>
      </c>
      <c r="AE176" s="272">
        <f t="shared" si="8"/>
        <v>0</v>
      </c>
      <c r="AF176" s="273"/>
      <c r="AG176" s="274"/>
      <c r="AH176" s="273"/>
      <c r="AI176" s="273"/>
      <c r="AJ176" s="274"/>
      <c r="AK176" s="273"/>
      <c r="AL176" s="275"/>
      <c r="AM176" s="290"/>
      <c r="AN176" s="275"/>
      <c r="AO176" s="276"/>
      <c r="AP176" s="275"/>
      <c r="AQ176" s="275"/>
      <c r="AR176" s="275"/>
      <c r="AS176" s="275">
        <v>1000000</v>
      </c>
      <c r="AT176" s="275"/>
      <c r="AU176" s="275"/>
      <c r="AV176" s="275"/>
      <c r="AW176" s="275"/>
      <c r="AX176" s="275"/>
      <c r="AY176" s="275"/>
      <c r="AZ176" s="275"/>
      <c r="BA176" s="275"/>
      <c r="BB176" s="275"/>
      <c r="BC176" s="275"/>
      <c r="BD176" s="275"/>
      <c r="BE176" s="275"/>
      <c r="BF176" s="275"/>
      <c r="BH176" s="277"/>
    </row>
    <row r="177" spans="1:60" ht="16.5" hidden="1" customHeight="1" x14ac:dyDescent="0.3">
      <c r="A177" s="260">
        <v>155</v>
      </c>
      <c r="B177" s="261"/>
      <c r="C177" s="261"/>
      <c r="D177" s="262" t="s">
        <v>15</v>
      </c>
      <c r="E177" s="262" t="s">
        <v>0</v>
      </c>
      <c r="F177" s="263" t="s">
        <v>15</v>
      </c>
      <c r="G177" s="264" t="s">
        <v>0</v>
      </c>
      <c r="H177" s="281"/>
      <c r="I177" s="265"/>
      <c r="J177" s="266" t="s">
        <v>595</v>
      </c>
      <c r="K177" s="262"/>
      <c r="L177" s="262"/>
      <c r="M177" s="262">
        <v>58204</v>
      </c>
      <c r="N177" s="262" t="s">
        <v>22</v>
      </c>
      <c r="O177" s="262" t="s">
        <v>178</v>
      </c>
      <c r="P177" s="262"/>
      <c r="Q177" s="262" t="s">
        <v>23</v>
      </c>
      <c r="R177" s="262" t="s">
        <v>397</v>
      </c>
      <c r="S177" s="267" t="s">
        <v>823</v>
      </c>
      <c r="T177" s="268"/>
      <c r="U177" s="269">
        <v>2000000</v>
      </c>
      <c r="V177" s="269">
        <v>0</v>
      </c>
      <c r="W177" s="278">
        <v>0</v>
      </c>
      <c r="X177" s="270"/>
      <c r="Y177" s="262" t="s">
        <v>21</v>
      </c>
      <c r="Z177" s="271" t="s">
        <v>599</v>
      </c>
      <c r="AA177" s="287"/>
      <c r="AB177" s="287"/>
      <c r="AC177" s="272">
        <f t="shared" si="7"/>
        <v>0</v>
      </c>
      <c r="AD177" s="272">
        <v>0</v>
      </c>
      <c r="AE177" s="272">
        <f t="shared" si="8"/>
        <v>0</v>
      </c>
      <c r="AF177" s="273"/>
      <c r="AG177" s="274"/>
      <c r="AH177" s="273"/>
      <c r="AI177" s="273"/>
      <c r="AJ177" s="274"/>
      <c r="AK177" s="273"/>
      <c r="AL177" s="275"/>
      <c r="AM177" s="290"/>
      <c r="AN177" s="275"/>
      <c r="AO177" s="276"/>
      <c r="AP177" s="275"/>
      <c r="AQ177" s="275"/>
      <c r="AR177" s="275"/>
      <c r="AS177" s="275"/>
      <c r="AT177" s="275"/>
      <c r="AU177" s="275"/>
      <c r="AV177" s="275"/>
      <c r="AW177" s="275"/>
      <c r="AX177" s="275"/>
      <c r="AY177" s="275"/>
      <c r="AZ177" s="275"/>
      <c r="BA177" s="275"/>
      <c r="BB177" s="275"/>
      <c r="BC177" s="275"/>
      <c r="BD177" s="275"/>
      <c r="BE177" s="275"/>
      <c r="BF177" s="275"/>
      <c r="BH177" s="277"/>
    </row>
    <row r="178" spans="1:60" ht="16.5" hidden="1" customHeight="1" x14ac:dyDescent="0.3">
      <c r="A178" s="260">
        <v>156</v>
      </c>
      <c r="B178" s="261"/>
      <c r="C178" s="261"/>
      <c r="D178" s="262" t="s">
        <v>15</v>
      </c>
      <c r="E178" s="262" t="s">
        <v>0</v>
      </c>
      <c r="F178" s="263" t="s">
        <v>15</v>
      </c>
      <c r="G178" s="264" t="s">
        <v>0</v>
      </c>
      <c r="H178" s="281"/>
      <c r="I178" s="265"/>
      <c r="J178" s="266" t="s">
        <v>797</v>
      </c>
      <c r="K178" s="262"/>
      <c r="L178" s="262"/>
      <c r="M178" s="262">
        <v>17400</v>
      </c>
      <c r="N178" s="262"/>
      <c r="O178" s="262"/>
      <c r="P178" s="262"/>
      <c r="Q178" s="262" t="s">
        <v>26</v>
      </c>
      <c r="R178" s="262" t="s">
        <v>468</v>
      </c>
      <c r="S178" s="267" t="s">
        <v>468</v>
      </c>
      <c r="T178" s="268"/>
      <c r="U178" s="269"/>
      <c r="V178" s="269">
        <v>7800000</v>
      </c>
      <c r="W178" s="278">
        <v>0</v>
      </c>
      <c r="X178" s="270"/>
      <c r="Y178" s="262" t="s">
        <v>24</v>
      </c>
      <c r="Z178" s="271" t="s">
        <v>20</v>
      </c>
      <c r="AA178" s="287"/>
      <c r="AB178" s="287"/>
      <c r="AC178" s="272">
        <f t="shared" si="7"/>
        <v>0</v>
      </c>
      <c r="AD178" s="272">
        <v>0</v>
      </c>
      <c r="AE178" s="272">
        <f t="shared" si="8"/>
        <v>0</v>
      </c>
      <c r="AF178" s="273"/>
      <c r="AG178" s="274"/>
      <c r="AH178" s="273"/>
      <c r="AI178" s="273"/>
      <c r="AJ178" s="274"/>
      <c r="AK178" s="273"/>
      <c r="AL178" s="275"/>
      <c r="AM178" s="290"/>
      <c r="AN178" s="275"/>
      <c r="AO178" s="276"/>
      <c r="AP178" s="275"/>
      <c r="AQ178" s="275"/>
      <c r="AR178" s="275"/>
      <c r="AS178" s="275"/>
      <c r="AT178" s="275"/>
      <c r="AU178" s="275"/>
      <c r="AV178" s="275"/>
      <c r="AW178" s="275"/>
      <c r="AX178" s="275"/>
      <c r="AY178" s="275"/>
      <c r="AZ178" s="275"/>
      <c r="BA178" s="275"/>
      <c r="BB178" s="275"/>
      <c r="BC178" s="275"/>
      <c r="BD178" s="275"/>
      <c r="BE178" s="275"/>
      <c r="BF178" s="275"/>
      <c r="BH178" s="277"/>
    </row>
    <row r="179" spans="1:60" ht="16.5" hidden="1" customHeight="1" x14ac:dyDescent="0.3">
      <c r="A179" s="260">
        <v>157</v>
      </c>
      <c r="B179" s="261"/>
      <c r="C179" s="261"/>
      <c r="D179" s="262" t="s">
        <v>110</v>
      </c>
      <c r="E179" s="262" t="s">
        <v>404</v>
      </c>
      <c r="F179" s="263" t="s">
        <v>15</v>
      </c>
      <c r="G179" s="264" t="s">
        <v>0</v>
      </c>
      <c r="H179" s="281"/>
      <c r="I179" s="265"/>
      <c r="J179" s="266" t="s">
        <v>34</v>
      </c>
      <c r="K179" s="262"/>
      <c r="L179" s="262"/>
      <c r="M179" s="262">
        <v>16117</v>
      </c>
      <c r="N179" s="262" t="s">
        <v>22</v>
      </c>
      <c r="O179" s="262" t="s">
        <v>212</v>
      </c>
      <c r="P179" s="262" t="s">
        <v>57</v>
      </c>
      <c r="Q179" s="262" t="s">
        <v>18</v>
      </c>
      <c r="R179" s="262" t="s">
        <v>28</v>
      </c>
      <c r="S179" s="267" t="s">
        <v>28</v>
      </c>
      <c r="T179" s="268"/>
      <c r="U179" s="269"/>
      <c r="V179" s="269">
        <v>80160000</v>
      </c>
      <c r="W179" s="278">
        <v>80160000</v>
      </c>
      <c r="X179" s="270"/>
      <c r="Y179" s="262" t="s">
        <v>27</v>
      </c>
      <c r="Z179" s="271" t="s">
        <v>27</v>
      </c>
      <c r="AA179" s="287"/>
      <c r="AB179" s="287"/>
      <c r="AC179" s="272">
        <f t="shared" si="7"/>
        <v>79040000</v>
      </c>
      <c r="AD179" s="272">
        <v>79040000</v>
      </c>
      <c r="AE179" s="272">
        <f t="shared" si="8"/>
        <v>0</v>
      </c>
      <c r="AF179" s="273">
        <v>7000000</v>
      </c>
      <c r="AG179" s="274">
        <v>6680000</v>
      </c>
      <c r="AH179" s="273"/>
      <c r="AI179" s="273">
        <v>7000000</v>
      </c>
      <c r="AJ179" s="274">
        <v>6680000</v>
      </c>
      <c r="AK179" s="273"/>
      <c r="AL179" s="275">
        <v>6680000</v>
      </c>
      <c r="AM179" s="290">
        <v>6680000</v>
      </c>
      <c r="AN179" s="275"/>
      <c r="AO179" s="276">
        <v>7000000</v>
      </c>
      <c r="AP179" s="275"/>
      <c r="AQ179" s="275">
        <v>7000000</v>
      </c>
      <c r="AR179" s="275"/>
      <c r="AS179" s="275">
        <v>7000000</v>
      </c>
      <c r="AT179" s="275"/>
      <c r="AU179" s="275">
        <v>7000000</v>
      </c>
      <c r="AV179" s="275"/>
      <c r="AW179" s="275">
        <v>7000000</v>
      </c>
      <c r="AX179" s="275"/>
      <c r="AY179" s="275">
        <v>7000000</v>
      </c>
      <c r="AZ179" s="275"/>
      <c r="BA179" s="275">
        <v>7000000</v>
      </c>
      <c r="BB179" s="275"/>
      <c r="BC179" s="275">
        <v>7000000</v>
      </c>
      <c r="BD179" s="275"/>
      <c r="BE179" s="275">
        <v>3000000</v>
      </c>
      <c r="BF179" s="275"/>
      <c r="BH179" s="277"/>
    </row>
    <row r="180" spans="1:60" ht="16.5" hidden="1" customHeight="1" x14ac:dyDescent="0.3">
      <c r="A180" s="260">
        <v>158</v>
      </c>
      <c r="B180" s="261"/>
      <c r="C180" s="261"/>
      <c r="D180" s="262" t="s">
        <v>15</v>
      </c>
      <c r="E180" s="262" t="s">
        <v>0</v>
      </c>
      <c r="F180" s="263" t="s">
        <v>15</v>
      </c>
      <c r="G180" s="264" t="s">
        <v>0</v>
      </c>
      <c r="H180" s="281"/>
      <c r="I180" s="265"/>
      <c r="J180" s="266" t="s">
        <v>34</v>
      </c>
      <c r="K180" s="262"/>
      <c r="L180" s="262"/>
      <c r="M180" s="262">
        <v>16117</v>
      </c>
      <c r="N180" s="262" t="s">
        <v>22</v>
      </c>
      <c r="O180" s="262" t="s">
        <v>56</v>
      </c>
      <c r="P180" s="262" t="s">
        <v>57</v>
      </c>
      <c r="Q180" s="262" t="s">
        <v>26</v>
      </c>
      <c r="R180" s="262" t="s">
        <v>478</v>
      </c>
      <c r="S180" s="267" t="s">
        <v>478</v>
      </c>
      <c r="T180" s="268"/>
      <c r="U180" s="269">
        <v>500000</v>
      </c>
      <c r="V180" s="269">
        <v>1500000</v>
      </c>
      <c r="W180" s="278">
        <v>800000</v>
      </c>
      <c r="X180" s="270"/>
      <c r="Y180" s="262" t="s">
        <v>27</v>
      </c>
      <c r="Z180" s="271" t="s">
        <v>24</v>
      </c>
      <c r="AA180" s="287"/>
      <c r="AB180" s="287"/>
      <c r="AC180" s="272">
        <f t="shared" si="7"/>
        <v>2000000</v>
      </c>
      <c r="AD180" s="272">
        <v>2000000</v>
      </c>
      <c r="AE180" s="272">
        <f t="shared" si="8"/>
        <v>0</v>
      </c>
      <c r="AF180" s="273"/>
      <c r="AG180" s="274"/>
      <c r="AH180" s="273"/>
      <c r="AI180" s="273"/>
      <c r="AJ180" s="274"/>
      <c r="AK180" s="273"/>
      <c r="AL180" s="275"/>
      <c r="AM180" s="290"/>
      <c r="AN180" s="275"/>
      <c r="AO180" s="276"/>
      <c r="AP180" s="275"/>
      <c r="AQ180" s="291">
        <v>1000000</v>
      </c>
      <c r="AR180" s="275"/>
      <c r="AS180" s="275"/>
      <c r="AT180" s="275"/>
      <c r="AU180" s="275"/>
      <c r="AV180" s="275"/>
      <c r="AW180" s="275"/>
      <c r="AX180" s="275"/>
      <c r="AY180" s="275"/>
      <c r="AZ180" s="275"/>
      <c r="BA180" s="275">
        <v>1000000</v>
      </c>
      <c r="BB180" s="275"/>
      <c r="BC180" s="275"/>
      <c r="BD180" s="275"/>
      <c r="BE180" s="275"/>
      <c r="BF180" s="275"/>
      <c r="BH180" s="277"/>
    </row>
    <row r="181" spans="1:60" ht="16.5" hidden="1" customHeight="1" x14ac:dyDescent="0.3">
      <c r="A181" s="260">
        <v>159</v>
      </c>
      <c r="B181" s="261"/>
      <c r="C181" s="261"/>
      <c r="D181" s="262" t="s">
        <v>15</v>
      </c>
      <c r="E181" s="262" t="s">
        <v>0</v>
      </c>
      <c r="F181" s="263" t="s">
        <v>15</v>
      </c>
      <c r="G181" s="264" t="s">
        <v>0</v>
      </c>
      <c r="H181" s="281"/>
      <c r="I181" s="265"/>
      <c r="J181" s="266" t="s">
        <v>34</v>
      </c>
      <c r="K181" s="262"/>
      <c r="L181" s="262"/>
      <c r="M181" s="262">
        <v>16117</v>
      </c>
      <c r="N181" s="262" t="s">
        <v>22</v>
      </c>
      <c r="O181" s="262" t="s">
        <v>56</v>
      </c>
      <c r="P181" s="262"/>
      <c r="Q181" s="262" t="s">
        <v>23</v>
      </c>
      <c r="R181" s="262" t="s">
        <v>397</v>
      </c>
      <c r="S181" s="267" t="s">
        <v>823</v>
      </c>
      <c r="T181" s="268"/>
      <c r="U181" s="269"/>
      <c r="V181" s="269">
        <v>0</v>
      </c>
      <c r="W181" s="278">
        <v>0</v>
      </c>
      <c r="X181" s="270"/>
      <c r="Y181" s="262" t="s">
        <v>24</v>
      </c>
      <c r="Z181" s="271" t="s">
        <v>27</v>
      </c>
      <c r="AA181" s="287"/>
      <c r="AB181" s="287"/>
      <c r="AC181" s="272">
        <f t="shared" si="7"/>
        <v>900000</v>
      </c>
      <c r="AD181" s="272">
        <v>900000</v>
      </c>
      <c r="AE181" s="272">
        <f t="shared" si="8"/>
        <v>0</v>
      </c>
      <c r="AF181" s="273"/>
      <c r="AG181" s="274"/>
      <c r="AH181" s="273"/>
      <c r="AI181" s="273"/>
      <c r="AJ181" s="274"/>
      <c r="AK181" s="273"/>
      <c r="AL181" s="275"/>
      <c r="AM181" s="290"/>
      <c r="AN181" s="275"/>
      <c r="AO181" s="276">
        <v>900000</v>
      </c>
      <c r="AP181" s="275"/>
      <c r="AQ181" s="275"/>
      <c r="AR181" s="275"/>
      <c r="AS181" s="275"/>
      <c r="AT181" s="275"/>
      <c r="AU181" s="275"/>
      <c r="AV181" s="275"/>
      <c r="AW181" s="275"/>
      <c r="AX181" s="275"/>
      <c r="AY181" s="275"/>
      <c r="AZ181" s="275"/>
      <c r="BA181" s="275"/>
      <c r="BB181" s="275"/>
      <c r="BC181" s="275"/>
      <c r="BD181" s="275"/>
      <c r="BE181" s="275"/>
      <c r="BF181" s="275"/>
      <c r="BH181" s="277"/>
    </row>
    <row r="182" spans="1:60" ht="16.5" hidden="1" customHeight="1" x14ac:dyDescent="0.3">
      <c r="A182" s="260">
        <v>160</v>
      </c>
      <c r="B182" s="261"/>
      <c r="C182" s="261"/>
      <c r="D182" s="262" t="s">
        <v>15</v>
      </c>
      <c r="E182" s="262" t="s">
        <v>0</v>
      </c>
      <c r="F182" s="263" t="s">
        <v>15</v>
      </c>
      <c r="G182" s="264" t="s">
        <v>0</v>
      </c>
      <c r="H182" s="281"/>
      <c r="I182" s="265"/>
      <c r="J182" s="266" t="s">
        <v>34</v>
      </c>
      <c r="K182" s="262"/>
      <c r="L182" s="262"/>
      <c r="M182" s="262">
        <v>16117</v>
      </c>
      <c r="N182" s="262" t="s">
        <v>22</v>
      </c>
      <c r="O182" s="262" t="s">
        <v>56</v>
      </c>
      <c r="P182" s="262"/>
      <c r="Q182" s="262" t="s">
        <v>23</v>
      </c>
      <c r="R182" s="262" t="s">
        <v>397</v>
      </c>
      <c r="S182" s="267" t="s">
        <v>823</v>
      </c>
      <c r="T182" s="268"/>
      <c r="U182" s="269">
        <v>19000000</v>
      </c>
      <c r="V182" s="269">
        <v>5000000</v>
      </c>
      <c r="W182" s="278">
        <v>0</v>
      </c>
      <c r="X182" s="270"/>
      <c r="Y182" s="262" t="s">
        <v>24</v>
      </c>
      <c r="Z182" s="271" t="s">
        <v>562</v>
      </c>
      <c r="AA182" s="287"/>
      <c r="AB182" s="287"/>
      <c r="AC182" s="272">
        <f t="shared" si="7"/>
        <v>0</v>
      </c>
      <c r="AD182" s="272">
        <v>0</v>
      </c>
      <c r="AE182" s="272">
        <f t="shared" si="8"/>
        <v>0</v>
      </c>
      <c r="AF182" s="273"/>
      <c r="AG182" s="274"/>
      <c r="AH182" s="273"/>
      <c r="AI182" s="273"/>
      <c r="AJ182" s="274"/>
      <c r="AK182" s="273"/>
      <c r="AL182" s="275"/>
      <c r="AM182" s="290"/>
      <c r="AN182" s="275"/>
      <c r="AO182" s="276"/>
      <c r="AP182" s="275"/>
      <c r="AQ182" s="275"/>
      <c r="AR182" s="275"/>
      <c r="AS182" s="275"/>
      <c r="AT182" s="275"/>
      <c r="AU182" s="275"/>
      <c r="AV182" s="275"/>
      <c r="AW182" s="275"/>
      <c r="AX182" s="275"/>
      <c r="AY182" s="275"/>
      <c r="AZ182" s="275"/>
      <c r="BA182" s="275"/>
      <c r="BB182" s="275"/>
      <c r="BC182" s="275"/>
      <c r="BD182" s="275"/>
      <c r="BE182" s="275"/>
      <c r="BF182" s="275"/>
      <c r="BH182" s="277"/>
    </row>
    <row r="183" spans="1:60" ht="16.5" hidden="1" customHeight="1" x14ac:dyDescent="0.3">
      <c r="A183" s="260">
        <v>161</v>
      </c>
      <c r="B183" s="261"/>
      <c r="C183" s="261"/>
      <c r="D183" s="262" t="s">
        <v>15</v>
      </c>
      <c r="E183" s="262" t="s">
        <v>0</v>
      </c>
      <c r="F183" s="263" t="s">
        <v>15</v>
      </c>
      <c r="G183" s="264" t="s">
        <v>0</v>
      </c>
      <c r="H183" s="281"/>
      <c r="I183" s="265"/>
      <c r="J183" s="266" t="s">
        <v>36</v>
      </c>
      <c r="K183" s="262"/>
      <c r="L183" s="262"/>
      <c r="M183" s="262">
        <v>51</v>
      </c>
      <c r="N183" s="262" t="s">
        <v>22</v>
      </c>
      <c r="O183" s="262" t="s">
        <v>56</v>
      </c>
      <c r="P183" s="262"/>
      <c r="Q183" s="262" t="s">
        <v>26</v>
      </c>
      <c r="R183" s="262" t="s">
        <v>478</v>
      </c>
      <c r="S183" s="267" t="s">
        <v>478</v>
      </c>
      <c r="T183" s="268"/>
      <c r="U183" s="269"/>
      <c r="V183" s="269">
        <v>4000000</v>
      </c>
      <c r="W183" s="278">
        <v>1200000</v>
      </c>
      <c r="X183" s="270"/>
      <c r="Y183" s="262" t="s">
        <v>24</v>
      </c>
      <c r="Z183" s="271" t="s">
        <v>27</v>
      </c>
      <c r="AA183" s="287"/>
      <c r="AB183" s="287"/>
      <c r="AC183" s="272">
        <f t="shared" si="7"/>
        <v>1050000</v>
      </c>
      <c r="AD183" s="272">
        <v>1050000</v>
      </c>
      <c r="AE183" s="272">
        <f t="shared" si="8"/>
        <v>0</v>
      </c>
      <c r="AF183" s="273"/>
      <c r="AG183" s="274"/>
      <c r="AH183" s="273"/>
      <c r="AI183" s="273">
        <v>5000000</v>
      </c>
      <c r="AJ183" s="274">
        <v>1050000</v>
      </c>
      <c r="AK183" s="273"/>
      <c r="AL183" s="275"/>
      <c r="AM183" s="290"/>
      <c r="AN183" s="275"/>
      <c r="AO183" s="276"/>
      <c r="AP183" s="275"/>
      <c r="AQ183" s="275"/>
      <c r="AR183" s="275"/>
      <c r="AS183" s="275"/>
      <c r="AT183" s="275"/>
      <c r="AU183" s="275"/>
      <c r="AV183" s="275"/>
      <c r="AW183" s="275"/>
      <c r="AX183" s="275"/>
      <c r="AY183" s="275"/>
      <c r="AZ183" s="275"/>
      <c r="BA183" s="275"/>
      <c r="BB183" s="275"/>
      <c r="BC183" s="275"/>
      <c r="BD183" s="275"/>
      <c r="BE183" s="275"/>
      <c r="BF183" s="275"/>
      <c r="BH183" s="277"/>
    </row>
    <row r="184" spans="1:60" ht="16.5" hidden="1" customHeight="1" x14ac:dyDescent="0.3">
      <c r="A184" s="260">
        <v>162</v>
      </c>
      <c r="B184" s="261"/>
      <c r="C184" s="261"/>
      <c r="D184" s="262" t="s">
        <v>15</v>
      </c>
      <c r="E184" s="262" t="s">
        <v>0</v>
      </c>
      <c r="F184" s="263" t="s">
        <v>15</v>
      </c>
      <c r="G184" s="264" t="s">
        <v>0</v>
      </c>
      <c r="H184" s="281"/>
      <c r="I184" s="265"/>
      <c r="J184" s="266" t="s">
        <v>656</v>
      </c>
      <c r="K184" s="262"/>
      <c r="L184" s="262"/>
      <c r="M184" s="262">
        <v>3808</v>
      </c>
      <c r="N184" s="262" t="s">
        <v>22</v>
      </c>
      <c r="O184" s="262" t="s">
        <v>178</v>
      </c>
      <c r="P184" s="262" t="s">
        <v>57</v>
      </c>
      <c r="Q184" s="262"/>
      <c r="R184" s="262" t="s">
        <v>19</v>
      </c>
      <c r="S184" s="267" t="s">
        <v>19</v>
      </c>
      <c r="T184" s="268"/>
      <c r="U184" s="269">
        <v>1342400</v>
      </c>
      <c r="V184" s="269">
        <v>1391900</v>
      </c>
      <c r="W184" s="278">
        <v>7779400</v>
      </c>
      <c r="X184" s="270"/>
      <c r="Y184" s="262" t="s">
        <v>27</v>
      </c>
      <c r="Z184" s="271" t="s">
        <v>27</v>
      </c>
      <c r="AA184" s="287"/>
      <c r="AB184" s="287"/>
      <c r="AC184" s="272">
        <f t="shared" si="7"/>
        <v>10690100</v>
      </c>
      <c r="AD184" s="272">
        <v>10690100</v>
      </c>
      <c r="AE184" s="272">
        <f t="shared" si="8"/>
        <v>0</v>
      </c>
      <c r="AF184" s="273"/>
      <c r="AG184" s="274">
        <v>1031450</v>
      </c>
      <c r="AH184" s="273"/>
      <c r="AI184" s="273"/>
      <c r="AJ184" s="274">
        <v>482650</v>
      </c>
      <c r="AK184" s="273"/>
      <c r="AL184" s="275">
        <v>176000</v>
      </c>
      <c r="AM184" s="290">
        <v>29400</v>
      </c>
      <c r="AN184" s="275" t="s">
        <v>1019</v>
      </c>
      <c r="AO184" s="276"/>
      <c r="AP184" s="275"/>
      <c r="AQ184" s="275"/>
      <c r="AR184" s="275"/>
      <c r="AS184" s="275"/>
      <c r="AT184" s="275"/>
      <c r="AU184" s="275"/>
      <c r="AV184" s="275"/>
      <c r="AW184" s="275"/>
      <c r="AX184" s="275"/>
      <c r="AY184" s="275"/>
      <c r="AZ184" s="275"/>
      <c r="BA184" s="275"/>
      <c r="BB184" s="275"/>
      <c r="BC184" s="275"/>
      <c r="BD184" s="275"/>
      <c r="BE184" s="275">
        <v>9146600</v>
      </c>
      <c r="BF184" s="275"/>
      <c r="BH184" s="277"/>
    </row>
    <row r="185" spans="1:60" ht="16.5" hidden="1" customHeight="1" x14ac:dyDescent="0.3">
      <c r="A185" s="260">
        <v>163</v>
      </c>
      <c r="B185" s="261"/>
      <c r="C185" s="261"/>
      <c r="D185" s="262" t="s">
        <v>15</v>
      </c>
      <c r="E185" s="262" t="s">
        <v>0</v>
      </c>
      <c r="F185" s="263" t="s">
        <v>15</v>
      </c>
      <c r="G185" s="264" t="s">
        <v>0</v>
      </c>
      <c r="H185" s="281"/>
      <c r="I185" s="265"/>
      <c r="J185" s="266" t="s">
        <v>37</v>
      </c>
      <c r="K185" s="262"/>
      <c r="L185" s="262"/>
      <c r="M185" s="262">
        <v>2584</v>
      </c>
      <c r="N185" s="262" t="s">
        <v>17</v>
      </c>
      <c r="O185" s="262" t="s">
        <v>212</v>
      </c>
      <c r="P185" s="262" t="s">
        <v>57</v>
      </c>
      <c r="Q185" s="262" t="s">
        <v>63</v>
      </c>
      <c r="R185" s="262" t="s">
        <v>28</v>
      </c>
      <c r="S185" s="267" t="s">
        <v>28</v>
      </c>
      <c r="T185" s="268"/>
      <c r="U185" s="269">
        <v>202382600</v>
      </c>
      <c r="V185" s="269">
        <v>157061970</v>
      </c>
      <c r="W185" s="278">
        <v>256480300</v>
      </c>
      <c r="X185" s="270"/>
      <c r="Y185" s="262" t="s">
        <v>27</v>
      </c>
      <c r="Z185" s="271" t="s">
        <v>74</v>
      </c>
      <c r="AA185" s="287"/>
      <c r="AB185" s="287"/>
      <c r="AC185" s="272">
        <f t="shared" si="7"/>
        <v>-18000000</v>
      </c>
      <c r="AD185" s="272">
        <v>-18000000</v>
      </c>
      <c r="AE185" s="272">
        <f t="shared" si="8"/>
        <v>0</v>
      </c>
      <c r="AF185" s="273"/>
      <c r="AG185" s="274"/>
      <c r="AH185" s="273"/>
      <c r="AI185" s="273"/>
      <c r="AJ185" s="274"/>
      <c r="AK185" s="273"/>
      <c r="AL185" s="275">
        <v>-18000000</v>
      </c>
      <c r="AM185" s="290">
        <v>-18000000</v>
      </c>
      <c r="AN185" s="275" t="s">
        <v>989</v>
      </c>
      <c r="AO185" s="276"/>
      <c r="AP185" s="275"/>
      <c r="AQ185" s="275"/>
      <c r="AR185" s="275"/>
      <c r="AS185" s="275"/>
      <c r="AT185" s="275"/>
      <c r="AU185" s="275"/>
      <c r="AV185" s="275"/>
      <c r="AW185" s="275"/>
      <c r="AX185" s="275"/>
      <c r="AY185" s="275"/>
      <c r="AZ185" s="275"/>
      <c r="BA185" s="275"/>
      <c r="BB185" s="275"/>
      <c r="BC185" s="275"/>
      <c r="BD185" s="275"/>
      <c r="BE185" s="275"/>
      <c r="BF185" s="275"/>
      <c r="BH185" s="277"/>
    </row>
    <row r="186" spans="1:60" ht="16.5" hidden="1" customHeight="1" x14ac:dyDescent="0.3">
      <c r="A186" s="260">
        <v>164</v>
      </c>
      <c r="B186" s="261"/>
      <c r="C186" s="261"/>
      <c r="D186" s="262" t="s">
        <v>15</v>
      </c>
      <c r="E186" s="262" t="s">
        <v>0</v>
      </c>
      <c r="F186" s="263" t="s">
        <v>15</v>
      </c>
      <c r="G186" s="264" t="s">
        <v>0</v>
      </c>
      <c r="H186" s="281"/>
      <c r="I186" s="265"/>
      <c r="J186" s="266" t="s">
        <v>37</v>
      </c>
      <c r="K186" s="262"/>
      <c r="L186" s="262"/>
      <c r="M186" s="262">
        <v>2584</v>
      </c>
      <c r="N186" s="262" t="s">
        <v>17</v>
      </c>
      <c r="O186" s="262" t="s">
        <v>56</v>
      </c>
      <c r="P186" s="262"/>
      <c r="Q186" s="262" t="s">
        <v>63</v>
      </c>
      <c r="R186" s="262" t="s">
        <v>28</v>
      </c>
      <c r="S186" s="267" t="s">
        <v>28</v>
      </c>
      <c r="T186" s="268"/>
      <c r="U186" s="269"/>
      <c r="V186" s="269">
        <v>0</v>
      </c>
      <c r="W186" s="278">
        <v>0</v>
      </c>
      <c r="X186" s="270"/>
      <c r="Y186" s="262" t="s">
        <v>24</v>
      </c>
      <c r="Z186" s="271" t="s">
        <v>74</v>
      </c>
      <c r="AA186" s="287"/>
      <c r="AB186" s="287"/>
      <c r="AC186" s="272">
        <f t="shared" si="7"/>
        <v>0</v>
      </c>
      <c r="AD186" s="272">
        <v>0</v>
      </c>
      <c r="AE186" s="272">
        <f t="shared" si="8"/>
        <v>0</v>
      </c>
      <c r="AF186" s="273"/>
      <c r="AG186" s="274"/>
      <c r="AH186" s="273"/>
      <c r="AI186" s="273"/>
      <c r="AJ186" s="274"/>
      <c r="AK186" s="273"/>
      <c r="AL186" s="275"/>
      <c r="AM186" s="290"/>
      <c r="AN186" s="275"/>
      <c r="AO186" s="276"/>
      <c r="AP186" s="275"/>
      <c r="AQ186" s="275"/>
      <c r="AR186" s="275"/>
      <c r="AS186" s="275"/>
      <c r="AT186" s="275"/>
      <c r="AU186" s="275"/>
      <c r="AV186" s="275"/>
      <c r="AW186" s="275"/>
      <c r="AX186" s="275"/>
      <c r="AY186" s="275"/>
      <c r="AZ186" s="275"/>
      <c r="BA186" s="275"/>
      <c r="BB186" s="275"/>
      <c r="BC186" s="275"/>
      <c r="BD186" s="275"/>
      <c r="BE186" s="275"/>
      <c r="BF186" s="275"/>
      <c r="BH186" s="277"/>
    </row>
    <row r="187" spans="1:60" ht="16.5" hidden="1" customHeight="1" x14ac:dyDescent="0.3">
      <c r="A187" s="260">
        <v>165</v>
      </c>
      <c r="B187" s="261"/>
      <c r="C187" s="261"/>
      <c r="D187" s="262" t="s">
        <v>15</v>
      </c>
      <c r="E187" s="262" t="s">
        <v>0</v>
      </c>
      <c r="F187" s="263" t="s">
        <v>15</v>
      </c>
      <c r="G187" s="264" t="s">
        <v>0</v>
      </c>
      <c r="H187" s="281"/>
      <c r="I187" s="265"/>
      <c r="J187" s="266" t="s">
        <v>37</v>
      </c>
      <c r="K187" s="262"/>
      <c r="L187" s="262"/>
      <c r="M187" s="262">
        <v>2584</v>
      </c>
      <c r="N187" s="262" t="s">
        <v>17</v>
      </c>
      <c r="O187" s="262" t="s">
        <v>212</v>
      </c>
      <c r="P187" s="262" t="s">
        <v>57</v>
      </c>
      <c r="Q187" s="262" t="s">
        <v>30</v>
      </c>
      <c r="R187" s="262" t="s">
        <v>31</v>
      </c>
      <c r="S187" s="267" t="s">
        <v>31</v>
      </c>
      <c r="T187" s="268"/>
      <c r="U187" s="269">
        <v>37635000</v>
      </c>
      <c r="V187" s="269">
        <v>68146000</v>
      </c>
      <c r="W187" s="278">
        <v>34132000</v>
      </c>
      <c r="X187" s="270"/>
      <c r="Y187" s="262" t="s">
        <v>27</v>
      </c>
      <c r="Z187" s="271" t="s">
        <v>24</v>
      </c>
      <c r="AA187" s="287"/>
      <c r="AB187" s="287"/>
      <c r="AC187" s="272">
        <f t="shared" si="7"/>
        <v>34000000</v>
      </c>
      <c r="AD187" s="272">
        <v>34000000</v>
      </c>
      <c r="AE187" s="272">
        <f t="shared" si="8"/>
        <v>0</v>
      </c>
      <c r="AF187" s="273"/>
      <c r="AG187" s="274"/>
      <c r="AH187" s="273"/>
      <c r="AI187" s="273"/>
      <c r="AJ187" s="274"/>
      <c r="AK187" s="273"/>
      <c r="AL187" s="275"/>
      <c r="AM187" s="290"/>
      <c r="AN187" s="275"/>
      <c r="AO187" s="276"/>
      <c r="AP187" s="275"/>
      <c r="AQ187" s="275"/>
      <c r="AR187" s="275"/>
      <c r="AS187" s="275"/>
      <c r="AT187" s="275"/>
      <c r="AU187" s="275">
        <v>17000000</v>
      </c>
      <c r="AV187" s="275"/>
      <c r="AW187" s="275"/>
      <c r="AX187" s="275"/>
      <c r="AY187" s="275"/>
      <c r="AZ187" s="275"/>
      <c r="BA187" s="275"/>
      <c r="BB187" s="275"/>
      <c r="BC187" s="275"/>
      <c r="BD187" s="275"/>
      <c r="BE187" s="275">
        <v>17000000</v>
      </c>
      <c r="BF187" s="275"/>
      <c r="BH187" s="277"/>
    </row>
    <row r="188" spans="1:60" ht="16.5" hidden="1" customHeight="1" x14ac:dyDescent="0.3">
      <c r="A188" s="260">
        <v>166</v>
      </c>
      <c r="B188" s="261"/>
      <c r="C188" s="261"/>
      <c r="D188" s="262" t="s">
        <v>15</v>
      </c>
      <c r="E188" s="262" t="s">
        <v>0</v>
      </c>
      <c r="F188" s="263" t="s">
        <v>15</v>
      </c>
      <c r="G188" s="264" t="s">
        <v>0</v>
      </c>
      <c r="H188" s="281"/>
      <c r="I188" s="265"/>
      <c r="J188" s="266" t="s">
        <v>37</v>
      </c>
      <c r="K188" s="262"/>
      <c r="L188" s="262"/>
      <c r="M188" s="262">
        <v>2584</v>
      </c>
      <c r="N188" s="262" t="s">
        <v>17</v>
      </c>
      <c r="O188" s="262" t="s">
        <v>56</v>
      </c>
      <c r="P188" s="262"/>
      <c r="Q188" s="262" t="s">
        <v>26</v>
      </c>
      <c r="R188" s="262" t="s">
        <v>478</v>
      </c>
      <c r="S188" s="267" t="s">
        <v>478</v>
      </c>
      <c r="T188" s="268"/>
      <c r="U188" s="269"/>
      <c r="V188" s="269">
        <v>0</v>
      </c>
      <c r="W188" s="278">
        <v>0</v>
      </c>
      <c r="X188" s="270"/>
      <c r="Y188" s="262" t="s">
        <v>24</v>
      </c>
      <c r="Z188" s="271" t="s">
        <v>599</v>
      </c>
      <c r="AA188" s="287"/>
      <c r="AB188" s="287"/>
      <c r="AC188" s="272">
        <f t="shared" si="7"/>
        <v>0</v>
      </c>
      <c r="AD188" s="272">
        <v>0</v>
      </c>
      <c r="AE188" s="272">
        <f t="shared" si="8"/>
        <v>0</v>
      </c>
      <c r="AF188" s="273"/>
      <c r="AG188" s="274"/>
      <c r="AH188" s="273"/>
      <c r="AI188" s="273"/>
      <c r="AJ188" s="274"/>
      <c r="AK188" s="273"/>
      <c r="AL188" s="275"/>
      <c r="AM188" s="290"/>
      <c r="AN188" s="275"/>
      <c r="AO188" s="276"/>
      <c r="AP188" s="275"/>
      <c r="AQ188" s="275"/>
      <c r="AR188" s="275"/>
      <c r="AS188" s="275"/>
      <c r="AT188" s="275"/>
      <c r="AU188" s="275"/>
      <c r="AV188" s="275"/>
      <c r="AW188" s="275"/>
      <c r="AX188" s="275"/>
      <c r="AY188" s="275"/>
      <c r="AZ188" s="275"/>
      <c r="BA188" s="275"/>
      <c r="BB188" s="275"/>
      <c r="BC188" s="275"/>
      <c r="BD188" s="275"/>
      <c r="BE188" s="275"/>
      <c r="BF188" s="275"/>
      <c r="BH188" s="277"/>
    </row>
    <row r="189" spans="1:60" ht="16.5" hidden="1" customHeight="1" x14ac:dyDescent="0.3">
      <c r="A189" s="260">
        <v>167</v>
      </c>
      <c r="B189" s="261"/>
      <c r="C189" s="261"/>
      <c r="D189" s="262" t="s">
        <v>15</v>
      </c>
      <c r="E189" s="262" t="s">
        <v>0</v>
      </c>
      <c r="F189" s="263" t="s">
        <v>15</v>
      </c>
      <c r="G189" s="264" t="s">
        <v>0</v>
      </c>
      <c r="H189" s="281"/>
      <c r="I189" s="265"/>
      <c r="J189" s="266" t="s">
        <v>37</v>
      </c>
      <c r="K189" s="262"/>
      <c r="L189" s="262"/>
      <c r="M189" s="262">
        <v>2584</v>
      </c>
      <c r="N189" s="262" t="s">
        <v>17</v>
      </c>
      <c r="O189" s="262" t="s">
        <v>35</v>
      </c>
      <c r="P189" s="262" t="s">
        <v>156</v>
      </c>
      <c r="Q189" s="262"/>
      <c r="R189" s="262"/>
      <c r="S189" s="267" t="s">
        <v>822</v>
      </c>
      <c r="T189" s="268"/>
      <c r="U189" s="269"/>
      <c r="V189" s="269"/>
      <c r="W189" s="278">
        <v>0</v>
      </c>
      <c r="X189" s="270"/>
      <c r="Y189" s="262"/>
      <c r="Z189" s="271" t="s">
        <v>25</v>
      </c>
      <c r="AA189" s="287"/>
      <c r="AB189" s="287"/>
      <c r="AC189" s="272">
        <f t="shared" si="7"/>
        <v>10000000</v>
      </c>
      <c r="AD189" s="272">
        <v>10000000</v>
      </c>
      <c r="AE189" s="272">
        <f t="shared" si="8"/>
        <v>0</v>
      </c>
      <c r="AF189" s="273"/>
      <c r="AG189" s="274"/>
      <c r="AH189" s="273"/>
      <c r="AI189" s="273"/>
      <c r="AJ189" s="274"/>
      <c r="AK189" s="273"/>
      <c r="AL189" s="275"/>
      <c r="AM189" s="290"/>
      <c r="AN189" s="275"/>
      <c r="AO189" s="276"/>
      <c r="AP189" s="275"/>
      <c r="AQ189" s="275"/>
      <c r="AR189" s="275"/>
      <c r="AS189" s="275"/>
      <c r="AT189" s="275"/>
      <c r="AU189" s="275"/>
      <c r="AV189" s="275"/>
      <c r="AW189" s="275">
        <v>10000000</v>
      </c>
      <c r="AX189" s="275"/>
      <c r="AY189" s="275"/>
      <c r="AZ189" s="275"/>
      <c r="BA189" s="275"/>
      <c r="BB189" s="275"/>
      <c r="BC189" s="275"/>
      <c r="BD189" s="275"/>
      <c r="BE189" s="275"/>
      <c r="BF189" s="275"/>
      <c r="BH189" s="277"/>
    </row>
    <row r="190" spans="1:60" ht="16.5" hidden="1" customHeight="1" x14ac:dyDescent="0.3">
      <c r="A190" s="260">
        <v>168</v>
      </c>
      <c r="B190" s="261"/>
      <c r="C190" s="261"/>
      <c r="D190" s="262" t="s">
        <v>15</v>
      </c>
      <c r="E190" s="262" t="s">
        <v>0</v>
      </c>
      <c r="F190" s="263" t="s">
        <v>15</v>
      </c>
      <c r="G190" s="264" t="s">
        <v>0</v>
      </c>
      <c r="H190" s="281"/>
      <c r="I190" s="265"/>
      <c r="J190" s="266" t="s">
        <v>37</v>
      </c>
      <c r="K190" s="262"/>
      <c r="L190" s="262"/>
      <c r="M190" s="262">
        <v>2584</v>
      </c>
      <c r="N190" s="262" t="s">
        <v>17</v>
      </c>
      <c r="O190" s="262" t="s">
        <v>35</v>
      </c>
      <c r="P190" s="262" t="s">
        <v>156</v>
      </c>
      <c r="Q190" s="262"/>
      <c r="R190" s="262"/>
      <c r="S190" s="267" t="s">
        <v>828</v>
      </c>
      <c r="T190" s="268"/>
      <c r="U190" s="269"/>
      <c r="V190" s="269"/>
      <c r="W190" s="278">
        <v>0</v>
      </c>
      <c r="X190" s="270"/>
      <c r="Y190" s="262"/>
      <c r="Z190" s="271" t="s">
        <v>25</v>
      </c>
      <c r="AA190" s="287"/>
      <c r="AB190" s="287"/>
      <c r="AC190" s="272">
        <f t="shared" si="7"/>
        <v>10000000</v>
      </c>
      <c r="AD190" s="272">
        <v>10000000</v>
      </c>
      <c r="AE190" s="272">
        <f t="shared" si="8"/>
        <v>0</v>
      </c>
      <c r="AF190" s="273"/>
      <c r="AG190" s="274"/>
      <c r="AH190" s="273"/>
      <c r="AI190" s="273"/>
      <c r="AJ190" s="274"/>
      <c r="AK190" s="273"/>
      <c r="AL190" s="275"/>
      <c r="AM190" s="290"/>
      <c r="AN190" s="275"/>
      <c r="AO190" s="276"/>
      <c r="AP190" s="275"/>
      <c r="AQ190" s="275"/>
      <c r="AR190" s="275"/>
      <c r="AS190" s="275"/>
      <c r="AT190" s="275"/>
      <c r="AU190" s="275"/>
      <c r="AV190" s="275"/>
      <c r="AW190" s="275">
        <v>10000000</v>
      </c>
      <c r="AX190" s="275"/>
      <c r="AY190" s="275"/>
      <c r="AZ190" s="275"/>
      <c r="BA190" s="275"/>
      <c r="BB190" s="275"/>
      <c r="BC190" s="275"/>
      <c r="BD190" s="275"/>
      <c r="BE190" s="275"/>
      <c r="BF190" s="275"/>
      <c r="BH190" s="277"/>
    </row>
    <row r="191" spans="1:60" ht="16.5" hidden="1" customHeight="1" x14ac:dyDescent="0.3">
      <c r="A191" s="260">
        <v>169</v>
      </c>
      <c r="B191" s="261"/>
      <c r="C191" s="261"/>
      <c r="D191" s="262" t="s">
        <v>15</v>
      </c>
      <c r="E191" s="262" t="s">
        <v>0</v>
      </c>
      <c r="F191" s="263" t="s">
        <v>15</v>
      </c>
      <c r="G191" s="264" t="s">
        <v>0</v>
      </c>
      <c r="H191" s="281"/>
      <c r="I191" s="265"/>
      <c r="J191" s="266" t="s">
        <v>37</v>
      </c>
      <c r="K191" s="262"/>
      <c r="L191" s="262"/>
      <c r="M191" s="262">
        <v>2584</v>
      </c>
      <c r="N191" s="262" t="s">
        <v>17</v>
      </c>
      <c r="O191" s="262" t="s">
        <v>56</v>
      </c>
      <c r="P191" s="262"/>
      <c r="Q191" s="262" t="s">
        <v>23</v>
      </c>
      <c r="R191" s="262" t="s">
        <v>397</v>
      </c>
      <c r="S191" s="267" t="s">
        <v>823</v>
      </c>
      <c r="T191" s="268"/>
      <c r="U191" s="269">
        <v>8000000</v>
      </c>
      <c r="V191" s="269">
        <v>11500000</v>
      </c>
      <c r="W191" s="278">
        <v>0</v>
      </c>
      <c r="X191" s="270"/>
      <c r="Y191" s="262" t="s">
        <v>24</v>
      </c>
      <c r="Z191" s="271" t="s">
        <v>24</v>
      </c>
      <c r="AA191" s="287"/>
      <c r="AB191" s="287"/>
      <c r="AC191" s="272">
        <f t="shared" si="7"/>
        <v>10000000</v>
      </c>
      <c r="AD191" s="272">
        <v>10000000</v>
      </c>
      <c r="AE191" s="272">
        <f t="shared" si="8"/>
        <v>0</v>
      </c>
      <c r="AF191" s="273"/>
      <c r="AG191" s="274"/>
      <c r="AH191" s="273"/>
      <c r="AI191" s="273"/>
      <c r="AJ191" s="274"/>
      <c r="AK191" s="273"/>
      <c r="AL191" s="275"/>
      <c r="AM191" s="290"/>
      <c r="AN191" s="275"/>
      <c r="AO191" s="276"/>
      <c r="AP191" s="275"/>
      <c r="AQ191" s="275"/>
      <c r="AR191" s="275"/>
      <c r="AS191" s="275"/>
      <c r="AT191" s="275"/>
      <c r="AU191" s="275"/>
      <c r="AV191" s="275"/>
      <c r="AW191" s="275"/>
      <c r="AX191" s="275"/>
      <c r="AY191" s="275"/>
      <c r="AZ191" s="275"/>
      <c r="BA191" s="275">
        <v>10000000</v>
      </c>
      <c r="BB191" s="275"/>
      <c r="BC191" s="275"/>
      <c r="BD191" s="275"/>
      <c r="BE191" s="275"/>
      <c r="BF191" s="275"/>
      <c r="BH191" s="277"/>
    </row>
    <row r="192" spans="1:60" ht="16.5" hidden="1" customHeight="1" x14ac:dyDescent="0.3">
      <c r="A192" s="260">
        <v>170</v>
      </c>
      <c r="B192" s="261"/>
      <c r="C192" s="261"/>
      <c r="D192" s="262" t="s">
        <v>15</v>
      </c>
      <c r="E192" s="262" t="s">
        <v>0</v>
      </c>
      <c r="F192" s="263" t="s">
        <v>15</v>
      </c>
      <c r="G192" s="264" t="s">
        <v>0</v>
      </c>
      <c r="H192" s="281"/>
      <c r="I192" s="265"/>
      <c r="J192" s="266" t="s">
        <v>37</v>
      </c>
      <c r="K192" s="262"/>
      <c r="L192" s="262"/>
      <c r="M192" s="262">
        <v>2584</v>
      </c>
      <c r="N192" s="262" t="s">
        <v>17</v>
      </c>
      <c r="O192" s="262" t="s">
        <v>35</v>
      </c>
      <c r="P192" s="262" t="s">
        <v>156</v>
      </c>
      <c r="Q192" s="262"/>
      <c r="R192" s="262"/>
      <c r="S192" s="267" t="s">
        <v>830</v>
      </c>
      <c r="T192" s="268"/>
      <c r="U192" s="269"/>
      <c r="V192" s="269"/>
      <c r="W192" s="278">
        <v>0</v>
      </c>
      <c r="X192" s="270"/>
      <c r="Y192" s="262"/>
      <c r="Z192" s="271" t="s">
        <v>24</v>
      </c>
      <c r="AA192" s="287"/>
      <c r="AB192" s="287"/>
      <c r="AC192" s="272">
        <f t="shared" si="7"/>
        <v>10000000</v>
      </c>
      <c r="AD192" s="272">
        <v>10000000</v>
      </c>
      <c r="AE192" s="272">
        <f t="shared" si="8"/>
        <v>0</v>
      </c>
      <c r="AF192" s="273"/>
      <c r="AG192" s="274"/>
      <c r="AH192" s="273"/>
      <c r="AI192" s="273"/>
      <c r="AJ192" s="274"/>
      <c r="AK192" s="273"/>
      <c r="AL192" s="275"/>
      <c r="AM192" s="290"/>
      <c r="AN192" s="275"/>
      <c r="AO192" s="276"/>
      <c r="AP192" s="275"/>
      <c r="AQ192" s="275"/>
      <c r="AR192" s="275"/>
      <c r="AS192" s="275"/>
      <c r="AT192" s="275"/>
      <c r="AU192" s="275"/>
      <c r="AV192" s="275"/>
      <c r="AW192" s="275"/>
      <c r="AX192" s="275"/>
      <c r="AY192" s="275">
        <v>10000000</v>
      </c>
      <c r="AZ192" s="275"/>
      <c r="BA192" s="275"/>
      <c r="BB192" s="275"/>
      <c r="BC192" s="275"/>
      <c r="BD192" s="275"/>
      <c r="BE192" s="275"/>
      <c r="BF192" s="275"/>
      <c r="BH192" s="277"/>
    </row>
    <row r="193" spans="1:60" ht="16.5" hidden="1" customHeight="1" x14ac:dyDescent="0.3">
      <c r="A193" s="260">
        <v>171</v>
      </c>
      <c r="B193" s="261"/>
      <c r="C193" s="261"/>
      <c r="D193" s="262" t="s">
        <v>15</v>
      </c>
      <c r="E193" s="262" t="s">
        <v>0</v>
      </c>
      <c r="F193" s="263" t="s">
        <v>15</v>
      </c>
      <c r="G193" s="264" t="s">
        <v>0</v>
      </c>
      <c r="H193" s="281"/>
      <c r="I193" s="265"/>
      <c r="J193" s="266" t="s">
        <v>958</v>
      </c>
      <c r="K193" s="262"/>
      <c r="L193" s="262"/>
      <c r="M193" s="262">
        <v>52015</v>
      </c>
      <c r="N193" s="262" t="s">
        <v>17</v>
      </c>
      <c r="O193" s="262" t="s">
        <v>212</v>
      </c>
      <c r="P193" s="262" t="s">
        <v>57</v>
      </c>
      <c r="Q193" s="262"/>
      <c r="R193" s="262"/>
      <c r="S193" s="267" t="s">
        <v>826</v>
      </c>
      <c r="T193" s="268"/>
      <c r="U193" s="269"/>
      <c r="V193" s="269"/>
      <c r="W193" s="278">
        <v>0</v>
      </c>
      <c r="X193" s="270"/>
      <c r="Y193" s="262" t="s">
        <v>27</v>
      </c>
      <c r="Z193" s="271" t="s">
        <v>27</v>
      </c>
      <c r="AA193" s="287"/>
      <c r="AB193" s="287"/>
      <c r="AC193" s="272">
        <f t="shared" si="7"/>
        <v>3605500</v>
      </c>
      <c r="AD193" s="272">
        <v>3605500</v>
      </c>
      <c r="AE193" s="272">
        <f t="shared" si="8"/>
        <v>0</v>
      </c>
      <c r="AF193" s="273"/>
      <c r="AG193" s="274">
        <v>3605500</v>
      </c>
      <c r="AH193" s="273"/>
      <c r="AI193" s="273"/>
      <c r="AJ193" s="274"/>
      <c r="AK193" s="273"/>
      <c r="AL193" s="275"/>
      <c r="AM193" s="290"/>
      <c r="AN193" s="275"/>
      <c r="AO193" s="276"/>
      <c r="AP193" s="275"/>
      <c r="AQ193" s="275"/>
      <c r="AR193" s="275"/>
      <c r="AS193" s="275"/>
      <c r="AT193" s="275"/>
      <c r="AU193" s="275"/>
      <c r="AV193" s="275"/>
      <c r="AW193" s="275"/>
      <c r="AX193" s="275"/>
      <c r="AY193" s="275"/>
      <c r="AZ193" s="275"/>
      <c r="BA193" s="275"/>
      <c r="BB193" s="275"/>
      <c r="BC193" s="275"/>
      <c r="BD193" s="275"/>
      <c r="BE193" s="275"/>
      <c r="BF193" s="275"/>
      <c r="BH193" s="277"/>
    </row>
    <row r="194" spans="1:60" ht="16.5" hidden="1" customHeight="1" x14ac:dyDescent="0.3">
      <c r="A194" s="260">
        <v>172</v>
      </c>
      <c r="B194" s="261"/>
      <c r="C194" s="261"/>
      <c r="D194" s="262" t="s">
        <v>15</v>
      </c>
      <c r="E194" s="262" t="s">
        <v>0</v>
      </c>
      <c r="F194" s="263" t="s">
        <v>15</v>
      </c>
      <c r="G194" s="264" t="s">
        <v>0</v>
      </c>
      <c r="H194" s="281"/>
      <c r="I194" s="265"/>
      <c r="J194" s="266" t="s">
        <v>38</v>
      </c>
      <c r="K194" s="262"/>
      <c r="L194" s="262"/>
      <c r="M194" s="262">
        <v>21047</v>
      </c>
      <c r="N194" s="262" t="s">
        <v>17</v>
      </c>
      <c r="O194" s="262" t="s">
        <v>212</v>
      </c>
      <c r="P194" s="262" t="s">
        <v>57</v>
      </c>
      <c r="Q194" s="262" t="s">
        <v>39</v>
      </c>
      <c r="R194" s="262" t="s">
        <v>471</v>
      </c>
      <c r="S194" s="267" t="s">
        <v>831</v>
      </c>
      <c r="T194" s="268"/>
      <c r="U194" s="269">
        <v>19711500</v>
      </c>
      <c r="V194" s="269">
        <v>23262500</v>
      </c>
      <c r="W194" s="278">
        <v>20328000</v>
      </c>
      <c r="X194" s="270"/>
      <c r="Y194" s="262" t="s">
        <v>27</v>
      </c>
      <c r="Z194" s="271" t="s">
        <v>27</v>
      </c>
      <c r="AA194" s="287"/>
      <c r="AB194" s="287"/>
      <c r="AC194" s="272">
        <f t="shared" si="7"/>
        <v>8415500</v>
      </c>
      <c r="AD194" s="272">
        <v>8415500</v>
      </c>
      <c r="AE194" s="272">
        <f t="shared" si="8"/>
        <v>0</v>
      </c>
      <c r="AF194" s="273"/>
      <c r="AG194" s="274"/>
      <c r="AH194" s="273"/>
      <c r="AI194" s="273"/>
      <c r="AJ194" s="274"/>
      <c r="AK194" s="273"/>
      <c r="AL194" s="275">
        <v>5000000</v>
      </c>
      <c r="AM194" s="290"/>
      <c r="AN194" s="275" t="s">
        <v>1020</v>
      </c>
      <c r="AO194" s="276">
        <v>3415500</v>
      </c>
      <c r="AP194" s="275"/>
      <c r="AQ194" s="275"/>
      <c r="AR194" s="275"/>
      <c r="AS194" s="275"/>
      <c r="AT194" s="275"/>
      <c r="AU194" s="275"/>
      <c r="AV194" s="275"/>
      <c r="AW194" s="275"/>
      <c r="AX194" s="275"/>
      <c r="AY194" s="275"/>
      <c r="AZ194" s="275"/>
      <c r="BA194" s="275"/>
      <c r="BB194" s="275"/>
      <c r="BC194" s="275"/>
      <c r="BD194" s="275"/>
      <c r="BE194" s="275">
        <v>5000000</v>
      </c>
      <c r="BF194" s="275"/>
      <c r="BH194" s="277"/>
    </row>
    <row r="195" spans="1:60" ht="16.5" hidden="1" customHeight="1" x14ac:dyDescent="0.3">
      <c r="A195" s="260">
        <v>173</v>
      </c>
      <c r="B195" s="261"/>
      <c r="C195" s="261"/>
      <c r="D195" s="262" t="s">
        <v>15</v>
      </c>
      <c r="E195" s="262" t="s">
        <v>0</v>
      </c>
      <c r="F195" s="263" t="s">
        <v>15</v>
      </c>
      <c r="G195" s="264" t="s">
        <v>0</v>
      </c>
      <c r="H195" s="281"/>
      <c r="I195" s="265"/>
      <c r="J195" s="266" t="s">
        <v>40</v>
      </c>
      <c r="K195" s="262"/>
      <c r="L195" s="262"/>
      <c r="M195" s="262">
        <v>16207</v>
      </c>
      <c r="N195" s="262" t="s">
        <v>22</v>
      </c>
      <c r="O195" s="262" t="s">
        <v>212</v>
      </c>
      <c r="P195" s="262" t="s">
        <v>124</v>
      </c>
      <c r="Q195" s="262" t="s">
        <v>63</v>
      </c>
      <c r="R195" s="262" t="s">
        <v>28</v>
      </c>
      <c r="S195" s="267" t="s">
        <v>28</v>
      </c>
      <c r="T195" s="268" t="s">
        <v>951</v>
      </c>
      <c r="U195" s="269"/>
      <c r="V195" s="269">
        <v>112399340</v>
      </c>
      <c r="W195" s="278">
        <v>95743600</v>
      </c>
      <c r="X195" s="270"/>
      <c r="Y195" s="262" t="s">
        <v>27</v>
      </c>
      <c r="Z195" s="271" t="s">
        <v>27</v>
      </c>
      <c r="AA195" s="287"/>
      <c r="AB195" s="287"/>
      <c r="AC195" s="272">
        <f t="shared" si="7"/>
        <v>111017300</v>
      </c>
      <c r="AD195" s="272">
        <v>111017300</v>
      </c>
      <c r="AE195" s="272">
        <f t="shared" si="8"/>
        <v>0</v>
      </c>
      <c r="AF195" s="273">
        <v>7000000</v>
      </c>
      <c r="AG195" s="274">
        <v>2610000</v>
      </c>
      <c r="AH195" s="273"/>
      <c r="AI195" s="273">
        <v>7000000</v>
      </c>
      <c r="AJ195" s="274">
        <v>4044000</v>
      </c>
      <c r="AK195" s="273"/>
      <c r="AL195" s="275">
        <v>12000000</v>
      </c>
      <c r="AM195" s="290">
        <v>5363300</v>
      </c>
      <c r="AN195" s="275"/>
      <c r="AO195" s="276">
        <v>7000000</v>
      </c>
      <c r="AP195" s="275"/>
      <c r="AQ195" s="275">
        <v>12000000</v>
      </c>
      <c r="AR195" s="275"/>
      <c r="AS195" s="275">
        <v>15000000</v>
      </c>
      <c r="AT195" s="275"/>
      <c r="AU195" s="275">
        <v>9000000</v>
      </c>
      <c r="AV195" s="275"/>
      <c r="AW195" s="275">
        <v>9000000</v>
      </c>
      <c r="AX195" s="275"/>
      <c r="AY195" s="275">
        <v>12000000</v>
      </c>
      <c r="AZ195" s="275"/>
      <c r="BA195" s="275">
        <v>12000000</v>
      </c>
      <c r="BB195" s="275"/>
      <c r="BC195" s="275">
        <v>15000000</v>
      </c>
      <c r="BD195" s="275"/>
      <c r="BE195" s="275">
        <v>8000000</v>
      </c>
      <c r="BF195" s="275"/>
      <c r="BH195" s="277"/>
    </row>
    <row r="196" spans="1:60" ht="16.5" hidden="1" customHeight="1" x14ac:dyDescent="0.3">
      <c r="A196" s="260">
        <v>174</v>
      </c>
      <c r="B196" s="261"/>
      <c r="C196" s="261"/>
      <c r="D196" s="262" t="s">
        <v>15</v>
      </c>
      <c r="E196" s="262" t="s">
        <v>0</v>
      </c>
      <c r="F196" s="263" t="s">
        <v>15</v>
      </c>
      <c r="G196" s="264" t="s">
        <v>0</v>
      </c>
      <c r="H196" s="281"/>
      <c r="I196" s="265"/>
      <c r="J196" s="266" t="s">
        <v>40</v>
      </c>
      <c r="K196" s="262"/>
      <c r="L196" s="262"/>
      <c r="M196" s="262">
        <v>16207</v>
      </c>
      <c r="N196" s="262" t="s">
        <v>22</v>
      </c>
      <c r="O196" s="262" t="s">
        <v>56</v>
      </c>
      <c r="P196" s="262"/>
      <c r="Q196" s="262" t="s">
        <v>30</v>
      </c>
      <c r="R196" s="262" t="s">
        <v>31</v>
      </c>
      <c r="S196" s="267" t="s">
        <v>31</v>
      </c>
      <c r="T196" s="268"/>
      <c r="U196" s="269"/>
      <c r="V196" s="269">
        <v>11801000</v>
      </c>
      <c r="W196" s="278">
        <v>16428000</v>
      </c>
      <c r="X196" s="270"/>
      <c r="Y196" s="262" t="s">
        <v>27</v>
      </c>
      <c r="Z196" s="271" t="s">
        <v>24</v>
      </c>
      <c r="AA196" s="287"/>
      <c r="AB196" s="287"/>
      <c r="AC196" s="272">
        <f t="shared" si="7"/>
        <v>35000000</v>
      </c>
      <c r="AD196" s="272">
        <v>35000000</v>
      </c>
      <c r="AE196" s="272">
        <f t="shared" si="8"/>
        <v>0</v>
      </c>
      <c r="AF196" s="273"/>
      <c r="AG196" s="274"/>
      <c r="AH196" s="273"/>
      <c r="AI196" s="273"/>
      <c r="AJ196" s="274"/>
      <c r="AK196" s="273"/>
      <c r="AL196" s="275"/>
      <c r="AM196" s="290"/>
      <c r="AN196" s="275"/>
      <c r="AO196" s="276"/>
      <c r="AP196" s="275"/>
      <c r="AQ196" s="275">
        <v>7000000</v>
      </c>
      <c r="AR196" s="275"/>
      <c r="AS196" s="275"/>
      <c r="AT196" s="275"/>
      <c r="AU196" s="275"/>
      <c r="AV196" s="275"/>
      <c r="AW196" s="275">
        <v>7000000</v>
      </c>
      <c r="AX196" s="275"/>
      <c r="AY196" s="275"/>
      <c r="AZ196" s="275"/>
      <c r="BA196" s="275">
        <v>7000000</v>
      </c>
      <c r="BB196" s="275"/>
      <c r="BC196" s="275">
        <v>7000000</v>
      </c>
      <c r="BD196" s="275"/>
      <c r="BE196" s="275">
        <v>7000000</v>
      </c>
      <c r="BF196" s="275"/>
      <c r="BH196" s="277"/>
    </row>
    <row r="197" spans="1:60" ht="16.5" hidden="1" customHeight="1" x14ac:dyDescent="0.3">
      <c r="A197" s="260">
        <v>175</v>
      </c>
      <c r="B197" s="261"/>
      <c r="C197" s="261"/>
      <c r="D197" s="262" t="s">
        <v>15</v>
      </c>
      <c r="E197" s="262" t="s">
        <v>0</v>
      </c>
      <c r="F197" s="263" t="s">
        <v>15</v>
      </c>
      <c r="G197" s="264" t="s">
        <v>0</v>
      </c>
      <c r="H197" s="281"/>
      <c r="I197" s="265"/>
      <c r="J197" s="266" t="s">
        <v>40</v>
      </c>
      <c r="K197" s="262"/>
      <c r="L197" s="262"/>
      <c r="M197" s="262">
        <v>16207</v>
      </c>
      <c r="N197" s="262" t="s">
        <v>22</v>
      </c>
      <c r="O197" s="262" t="s">
        <v>35</v>
      </c>
      <c r="P197" s="262" t="s">
        <v>124</v>
      </c>
      <c r="Q197" s="262"/>
      <c r="R197" s="262"/>
      <c r="S197" s="267" t="s">
        <v>822</v>
      </c>
      <c r="T197" s="268"/>
      <c r="U197" s="269"/>
      <c r="V197" s="269"/>
      <c r="W197" s="278">
        <v>0</v>
      </c>
      <c r="X197" s="270"/>
      <c r="Y197" s="262"/>
      <c r="Z197" s="271" t="s">
        <v>25</v>
      </c>
      <c r="AA197" s="287"/>
      <c r="AB197" s="287"/>
      <c r="AC197" s="272">
        <f t="shared" si="7"/>
        <v>10000000</v>
      </c>
      <c r="AD197" s="272">
        <v>10000000</v>
      </c>
      <c r="AE197" s="272">
        <f t="shared" si="8"/>
        <v>0</v>
      </c>
      <c r="AF197" s="273"/>
      <c r="AG197" s="274"/>
      <c r="AH197" s="273"/>
      <c r="AI197" s="273"/>
      <c r="AJ197" s="274"/>
      <c r="AK197" s="273"/>
      <c r="AL197" s="275"/>
      <c r="AM197" s="290"/>
      <c r="AN197" s="275"/>
      <c r="AO197" s="276"/>
      <c r="AP197" s="275"/>
      <c r="AQ197" s="275"/>
      <c r="AR197" s="275"/>
      <c r="AS197" s="275"/>
      <c r="AT197" s="275"/>
      <c r="AU197" s="275"/>
      <c r="AV197" s="275"/>
      <c r="AW197" s="275"/>
      <c r="AX197" s="275"/>
      <c r="AY197" s="275"/>
      <c r="AZ197" s="275"/>
      <c r="BA197" s="275"/>
      <c r="BB197" s="275"/>
      <c r="BC197" s="275">
        <v>10000000</v>
      </c>
      <c r="BD197" s="275"/>
      <c r="BE197" s="275"/>
      <c r="BF197" s="275"/>
      <c r="BH197" s="277"/>
    </row>
    <row r="198" spans="1:60" ht="16.5" hidden="1" customHeight="1" x14ac:dyDescent="0.3">
      <c r="A198" s="260">
        <v>176</v>
      </c>
      <c r="B198" s="261"/>
      <c r="C198" s="261"/>
      <c r="D198" s="262" t="s">
        <v>15</v>
      </c>
      <c r="E198" s="262" t="s">
        <v>0</v>
      </c>
      <c r="F198" s="263" t="s">
        <v>15</v>
      </c>
      <c r="G198" s="264" t="s">
        <v>0</v>
      </c>
      <c r="H198" s="281"/>
      <c r="I198" s="265"/>
      <c r="J198" s="266" t="s">
        <v>40</v>
      </c>
      <c r="K198" s="262"/>
      <c r="L198" s="262"/>
      <c r="M198" s="262">
        <v>16207</v>
      </c>
      <c r="N198" s="262" t="s">
        <v>22</v>
      </c>
      <c r="O198" s="262" t="s">
        <v>35</v>
      </c>
      <c r="P198" s="262" t="s">
        <v>124</v>
      </c>
      <c r="Q198" s="262"/>
      <c r="R198" s="262"/>
      <c r="S198" s="267" t="s">
        <v>828</v>
      </c>
      <c r="T198" s="268"/>
      <c r="U198" s="269"/>
      <c r="V198" s="269"/>
      <c r="W198" s="278">
        <v>0</v>
      </c>
      <c r="X198" s="270"/>
      <c r="Y198" s="262"/>
      <c r="Z198" s="271" t="s">
        <v>25</v>
      </c>
      <c r="AA198" s="287"/>
      <c r="AB198" s="287"/>
      <c r="AC198" s="272">
        <f t="shared" si="7"/>
        <v>10000000</v>
      </c>
      <c r="AD198" s="272">
        <v>10000000</v>
      </c>
      <c r="AE198" s="272">
        <f t="shared" si="8"/>
        <v>0</v>
      </c>
      <c r="AF198" s="273"/>
      <c r="AG198" s="274"/>
      <c r="AH198" s="273"/>
      <c r="AI198" s="273"/>
      <c r="AJ198" s="274"/>
      <c r="AK198" s="273"/>
      <c r="AL198" s="275"/>
      <c r="AM198" s="290"/>
      <c r="AN198" s="275"/>
      <c r="AO198" s="276"/>
      <c r="AP198" s="275"/>
      <c r="AQ198" s="275"/>
      <c r="AR198" s="275"/>
      <c r="AS198" s="275"/>
      <c r="AT198" s="275"/>
      <c r="AU198" s="275"/>
      <c r="AV198" s="275"/>
      <c r="AW198" s="275"/>
      <c r="AX198" s="275"/>
      <c r="AY198" s="275"/>
      <c r="AZ198" s="275"/>
      <c r="BA198" s="275"/>
      <c r="BB198" s="275"/>
      <c r="BC198" s="275">
        <v>10000000</v>
      </c>
      <c r="BD198" s="275"/>
      <c r="BE198" s="275"/>
      <c r="BF198" s="275"/>
      <c r="BH198" s="277"/>
    </row>
    <row r="199" spans="1:60" ht="16.5" hidden="1" customHeight="1" x14ac:dyDescent="0.3">
      <c r="A199" s="260">
        <v>177</v>
      </c>
      <c r="B199" s="261"/>
      <c r="C199" s="261"/>
      <c r="D199" s="262" t="s">
        <v>15</v>
      </c>
      <c r="E199" s="262" t="s">
        <v>0</v>
      </c>
      <c r="F199" s="263" t="s">
        <v>15</v>
      </c>
      <c r="G199" s="264" t="s">
        <v>0</v>
      </c>
      <c r="H199" s="281"/>
      <c r="I199" s="265"/>
      <c r="J199" s="266" t="s">
        <v>40</v>
      </c>
      <c r="K199" s="262"/>
      <c r="L199" s="262"/>
      <c r="M199" s="262">
        <v>16207</v>
      </c>
      <c r="N199" s="262" t="s">
        <v>22</v>
      </c>
      <c r="O199" s="262" t="s">
        <v>56</v>
      </c>
      <c r="P199" s="262"/>
      <c r="Q199" s="262" t="s">
        <v>23</v>
      </c>
      <c r="R199" s="262" t="s">
        <v>397</v>
      </c>
      <c r="S199" s="267" t="s">
        <v>823</v>
      </c>
      <c r="T199" s="268"/>
      <c r="U199" s="269"/>
      <c r="V199" s="269">
        <v>0</v>
      </c>
      <c r="W199" s="278">
        <v>0</v>
      </c>
      <c r="X199" s="270"/>
      <c r="Y199" s="262" t="s">
        <v>25</v>
      </c>
      <c r="Z199" s="271" t="s">
        <v>24</v>
      </c>
      <c r="AA199" s="287"/>
      <c r="AB199" s="287"/>
      <c r="AC199" s="272">
        <f t="shared" si="7"/>
        <v>20000000</v>
      </c>
      <c r="AD199" s="272">
        <v>20000000</v>
      </c>
      <c r="AE199" s="272">
        <f t="shared" si="8"/>
        <v>0</v>
      </c>
      <c r="AF199" s="273"/>
      <c r="AG199" s="274"/>
      <c r="AH199" s="273"/>
      <c r="AI199" s="273"/>
      <c r="AJ199" s="274"/>
      <c r="AK199" s="273"/>
      <c r="AL199" s="275"/>
      <c r="AM199" s="290"/>
      <c r="AN199" s="275"/>
      <c r="AO199" s="276"/>
      <c r="AP199" s="275"/>
      <c r="AQ199" s="275"/>
      <c r="AR199" s="275"/>
      <c r="AS199" s="275"/>
      <c r="AT199" s="275"/>
      <c r="AU199" s="275"/>
      <c r="AV199" s="275"/>
      <c r="AW199" s="275"/>
      <c r="AX199" s="275"/>
      <c r="AY199" s="275">
        <v>20000000</v>
      </c>
      <c r="AZ199" s="275"/>
      <c r="BA199" s="275"/>
      <c r="BB199" s="275"/>
      <c r="BC199" s="275"/>
      <c r="BD199" s="275"/>
      <c r="BE199" s="275"/>
      <c r="BF199" s="275"/>
      <c r="BH199" s="277"/>
    </row>
    <row r="200" spans="1:60" ht="16.5" hidden="1" customHeight="1" x14ac:dyDescent="0.3">
      <c r="A200" s="260">
        <v>178</v>
      </c>
      <c r="B200" s="261"/>
      <c r="C200" s="261"/>
      <c r="D200" s="262" t="s">
        <v>15</v>
      </c>
      <c r="E200" s="262" t="s">
        <v>0</v>
      </c>
      <c r="F200" s="263" t="s">
        <v>15</v>
      </c>
      <c r="G200" s="264" t="s">
        <v>0</v>
      </c>
      <c r="H200" s="281"/>
      <c r="I200" s="265"/>
      <c r="J200" s="266" t="s">
        <v>40</v>
      </c>
      <c r="K200" s="262"/>
      <c r="L200" s="262"/>
      <c r="M200" s="262">
        <v>16207</v>
      </c>
      <c r="N200" s="262" t="s">
        <v>22</v>
      </c>
      <c r="O200" s="262" t="s">
        <v>35</v>
      </c>
      <c r="P200" s="262" t="s">
        <v>124</v>
      </c>
      <c r="Q200" s="262"/>
      <c r="R200" s="262"/>
      <c r="S200" s="267" t="s">
        <v>830</v>
      </c>
      <c r="T200" s="268"/>
      <c r="U200" s="269"/>
      <c r="V200" s="269"/>
      <c r="W200" s="278">
        <v>0</v>
      </c>
      <c r="X200" s="270"/>
      <c r="Y200" s="262"/>
      <c r="Z200" s="271" t="s">
        <v>25</v>
      </c>
      <c r="AA200" s="287"/>
      <c r="AB200" s="287"/>
      <c r="AC200" s="272">
        <f t="shared" si="7"/>
        <v>10000000</v>
      </c>
      <c r="AD200" s="272">
        <v>10000000</v>
      </c>
      <c r="AE200" s="272">
        <f t="shared" si="8"/>
        <v>0</v>
      </c>
      <c r="AF200" s="273"/>
      <c r="AG200" s="274"/>
      <c r="AH200" s="273"/>
      <c r="AI200" s="273"/>
      <c r="AJ200" s="274"/>
      <c r="AK200" s="273"/>
      <c r="AL200" s="275"/>
      <c r="AM200" s="290"/>
      <c r="AN200" s="275"/>
      <c r="AO200" s="276"/>
      <c r="AP200" s="275"/>
      <c r="AQ200" s="275"/>
      <c r="AR200" s="275"/>
      <c r="AS200" s="275"/>
      <c r="AT200" s="275"/>
      <c r="AU200" s="275"/>
      <c r="AV200" s="275"/>
      <c r="AW200" s="275"/>
      <c r="AX200" s="275"/>
      <c r="AY200" s="275">
        <v>10000000</v>
      </c>
      <c r="AZ200" s="275"/>
      <c r="BA200" s="275"/>
      <c r="BB200" s="275"/>
      <c r="BC200" s="275"/>
      <c r="BD200" s="275"/>
      <c r="BE200" s="275"/>
      <c r="BF200" s="275"/>
      <c r="BH200" s="277"/>
    </row>
    <row r="201" spans="1:60" ht="16.5" hidden="1" customHeight="1" x14ac:dyDescent="0.3">
      <c r="A201" s="260">
        <v>179</v>
      </c>
      <c r="B201" s="261"/>
      <c r="C201" s="261"/>
      <c r="D201" s="262" t="s">
        <v>15</v>
      </c>
      <c r="E201" s="262" t="s">
        <v>0</v>
      </c>
      <c r="F201" s="263" t="s">
        <v>15</v>
      </c>
      <c r="G201" s="264" t="s">
        <v>0</v>
      </c>
      <c r="H201" s="281"/>
      <c r="I201" s="265"/>
      <c r="J201" s="266" t="s">
        <v>41</v>
      </c>
      <c r="K201" s="262"/>
      <c r="L201" s="262"/>
      <c r="M201" s="262">
        <v>44105</v>
      </c>
      <c r="N201" s="262" t="s">
        <v>42</v>
      </c>
      <c r="O201" s="262" t="s">
        <v>212</v>
      </c>
      <c r="P201" s="262" t="s">
        <v>124</v>
      </c>
      <c r="Q201" s="262" t="s">
        <v>63</v>
      </c>
      <c r="R201" s="262" t="s">
        <v>28</v>
      </c>
      <c r="S201" s="267" t="s">
        <v>28</v>
      </c>
      <c r="T201" s="268" t="s">
        <v>951</v>
      </c>
      <c r="U201" s="269">
        <v>63722690</v>
      </c>
      <c r="V201" s="269">
        <v>117411914</v>
      </c>
      <c r="W201" s="278">
        <v>78526300</v>
      </c>
      <c r="X201" s="270"/>
      <c r="Y201" s="262" t="s">
        <v>27</v>
      </c>
      <c r="Z201" s="271" t="s">
        <v>27</v>
      </c>
      <c r="AA201" s="287"/>
      <c r="AB201" s="287"/>
      <c r="AC201" s="272">
        <f t="shared" si="7"/>
        <v>104222300</v>
      </c>
      <c r="AD201" s="272">
        <v>104222300</v>
      </c>
      <c r="AE201" s="272">
        <f t="shared" si="8"/>
        <v>0</v>
      </c>
      <c r="AF201" s="273"/>
      <c r="AG201" s="274">
        <v>10944300</v>
      </c>
      <c r="AH201" s="273"/>
      <c r="AI201" s="273">
        <v>5000000</v>
      </c>
      <c r="AJ201" s="274">
        <v>4322300</v>
      </c>
      <c r="AK201" s="273"/>
      <c r="AL201" s="275">
        <v>5000000</v>
      </c>
      <c r="AM201" s="290">
        <v>3955700</v>
      </c>
      <c r="AN201" s="275"/>
      <c r="AO201" s="276">
        <v>5000000</v>
      </c>
      <c r="AP201" s="275"/>
      <c r="AQ201" s="275">
        <v>5000000</v>
      </c>
      <c r="AR201" s="275"/>
      <c r="AS201" s="275">
        <v>15000000</v>
      </c>
      <c r="AT201" s="275" t="s">
        <v>853</v>
      </c>
      <c r="AU201" s="275">
        <v>7000000</v>
      </c>
      <c r="AV201" s="275"/>
      <c r="AW201" s="275">
        <v>9000000</v>
      </c>
      <c r="AX201" s="275"/>
      <c r="AY201" s="275">
        <v>10000000</v>
      </c>
      <c r="AZ201" s="275"/>
      <c r="BA201" s="275">
        <v>10000000</v>
      </c>
      <c r="BB201" s="275"/>
      <c r="BC201" s="275">
        <v>10000000</v>
      </c>
      <c r="BD201" s="275"/>
      <c r="BE201" s="275">
        <v>14000000</v>
      </c>
      <c r="BF201" s="275"/>
      <c r="BH201" s="277"/>
    </row>
    <row r="202" spans="1:60" ht="16.5" hidden="1" customHeight="1" x14ac:dyDescent="0.3">
      <c r="A202" s="260">
        <v>180</v>
      </c>
      <c r="B202" s="261"/>
      <c r="C202" s="261"/>
      <c r="D202" s="262" t="s">
        <v>15</v>
      </c>
      <c r="E202" s="262" t="s">
        <v>0</v>
      </c>
      <c r="F202" s="263" t="s">
        <v>15</v>
      </c>
      <c r="G202" s="264" t="s">
        <v>0</v>
      </c>
      <c r="H202" s="281"/>
      <c r="I202" s="265"/>
      <c r="J202" s="266" t="s">
        <v>41</v>
      </c>
      <c r="K202" s="262"/>
      <c r="L202" s="262"/>
      <c r="M202" s="262">
        <v>44105</v>
      </c>
      <c r="N202" s="262" t="s">
        <v>42</v>
      </c>
      <c r="O202" s="262" t="s">
        <v>56</v>
      </c>
      <c r="P202" s="262"/>
      <c r="Q202" s="262"/>
      <c r="R202" s="262" t="s">
        <v>468</v>
      </c>
      <c r="S202" s="267" t="s">
        <v>468</v>
      </c>
      <c r="T202" s="268"/>
      <c r="U202" s="269"/>
      <c r="V202" s="269">
        <v>0</v>
      </c>
      <c r="W202" s="278">
        <v>31677760</v>
      </c>
      <c r="X202" s="270"/>
      <c r="Y202" s="262" t="s">
        <v>24</v>
      </c>
      <c r="Z202" s="271" t="s">
        <v>24</v>
      </c>
      <c r="AA202" s="287"/>
      <c r="AB202" s="287"/>
      <c r="AC202" s="272">
        <f t="shared" si="7"/>
        <v>32000000</v>
      </c>
      <c r="AD202" s="272">
        <v>32000000</v>
      </c>
      <c r="AE202" s="272">
        <f t="shared" si="8"/>
        <v>0</v>
      </c>
      <c r="AF202" s="273"/>
      <c r="AG202" s="274"/>
      <c r="AH202" s="273"/>
      <c r="AI202" s="273"/>
      <c r="AJ202" s="274"/>
      <c r="AK202" s="273"/>
      <c r="AL202" s="275"/>
      <c r="AM202" s="290"/>
      <c r="AN202" s="275"/>
      <c r="AO202" s="276">
        <v>12000000</v>
      </c>
      <c r="AP202" s="275"/>
      <c r="AQ202" s="275">
        <v>5000000</v>
      </c>
      <c r="AR202" s="275"/>
      <c r="AS202" s="275"/>
      <c r="AT202" s="275"/>
      <c r="AU202" s="275"/>
      <c r="AV202" s="275"/>
      <c r="AW202" s="275">
        <v>5000000</v>
      </c>
      <c r="AX202" s="275"/>
      <c r="AY202" s="275"/>
      <c r="AZ202" s="275"/>
      <c r="BA202" s="275"/>
      <c r="BB202" s="275"/>
      <c r="BC202" s="275">
        <v>10000000</v>
      </c>
      <c r="BD202" s="275"/>
      <c r="BE202" s="275"/>
      <c r="BF202" s="275"/>
      <c r="BH202" s="277"/>
    </row>
    <row r="203" spans="1:60" ht="16.5" hidden="1" customHeight="1" x14ac:dyDescent="0.3">
      <c r="A203" s="260">
        <v>181</v>
      </c>
      <c r="B203" s="261"/>
      <c r="C203" s="261"/>
      <c r="D203" s="262" t="s">
        <v>15</v>
      </c>
      <c r="E203" s="262" t="s">
        <v>0</v>
      </c>
      <c r="F203" s="263" t="s">
        <v>15</v>
      </c>
      <c r="G203" s="264" t="s">
        <v>0</v>
      </c>
      <c r="H203" s="281"/>
      <c r="I203" s="265"/>
      <c r="J203" s="266" t="s">
        <v>41</v>
      </c>
      <c r="K203" s="262"/>
      <c r="L203" s="262"/>
      <c r="M203" s="262">
        <v>44105</v>
      </c>
      <c r="N203" s="262" t="s">
        <v>42</v>
      </c>
      <c r="O203" s="262" t="s">
        <v>56</v>
      </c>
      <c r="P203" s="262" t="s">
        <v>124</v>
      </c>
      <c r="Q203" s="262" t="s">
        <v>26</v>
      </c>
      <c r="R203" s="262" t="s">
        <v>468</v>
      </c>
      <c r="S203" s="267" t="s">
        <v>468</v>
      </c>
      <c r="T203" s="268"/>
      <c r="U203" s="269">
        <v>25820000</v>
      </c>
      <c r="V203" s="269">
        <v>64195455</v>
      </c>
      <c r="W203" s="278">
        <v>0</v>
      </c>
      <c r="X203" s="270"/>
      <c r="Y203" s="262" t="s">
        <v>27</v>
      </c>
      <c r="Z203" s="271" t="s">
        <v>562</v>
      </c>
      <c r="AA203" s="287"/>
      <c r="AB203" s="287"/>
      <c r="AC203" s="272">
        <f t="shared" si="7"/>
        <v>0</v>
      </c>
      <c r="AD203" s="272">
        <v>0</v>
      </c>
      <c r="AE203" s="272">
        <f t="shared" si="8"/>
        <v>0</v>
      </c>
      <c r="AF203" s="273"/>
      <c r="AG203" s="274"/>
      <c r="AH203" s="273"/>
      <c r="AI203" s="273"/>
      <c r="AJ203" s="274"/>
      <c r="AK203" s="273"/>
      <c r="AL203" s="275"/>
      <c r="AM203" s="290"/>
      <c r="AN203" s="275"/>
      <c r="AO203" s="276"/>
      <c r="AP203" s="275"/>
      <c r="AQ203" s="275"/>
      <c r="AR203" s="275"/>
      <c r="AS203" s="275"/>
      <c r="AT203" s="275"/>
      <c r="AU203" s="275"/>
      <c r="AV203" s="275"/>
      <c r="AW203" s="275"/>
      <c r="AX203" s="275"/>
      <c r="AY203" s="275"/>
      <c r="AZ203" s="275"/>
      <c r="BA203" s="275"/>
      <c r="BB203" s="275"/>
      <c r="BC203" s="275"/>
      <c r="BD203" s="275"/>
      <c r="BE203" s="275"/>
      <c r="BF203" s="275"/>
      <c r="BH203" s="277"/>
    </row>
    <row r="204" spans="1:60" ht="16.5" hidden="1" customHeight="1" x14ac:dyDescent="0.3">
      <c r="A204" s="260">
        <v>182</v>
      </c>
      <c r="B204" s="261"/>
      <c r="C204" s="261"/>
      <c r="D204" s="262" t="s">
        <v>15</v>
      </c>
      <c r="E204" s="262" t="s">
        <v>0</v>
      </c>
      <c r="F204" s="263" t="s">
        <v>15</v>
      </c>
      <c r="G204" s="264" t="s">
        <v>0</v>
      </c>
      <c r="H204" s="281"/>
      <c r="I204" s="265"/>
      <c r="J204" s="266" t="s">
        <v>217</v>
      </c>
      <c r="K204" s="262"/>
      <c r="L204" s="262"/>
      <c r="M204" s="262">
        <v>15633</v>
      </c>
      <c r="N204" s="262" t="s">
        <v>32</v>
      </c>
      <c r="O204" s="262" t="s">
        <v>56</v>
      </c>
      <c r="P204" s="262"/>
      <c r="Q204" s="262" t="s">
        <v>30</v>
      </c>
      <c r="R204" s="262" t="s">
        <v>31</v>
      </c>
      <c r="S204" s="267" t="s">
        <v>31</v>
      </c>
      <c r="T204" s="268"/>
      <c r="U204" s="269">
        <v>408000</v>
      </c>
      <c r="V204" s="269">
        <v>2072000</v>
      </c>
      <c r="W204" s="278">
        <v>2092000</v>
      </c>
      <c r="X204" s="270"/>
      <c r="Y204" s="262" t="s">
        <v>24</v>
      </c>
      <c r="Z204" s="271" t="s">
        <v>24</v>
      </c>
      <c r="AA204" s="287"/>
      <c r="AB204" s="287"/>
      <c r="AC204" s="272">
        <f t="shared" si="7"/>
        <v>1000000</v>
      </c>
      <c r="AD204" s="272">
        <v>1000000</v>
      </c>
      <c r="AE204" s="272">
        <f t="shared" si="8"/>
        <v>0</v>
      </c>
      <c r="AF204" s="273"/>
      <c r="AG204" s="274"/>
      <c r="AH204" s="273"/>
      <c r="AI204" s="273"/>
      <c r="AJ204" s="274"/>
      <c r="AK204" s="273"/>
      <c r="AL204" s="275"/>
      <c r="AM204" s="290"/>
      <c r="AN204" s="275"/>
      <c r="AO204" s="276"/>
      <c r="AP204" s="275"/>
      <c r="AQ204" s="275"/>
      <c r="AR204" s="275"/>
      <c r="AS204" s="275">
        <v>1000000</v>
      </c>
      <c r="AT204" s="275"/>
      <c r="AU204" s="275"/>
      <c r="AV204" s="275"/>
      <c r="AW204" s="275"/>
      <c r="AX204" s="275"/>
      <c r="AY204" s="275"/>
      <c r="AZ204" s="275"/>
      <c r="BA204" s="275"/>
      <c r="BB204" s="275"/>
      <c r="BC204" s="275"/>
      <c r="BD204" s="275"/>
      <c r="BE204" s="275"/>
      <c r="BF204" s="275"/>
      <c r="BH204" s="277"/>
    </row>
    <row r="205" spans="1:60" ht="16.5" hidden="1" customHeight="1" x14ac:dyDescent="0.3">
      <c r="A205" s="260">
        <v>183</v>
      </c>
      <c r="B205" s="261"/>
      <c r="C205" s="261"/>
      <c r="D205" s="262" t="s">
        <v>15</v>
      </c>
      <c r="E205" s="262" t="s">
        <v>0</v>
      </c>
      <c r="F205" s="263" t="s">
        <v>15</v>
      </c>
      <c r="G205" s="264" t="s">
        <v>0</v>
      </c>
      <c r="H205" s="281"/>
      <c r="I205" s="265"/>
      <c r="J205" s="266" t="s">
        <v>618</v>
      </c>
      <c r="K205" s="262"/>
      <c r="L205" s="262"/>
      <c r="M205" s="262">
        <v>61724</v>
      </c>
      <c r="N205" s="262" t="s">
        <v>22</v>
      </c>
      <c r="O205" s="262" t="s">
        <v>35</v>
      </c>
      <c r="P205" s="262" t="s">
        <v>57</v>
      </c>
      <c r="Q205" s="262"/>
      <c r="R205" s="262" t="s">
        <v>19</v>
      </c>
      <c r="S205" s="267" t="s">
        <v>19</v>
      </c>
      <c r="T205" s="268"/>
      <c r="U205" s="269"/>
      <c r="V205" s="269">
        <v>0</v>
      </c>
      <c r="W205" s="278">
        <v>6267850</v>
      </c>
      <c r="X205" s="270"/>
      <c r="Y205" s="262" t="s">
        <v>27</v>
      </c>
      <c r="Z205" s="271" t="s">
        <v>27</v>
      </c>
      <c r="AA205" s="287"/>
      <c r="AB205" s="287"/>
      <c r="AC205" s="272">
        <f t="shared" si="7"/>
        <v>9578000</v>
      </c>
      <c r="AD205" s="272">
        <v>9578000</v>
      </c>
      <c r="AE205" s="272">
        <f t="shared" si="8"/>
        <v>0</v>
      </c>
      <c r="AF205" s="273"/>
      <c r="AG205" s="274">
        <v>325000</v>
      </c>
      <c r="AH205" s="273"/>
      <c r="AI205" s="273"/>
      <c r="AJ205" s="274">
        <v>471000</v>
      </c>
      <c r="AK205" s="273"/>
      <c r="AL205" s="275">
        <v>675000</v>
      </c>
      <c r="AM205" s="290">
        <v>253000</v>
      </c>
      <c r="AN205" s="275"/>
      <c r="AO205" s="276">
        <v>529000</v>
      </c>
      <c r="AP205" s="275"/>
      <c r="AQ205" s="275">
        <v>1000000</v>
      </c>
      <c r="AR205" s="275"/>
      <c r="AS205" s="275">
        <v>1000000</v>
      </c>
      <c r="AT205" s="275"/>
      <c r="AU205" s="275">
        <v>1000000</v>
      </c>
      <c r="AV205" s="275"/>
      <c r="AW205" s="275">
        <v>1000000</v>
      </c>
      <c r="AX205" s="275"/>
      <c r="AY205" s="275">
        <v>1000000</v>
      </c>
      <c r="AZ205" s="275"/>
      <c r="BA205" s="275">
        <v>1000000</v>
      </c>
      <c r="BB205" s="275"/>
      <c r="BC205" s="275">
        <v>1000000</v>
      </c>
      <c r="BD205" s="275"/>
      <c r="BE205" s="275">
        <v>1000000</v>
      </c>
      <c r="BF205" s="275"/>
      <c r="BH205" s="277"/>
    </row>
    <row r="206" spans="1:60" ht="16.5" hidden="1" customHeight="1" x14ac:dyDescent="0.3">
      <c r="A206" s="260">
        <v>184</v>
      </c>
      <c r="B206" s="261"/>
      <c r="C206" s="261"/>
      <c r="D206" s="262" t="s">
        <v>15</v>
      </c>
      <c r="E206" s="262" t="s">
        <v>0</v>
      </c>
      <c r="F206" s="263" t="s">
        <v>15</v>
      </c>
      <c r="G206" s="264" t="s">
        <v>0</v>
      </c>
      <c r="H206" s="281"/>
      <c r="I206" s="265"/>
      <c r="J206" s="266" t="s">
        <v>618</v>
      </c>
      <c r="K206" s="262"/>
      <c r="L206" s="262"/>
      <c r="M206" s="262">
        <v>61724</v>
      </c>
      <c r="N206" s="262" t="s">
        <v>22</v>
      </c>
      <c r="O206" s="262" t="s">
        <v>178</v>
      </c>
      <c r="P206" s="262"/>
      <c r="Q206" s="262" t="s">
        <v>30</v>
      </c>
      <c r="R206" s="262" t="s">
        <v>31</v>
      </c>
      <c r="S206" s="267" t="s">
        <v>31</v>
      </c>
      <c r="T206" s="268"/>
      <c r="U206" s="269"/>
      <c r="V206" s="269">
        <v>2809400</v>
      </c>
      <c r="W206" s="278">
        <v>0</v>
      </c>
      <c r="X206" s="270"/>
      <c r="Y206" s="262" t="s">
        <v>20</v>
      </c>
      <c r="Z206" s="271" t="s">
        <v>24</v>
      </c>
      <c r="AA206" s="287"/>
      <c r="AB206" s="287"/>
      <c r="AC206" s="272">
        <f t="shared" si="7"/>
        <v>1000000</v>
      </c>
      <c r="AD206" s="272">
        <v>1000000</v>
      </c>
      <c r="AE206" s="272">
        <f t="shared" si="8"/>
        <v>0</v>
      </c>
      <c r="AF206" s="273"/>
      <c r="AG206" s="274"/>
      <c r="AH206" s="273"/>
      <c r="AI206" s="273"/>
      <c r="AJ206" s="274"/>
      <c r="AK206" s="273"/>
      <c r="AL206" s="275"/>
      <c r="AM206" s="290"/>
      <c r="AN206" s="275"/>
      <c r="AO206" s="276"/>
      <c r="AP206" s="275"/>
      <c r="AQ206" s="275"/>
      <c r="AR206" s="275"/>
      <c r="AS206" s="275"/>
      <c r="AT206" s="275"/>
      <c r="AU206" s="275"/>
      <c r="AV206" s="275"/>
      <c r="AW206" s="275"/>
      <c r="AX206" s="275"/>
      <c r="AY206" s="275"/>
      <c r="AZ206" s="275"/>
      <c r="BA206" s="275">
        <v>1000000</v>
      </c>
      <c r="BB206" s="275"/>
      <c r="BC206" s="275"/>
      <c r="BD206" s="275"/>
      <c r="BE206" s="275"/>
      <c r="BF206" s="275"/>
      <c r="BH206" s="277"/>
    </row>
    <row r="207" spans="1:60" ht="16.5" hidden="1" customHeight="1" x14ac:dyDescent="0.3">
      <c r="A207" s="260">
        <v>185</v>
      </c>
      <c r="B207" s="261"/>
      <c r="C207" s="261"/>
      <c r="D207" s="262" t="s">
        <v>15</v>
      </c>
      <c r="E207" s="262" t="s">
        <v>0</v>
      </c>
      <c r="F207" s="263" t="s">
        <v>15</v>
      </c>
      <c r="G207" s="264" t="s">
        <v>0</v>
      </c>
      <c r="H207" s="281"/>
      <c r="I207" s="265"/>
      <c r="J207" s="266" t="s">
        <v>43</v>
      </c>
      <c r="K207" s="262"/>
      <c r="L207" s="262"/>
      <c r="M207" s="262">
        <v>28926</v>
      </c>
      <c r="N207" s="262" t="s">
        <v>22</v>
      </c>
      <c r="O207" s="262" t="s">
        <v>56</v>
      </c>
      <c r="P207" s="262"/>
      <c r="Q207" s="262" t="s">
        <v>30</v>
      </c>
      <c r="R207" s="262" t="s">
        <v>31</v>
      </c>
      <c r="S207" s="267" t="s">
        <v>31</v>
      </c>
      <c r="T207" s="268"/>
      <c r="U207" s="269">
        <v>189000</v>
      </c>
      <c r="V207" s="269">
        <v>0</v>
      </c>
      <c r="W207" s="278">
        <v>0</v>
      </c>
      <c r="X207" s="270"/>
      <c r="Y207" s="262" t="s">
        <v>24</v>
      </c>
      <c r="Z207" s="271" t="s">
        <v>21</v>
      </c>
      <c r="AA207" s="287"/>
      <c r="AB207" s="287"/>
      <c r="AC207" s="272">
        <f t="shared" si="7"/>
        <v>0</v>
      </c>
      <c r="AD207" s="272">
        <v>0</v>
      </c>
      <c r="AE207" s="272">
        <f t="shared" si="8"/>
        <v>0</v>
      </c>
      <c r="AF207" s="273"/>
      <c r="AG207" s="274"/>
      <c r="AH207" s="273"/>
      <c r="AI207" s="273"/>
      <c r="AJ207" s="274"/>
      <c r="AK207" s="273"/>
      <c r="AL207" s="275"/>
      <c r="AM207" s="290"/>
      <c r="AN207" s="275"/>
      <c r="AO207" s="276"/>
      <c r="AP207" s="275"/>
      <c r="AQ207" s="275"/>
      <c r="AR207" s="275"/>
      <c r="AS207" s="275"/>
      <c r="AT207" s="275"/>
      <c r="AU207" s="275"/>
      <c r="AV207" s="275"/>
      <c r="AW207" s="275"/>
      <c r="AX207" s="275"/>
      <c r="AY207" s="275"/>
      <c r="AZ207" s="275"/>
      <c r="BA207" s="275"/>
      <c r="BB207" s="275"/>
      <c r="BC207" s="275"/>
      <c r="BD207" s="275"/>
      <c r="BE207" s="275"/>
      <c r="BF207" s="275"/>
      <c r="BH207" s="277"/>
    </row>
    <row r="208" spans="1:60" ht="16.5" hidden="1" customHeight="1" x14ac:dyDescent="0.3">
      <c r="A208" s="260">
        <v>186</v>
      </c>
      <c r="B208" s="261"/>
      <c r="C208" s="261"/>
      <c r="D208" s="262" t="s">
        <v>15</v>
      </c>
      <c r="E208" s="262" t="s">
        <v>0</v>
      </c>
      <c r="F208" s="263" t="s">
        <v>15</v>
      </c>
      <c r="G208" s="264" t="s">
        <v>0</v>
      </c>
      <c r="H208" s="281"/>
      <c r="I208" s="265"/>
      <c r="J208" s="266" t="s">
        <v>173</v>
      </c>
      <c r="K208" s="262"/>
      <c r="L208" s="262"/>
      <c r="M208" s="262">
        <v>3987</v>
      </c>
      <c r="N208" s="262" t="s">
        <v>32</v>
      </c>
      <c r="O208" s="262" t="s">
        <v>35</v>
      </c>
      <c r="P208" s="262" t="s">
        <v>57</v>
      </c>
      <c r="Q208" s="262"/>
      <c r="R208" s="262" t="s">
        <v>28</v>
      </c>
      <c r="S208" s="267" t="s">
        <v>28</v>
      </c>
      <c r="T208" s="268"/>
      <c r="U208" s="269"/>
      <c r="V208" s="269"/>
      <c r="W208" s="278">
        <v>93636363</v>
      </c>
      <c r="X208" s="270"/>
      <c r="Y208" s="262" t="s">
        <v>27</v>
      </c>
      <c r="Z208" s="271" t="s">
        <v>27</v>
      </c>
      <c r="AA208" s="287"/>
      <c r="AB208" s="287"/>
      <c r="AC208" s="272">
        <f t="shared" si="7"/>
        <v>60000000</v>
      </c>
      <c r="AD208" s="272">
        <v>60000000</v>
      </c>
      <c r="AE208" s="272">
        <f t="shared" si="8"/>
        <v>0</v>
      </c>
      <c r="AF208" s="273"/>
      <c r="AG208" s="274"/>
      <c r="AH208" s="273"/>
      <c r="AI208" s="273"/>
      <c r="AJ208" s="274"/>
      <c r="AK208" s="273"/>
      <c r="AL208" s="275"/>
      <c r="AM208" s="290"/>
      <c r="AN208" s="275"/>
      <c r="AO208" s="276">
        <v>60000000</v>
      </c>
      <c r="AP208" s="275"/>
      <c r="AQ208" s="275"/>
      <c r="AR208" s="275"/>
      <c r="AS208" s="275"/>
      <c r="AT208" s="275"/>
      <c r="AU208" s="275"/>
      <c r="AV208" s="275"/>
      <c r="AW208" s="275"/>
      <c r="AX208" s="275"/>
      <c r="AY208" s="275"/>
      <c r="AZ208" s="275"/>
      <c r="BA208" s="275"/>
      <c r="BB208" s="275"/>
      <c r="BC208" s="275"/>
      <c r="BD208" s="275"/>
      <c r="BE208" s="275"/>
      <c r="BF208" s="275"/>
      <c r="BH208" s="277"/>
    </row>
    <row r="209" spans="1:60" ht="16.5" hidden="1" customHeight="1" x14ac:dyDescent="0.3">
      <c r="A209" s="260">
        <v>187</v>
      </c>
      <c r="B209" s="261"/>
      <c r="C209" s="261"/>
      <c r="D209" s="262" t="s">
        <v>15</v>
      </c>
      <c r="E209" s="262" t="s">
        <v>0</v>
      </c>
      <c r="F209" s="263" t="s">
        <v>15</v>
      </c>
      <c r="G209" s="264" t="s">
        <v>0</v>
      </c>
      <c r="H209" s="281"/>
      <c r="I209" s="265"/>
      <c r="J209" s="266" t="s">
        <v>173</v>
      </c>
      <c r="K209" s="262"/>
      <c r="L209" s="262"/>
      <c r="M209" s="262">
        <v>3987</v>
      </c>
      <c r="N209" s="262" t="s">
        <v>32</v>
      </c>
      <c r="O209" s="262" t="s">
        <v>56</v>
      </c>
      <c r="P209" s="262" t="s">
        <v>124</v>
      </c>
      <c r="Q209" s="262" t="s">
        <v>46</v>
      </c>
      <c r="R209" s="262" t="s">
        <v>47</v>
      </c>
      <c r="S209" s="267" t="s">
        <v>47</v>
      </c>
      <c r="T209" s="268"/>
      <c r="U209" s="269" t="s">
        <v>154</v>
      </c>
      <c r="V209" s="269">
        <v>0</v>
      </c>
      <c r="W209" s="278">
        <v>0</v>
      </c>
      <c r="X209" s="270"/>
      <c r="Y209" s="262" t="s">
        <v>25</v>
      </c>
      <c r="Z209" s="271" t="s">
        <v>599</v>
      </c>
      <c r="AA209" s="287"/>
      <c r="AB209" s="287"/>
      <c r="AC209" s="272">
        <f t="shared" si="7"/>
        <v>0</v>
      </c>
      <c r="AD209" s="272">
        <v>0</v>
      </c>
      <c r="AE209" s="272">
        <f t="shared" si="8"/>
        <v>0</v>
      </c>
      <c r="AF209" s="273"/>
      <c r="AG209" s="274"/>
      <c r="AH209" s="273"/>
      <c r="AI209" s="273"/>
      <c r="AJ209" s="274"/>
      <c r="AK209" s="273"/>
      <c r="AL209" s="275"/>
      <c r="AM209" s="290"/>
      <c r="AN209" s="275"/>
      <c r="AO209" s="276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  <c r="BD209" s="275"/>
      <c r="BE209" s="275"/>
      <c r="BF209" s="275"/>
      <c r="BH209" s="277"/>
    </row>
    <row r="210" spans="1:60" ht="16.5" hidden="1" customHeight="1" x14ac:dyDescent="0.3">
      <c r="A210" s="260">
        <v>188</v>
      </c>
      <c r="B210" s="261"/>
      <c r="C210" s="261"/>
      <c r="D210" s="262" t="s">
        <v>15</v>
      </c>
      <c r="E210" s="262" t="s">
        <v>0</v>
      </c>
      <c r="F210" s="263" t="s">
        <v>15</v>
      </c>
      <c r="G210" s="264" t="s">
        <v>0</v>
      </c>
      <c r="H210" s="281"/>
      <c r="I210" s="265"/>
      <c r="J210" s="266" t="s">
        <v>45</v>
      </c>
      <c r="K210" s="262"/>
      <c r="L210" s="262"/>
      <c r="M210" s="262">
        <v>49835</v>
      </c>
      <c r="N210" s="262" t="s">
        <v>22</v>
      </c>
      <c r="O210" s="262" t="s">
        <v>212</v>
      </c>
      <c r="P210" s="262" t="s">
        <v>57</v>
      </c>
      <c r="Q210" s="262" t="s">
        <v>63</v>
      </c>
      <c r="R210" s="262" t="s">
        <v>28</v>
      </c>
      <c r="S210" s="267" t="s">
        <v>28</v>
      </c>
      <c r="T210" s="268" t="s">
        <v>951</v>
      </c>
      <c r="U210" s="269">
        <v>480096819</v>
      </c>
      <c r="V210" s="269">
        <v>614675776</v>
      </c>
      <c r="W210" s="278">
        <v>665292870</v>
      </c>
      <c r="X210" s="270"/>
      <c r="Y210" s="262" t="s">
        <v>27</v>
      </c>
      <c r="Z210" s="271" t="s">
        <v>27</v>
      </c>
      <c r="AA210" s="287"/>
      <c r="AB210" s="287"/>
      <c r="AC210" s="272">
        <f t="shared" si="7"/>
        <v>711956480</v>
      </c>
      <c r="AD210" s="272">
        <v>711956480</v>
      </c>
      <c r="AE210" s="272">
        <f t="shared" si="8"/>
        <v>0</v>
      </c>
      <c r="AF210" s="273">
        <v>60000000</v>
      </c>
      <c r="AG210" s="274">
        <v>46098430</v>
      </c>
      <c r="AH210" s="273"/>
      <c r="AI210" s="273">
        <v>60000000</v>
      </c>
      <c r="AJ210" s="274">
        <v>47784160</v>
      </c>
      <c r="AK210" s="273"/>
      <c r="AL210" s="275">
        <v>60000000</v>
      </c>
      <c r="AM210" s="290">
        <v>54073890</v>
      </c>
      <c r="AN210" s="275"/>
      <c r="AO210" s="276">
        <v>60000000</v>
      </c>
      <c r="AP210" s="275"/>
      <c r="AQ210" s="275">
        <v>60000000</v>
      </c>
      <c r="AR210" s="275"/>
      <c r="AS210" s="275">
        <v>65000000</v>
      </c>
      <c r="AT210" s="275"/>
      <c r="AU210" s="275">
        <v>65000000</v>
      </c>
      <c r="AV210" s="275"/>
      <c r="AW210" s="275">
        <v>65000000</v>
      </c>
      <c r="AX210" s="275"/>
      <c r="AY210" s="275">
        <v>65000000</v>
      </c>
      <c r="AZ210" s="275"/>
      <c r="BA210" s="275">
        <v>64000000</v>
      </c>
      <c r="BB210" s="275"/>
      <c r="BC210" s="275">
        <v>60000000</v>
      </c>
      <c r="BD210" s="275"/>
      <c r="BE210" s="275">
        <v>60000000</v>
      </c>
      <c r="BF210" s="275"/>
      <c r="BH210" s="277"/>
    </row>
    <row r="211" spans="1:60" ht="16.5" hidden="1" customHeight="1" x14ac:dyDescent="0.3">
      <c r="A211" s="260">
        <v>189</v>
      </c>
      <c r="B211" s="261"/>
      <c r="C211" s="261"/>
      <c r="D211" s="262" t="s">
        <v>15</v>
      </c>
      <c r="E211" s="262" t="s">
        <v>0</v>
      </c>
      <c r="F211" s="263" t="s">
        <v>15</v>
      </c>
      <c r="G211" s="264" t="s">
        <v>0</v>
      </c>
      <c r="H211" s="281"/>
      <c r="I211" s="265"/>
      <c r="J211" s="266" t="s">
        <v>45</v>
      </c>
      <c r="K211" s="262"/>
      <c r="L211" s="262"/>
      <c r="M211" s="262">
        <v>49835</v>
      </c>
      <c r="N211" s="262" t="s">
        <v>22</v>
      </c>
      <c r="O211" s="262" t="s">
        <v>56</v>
      </c>
      <c r="P211" s="262"/>
      <c r="Q211" s="262" t="s">
        <v>63</v>
      </c>
      <c r="R211" s="262" t="s">
        <v>28</v>
      </c>
      <c r="S211" s="267" t="s">
        <v>28</v>
      </c>
      <c r="T211" s="268"/>
      <c r="U211" s="269"/>
      <c r="V211" s="269">
        <v>0</v>
      </c>
      <c r="W211" s="278">
        <v>0</v>
      </c>
      <c r="X211" s="270"/>
      <c r="Y211" s="262" t="s">
        <v>24</v>
      </c>
      <c r="Z211" s="271" t="s">
        <v>562</v>
      </c>
      <c r="AA211" s="287"/>
      <c r="AB211" s="287"/>
      <c r="AC211" s="272">
        <f t="shared" si="7"/>
        <v>0</v>
      </c>
      <c r="AD211" s="272">
        <v>0</v>
      </c>
      <c r="AE211" s="272">
        <f t="shared" si="8"/>
        <v>0</v>
      </c>
      <c r="AF211" s="273"/>
      <c r="AG211" s="274"/>
      <c r="AH211" s="273"/>
      <c r="AI211" s="273"/>
      <c r="AJ211" s="274"/>
      <c r="AK211" s="273"/>
      <c r="AL211" s="275"/>
      <c r="AM211" s="290"/>
      <c r="AN211" s="275"/>
      <c r="AO211" s="276"/>
      <c r="AP211" s="275"/>
      <c r="AQ211" s="275"/>
      <c r="AR211" s="275"/>
      <c r="AS211" s="275"/>
      <c r="AT211" s="275"/>
      <c r="AU211" s="275"/>
      <c r="AV211" s="275"/>
      <c r="AW211" s="275"/>
      <c r="AX211" s="275"/>
      <c r="AY211" s="275"/>
      <c r="AZ211" s="275"/>
      <c r="BA211" s="275"/>
      <c r="BB211" s="275"/>
      <c r="BC211" s="275"/>
      <c r="BD211" s="275"/>
      <c r="BE211" s="275"/>
      <c r="BF211" s="275"/>
      <c r="BH211" s="277"/>
    </row>
    <row r="212" spans="1:60" ht="16.5" hidden="1" customHeight="1" x14ac:dyDescent="0.3">
      <c r="A212" s="260">
        <v>190</v>
      </c>
      <c r="B212" s="261"/>
      <c r="C212" s="261"/>
      <c r="D212" s="262" t="s">
        <v>15</v>
      </c>
      <c r="E212" s="262" t="s">
        <v>0</v>
      </c>
      <c r="F212" s="263" t="s">
        <v>15</v>
      </c>
      <c r="G212" s="264" t="s">
        <v>0</v>
      </c>
      <c r="H212" s="281"/>
      <c r="I212" s="265"/>
      <c r="J212" s="266" t="s">
        <v>45</v>
      </c>
      <c r="K212" s="262"/>
      <c r="L212" s="262"/>
      <c r="M212" s="262">
        <v>49835</v>
      </c>
      <c r="N212" s="262" t="s">
        <v>22</v>
      </c>
      <c r="O212" s="262" t="s">
        <v>212</v>
      </c>
      <c r="P212" s="262" t="s">
        <v>57</v>
      </c>
      <c r="Q212" s="262" t="s">
        <v>46</v>
      </c>
      <c r="R212" s="262" t="s">
        <v>47</v>
      </c>
      <c r="S212" s="267" t="s">
        <v>47</v>
      </c>
      <c r="T212" s="268"/>
      <c r="U212" s="269">
        <v>15000000</v>
      </c>
      <c r="V212" s="269">
        <v>20000000</v>
      </c>
      <c r="W212" s="278">
        <v>21250000</v>
      </c>
      <c r="X212" s="270"/>
      <c r="Y212" s="262" t="s">
        <v>27</v>
      </c>
      <c r="Z212" s="271" t="s">
        <v>27</v>
      </c>
      <c r="AA212" s="287"/>
      <c r="AB212" s="287"/>
      <c r="AC212" s="272">
        <f t="shared" si="7"/>
        <v>20000000</v>
      </c>
      <c r="AD212" s="272">
        <v>20000000</v>
      </c>
      <c r="AE212" s="272">
        <f t="shared" si="8"/>
        <v>0</v>
      </c>
      <c r="AF212" s="273"/>
      <c r="AG212" s="274"/>
      <c r="AH212" s="273"/>
      <c r="AI212" s="273"/>
      <c r="AJ212" s="274"/>
      <c r="AK212" s="273"/>
      <c r="AL212" s="275">
        <v>5000000</v>
      </c>
      <c r="AM212" s="290">
        <v>5000000</v>
      </c>
      <c r="AN212" s="275"/>
      <c r="AO212" s="276"/>
      <c r="AP212" s="275"/>
      <c r="AQ212" s="275"/>
      <c r="AR212" s="275"/>
      <c r="AS212" s="275">
        <v>5000000</v>
      </c>
      <c r="AT212" s="275"/>
      <c r="AU212" s="275"/>
      <c r="AV212" s="275"/>
      <c r="AW212" s="275"/>
      <c r="AX212" s="275"/>
      <c r="AY212" s="275">
        <v>5000000</v>
      </c>
      <c r="AZ212" s="275"/>
      <c r="BA212" s="275"/>
      <c r="BB212" s="275"/>
      <c r="BC212" s="275"/>
      <c r="BD212" s="275"/>
      <c r="BE212" s="275">
        <v>5000000</v>
      </c>
      <c r="BF212" s="275"/>
      <c r="BH212" s="277"/>
    </row>
    <row r="213" spans="1:60" ht="16.5" hidden="1" customHeight="1" x14ac:dyDescent="0.3">
      <c r="A213" s="260">
        <v>191</v>
      </c>
      <c r="B213" s="261"/>
      <c r="C213" s="261"/>
      <c r="D213" s="262" t="s">
        <v>15</v>
      </c>
      <c r="E213" s="262" t="s">
        <v>0</v>
      </c>
      <c r="F213" s="263" t="s">
        <v>15</v>
      </c>
      <c r="G213" s="264" t="s">
        <v>0</v>
      </c>
      <c r="H213" s="281"/>
      <c r="I213" s="265"/>
      <c r="J213" s="266" t="s">
        <v>45</v>
      </c>
      <c r="K213" s="262"/>
      <c r="L213" s="262"/>
      <c r="M213" s="262">
        <v>49835</v>
      </c>
      <c r="N213" s="262" t="s">
        <v>22</v>
      </c>
      <c r="O213" s="262" t="s">
        <v>56</v>
      </c>
      <c r="P213" s="262" t="s">
        <v>57</v>
      </c>
      <c r="Q213" s="262" t="s">
        <v>26</v>
      </c>
      <c r="R213" s="262" t="s">
        <v>478</v>
      </c>
      <c r="S213" s="267" t="s">
        <v>478</v>
      </c>
      <c r="T213" s="268"/>
      <c r="U213" s="269">
        <v>7200000</v>
      </c>
      <c r="V213" s="269">
        <v>0</v>
      </c>
      <c r="W213" s="278">
        <v>17000000</v>
      </c>
      <c r="X213" s="270"/>
      <c r="Y213" s="262" t="s">
        <v>27</v>
      </c>
      <c r="Z213" s="271" t="s">
        <v>27</v>
      </c>
      <c r="AA213" s="287"/>
      <c r="AB213" s="287"/>
      <c r="AC213" s="272">
        <f t="shared" si="7"/>
        <v>29150000</v>
      </c>
      <c r="AD213" s="272">
        <v>29150000</v>
      </c>
      <c r="AE213" s="272">
        <f t="shared" si="8"/>
        <v>0</v>
      </c>
      <c r="AF213" s="273"/>
      <c r="AG213" s="274"/>
      <c r="AH213" s="273"/>
      <c r="AI213" s="273">
        <v>2600000</v>
      </c>
      <c r="AJ213" s="274">
        <v>3000000</v>
      </c>
      <c r="AK213" s="273"/>
      <c r="AL213" s="275">
        <v>5600000</v>
      </c>
      <c r="AM213" s="290">
        <v>5350000</v>
      </c>
      <c r="AN213" s="275"/>
      <c r="AO213" s="276">
        <v>2600000</v>
      </c>
      <c r="AP213" s="275"/>
      <c r="AQ213" s="275">
        <v>2600000</v>
      </c>
      <c r="AR213" s="275"/>
      <c r="AS213" s="275">
        <v>2600000</v>
      </c>
      <c r="AT213" s="275"/>
      <c r="AU213" s="275">
        <v>2600000</v>
      </c>
      <c r="AV213" s="275"/>
      <c r="AW213" s="275">
        <v>2600000</v>
      </c>
      <c r="AX213" s="275"/>
      <c r="AY213" s="275">
        <v>2600000</v>
      </c>
      <c r="AZ213" s="275"/>
      <c r="BA213" s="275">
        <v>2600000</v>
      </c>
      <c r="BB213" s="275"/>
      <c r="BC213" s="275">
        <v>2600000</v>
      </c>
      <c r="BD213" s="275"/>
      <c r="BE213" s="275"/>
      <c r="BF213" s="275"/>
      <c r="BH213" s="277"/>
    </row>
    <row r="214" spans="1:60" ht="16.5" hidden="1" customHeight="1" x14ac:dyDescent="0.3">
      <c r="A214" s="260">
        <v>192</v>
      </c>
      <c r="B214" s="261"/>
      <c r="C214" s="261"/>
      <c r="D214" s="262" t="s">
        <v>15</v>
      </c>
      <c r="E214" s="262" t="s">
        <v>0</v>
      </c>
      <c r="F214" s="263" t="s">
        <v>15</v>
      </c>
      <c r="G214" s="264" t="s">
        <v>0</v>
      </c>
      <c r="H214" s="281"/>
      <c r="I214" s="265"/>
      <c r="J214" s="266" t="s">
        <v>45</v>
      </c>
      <c r="K214" s="262"/>
      <c r="L214" s="262"/>
      <c r="M214" s="262">
        <v>49835</v>
      </c>
      <c r="N214" s="262" t="s">
        <v>22</v>
      </c>
      <c r="O214" s="262" t="s">
        <v>56</v>
      </c>
      <c r="P214" s="262" t="s">
        <v>57</v>
      </c>
      <c r="Q214" s="262" t="s">
        <v>26</v>
      </c>
      <c r="R214" s="262" t="s">
        <v>478</v>
      </c>
      <c r="S214" s="267" t="s">
        <v>478</v>
      </c>
      <c r="T214" s="268"/>
      <c r="U214" s="269"/>
      <c r="V214" s="269">
        <v>0</v>
      </c>
      <c r="W214" s="278">
        <v>0</v>
      </c>
      <c r="X214" s="270"/>
      <c r="Y214" s="262" t="s">
        <v>27</v>
      </c>
      <c r="Z214" s="271" t="s">
        <v>24</v>
      </c>
      <c r="AA214" s="287"/>
      <c r="AB214" s="287"/>
      <c r="AC214" s="272">
        <f t="shared" si="7"/>
        <v>9000000</v>
      </c>
      <c r="AD214" s="272">
        <v>9000000</v>
      </c>
      <c r="AE214" s="272">
        <f t="shared" si="8"/>
        <v>0</v>
      </c>
      <c r="AF214" s="273"/>
      <c r="AG214" s="274"/>
      <c r="AH214" s="273"/>
      <c r="AI214" s="273"/>
      <c r="AJ214" s="274"/>
      <c r="AK214" s="273"/>
      <c r="AL214" s="275"/>
      <c r="AM214" s="290"/>
      <c r="AN214" s="275"/>
      <c r="AO214" s="276"/>
      <c r="AP214" s="275"/>
      <c r="AQ214" s="275"/>
      <c r="AR214" s="275"/>
      <c r="AS214" s="275"/>
      <c r="AT214" s="275"/>
      <c r="AU214" s="275">
        <v>3000000</v>
      </c>
      <c r="AV214" s="275"/>
      <c r="AW214" s="275"/>
      <c r="AX214" s="275"/>
      <c r="AY214" s="275">
        <v>3000000</v>
      </c>
      <c r="AZ214" s="275"/>
      <c r="BA214" s="275">
        <v>3000000</v>
      </c>
      <c r="BB214" s="275"/>
      <c r="BC214" s="275"/>
      <c r="BD214" s="275"/>
      <c r="BE214" s="275"/>
      <c r="BF214" s="275"/>
      <c r="BH214" s="277"/>
    </row>
    <row r="215" spans="1:60" ht="16.5" hidden="1" customHeight="1" x14ac:dyDescent="0.3">
      <c r="A215" s="260">
        <v>193</v>
      </c>
      <c r="B215" s="261"/>
      <c r="C215" s="261"/>
      <c r="D215" s="262" t="s">
        <v>15</v>
      </c>
      <c r="E215" s="262" t="s">
        <v>0</v>
      </c>
      <c r="F215" s="263" t="s">
        <v>15</v>
      </c>
      <c r="G215" s="264" t="s">
        <v>0</v>
      </c>
      <c r="H215" s="281"/>
      <c r="I215" s="265"/>
      <c r="J215" s="266" t="s">
        <v>45</v>
      </c>
      <c r="K215" s="262"/>
      <c r="L215" s="262"/>
      <c r="M215" s="262">
        <v>49835</v>
      </c>
      <c r="N215" s="262" t="s">
        <v>22</v>
      </c>
      <c r="O215" s="262" t="s">
        <v>35</v>
      </c>
      <c r="P215" s="262" t="s">
        <v>57</v>
      </c>
      <c r="Q215" s="262"/>
      <c r="R215" s="262"/>
      <c r="S215" s="267" t="s">
        <v>822</v>
      </c>
      <c r="T215" s="268"/>
      <c r="U215" s="269"/>
      <c r="V215" s="269"/>
      <c r="W215" s="278">
        <v>0</v>
      </c>
      <c r="X215" s="270"/>
      <c r="Y215" s="262"/>
      <c r="Z215" s="271" t="s">
        <v>25</v>
      </c>
      <c r="AA215" s="287"/>
      <c r="AB215" s="287"/>
      <c r="AC215" s="272">
        <f t="shared" ref="AC215:AC278" si="9">AG215+AJ215+AM215+AO215+AQ215+AS215+AU215+AW215+AY215+BA215+BC215+BE215</f>
        <v>20000000</v>
      </c>
      <c r="AD215" s="272">
        <v>20000000</v>
      </c>
      <c r="AE215" s="272">
        <f t="shared" ref="AE215:AE278" si="10">AC215-AD215</f>
        <v>0</v>
      </c>
      <c r="AF215" s="273"/>
      <c r="AG215" s="274"/>
      <c r="AH215" s="273"/>
      <c r="AI215" s="273"/>
      <c r="AJ215" s="274"/>
      <c r="AK215" s="273"/>
      <c r="AL215" s="275"/>
      <c r="AM215" s="290"/>
      <c r="AN215" s="275"/>
      <c r="AO215" s="276"/>
      <c r="AP215" s="275"/>
      <c r="AQ215" s="275"/>
      <c r="AR215" s="275"/>
      <c r="AS215" s="275"/>
      <c r="AT215" s="275"/>
      <c r="AU215" s="275"/>
      <c r="AV215" s="275"/>
      <c r="AW215" s="275">
        <v>20000000</v>
      </c>
      <c r="AX215" s="275"/>
      <c r="AY215" s="275"/>
      <c r="AZ215" s="275"/>
      <c r="BA215" s="275"/>
      <c r="BB215" s="275"/>
      <c r="BC215" s="275"/>
      <c r="BD215" s="275"/>
      <c r="BE215" s="275"/>
      <c r="BF215" s="275"/>
      <c r="BH215" s="277"/>
    </row>
    <row r="216" spans="1:60" ht="16.5" hidden="1" customHeight="1" x14ac:dyDescent="0.3">
      <c r="A216" s="260">
        <v>194</v>
      </c>
      <c r="B216" s="261"/>
      <c r="C216" s="261"/>
      <c r="D216" s="262" t="s">
        <v>15</v>
      </c>
      <c r="E216" s="262" t="s">
        <v>0</v>
      </c>
      <c r="F216" s="263" t="s">
        <v>15</v>
      </c>
      <c r="G216" s="264" t="s">
        <v>0</v>
      </c>
      <c r="H216" s="281"/>
      <c r="I216" s="265"/>
      <c r="J216" s="266" t="s">
        <v>45</v>
      </c>
      <c r="K216" s="262"/>
      <c r="L216" s="262"/>
      <c r="M216" s="262">
        <v>49835</v>
      </c>
      <c r="N216" s="262" t="s">
        <v>22</v>
      </c>
      <c r="O216" s="262" t="s">
        <v>35</v>
      </c>
      <c r="P216" s="262" t="s">
        <v>57</v>
      </c>
      <c r="Q216" s="262"/>
      <c r="R216" s="262"/>
      <c r="S216" s="267" t="s">
        <v>828</v>
      </c>
      <c r="T216" s="268"/>
      <c r="U216" s="269"/>
      <c r="V216" s="269"/>
      <c r="W216" s="278">
        <v>0</v>
      </c>
      <c r="X216" s="270"/>
      <c r="Y216" s="262"/>
      <c r="Z216" s="271" t="s">
        <v>25</v>
      </c>
      <c r="AA216" s="287"/>
      <c r="AB216" s="287"/>
      <c r="AC216" s="272">
        <f t="shared" si="9"/>
        <v>20000000</v>
      </c>
      <c r="AD216" s="272">
        <v>20000000</v>
      </c>
      <c r="AE216" s="272">
        <f t="shared" si="10"/>
        <v>0</v>
      </c>
      <c r="AF216" s="273"/>
      <c r="AG216" s="274"/>
      <c r="AH216" s="273"/>
      <c r="AI216" s="273"/>
      <c r="AJ216" s="274"/>
      <c r="AK216" s="273"/>
      <c r="AL216" s="275"/>
      <c r="AM216" s="290"/>
      <c r="AN216" s="275"/>
      <c r="AO216" s="276"/>
      <c r="AP216" s="275"/>
      <c r="AQ216" s="275"/>
      <c r="AR216" s="275"/>
      <c r="AS216" s="275"/>
      <c r="AT216" s="275"/>
      <c r="AU216" s="275"/>
      <c r="AV216" s="275"/>
      <c r="AW216" s="275">
        <v>20000000</v>
      </c>
      <c r="AX216" s="275"/>
      <c r="AY216" s="275"/>
      <c r="AZ216" s="275"/>
      <c r="BA216" s="275"/>
      <c r="BB216" s="275"/>
      <c r="BC216" s="275"/>
      <c r="BD216" s="275"/>
      <c r="BE216" s="275"/>
      <c r="BF216" s="275"/>
      <c r="BH216" s="277"/>
    </row>
    <row r="217" spans="1:60" ht="16.5" hidden="1" customHeight="1" x14ac:dyDescent="0.3">
      <c r="A217" s="260">
        <v>195</v>
      </c>
      <c r="B217" s="261"/>
      <c r="C217" s="261"/>
      <c r="D217" s="262" t="s">
        <v>15</v>
      </c>
      <c r="E217" s="262" t="s">
        <v>0</v>
      </c>
      <c r="F217" s="263" t="s">
        <v>15</v>
      </c>
      <c r="G217" s="264" t="s">
        <v>0</v>
      </c>
      <c r="H217" s="281"/>
      <c r="I217" s="265"/>
      <c r="J217" s="266" t="s">
        <v>45</v>
      </c>
      <c r="K217" s="262"/>
      <c r="L217" s="262"/>
      <c r="M217" s="262">
        <v>49835</v>
      </c>
      <c r="N217" s="262" t="s">
        <v>22</v>
      </c>
      <c r="O217" s="262" t="s">
        <v>35</v>
      </c>
      <c r="P217" s="262" t="s">
        <v>57</v>
      </c>
      <c r="Q217" s="262"/>
      <c r="R217" s="262"/>
      <c r="S217" s="267" t="s">
        <v>830</v>
      </c>
      <c r="T217" s="268"/>
      <c r="U217" s="269"/>
      <c r="V217" s="269"/>
      <c r="W217" s="278">
        <v>0</v>
      </c>
      <c r="X217" s="270"/>
      <c r="Y217" s="262"/>
      <c r="Z217" s="271" t="s">
        <v>25</v>
      </c>
      <c r="AA217" s="287"/>
      <c r="AB217" s="287"/>
      <c r="AC217" s="272">
        <f t="shared" si="9"/>
        <v>10000000</v>
      </c>
      <c r="AD217" s="272">
        <v>10000000</v>
      </c>
      <c r="AE217" s="272">
        <f t="shared" si="10"/>
        <v>0</v>
      </c>
      <c r="AF217" s="273"/>
      <c r="AG217" s="274"/>
      <c r="AH217" s="273"/>
      <c r="AI217" s="273"/>
      <c r="AJ217" s="274"/>
      <c r="AK217" s="273"/>
      <c r="AL217" s="275"/>
      <c r="AM217" s="290"/>
      <c r="AN217" s="275"/>
      <c r="AO217" s="276"/>
      <c r="AP217" s="275"/>
      <c r="AQ217" s="275"/>
      <c r="AR217" s="275"/>
      <c r="AS217" s="275"/>
      <c r="AT217" s="275"/>
      <c r="AU217" s="275"/>
      <c r="AV217" s="275"/>
      <c r="AW217" s="275"/>
      <c r="AX217" s="275"/>
      <c r="AY217" s="275">
        <v>10000000</v>
      </c>
      <c r="AZ217" s="275"/>
      <c r="BA217" s="275"/>
      <c r="BB217" s="275"/>
      <c r="BC217" s="275"/>
      <c r="BD217" s="275"/>
      <c r="BE217" s="275"/>
      <c r="BF217" s="275"/>
      <c r="BH217" s="277"/>
    </row>
    <row r="218" spans="1:60" ht="16.5" hidden="1" customHeight="1" x14ac:dyDescent="0.3">
      <c r="A218" s="260">
        <v>196</v>
      </c>
      <c r="B218" s="261"/>
      <c r="C218" s="261"/>
      <c r="D218" s="262" t="s">
        <v>15</v>
      </c>
      <c r="E218" s="262" t="s">
        <v>0</v>
      </c>
      <c r="F218" s="263" t="s">
        <v>15</v>
      </c>
      <c r="G218" s="264" t="s">
        <v>0</v>
      </c>
      <c r="H218" s="281"/>
      <c r="I218" s="265"/>
      <c r="J218" s="266" t="s">
        <v>48</v>
      </c>
      <c r="K218" s="262"/>
      <c r="L218" s="262"/>
      <c r="M218" s="262">
        <v>49835</v>
      </c>
      <c r="N218" s="262" t="s">
        <v>22</v>
      </c>
      <c r="O218" s="262" t="s">
        <v>56</v>
      </c>
      <c r="P218" s="262"/>
      <c r="Q218" s="262" t="s">
        <v>30</v>
      </c>
      <c r="R218" s="262" t="s">
        <v>31</v>
      </c>
      <c r="S218" s="267" t="s">
        <v>31</v>
      </c>
      <c r="T218" s="268"/>
      <c r="U218" s="269"/>
      <c r="V218" s="269">
        <v>0</v>
      </c>
      <c r="W218" s="278">
        <v>0</v>
      </c>
      <c r="X218" s="270"/>
      <c r="Y218" s="262" t="s">
        <v>25</v>
      </c>
      <c r="Z218" s="271" t="s">
        <v>25</v>
      </c>
      <c r="AA218" s="287"/>
      <c r="AB218" s="287"/>
      <c r="AC218" s="272">
        <f t="shared" si="9"/>
        <v>20000000</v>
      </c>
      <c r="AD218" s="272">
        <v>20000000</v>
      </c>
      <c r="AE218" s="272">
        <f t="shared" si="10"/>
        <v>0</v>
      </c>
      <c r="AF218" s="273"/>
      <c r="AG218" s="274"/>
      <c r="AH218" s="273"/>
      <c r="AI218" s="273"/>
      <c r="AJ218" s="274"/>
      <c r="AK218" s="273"/>
      <c r="AL218" s="275"/>
      <c r="AM218" s="290"/>
      <c r="AN218" s="275"/>
      <c r="AO218" s="276"/>
      <c r="AP218" s="275"/>
      <c r="AQ218" s="275"/>
      <c r="AR218" s="275"/>
      <c r="AS218" s="275"/>
      <c r="AT218" s="275"/>
      <c r="AU218" s="275"/>
      <c r="AV218" s="275"/>
      <c r="AW218" s="275"/>
      <c r="AX218" s="275"/>
      <c r="AY218" s="275"/>
      <c r="AZ218" s="275"/>
      <c r="BA218" s="275"/>
      <c r="BB218" s="275"/>
      <c r="BC218" s="275"/>
      <c r="BD218" s="275"/>
      <c r="BE218" s="275">
        <v>20000000</v>
      </c>
      <c r="BF218" s="275"/>
      <c r="BH218" s="277"/>
    </row>
    <row r="219" spans="1:60" ht="16.5" hidden="1" customHeight="1" x14ac:dyDescent="0.3">
      <c r="A219" s="260">
        <v>197</v>
      </c>
      <c r="B219" s="261"/>
      <c r="C219" s="261"/>
      <c r="D219" s="262" t="s">
        <v>15</v>
      </c>
      <c r="E219" s="262" t="s">
        <v>0</v>
      </c>
      <c r="F219" s="263" t="s">
        <v>15</v>
      </c>
      <c r="G219" s="264" t="s">
        <v>0</v>
      </c>
      <c r="H219" s="281"/>
      <c r="I219" s="265"/>
      <c r="J219" s="266" t="s">
        <v>743</v>
      </c>
      <c r="K219" s="262"/>
      <c r="L219" s="262"/>
      <c r="M219" s="262">
        <v>45971</v>
      </c>
      <c r="N219" s="262"/>
      <c r="O219" s="262"/>
      <c r="P219" s="262"/>
      <c r="Q219" s="262"/>
      <c r="R219" s="262" t="s">
        <v>31</v>
      </c>
      <c r="S219" s="267" t="s">
        <v>31</v>
      </c>
      <c r="T219" s="268"/>
      <c r="U219" s="269"/>
      <c r="V219" s="269"/>
      <c r="W219" s="278">
        <v>3500000</v>
      </c>
      <c r="X219" s="270"/>
      <c r="Y219" s="262" t="s">
        <v>27</v>
      </c>
      <c r="Z219" s="271" t="s">
        <v>718</v>
      </c>
      <c r="AA219" s="287"/>
      <c r="AB219" s="287"/>
      <c r="AC219" s="272">
        <f t="shared" si="9"/>
        <v>0</v>
      </c>
      <c r="AD219" s="272">
        <v>0</v>
      </c>
      <c r="AE219" s="272">
        <f t="shared" si="10"/>
        <v>0</v>
      </c>
      <c r="AF219" s="273"/>
      <c r="AG219" s="274"/>
      <c r="AH219" s="273"/>
      <c r="AI219" s="273"/>
      <c r="AJ219" s="274"/>
      <c r="AK219" s="273"/>
      <c r="AL219" s="275"/>
      <c r="AM219" s="290"/>
      <c r="AN219" s="275"/>
      <c r="AO219" s="276"/>
      <c r="AP219" s="275"/>
      <c r="AQ219" s="275"/>
      <c r="AR219" s="275"/>
      <c r="AS219" s="275"/>
      <c r="AT219" s="275"/>
      <c r="AU219" s="275"/>
      <c r="AV219" s="275"/>
      <c r="AW219" s="275"/>
      <c r="AX219" s="275"/>
      <c r="AY219" s="275"/>
      <c r="AZ219" s="275"/>
      <c r="BA219" s="275"/>
      <c r="BB219" s="275"/>
      <c r="BC219" s="275"/>
      <c r="BD219" s="275"/>
      <c r="BE219" s="275"/>
      <c r="BF219" s="275"/>
      <c r="BH219" s="277"/>
    </row>
    <row r="220" spans="1:60" ht="16.5" hidden="1" customHeight="1" x14ac:dyDescent="0.3">
      <c r="A220" s="260">
        <v>198</v>
      </c>
      <c r="B220" s="261"/>
      <c r="C220" s="261"/>
      <c r="D220" s="262"/>
      <c r="E220" s="262"/>
      <c r="F220" s="263" t="s">
        <v>15</v>
      </c>
      <c r="G220" s="264" t="s">
        <v>0</v>
      </c>
      <c r="H220" s="281"/>
      <c r="I220" s="265"/>
      <c r="J220" s="266" t="s">
        <v>996</v>
      </c>
      <c r="K220" s="262"/>
      <c r="L220" s="262"/>
      <c r="M220" s="262">
        <v>4209</v>
      </c>
      <c r="N220" s="262"/>
      <c r="O220" s="262"/>
      <c r="P220" s="262"/>
      <c r="Q220" s="262"/>
      <c r="R220" s="262"/>
      <c r="S220" s="267" t="s">
        <v>478</v>
      </c>
      <c r="T220" s="268"/>
      <c r="U220" s="269"/>
      <c r="V220" s="269"/>
      <c r="W220" s="278">
        <v>25550000</v>
      </c>
      <c r="X220" s="270"/>
      <c r="Y220" s="262"/>
      <c r="Z220" s="271" t="s">
        <v>27</v>
      </c>
      <c r="AA220" s="287"/>
      <c r="AB220" s="287"/>
      <c r="AC220" s="272">
        <f t="shared" si="9"/>
        <v>68011000</v>
      </c>
      <c r="AD220" s="272">
        <v>68011000</v>
      </c>
      <c r="AE220" s="272">
        <f t="shared" si="10"/>
        <v>0</v>
      </c>
      <c r="AF220" s="273"/>
      <c r="AG220" s="274">
        <v>1050000</v>
      </c>
      <c r="AH220" s="273"/>
      <c r="AI220" s="273">
        <v>12000000</v>
      </c>
      <c r="AJ220" s="274"/>
      <c r="AK220" s="273"/>
      <c r="AL220" s="275">
        <v>11961000</v>
      </c>
      <c r="AM220" s="290">
        <v>11961000</v>
      </c>
      <c r="AN220" s="275"/>
      <c r="AO220" s="276"/>
      <c r="AP220" s="275" t="s">
        <v>990</v>
      </c>
      <c r="AQ220" s="275">
        <v>55000000</v>
      </c>
      <c r="AR220" s="275"/>
      <c r="AS220" s="275"/>
      <c r="AT220" s="275"/>
      <c r="AU220" s="275"/>
      <c r="AV220" s="275"/>
      <c r="AW220" s="275"/>
      <c r="AX220" s="275"/>
      <c r="AY220" s="275"/>
      <c r="AZ220" s="275"/>
      <c r="BA220" s="275"/>
      <c r="BB220" s="275"/>
      <c r="BC220" s="275"/>
      <c r="BD220" s="275"/>
      <c r="BE220" s="275"/>
      <c r="BF220" s="275"/>
      <c r="BH220" s="277"/>
    </row>
    <row r="221" spans="1:60" ht="16.5" hidden="1" customHeight="1" x14ac:dyDescent="0.3">
      <c r="A221" s="260">
        <v>199</v>
      </c>
      <c r="B221" s="261"/>
      <c r="C221" s="261"/>
      <c r="D221" s="262" t="s">
        <v>15</v>
      </c>
      <c r="E221" s="262" t="s">
        <v>0</v>
      </c>
      <c r="F221" s="263" t="s">
        <v>15</v>
      </c>
      <c r="G221" s="264" t="s">
        <v>0</v>
      </c>
      <c r="H221" s="281"/>
      <c r="I221" s="265"/>
      <c r="J221" s="266" t="s">
        <v>636</v>
      </c>
      <c r="K221" s="262"/>
      <c r="L221" s="262"/>
      <c r="M221" s="262">
        <v>4209</v>
      </c>
      <c r="N221" s="262" t="s">
        <v>22</v>
      </c>
      <c r="O221" s="262" t="s">
        <v>35</v>
      </c>
      <c r="P221" s="262" t="s">
        <v>156</v>
      </c>
      <c r="Q221" s="262"/>
      <c r="R221" s="262" t="s">
        <v>478</v>
      </c>
      <c r="S221" s="267" t="s">
        <v>478</v>
      </c>
      <c r="T221" s="268"/>
      <c r="U221" s="269"/>
      <c r="V221" s="269"/>
      <c r="W221" s="278">
        <v>0</v>
      </c>
      <c r="X221" s="270"/>
      <c r="Y221" s="262" t="s">
        <v>27</v>
      </c>
      <c r="Z221" s="271" t="s">
        <v>24</v>
      </c>
      <c r="AA221" s="287"/>
      <c r="AB221" s="287"/>
      <c r="AC221" s="272">
        <f t="shared" si="9"/>
        <v>20000000</v>
      </c>
      <c r="AD221" s="272">
        <v>20000000</v>
      </c>
      <c r="AE221" s="272">
        <f t="shared" si="10"/>
        <v>0</v>
      </c>
      <c r="AF221" s="273"/>
      <c r="AG221" s="274"/>
      <c r="AH221" s="273"/>
      <c r="AI221" s="273">
        <v>10000000</v>
      </c>
      <c r="AJ221" s="274"/>
      <c r="AK221" s="273"/>
      <c r="AL221" s="275"/>
      <c r="AM221" s="290"/>
      <c r="AN221" s="275"/>
      <c r="AO221" s="276"/>
      <c r="AP221" s="275"/>
      <c r="AQ221" s="291">
        <v>10000000</v>
      </c>
      <c r="AR221" s="275"/>
      <c r="AS221" s="275"/>
      <c r="AT221" s="275"/>
      <c r="AU221" s="275">
        <v>10000000</v>
      </c>
      <c r="AV221" s="275"/>
      <c r="AW221" s="275"/>
      <c r="AX221" s="275"/>
      <c r="AY221" s="275"/>
      <c r="AZ221" s="275"/>
      <c r="BA221" s="275"/>
      <c r="BB221" s="275"/>
      <c r="BC221" s="275"/>
      <c r="BD221" s="275"/>
      <c r="BE221" s="275"/>
      <c r="BF221" s="275"/>
      <c r="BH221" s="277"/>
    </row>
    <row r="222" spans="1:60" ht="16.5" hidden="1" customHeight="1" x14ac:dyDescent="0.3">
      <c r="A222" s="260">
        <v>200</v>
      </c>
      <c r="B222" s="261"/>
      <c r="C222" s="261"/>
      <c r="D222" s="262" t="s">
        <v>15</v>
      </c>
      <c r="E222" s="262" t="s">
        <v>0</v>
      </c>
      <c r="F222" s="263" t="s">
        <v>15</v>
      </c>
      <c r="G222" s="264" t="s">
        <v>0</v>
      </c>
      <c r="H222" s="281"/>
      <c r="I222" s="265"/>
      <c r="J222" s="266" t="s">
        <v>636</v>
      </c>
      <c r="K222" s="262"/>
      <c r="L222" s="262"/>
      <c r="M222" s="262">
        <v>4209</v>
      </c>
      <c r="N222" s="262" t="s">
        <v>22</v>
      </c>
      <c r="O222" s="262" t="s">
        <v>35</v>
      </c>
      <c r="P222" s="262" t="s">
        <v>156</v>
      </c>
      <c r="Q222" s="262"/>
      <c r="R222" s="262"/>
      <c r="S222" s="267" t="s">
        <v>822</v>
      </c>
      <c r="T222" s="268"/>
      <c r="U222" s="269"/>
      <c r="V222" s="269"/>
      <c r="W222" s="278">
        <v>0</v>
      </c>
      <c r="X222" s="270"/>
      <c r="Y222" s="262"/>
      <c r="Z222" s="271" t="s">
        <v>25</v>
      </c>
      <c r="AA222" s="287"/>
      <c r="AB222" s="287"/>
      <c r="AC222" s="272">
        <f t="shared" si="9"/>
        <v>15000000</v>
      </c>
      <c r="AD222" s="272">
        <v>15000000</v>
      </c>
      <c r="AE222" s="272">
        <f t="shared" si="10"/>
        <v>0</v>
      </c>
      <c r="AF222" s="273"/>
      <c r="AG222" s="274"/>
      <c r="AH222" s="273"/>
      <c r="AI222" s="273"/>
      <c r="AJ222" s="274"/>
      <c r="AK222" s="273"/>
      <c r="AL222" s="275"/>
      <c r="AM222" s="290"/>
      <c r="AN222" s="275"/>
      <c r="AO222" s="276"/>
      <c r="AP222" s="275"/>
      <c r="AQ222" s="275">
        <v>15000000</v>
      </c>
      <c r="AR222" s="275"/>
      <c r="AS222" s="275"/>
      <c r="AT222" s="275"/>
      <c r="AU222" s="275"/>
      <c r="AV222" s="275"/>
      <c r="AW222" s="275"/>
      <c r="AX222" s="275"/>
      <c r="AY222" s="275"/>
      <c r="AZ222" s="275"/>
      <c r="BA222" s="275"/>
      <c r="BB222" s="275"/>
      <c r="BC222" s="275"/>
      <c r="BD222" s="275"/>
      <c r="BE222" s="275"/>
      <c r="BF222" s="275"/>
      <c r="BH222" s="277"/>
    </row>
    <row r="223" spans="1:60" ht="16.5" hidden="1" customHeight="1" x14ac:dyDescent="0.3">
      <c r="A223" s="260">
        <v>201</v>
      </c>
      <c r="B223" s="261"/>
      <c r="C223" s="261"/>
      <c r="D223" s="262" t="s">
        <v>15</v>
      </c>
      <c r="E223" s="262" t="s">
        <v>0</v>
      </c>
      <c r="F223" s="263" t="s">
        <v>15</v>
      </c>
      <c r="G223" s="264" t="s">
        <v>0</v>
      </c>
      <c r="H223" s="281"/>
      <c r="I223" s="265"/>
      <c r="J223" s="266" t="s">
        <v>636</v>
      </c>
      <c r="K223" s="262"/>
      <c r="L223" s="262"/>
      <c r="M223" s="262">
        <v>4209</v>
      </c>
      <c r="N223" s="262" t="s">
        <v>22</v>
      </c>
      <c r="O223" s="262" t="s">
        <v>35</v>
      </c>
      <c r="P223" s="262" t="s">
        <v>156</v>
      </c>
      <c r="Q223" s="262"/>
      <c r="R223" s="262"/>
      <c r="S223" s="267" t="s">
        <v>828</v>
      </c>
      <c r="T223" s="268"/>
      <c r="U223" s="269"/>
      <c r="V223" s="269"/>
      <c r="W223" s="278">
        <v>0</v>
      </c>
      <c r="X223" s="270"/>
      <c r="Y223" s="262"/>
      <c r="Z223" s="271" t="s">
        <v>25</v>
      </c>
      <c r="AA223" s="287"/>
      <c r="AB223" s="287"/>
      <c r="AC223" s="272">
        <f t="shared" si="9"/>
        <v>15000000</v>
      </c>
      <c r="AD223" s="272">
        <v>15000000</v>
      </c>
      <c r="AE223" s="272">
        <f t="shared" si="10"/>
        <v>0</v>
      </c>
      <c r="AF223" s="273"/>
      <c r="AG223" s="274"/>
      <c r="AH223" s="273"/>
      <c r="AI223" s="273"/>
      <c r="AJ223" s="274"/>
      <c r="AK223" s="273"/>
      <c r="AL223" s="275"/>
      <c r="AM223" s="290"/>
      <c r="AN223" s="275"/>
      <c r="AO223" s="276"/>
      <c r="AP223" s="275"/>
      <c r="AQ223" s="275">
        <v>15000000</v>
      </c>
      <c r="AR223" s="275"/>
      <c r="AS223" s="275"/>
      <c r="AT223" s="275"/>
      <c r="AU223" s="275"/>
      <c r="AV223" s="275"/>
      <c r="AW223" s="275"/>
      <c r="AX223" s="275"/>
      <c r="AY223" s="275"/>
      <c r="AZ223" s="275"/>
      <c r="BA223" s="275"/>
      <c r="BB223" s="275"/>
      <c r="BC223" s="275"/>
      <c r="BD223" s="275"/>
      <c r="BE223" s="275"/>
      <c r="BF223" s="275"/>
      <c r="BH223" s="277"/>
    </row>
    <row r="224" spans="1:60" ht="16.5" hidden="1" customHeight="1" x14ac:dyDescent="0.3">
      <c r="A224" s="260">
        <v>202</v>
      </c>
      <c r="B224" s="261"/>
      <c r="C224" s="261"/>
      <c r="D224" s="262" t="s">
        <v>15</v>
      </c>
      <c r="E224" s="262" t="s">
        <v>0</v>
      </c>
      <c r="F224" s="263" t="s">
        <v>15</v>
      </c>
      <c r="G224" s="264" t="s">
        <v>0</v>
      </c>
      <c r="H224" s="281"/>
      <c r="I224" s="265"/>
      <c r="J224" s="266" t="s">
        <v>619</v>
      </c>
      <c r="K224" s="262"/>
      <c r="L224" s="262"/>
      <c r="M224" s="262">
        <v>43878</v>
      </c>
      <c r="N224" s="262" t="s">
        <v>22</v>
      </c>
      <c r="O224" s="262" t="s">
        <v>35</v>
      </c>
      <c r="P224" s="262" t="s">
        <v>57</v>
      </c>
      <c r="Q224" s="262"/>
      <c r="R224" s="262" t="s">
        <v>31</v>
      </c>
      <c r="S224" s="267" t="s">
        <v>31</v>
      </c>
      <c r="T224" s="268"/>
      <c r="U224" s="269"/>
      <c r="V224" s="269">
        <v>0</v>
      </c>
      <c r="W224" s="278">
        <v>25000</v>
      </c>
      <c r="X224" s="270"/>
      <c r="Y224" s="262" t="s">
        <v>27</v>
      </c>
      <c r="Z224" s="271" t="s">
        <v>27</v>
      </c>
      <c r="AA224" s="287"/>
      <c r="AB224" s="287"/>
      <c r="AC224" s="272">
        <f t="shared" si="9"/>
        <v>1020000</v>
      </c>
      <c r="AD224" s="272">
        <v>1020000</v>
      </c>
      <c r="AE224" s="272">
        <f t="shared" si="10"/>
        <v>0</v>
      </c>
      <c r="AF224" s="273"/>
      <c r="AG224" s="274">
        <v>30000</v>
      </c>
      <c r="AH224" s="273"/>
      <c r="AI224" s="273"/>
      <c r="AJ224" s="274">
        <v>15000</v>
      </c>
      <c r="AK224" s="273"/>
      <c r="AL224" s="275"/>
      <c r="AM224" s="290">
        <v>5000</v>
      </c>
      <c r="AN224" s="275"/>
      <c r="AO224" s="276"/>
      <c r="AP224" s="275"/>
      <c r="AQ224" s="275"/>
      <c r="AR224" s="275"/>
      <c r="AS224" s="275"/>
      <c r="AT224" s="275"/>
      <c r="AU224" s="275"/>
      <c r="AV224" s="275"/>
      <c r="AW224" s="275"/>
      <c r="AX224" s="275"/>
      <c r="AY224" s="275"/>
      <c r="AZ224" s="275"/>
      <c r="BA224" s="275"/>
      <c r="BB224" s="275"/>
      <c r="BC224" s="275">
        <v>970000</v>
      </c>
      <c r="BD224" s="275"/>
      <c r="BE224" s="275"/>
      <c r="BF224" s="275"/>
      <c r="BH224" s="277"/>
    </row>
    <row r="225" spans="1:60" ht="16.5" hidden="1" customHeight="1" x14ac:dyDescent="0.3">
      <c r="A225" s="260">
        <v>203</v>
      </c>
      <c r="B225" s="261"/>
      <c r="C225" s="261"/>
      <c r="D225" s="262" t="s">
        <v>15</v>
      </c>
      <c r="E225" s="262" t="s">
        <v>0</v>
      </c>
      <c r="F225" s="263" t="s">
        <v>15</v>
      </c>
      <c r="G225" s="264" t="s">
        <v>0</v>
      </c>
      <c r="H225" s="281"/>
      <c r="I225" s="265"/>
      <c r="J225" s="266" t="s">
        <v>50</v>
      </c>
      <c r="K225" s="262"/>
      <c r="L225" s="262"/>
      <c r="M225" s="262">
        <v>32150</v>
      </c>
      <c r="N225" s="262" t="s">
        <v>17</v>
      </c>
      <c r="O225" s="262" t="s">
        <v>178</v>
      </c>
      <c r="P225" s="262"/>
      <c r="Q225" s="262" t="s">
        <v>46</v>
      </c>
      <c r="R225" s="262" t="s">
        <v>47</v>
      </c>
      <c r="S225" s="267" t="s">
        <v>47</v>
      </c>
      <c r="T225" s="268"/>
      <c r="U225" s="269">
        <v>16600000</v>
      </c>
      <c r="V225" s="269">
        <v>0</v>
      </c>
      <c r="W225" s="278">
        <v>8300000</v>
      </c>
      <c r="X225" s="270"/>
      <c r="Y225" s="262" t="s">
        <v>24</v>
      </c>
      <c r="Z225" s="271" t="s">
        <v>27</v>
      </c>
      <c r="AA225" s="287"/>
      <c r="AB225" s="287"/>
      <c r="AC225" s="272">
        <f t="shared" si="9"/>
        <v>0</v>
      </c>
      <c r="AD225" s="272">
        <v>0</v>
      </c>
      <c r="AE225" s="272">
        <f t="shared" si="10"/>
        <v>0</v>
      </c>
      <c r="AF225" s="273">
        <v>8000000</v>
      </c>
      <c r="AG225" s="274"/>
      <c r="AH225" s="273"/>
      <c r="AI225" s="273"/>
      <c r="AJ225" s="274"/>
      <c r="AK225" s="273"/>
      <c r="AL225" s="275"/>
      <c r="AM225" s="290"/>
      <c r="AN225" s="275"/>
      <c r="AO225" s="276"/>
      <c r="AP225" s="275"/>
      <c r="AQ225" s="275"/>
      <c r="AR225" s="275"/>
      <c r="AS225" s="275"/>
      <c r="AT225" s="275"/>
      <c r="AU225" s="275"/>
      <c r="AV225" s="275"/>
      <c r="AW225" s="275"/>
      <c r="AX225" s="275"/>
      <c r="AY225" s="275"/>
      <c r="AZ225" s="275"/>
      <c r="BA225" s="275"/>
      <c r="BB225" s="275"/>
      <c r="BC225" s="275"/>
      <c r="BD225" s="275"/>
      <c r="BE225" s="275"/>
      <c r="BF225" s="275"/>
      <c r="BH225" s="277"/>
    </row>
    <row r="226" spans="1:60" ht="16.5" hidden="1" customHeight="1" x14ac:dyDescent="0.3">
      <c r="A226" s="260">
        <v>204</v>
      </c>
      <c r="B226" s="261"/>
      <c r="C226" s="261"/>
      <c r="D226" s="262" t="s">
        <v>15</v>
      </c>
      <c r="E226" s="262" t="s">
        <v>0</v>
      </c>
      <c r="F226" s="263" t="s">
        <v>15</v>
      </c>
      <c r="G226" s="264" t="s">
        <v>0</v>
      </c>
      <c r="H226" s="281"/>
      <c r="I226" s="265"/>
      <c r="J226" s="266" t="s">
        <v>51</v>
      </c>
      <c r="K226" s="262"/>
      <c r="L226" s="262"/>
      <c r="M226" s="262">
        <v>15725</v>
      </c>
      <c r="N226" s="262" t="s">
        <v>22</v>
      </c>
      <c r="O226" s="262" t="s">
        <v>212</v>
      </c>
      <c r="P226" s="262" t="s">
        <v>124</v>
      </c>
      <c r="Q226" s="262" t="s">
        <v>44</v>
      </c>
      <c r="R226" s="262" t="s">
        <v>469</v>
      </c>
      <c r="S226" s="267" t="s">
        <v>469</v>
      </c>
      <c r="T226" s="268"/>
      <c r="U226" s="269">
        <v>126590000</v>
      </c>
      <c r="V226" s="269">
        <v>134140000</v>
      </c>
      <c r="W226" s="278">
        <v>87200000</v>
      </c>
      <c r="X226" s="270"/>
      <c r="Y226" s="262" t="s">
        <v>27</v>
      </c>
      <c r="Z226" s="271" t="s">
        <v>27</v>
      </c>
      <c r="AA226" s="287"/>
      <c r="AB226" s="287"/>
      <c r="AC226" s="272">
        <f t="shared" si="9"/>
        <v>115000000</v>
      </c>
      <c r="AD226" s="272">
        <v>115000000</v>
      </c>
      <c r="AE226" s="272">
        <f t="shared" si="10"/>
        <v>0</v>
      </c>
      <c r="AF226" s="273"/>
      <c r="AG226" s="274"/>
      <c r="AH226" s="273"/>
      <c r="AI226" s="273"/>
      <c r="AJ226" s="274"/>
      <c r="AK226" s="273"/>
      <c r="AL226" s="275">
        <v>15000000</v>
      </c>
      <c r="AM226" s="290"/>
      <c r="AN226" s="275" t="s">
        <v>1021</v>
      </c>
      <c r="AO226" s="276"/>
      <c r="AP226" s="275"/>
      <c r="AQ226" s="275"/>
      <c r="AR226" s="275"/>
      <c r="AS226" s="275"/>
      <c r="AT226" s="275"/>
      <c r="AU226" s="275">
        <v>30000000</v>
      </c>
      <c r="AV226" s="275"/>
      <c r="AW226" s="275"/>
      <c r="AX226" s="275"/>
      <c r="AY226" s="275"/>
      <c r="AZ226" s="275"/>
      <c r="BA226" s="275"/>
      <c r="BB226" s="275"/>
      <c r="BC226" s="275">
        <v>25000000</v>
      </c>
      <c r="BD226" s="275"/>
      <c r="BE226" s="275">
        <v>60000000</v>
      </c>
      <c r="BF226" s="275"/>
      <c r="BH226" s="277"/>
    </row>
    <row r="227" spans="1:60" ht="16.5" hidden="1" customHeight="1" x14ac:dyDescent="0.3">
      <c r="A227" s="260">
        <v>205</v>
      </c>
      <c r="B227" s="261"/>
      <c r="C227" s="261"/>
      <c r="D227" s="262" t="s">
        <v>15</v>
      </c>
      <c r="E227" s="262" t="s">
        <v>0</v>
      </c>
      <c r="F227" s="263" t="s">
        <v>15</v>
      </c>
      <c r="G227" s="264" t="s">
        <v>0</v>
      </c>
      <c r="H227" s="281"/>
      <c r="I227" s="265"/>
      <c r="J227" s="266" t="s">
        <v>51</v>
      </c>
      <c r="K227" s="262"/>
      <c r="L227" s="262"/>
      <c r="M227" s="262">
        <v>15725</v>
      </c>
      <c r="N227" s="262" t="s">
        <v>22</v>
      </c>
      <c r="O227" s="262" t="s">
        <v>35</v>
      </c>
      <c r="P227" s="262" t="s">
        <v>124</v>
      </c>
      <c r="Q227" s="262"/>
      <c r="R227" s="262"/>
      <c r="S227" s="267" t="s">
        <v>822</v>
      </c>
      <c r="T227" s="268"/>
      <c r="U227" s="269"/>
      <c r="V227" s="269"/>
      <c r="W227" s="278">
        <v>0</v>
      </c>
      <c r="X227" s="270"/>
      <c r="Y227" s="262"/>
      <c r="Z227" s="271" t="s">
        <v>25</v>
      </c>
      <c r="AA227" s="287"/>
      <c r="AB227" s="287"/>
      <c r="AC227" s="272">
        <f t="shared" si="9"/>
        <v>20000000</v>
      </c>
      <c r="AD227" s="272">
        <v>20000000</v>
      </c>
      <c r="AE227" s="272">
        <f t="shared" si="10"/>
        <v>0</v>
      </c>
      <c r="AF227" s="273"/>
      <c r="AG227" s="274"/>
      <c r="AH227" s="273"/>
      <c r="AI227" s="273"/>
      <c r="AJ227" s="274"/>
      <c r="AK227" s="273"/>
      <c r="AL227" s="275"/>
      <c r="AM227" s="290"/>
      <c r="AN227" s="275"/>
      <c r="AO227" s="276"/>
      <c r="AP227" s="275"/>
      <c r="AQ227" s="275"/>
      <c r="AR227" s="275"/>
      <c r="AS227" s="275"/>
      <c r="AT227" s="275"/>
      <c r="AU227" s="275"/>
      <c r="AV227" s="275"/>
      <c r="AW227" s="275"/>
      <c r="AX227" s="275"/>
      <c r="AY227" s="275">
        <v>20000000</v>
      </c>
      <c r="AZ227" s="275"/>
      <c r="BA227" s="275"/>
      <c r="BB227" s="275"/>
      <c r="BC227" s="275"/>
      <c r="BD227" s="275"/>
      <c r="BE227" s="275"/>
      <c r="BF227" s="275"/>
      <c r="BH227" s="277"/>
    </row>
    <row r="228" spans="1:60" ht="16.5" hidden="1" customHeight="1" x14ac:dyDescent="0.3">
      <c r="A228" s="260">
        <v>206</v>
      </c>
      <c r="B228" s="261"/>
      <c r="C228" s="261"/>
      <c r="D228" s="262" t="s">
        <v>15</v>
      </c>
      <c r="E228" s="262" t="s">
        <v>0</v>
      </c>
      <c r="F228" s="263" t="s">
        <v>15</v>
      </c>
      <c r="G228" s="264" t="s">
        <v>0</v>
      </c>
      <c r="H228" s="281"/>
      <c r="I228" s="265"/>
      <c r="J228" s="266" t="s">
        <v>51</v>
      </c>
      <c r="K228" s="262"/>
      <c r="L228" s="262"/>
      <c r="M228" s="262">
        <v>15725</v>
      </c>
      <c r="N228" s="262" t="s">
        <v>22</v>
      </c>
      <c r="O228" s="262" t="s">
        <v>35</v>
      </c>
      <c r="P228" s="262" t="s">
        <v>124</v>
      </c>
      <c r="Q228" s="262"/>
      <c r="R228" s="262"/>
      <c r="S228" s="267" t="s">
        <v>828</v>
      </c>
      <c r="T228" s="268"/>
      <c r="U228" s="269"/>
      <c r="V228" s="269"/>
      <c r="W228" s="278">
        <v>0</v>
      </c>
      <c r="X228" s="270"/>
      <c r="Y228" s="262"/>
      <c r="Z228" s="271" t="s">
        <v>25</v>
      </c>
      <c r="AA228" s="287"/>
      <c r="AB228" s="287"/>
      <c r="AC228" s="272">
        <f t="shared" si="9"/>
        <v>20000000</v>
      </c>
      <c r="AD228" s="272">
        <v>20000000</v>
      </c>
      <c r="AE228" s="272">
        <f t="shared" si="10"/>
        <v>0</v>
      </c>
      <c r="AF228" s="273"/>
      <c r="AG228" s="274"/>
      <c r="AH228" s="273"/>
      <c r="AI228" s="273"/>
      <c r="AJ228" s="274"/>
      <c r="AK228" s="273"/>
      <c r="AL228" s="275"/>
      <c r="AM228" s="290"/>
      <c r="AN228" s="275"/>
      <c r="AO228" s="276"/>
      <c r="AP228" s="275"/>
      <c r="AQ228" s="275"/>
      <c r="AR228" s="275"/>
      <c r="AS228" s="275"/>
      <c r="AT228" s="275"/>
      <c r="AU228" s="275"/>
      <c r="AV228" s="275"/>
      <c r="AW228" s="275"/>
      <c r="AX228" s="275"/>
      <c r="AY228" s="275">
        <v>20000000</v>
      </c>
      <c r="AZ228" s="275"/>
      <c r="BA228" s="275"/>
      <c r="BB228" s="275"/>
      <c r="BC228" s="275"/>
      <c r="BD228" s="275"/>
      <c r="BE228" s="275"/>
      <c r="BF228" s="275"/>
      <c r="BH228" s="277"/>
    </row>
    <row r="229" spans="1:60" ht="16.5" hidden="1" customHeight="1" x14ac:dyDescent="0.3">
      <c r="A229" s="260">
        <v>207</v>
      </c>
      <c r="B229" s="261"/>
      <c r="C229" s="261"/>
      <c r="D229" s="262" t="s">
        <v>15</v>
      </c>
      <c r="E229" s="262" t="s">
        <v>0</v>
      </c>
      <c r="F229" s="263" t="s">
        <v>15</v>
      </c>
      <c r="G229" s="264" t="s">
        <v>0</v>
      </c>
      <c r="H229" s="281"/>
      <c r="I229" s="265"/>
      <c r="J229" s="266" t="s">
        <v>51</v>
      </c>
      <c r="K229" s="262"/>
      <c r="L229" s="262"/>
      <c r="M229" s="262">
        <v>15725</v>
      </c>
      <c r="N229" s="262" t="s">
        <v>22</v>
      </c>
      <c r="O229" s="262" t="s">
        <v>56</v>
      </c>
      <c r="P229" s="262"/>
      <c r="Q229" s="262" t="s">
        <v>23</v>
      </c>
      <c r="R229" s="262" t="s">
        <v>397</v>
      </c>
      <c r="S229" s="267" t="s">
        <v>823</v>
      </c>
      <c r="T229" s="268"/>
      <c r="U229" s="269">
        <v>6000000</v>
      </c>
      <c r="V229" s="269">
        <v>0</v>
      </c>
      <c r="W229" s="278">
        <v>0</v>
      </c>
      <c r="X229" s="270"/>
      <c r="Y229" s="262" t="s">
        <v>24</v>
      </c>
      <c r="Z229" s="271" t="s">
        <v>562</v>
      </c>
      <c r="AA229" s="287"/>
      <c r="AB229" s="287"/>
      <c r="AC229" s="272">
        <f t="shared" si="9"/>
        <v>0</v>
      </c>
      <c r="AD229" s="272">
        <v>0</v>
      </c>
      <c r="AE229" s="272">
        <f t="shared" si="10"/>
        <v>0</v>
      </c>
      <c r="AF229" s="273"/>
      <c r="AG229" s="274"/>
      <c r="AH229" s="273"/>
      <c r="AI229" s="273"/>
      <c r="AJ229" s="274"/>
      <c r="AK229" s="273"/>
      <c r="AL229" s="275"/>
      <c r="AM229" s="290"/>
      <c r="AN229" s="275"/>
      <c r="AO229" s="276"/>
      <c r="AP229" s="275"/>
      <c r="AQ229" s="275"/>
      <c r="AR229" s="275"/>
      <c r="AS229" s="275"/>
      <c r="AT229" s="275"/>
      <c r="AU229" s="275"/>
      <c r="AV229" s="275"/>
      <c r="AW229" s="275"/>
      <c r="AX229" s="275"/>
      <c r="AY229" s="275"/>
      <c r="AZ229" s="275"/>
      <c r="BA229" s="275"/>
      <c r="BB229" s="275"/>
      <c r="BC229" s="275"/>
      <c r="BD229" s="275"/>
      <c r="BE229" s="275"/>
      <c r="BF229" s="275"/>
      <c r="BH229" s="277"/>
    </row>
    <row r="230" spans="1:60" ht="16.5" hidden="1" customHeight="1" x14ac:dyDescent="0.3">
      <c r="A230" s="260">
        <v>208</v>
      </c>
      <c r="B230" s="261"/>
      <c r="C230" s="261"/>
      <c r="D230" s="262" t="s">
        <v>15</v>
      </c>
      <c r="E230" s="262" t="s">
        <v>0</v>
      </c>
      <c r="F230" s="263" t="s">
        <v>15</v>
      </c>
      <c r="G230" s="264" t="s">
        <v>0</v>
      </c>
      <c r="H230" s="281"/>
      <c r="I230" s="265"/>
      <c r="J230" s="266" t="s">
        <v>221</v>
      </c>
      <c r="K230" s="262"/>
      <c r="L230" s="262"/>
      <c r="M230" s="262">
        <v>996</v>
      </c>
      <c r="N230" s="262" t="s">
        <v>17</v>
      </c>
      <c r="O230" s="262" t="s">
        <v>56</v>
      </c>
      <c r="P230" s="262" t="s">
        <v>57</v>
      </c>
      <c r="Q230" s="262" t="s">
        <v>30</v>
      </c>
      <c r="R230" s="262" t="s">
        <v>31</v>
      </c>
      <c r="S230" s="267" t="s">
        <v>31</v>
      </c>
      <c r="T230" s="268"/>
      <c r="U230" s="269">
        <v>4610000</v>
      </c>
      <c r="V230" s="269">
        <v>14942500</v>
      </c>
      <c r="W230" s="278">
        <v>10527500</v>
      </c>
      <c r="X230" s="270"/>
      <c r="Y230" s="262" t="s">
        <v>27</v>
      </c>
      <c r="Z230" s="271" t="s">
        <v>25</v>
      </c>
      <c r="AA230" s="287"/>
      <c r="AB230" s="287"/>
      <c r="AC230" s="272">
        <f t="shared" si="9"/>
        <v>10000000</v>
      </c>
      <c r="AD230" s="272">
        <v>10000000</v>
      </c>
      <c r="AE230" s="272">
        <f t="shared" si="10"/>
        <v>0</v>
      </c>
      <c r="AF230" s="273"/>
      <c r="AG230" s="274"/>
      <c r="AH230" s="273"/>
      <c r="AI230" s="273"/>
      <c r="AJ230" s="274"/>
      <c r="AK230" s="273"/>
      <c r="AL230" s="275"/>
      <c r="AM230" s="290"/>
      <c r="AN230" s="275"/>
      <c r="AO230" s="276"/>
      <c r="AP230" s="275"/>
      <c r="AQ230" s="291">
        <v>10000000</v>
      </c>
      <c r="AR230" s="275"/>
      <c r="AS230" s="275"/>
      <c r="AT230" s="275"/>
      <c r="AU230" s="275"/>
      <c r="AV230" s="275"/>
      <c r="AW230" s="275"/>
      <c r="AX230" s="275"/>
      <c r="AY230" s="275"/>
      <c r="AZ230" s="275"/>
      <c r="BA230" s="275"/>
      <c r="BB230" s="275"/>
      <c r="BC230" s="275"/>
      <c r="BD230" s="275"/>
      <c r="BE230" s="275"/>
      <c r="BF230" s="275"/>
      <c r="BH230" s="277"/>
    </row>
    <row r="231" spans="1:60" ht="16.5" hidden="1" customHeight="1" x14ac:dyDescent="0.3">
      <c r="A231" s="260">
        <v>209</v>
      </c>
      <c r="B231" s="261"/>
      <c r="C231" s="261"/>
      <c r="D231" s="262" t="s">
        <v>15</v>
      </c>
      <c r="E231" s="262" t="s">
        <v>0</v>
      </c>
      <c r="F231" s="263" t="s">
        <v>15</v>
      </c>
      <c r="G231" s="264" t="s">
        <v>0</v>
      </c>
      <c r="H231" s="281"/>
      <c r="I231" s="265"/>
      <c r="J231" s="266" t="s">
        <v>222</v>
      </c>
      <c r="K231" s="262"/>
      <c r="L231" s="262"/>
      <c r="M231" s="262">
        <v>30541</v>
      </c>
      <c r="N231" s="262" t="s">
        <v>22</v>
      </c>
      <c r="O231" s="262" t="s">
        <v>35</v>
      </c>
      <c r="P231" s="262"/>
      <c r="Q231" s="262" t="s">
        <v>63</v>
      </c>
      <c r="R231" s="262" t="s">
        <v>19</v>
      </c>
      <c r="S231" s="267" t="s">
        <v>19</v>
      </c>
      <c r="T231" s="268"/>
      <c r="U231" s="269"/>
      <c r="V231" s="269">
        <v>0</v>
      </c>
      <c r="W231" s="278">
        <v>0</v>
      </c>
      <c r="X231" s="270"/>
      <c r="Y231" s="262" t="s">
        <v>25</v>
      </c>
      <c r="Z231" s="271" t="s">
        <v>24</v>
      </c>
      <c r="AA231" s="287"/>
      <c r="AB231" s="287"/>
      <c r="AC231" s="272">
        <f t="shared" si="9"/>
        <v>20000000</v>
      </c>
      <c r="AD231" s="272">
        <v>20000000</v>
      </c>
      <c r="AE231" s="272">
        <f t="shared" si="10"/>
        <v>0</v>
      </c>
      <c r="AF231" s="273"/>
      <c r="AG231" s="274"/>
      <c r="AH231" s="273"/>
      <c r="AI231" s="273"/>
      <c r="AJ231" s="274"/>
      <c r="AK231" s="273"/>
      <c r="AL231" s="275"/>
      <c r="AM231" s="290"/>
      <c r="AN231" s="275"/>
      <c r="AO231" s="276"/>
      <c r="AP231" s="275"/>
      <c r="AQ231" s="291">
        <v>20000000</v>
      </c>
      <c r="AR231" s="275"/>
      <c r="AS231" s="275"/>
      <c r="AT231" s="275"/>
      <c r="AU231" s="275"/>
      <c r="AV231" s="275"/>
      <c r="AW231" s="275"/>
      <c r="AX231" s="275"/>
      <c r="AY231" s="275"/>
      <c r="AZ231" s="275"/>
      <c r="BA231" s="275"/>
      <c r="BB231" s="275"/>
      <c r="BC231" s="275"/>
      <c r="BD231" s="275"/>
      <c r="BE231" s="275"/>
      <c r="BF231" s="275"/>
      <c r="BH231" s="277"/>
    </row>
    <row r="232" spans="1:60" ht="16.5" hidden="1" customHeight="1" x14ac:dyDescent="0.3">
      <c r="A232" s="260">
        <v>210</v>
      </c>
      <c r="B232" s="261"/>
      <c r="C232" s="261"/>
      <c r="D232" s="262" t="s">
        <v>15</v>
      </c>
      <c r="E232" s="262" t="s">
        <v>0</v>
      </c>
      <c r="F232" s="263" t="s">
        <v>15</v>
      </c>
      <c r="G232" s="264" t="s">
        <v>0</v>
      </c>
      <c r="H232" s="281"/>
      <c r="I232" s="265"/>
      <c r="J232" s="266" t="s">
        <v>222</v>
      </c>
      <c r="K232" s="262"/>
      <c r="L232" s="262"/>
      <c r="M232" s="262">
        <v>30541</v>
      </c>
      <c r="N232" s="262" t="s">
        <v>22</v>
      </c>
      <c r="O232" s="262" t="s">
        <v>35</v>
      </c>
      <c r="P232" s="262" t="s">
        <v>57</v>
      </c>
      <c r="Q232" s="262"/>
      <c r="R232" s="262" t="s">
        <v>47</v>
      </c>
      <c r="S232" s="267" t="s">
        <v>47</v>
      </c>
      <c r="T232" s="268"/>
      <c r="U232" s="269"/>
      <c r="V232" s="269">
        <v>0</v>
      </c>
      <c r="W232" s="278">
        <v>62500000</v>
      </c>
      <c r="X232" s="270"/>
      <c r="Y232" s="262" t="s">
        <v>27</v>
      </c>
      <c r="Z232" s="271" t="s">
        <v>27</v>
      </c>
      <c r="AA232" s="287"/>
      <c r="AB232" s="287"/>
      <c r="AC232" s="272">
        <f t="shared" si="9"/>
        <v>60000000</v>
      </c>
      <c r="AD232" s="272">
        <v>60000000</v>
      </c>
      <c r="AE232" s="272">
        <f t="shared" si="10"/>
        <v>0</v>
      </c>
      <c r="AF232" s="273"/>
      <c r="AG232" s="274"/>
      <c r="AH232" s="273"/>
      <c r="AI232" s="273"/>
      <c r="AJ232" s="274"/>
      <c r="AK232" s="273"/>
      <c r="AL232" s="275"/>
      <c r="AM232" s="290"/>
      <c r="AN232" s="275"/>
      <c r="AO232" s="276"/>
      <c r="AP232" s="275"/>
      <c r="AQ232" s="275"/>
      <c r="AR232" s="275"/>
      <c r="AS232" s="275"/>
      <c r="AT232" s="275"/>
      <c r="AU232" s="275"/>
      <c r="AV232" s="275"/>
      <c r="AW232" s="275"/>
      <c r="AX232" s="275"/>
      <c r="AY232" s="275"/>
      <c r="AZ232" s="275"/>
      <c r="BA232" s="275"/>
      <c r="BB232" s="275"/>
      <c r="BC232" s="275">
        <v>60000000</v>
      </c>
      <c r="BD232" s="275"/>
      <c r="BE232" s="275"/>
      <c r="BF232" s="275"/>
      <c r="BH232" s="277"/>
    </row>
    <row r="233" spans="1:60" ht="16.5" hidden="1" customHeight="1" x14ac:dyDescent="0.3">
      <c r="A233" s="260">
        <v>211</v>
      </c>
      <c r="B233" s="261"/>
      <c r="C233" s="261"/>
      <c r="D233" s="262" t="s">
        <v>15</v>
      </c>
      <c r="E233" s="262" t="s">
        <v>0</v>
      </c>
      <c r="F233" s="263" t="s">
        <v>15</v>
      </c>
      <c r="G233" s="264" t="s">
        <v>0</v>
      </c>
      <c r="H233" s="281"/>
      <c r="I233" s="265"/>
      <c r="J233" s="266" t="s">
        <v>222</v>
      </c>
      <c r="K233" s="262"/>
      <c r="L233" s="262"/>
      <c r="M233" s="262">
        <v>30541</v>
      </c>
      <c r="N233" s="262" t="s">
        <v>22</v>
      </c>
      <c r="O233" s="262" t="s">
        <v>35</v>
      </c>
      <c r="P233" s="262" t="s">
        <v>156</v>
      </c>
      <c r="Q233" s="262" t="s">
        <v>26</v>
      </c>
      <c r="R233" s="262" t="s">
        <v>468</v>
      </c>
      <c r="S233" s="267" t="s">
        <v>468</v>
      </c>
      <c r="T233" s="268"/>
      <c r="U233" s="269" t="s">
        <v>154</v>
      </c>
      <c r="V233" s="269">
        <v>0</v>
      </c>
      <c r="W233" s="278">
        <v>0</v>
      </c>
      <c r="X233" s="270"/>
      <c r="Y233" s="262" t="s">
        <v>25</v>
      </c>
      <c r="Z233" s="271" t="s">
        <v>599</v>
      </c>
      <c r="AA233" s="287"/>
      <c r="AB233" s="287"/>
      <c r="AC233" s="272">
        <f t="shared" si="9"/>
        <v>0</v>
      </c>
      <c r="AD233" s="272">
        <v>0</v>
      </c>
      <c r="AE233" s="272">
        <f t="shared" si="10"/>
        <v>0</v>
      </c>
      <c r="AF233" s="273"/>
      <c r="AG233" s="274"/>
      <c r="AH233" s="273"/>
      <c r="AI233" s="273"/>
      <c r="AJ233" s="274"/>
      <c r="AK233" s="273"/>
      <c r="AL233" s="275"/>
      <c r="AM233" s="290"/>
      <c r="AN233" s="275"/>
      <c r="AO233" s="276"/>
      <c r="AP233" s="275"/>
      <c r="AQ233" s="275"/>
      <c r="AR233" s="275"/>
      <c r="AS233" s="275"/>
      <c r="AT233" s="275"/>
      <c r="AU233" s="275"/>
      <c r="AV233" s="275"/>
      <c r="AW233" s="275"/>
      <c r="AX233" s="275"/>
      <c r="AY233" s="275"/>
      <c r="AZ233" s="275"/>
      <c r="BA233" s="275"/>
      <c r="BB233" s="275"/>
      <c r="BC233" s="275"/>
      <c r="BD233" s="275"/>
      <c r="BE233" s="275"/>
      <c r="BF233" s="275"/>
      <c r="BH233" s="277"/>
    </row>
    <row r="234" spans="1:60" ht="16.5" hidden="1" customHeight="1" x14ac:dyDescent="0.3">
      <c r="A234" s="260">
        <v>212</v>
      </c>
      <c r="B234" s="261"/>
      <c r="C234" s="261"/>
      <c r="D234" s="262" t="s">
        <v>15</v>
      </c>
      <c r="E234" s="262" t="s">
        <v>0</v>
      </c>
      <c r="F234" s="263" t="s">
        <v>15</v>
      </c>
      <c r="G234" s="264" t="s">
        <v>0</v>
      </c>
      <c r="H234" s="281"/>
      <c r="I234" s="265"/>
      <c r="J234" s="266" t="s">
        <v>52</v>
      </c>
      <c r="K234" s="262"/>
      <c r="L234" s="262"/>
      <c r="M234" s="262">
        <v>55514</v>
      </c>
      <c r="N234" s="262" t="s">
        <v>17</v>
      </c>
      <c r="O234" s="262" t="s">
        <v>212</v>
      </c>
      <c r="P234" s="262" t="s">
        <v>57</v>
      </c>
      <c r="Q234" s="262" t="s">
        <v>30</v>
      </c>
      <c r="R234" s="262" t="s">
        <v>31</v>
      </c>
      <c r="S234" s="267" t="s">
        <v>31</v>
      </c>
      <c r="T234" s="268"/>
      <c r="U234" s="269">
        <v>1055000</v>
      </c>
      <c r="V234" s="269">
        <v>585000</v>
      </c>
      <c r="W234" s="278">
        <v>920000</v>
      </c>
      <c r="X234" s="270"/>
      <c r="Y234" s="262" t="s">
        <v>27</v>
      </c>
      <c r="Z234" s="271" t="s">
        <v>24</v>
      </c>
      <c r="AA234" s="287"/>
      <c r="AB234" s="287"/>
      <c r="AC234" s="272">
        <f t="shared" si="9"/>
        <v>1000000</v>
      </c>
      <c r="AD234" s="272">
        <v>1000000</v>
      </c>
      <c r="AE234" s="272">
        <f t="shared" si="10"/>
        <v>0</v>
      </c>
      <c r="AF234" s="273"/>
      <c r="AG234" s="274"/>
      <c r="AH234" s="273"/>
      <c r="AI234" s="273"/>
      <c r="AJ234" s="274"/>
      <c r="AK234" s="273"/>
      <c r="AL234" s="275"/>
      <c r="AM234" s="290"/>
      <c r="AN234" s="275"/>
      <c r="AO234" s="276"/>
      <c r="AP234" s="275"/>
      <c r="AQ234" s="275"/>
      <c r="AR234" s="275"/>
      <c r="AS234" s="275"/>
      <c r="AT234" s="275"/>
      <c r="AU234" s="275"/>
      <c r="AV234" s="275"/>
      <c r="AW234" s="275">
        <v>1000000</v>
      </c>
      <c r="AX234" s="275"/>
      <c r="AY234" s="275"/>
      <c r="AZ234" s="275"/>
      <c r="BA234" s="275"/>
      <c r="BB234" s="275"/>
      <c r="BC234" s="275"/>
      <c r="BD234" s="275"/>
      <c r="BE234" s="275"/>
      <c r="BF234" s="275"/>
      <c r="BH234" s="277"/>
    </row>
    <row r="235" spans="1:60" ht="16.5" hidden="1" customHeight="1" x14ac:dyDescent="0.3">
      <c r="A235" s="260">
        <v>213</v>
      </c>
      <c r="B235" s="261"/>
      <c r="C235" s="261"/>
      <c r="D235" s="262" t="s">
        <v>15</v>
      </c>
      <c r="E235" s="262" t="s">
        <v>0</v>
      </c>
      <c r="F235" s="263" t="s">
        <v>15</v>
      </c>
      <c r="G235" s="264" t="s">
        <v>0</v>
      </c>
      <c r="H235" s="281"/>
      <c r="I235" s="265"/>
      <c r="J235" s="266" t="s">
        <v>744</v>
      </c>
      <c r="K235" s="262"/>
      <c r="L235" s="262"/>
      <c r="M235" s="262">
        <v>17898</v>
      </c>
      <c r="N235" s="262" t="s">
        <v>22</v>
      </c>
      <c r="O235" s="262" t="s">
        <v>178</v>
      </c>
      <c r="P235" s="262"/>
      <c r="Q235" s="262" t="s">
        <v>18</v>
      </c>
      <c r="R235" s="262" t="s">
        <v>19</v>
      </c>
      <c r="S235" s="267" t="s">
        <v>19</v>
      </c>
      <c r="T235" s="268"/>
      <c r="U235" s="269"/>
      <c r="V235" s="269">
        <v>276000</v>
      </c>
      <c r="W235" s="278">
        <v>0</v>
      </c>
      <c r="X235" s="270"/>
      <c r="Y235" s="262" t="s">
        <v>20</v>
      </c>
      <c r="Z235" s="271" t="s">
        <v>599</v>
      </c>
      <c r="AA235" s="287"/>
      <c r="AB235" s="287"/>
      <c r="AC235" s="272">
        <f t="shared" si="9"/>
        <v>0</v>
      </c>
      <c r="AD235" s="272">
        <v>0</v>
      </c>
      <c r="AE235" s="272">
        <f t="shared" si="10"/>
        <v>0</v>
      </c>
      <c r="AF235" s="273"/>
      <c r="AG235" s="274"/>
      <c r="AH235" s="273"/>
      <c r="AI235" s="273"/>
      <c r="AJ235" s="274"/>
      <c r="AK235" s="273"/>
      <c r="AL235" s="275"/>
      <c r="AM235" s="290"/>
      <c r="AN235" s="275"/>
      <c r="AO235" s="276"/>
      <c r="AP235" s="275"/>
      <c r="AQ235" s="275"/>
      <c r="AR235" s="275"/>
      <c r="AS235" s="275"/>
      <c r="AT235" s="275"/>
      <c r="AU235" s="275"/>
      <c r="AV235" s="275"/>
      <c r="AW235" s="275"/>
      <c r="AX235" s="275"/>
      <c r="AY235" s="275"/>
      <c r="AZ235" s="275"/>
      <c r="BA235" s="275"/>
      <c r="BB235" s="275"/>
      <c r="BC235" s="275"/>
      <c r="BD235" s="275"/>
      <c r="BE235" s="275"/>
      <c r="BF235" s="275"/>
      <c r="BH235" s="277"/>
    </row>
    <row r="236" spans="1:60" ht="16.5" hidden="1" customHeight="1" x14ac:dyDescent="0.3">
      <c r="A236" s="260">
        <v>214</v>
      </c>
      <c r="B236" s="261"/>
      <c r="C236" s="261"/>
      <c r="D236" s="262" t="s">
        <v>15</v>
      </c>
      <c r="E236" s="262" t="s">
        <v>0</v>
      </c>
      <c r="F236" s="263" t="s">
        <v>15</v>
      </c>
      <c r="G236" s="264" t="s">
        <v>0</v>
      </c>
      <c r="H236" s="281"/>
      <c r="I236" s="265"/>
      <c r="J236" s="266" t="s">
        <v>575</v>
      </c>
      <c r="K236" s="262"/>
      <c r="L236" s="262"/>
      <c r="M236" s="262">
        <v>66326</v>
      </c>
      <c r="N236" s="262" t="s">
        <v>32</v>
      </c>
      <c r="O236" s="262" t="s">
        <v>178</v>
      </c>
      <c r="P236" s="262" t="s">
        <v>57</v>
      </c>
      <c r="Q236" s="262" t="s">
        <v>63</v>
      </c>
      <c r="R236" s="262" t="s">
        <v>28</v>
      </c>
      <c r="S236" s="267" t="s">
        <v>28</v>
      </c>
      <c r="T236" s="268" t="s">
        <v>951</v>
      </c>
      <c r="U236" s="269">
        <v>551451211</v>
      </c>
      <c r="V236" s="269">
        <v>0</v>
      </c>
      <c r="W236" s="278">
        <v>0</v>
      </c>
      <c r="X236" s="270"/>
      <c r="Y236" s="262" t="s">
        <v>74</v>
      </c>
      <c r="Z236" s="271" t="s">
        <v>27</v>
      </c>
      <c r="AA236" s="287"/>
      <c r="AB236" s="287"/>
      <c r="AC236" s="272">
        <f t="shared" si="9"/>
        <v>500000000</v>
      </c>
      <c r="AD236" s="272">
        <v>500000000</v>
      </c>
      <c r="AE236" s="272">
        <f t="shared" si="10"/>
        <v>0</v>
      </c>
      <c r="AF236" s="273"/>
      <c r="AG236" s="274"/>
      <c r="AH236" s="273"/>
      <c r="AI236" s="273"/>
      <c r="AJ236" s="274"/>
      <c r="AK236" s="273"/>
      <c r="AL236" s="275">
        <v>15000000</v>
      </c>
      <c r="AM236" s="290"/>
      <c r="AN236" s="275" t="s">
        <v>1022</v>
      </c>
      <c r="AO236" s="276">
        <v>15000000</v>
      </c>
      <c r="AP236" s="275"/>
      <c r="AQ236" s="275">
        <v>15000000</v>
      </c>
      <c r="AR236" s="275"/>
      <c r="AS236" s="275">
        <v>15000000</v>
      </c>
      <c r="AT236" s="275"/>
      <c r="AU236" s="275">
        <v>30000000</v>
      </c>
      <c r="AV236" s="275"/>
      <c r="AW236" s="275">
        <v>30000000</v>
      </c>
      <c r="AX236" s="275"/>
      <c r="AY236" s="275">
        <v>30000000</v>
      </c>
      <c r="AZ236" s="275"/>
      <c r="BA236" s="275">
        <v>45000000</v>
      </c>
      <c r="BB236" s="275"/>
      <c r="BC236" s="275">
        <v>320000000</v>
      </c>
      <c r="BD236" s="275"/>
      <c r="BE236" s="275"/>
      <c r="BF236" s="275"/>
      <c r="BH236" s="277"/>
    </row>
    <row r="237" spans="1:60" ht="16.5" hidden="1" customHeight="1" x14ac:dyDescent="0.3">
      <c r="A237" s="260">
        <v>215</v>
      </c>
      <c r="B237" s="261"/>
      <c r="C237" s="261"/>
      <c r="D237" s="262" t="s">
        <v>15</v>
      </c>
      <c r="E237" s="262" t="s">
        <v>0</v>
      </c>
      <c r="F237" s="263" t="s">
        <v>15</v>
      </c>
      <c r="G237" s="264" t="s">
        <v>0</v>
      </c>
      <c r="H237" s="281"/>
      <c r="I237" s="265"/>
      <c r="J237" s="266" t="s">
        <v>575</v>
      </c>
      <c r="K237" s="262"/>
      <c r="L237" s="262"/>
      <c r="M237" s="262">
        <v>29759</v>
      </c>
      <c r="N237" s="262" t="s">
        <v>32</v>
      </c>
      <c r="O237" s="262" t="s">
        <v>178</v>
      </c>
      <c r="P237" s="262" t="s">
        <v>57</v>
      </c>
      <c r="Q237" s="262" t="s">
        <v>46</v>
      </c>
      <c r="R237" s="262" t="s">
        <v>47</v>
      </c>
      <c r="S237" s="267" t="s">
        <v>47</v>
      </c>
      <c r="T237" s="268"/>
      <c r="U237" s="269">
        <v>137563636.00000006</v>
      </c>
      <c r="V237" s="269">
        <v>0</v>
      </c>
      <c r="W237" s="278">
        <v>0</v>
      </c>
      <c r="X237" s="270"/>
      <c r="Y237" s="262" t="s">
        <v>21</v>
      </c>
      <c r="Z237" s="271" t="s">
        <v>21</v>
      </c>
      <c r="AA237" s="287"/>
      <c r="AB237" s="287"/>
      <c r="AC237" s="272">
        <f t="shared" si="9"/>
        <v>0</v>
      </c>
      <c r="AD237" s="272">
        <v>0</v>
      </c>
      <c r="AE237" s="272">
        <f t="shared" si="10"/>
        <v>0</v>
      </c>
      <c r="AF237" s="273"/>
      <c r="AG237" s="274"/>
      <c r="AH237" s="273"/>
      <c r="AI237" s="273"/>
      <c r="AJ237" s="274"/>
      <c r="AK237" s="273"/>
      <c r="AL237" s="275"/>
      <c r="AM237" s="290"/>
      <c r="AN237" s="275"/>
      <c r="AO237" s="276"/>
      <c r="AP237" s="275"/>
      <c r="AQ237" s="275"/>
      <c r="AR237" s="275"/>
      <c r="AS237" s="275"/>
      <c r="AT237" s="275"/>
      <c r="AU237" s="275"/>
      <c r="AV237" s="275"/>
      <c r="AW237" s="275"/>
      <c r="AX237" s="275"/>
      <c r="AY237" s="275"/>
      <c r="AZ237" s="275"/>
      <c r="BA237" s="275"/>
      <c r="BB237" s="275"/>
      <c r="BC237" s="275"/>
      <c r="BD237" s="275"/>
      <c r="BE237" s="275"/>
      <c r="BF237" s="275"/>
      <c r="BH237" s="277"/>
    </row>
    <row r="238" spans="1:60" ht="16.5" hidden="1" customHeight="1" x14ac:dyDescent="0.3">
      <c r="A238" s="260">
        <v>216</v>
      </c>
      <c r="B238" s="261"/>
      <c r="C238" s="261"/>
      <c r="D238" s="262"/>
      <c r="E238" s="262"/>
      <c r="F238" s="263" t="s">
        <v>15</v>
      </c>
      <c r="G238" s="264" t="s">
        <v>0</v>
      </c>
      <c r="H238" s="281"/>
      <c r="I238" s="265"/>
      <c r="J238" s="266" t="s">
        <v>575</v>
      </c>
      <c r="K238" s="262"/>
      <c r="L238" s="262"/>
      <c r="M238" s="262">
        <v>29759</v>
      </c>
      <c r="N238" s="262"/>
      <c r="O238" s="262"/>
      <c r="P238" s="262"/>
      <c r="Q238" s="262"/>
      <c r="R238" s="262"/>
      <c r="S238" s="267" t="s">
        <v>469</v>
      </c>
      <c r="T238" s="268"/>
      <c r="U238" s="269"/>
      <c r="V238" s="269"/>
      <c r="W238" s="278">
        <v>19500000</v>
      </c>
      <c r="X238" s="270"/>
      <c r="Y238" s="262"/>
      <c r="Z238" s="271" t="s">
        <v>718</v>
      </c>
      <c r="AA238" s="287"/>
      <c r="AB238" s="287"/>
      <c r="AC238" s="272">
        <f t="shared" si="9"/>
        <v>0</v>
      </c>
      <c r="AD238" s="272">
        <v>0</v>
      </c>
      <c r="AE238" s="272">
        <f t="shared" si="10"/>
        <v>0</v>
      </c>
      <c r="AF238" s="273"/>
      <c r="AG238" s="274"/>
      <c r="AH238" s="273"/>
      <c r="AI238" s="273"/>
      <c r="AJ238" s="274"/>
      <c r="AK238" s="273"/>
      <c r="AL238" s="275"/>
      <c r="AM238" s="290"/>
      <c r="AN238" s="275"/>
      <c r="AO238" s="276"/>
      <c r="AP238" s="275"/>
      <c r="AQ238" s="275"/>
      <c r="AR238" s="275"/>
      <c r="AS238" s="275"/>
      <c r="AT238" s="275"/>
      <c r="AU238" s="275"/>
      <c r="AV238" s="275"/>
      <c r="AW238" s="275"/>
      <c r="AX238" s="275"/>
      <c r="AY238" s="275"/>
      <c r="AZ238" s="275"/>
      <c r="BA238" s="275"/>
      <c r="BB238" s="275"/>
      <c r="BC238" s="275"/>
      <c r="BD238" s="275"/>
      <c r="BE238" s="275"/>
      <c r="BF238" s="275"/>
      <c r="BH238" s="277"/>
    </row>
    <row r="239" spans="1:60" ht="16.5" hidden="1" customHeight="1" x14ac:dyDescent="0.3">
      <c r="A239" s="260">
        <v>217</v>
      </c>
      <c r="B239" s="261"/>
      <c r="C239" s="261"/>
      <c r="D239" s="262" t="s">
        <v>15</v>
      </c>
      <c r="E239" s="262" t="s">
        <v>0</v>
      </c>
      <c r="F239" s="263" t="s">
        <v>15</v>
      </c>
      <c r="G239" s="264" t="s">
        <v>0</v>
      </c>
      <c r="H239" s="281"/>
      <c r="I239" s="265"/>
      <c r="J239" s="266" t="s">
        <v>575</v>
      </c>
      <c r="K239" s="262"/>
      <c r="L239" s="262"/>
      <c r="M239" s="262">
        <v>29759</v>
      </c>
      <c r="N239" s="262" t="s">
        <v>32</v>
      </c>
      <c r="O239" s="262" t="s">
        <v>56</v>
      </c>
      <c r="P239" s="262" t="s">
        <v>124</v>
      </c>
      <c r="Q239" s="262" t="s">
        <v>23</v>
      </c>
      <c r="R239" s="262" t="s">
        <v>397</v>
      </c>
      <c r="S239" s="267" t="s">
        <v>823</v>
      </c>
      <c r="T239" s="268"/>
      <c r="U239" s="269">
        <v>8300000</v>
      </c>
      <c r="V239" s="269">
        <v>8300000</v>
      </c>
      <c r="W239" s="278">
        <v>8954545</v>
      </c>
      <c r="X239" s="270"/>
      <c r="Y239" s="262" t="s">
        <v>25</v>
      </c>
      <c r="Z239" s="271" t="s">
        <v>24</v>
      </c>
      <c r="AA239" s="287"/>
      <c r="AB239" s="287"/>
      <c r="AC239" s="272">
        <f t="shared" si="9"/>
        <v>10000000</v>
      </c>
      <c r="AD239" s="272">
        <v>10000000</v>
      </c>
      <c r="AE239" s="272">
        <f t="shared" si="10"/>
        <v>0</v>
      </c>
      <c r="AF239" s="273"/>
      <c r="AG239" s="274"/>
      <c r="AH239" s="273"/>
      <c r="AI239" s="273"/>
      <c r="AJ239" s="274"/>
      <c r="AK239" s="273"/>
      <c r="AL239" s="275"/>
      <c r="AM239" s="290"/>
      <c r="AN239" s="275"/>
      <c r="AO239" s="276"/>
      <c r="AP239" s="275"/>
      <c r="AQ239" s="275"/>
      <c r="AR239" s="275"/>
      <c r="AS239" s="275"/>
      <c r="AT239" s="275"/>
      <c r="AU239" s="275"/>
      <c r="AV239" s="275"/>
      <c r="AW239" s="275">
        <v>10000000</v>
      </c>
      <c r="AX239" s="275"/>
      <c r="AY239" s="275"/>
      <c r="AZ239" s="275"/>
      <c r="BA239" s="275"/>
      <c r="BB239" s="275"/>
      <c r="BC239" s="275"/>
      <c r="BD239" s="275"/>
      <c r="BE239" s="275"/>
      <c r="BF239" s="275"/>
      <c r="BH239" s="277"/>
    </row>
    <row r="240" spans="1:60" ht="16.5" hidden="1" customHeight="1" x14ac:dyDescent="0.3">
      <c r="A240" s="260">
        <v>218</v>
      </c>
      <c r="B240" s="261"/>
      <c r="C240" s="261"/>
      <c r="D240" s="262" t="s">
        <v>15</v>
      </c>
      <c r="E240" s="262" t="s">
        <v>0</v>
      </c>
      <c r="F240" s="263" t="s">
        <v>15</v>
      </c>
      <c r="G240" s="264" t="s">
        <v>0</v>
      </c>
      <c r="H240" s="281"/>
      <c r="I240" s="265"/>
      <c r="J240" s="266" t="s">
        <v>575</v>
      </c>
      <c r="K240" s="262"/>
      <c r="L240" s="262"/>
      <c r="M240" s="262">
        <v>29759</v>
      </c>
      <c r="N240" s="262" t="s">
        <v>32</v>
      </c>
      <c r="O240" s="262" t="s">
        <v>178</v>
      </c>
      <c r="P240" s="262" t="s">
        <v>57</v>
      </c>
      <c r="Q240" s="262" t="s">
        <v>39</v>
      </c>
      <c r="R240" s="262" t="s">
        <v>471</v>
      </c>
      <c r="S240" s="267" t="s">
        <v>831</v>
      </c>
      <c r="T240" s="268"/>
      <c r="U240" s="269">
        <v>15681817.909090908</v>
      </c>
      <c r="V240" s="269">
        <v>0</v>
      </c>
      <c r="W240" s="278">
        <v>0</v>
      </c>
      <c r="X240" s="270"/>
      <c r="Y240" s="262" t="s">
        <v>21</v>
      </c>
      <c r="Z240" s="271" t="s">
        <v>24</v>
      </c>
      <c r="AA240" s="287"/>
      <c r="AB240" s="287"/>
      <c r="AC240" s="272">
        <f t="shared" si="9"/>
        <v>20000000</v>
      </c>
      <c r="AD240" s="272">
        <v>20000000</v>
      </c>
      <c r="AE240" s="272">
        <f t="shared" si="10"/>
        <v>0</v>
      </c>
      <c r="AF240" s="273"/>
      <c r="AG240" s="274"/>
      <c r="AH240" s="273"/>
      <c r="AI240" s="273"/>
      <c r="AJ240" s="274"/>
      <c r="AK240" s="273"/>
      <c r="AL240" s="275"/>
      <c r="AM240" s="290"/>
      <c r="AN240" s="275"/>
      <c r="AO240" s="276"/>
      <c r="AP240" s="275"/>
      <c r="AQ240" s="275"/>
      <c r="AR240" s="275"/>
      <c r="AS240" s="275"/>
      <c r="AT240" s="275"/>
      <c r="AU240" s="275"/>
      <c r="AV240" s="275"/>
      <c r="AW240" s="275">
        <v>20000000</v>
      </c>
      <c r="AX240" s="275"/>
      <c r="AY240" s="275"/>
      <c r="AZ240" s="275"/>
      <c r="BA240" s="275"/>
      <c r="BB240" s="275"/>
      <c r="BC240" s="275"/>
      <c r="BD240" s="275"/>
      <c r="BE240" s="275"/>
      <c r="BF240" s="275"/>
      <c r="BH240" s="277"/>
    </row>
    <row r="241" spans="1:60" ht="16.5" hidden="1" customHeight="1" x14ac:dyDescent="0.3">
      <c r="A241" s="260">
        <v>219</v>
      </c>
      <c r="B241" s="261"/>
      <c r="C241" s="261"/>
      <c r="D241" s="262" t="s">
        <v>15</v>
      </c>
      <c r="E241" s="262" t="s">
        <v>0</v>
      </c>
      <c r="F241" s="263" t="s">
        <v>15</v>
      </c>
      <c r="G241" s="264" t="s">
        <v>0</v>
      </c>
      <c r="H241" s="281"/>
      <c r="I241" s="265"/>
      <c r="J241" s="266" t="s">
        <v>567</v>
      </c>
      <c r="K241" s="262"/>
      <c r="L241" s="262"/>
      <c r="M241" s="262">
        <v>29759</v>
      </c>
      <c r="N241" s="262" t="s">
        <v>32</v>
      </c>
      <c r="O241" s="262" t="s">
        <v>178</v>
      </c>
      <c r="P241" s="262" t="s">
        <v>124</v>
      </c>
      <c r="Q241" s="262" t="s">
        <v>26</v>
      </c>
      <c r="R241" s="262" t="s">
        <v>478</v>
      </c>
      <c r="S241" s="267" t="s">
        <v>478</v>
      </c>
      <c r="T241" s="268"/>
      <c r="U241" s="269">
        <v>1305100</v>
      </c>
      <c r="V241" s="269">
        <v>0</v>
      </c>
      <c r="W241" s="278">
        <v>19600000</v>
      </c>
      <c r="X241" s="270"/>
      <c r="Y241" s="262" t="s">
        <v>25</v>
      </c>
      <c r="Z241" s="271" t="s">
        <v>599</v>
      </c>
      <c r="AA241" s="287"/>
      <c r="AB241" s="287"/>
      <c r="AC241" s="272">
        <f t="shared" si="9"/>
        <v>0</v>
      </c>
      <c r="AD241" s="272">
        <v>0</v>
      </c>
      <c r="AE241" s="272">
        <f t="shared" si="10"/>
        <v>0</v>
      </c>
      <c r="AF241" s="273"/>
      <c r="AG241" s="274"/>
      <c r="AH241" s="273"/>
      <c r="AI241" s="273"/>
      <c r="AJ241" s="274"/>
      <c r="AK241" s="273"/>
      <c r="AL241" s="275"/>
      <c r="AM241" s="290"/>
      <c r="AN241" s="275"/>
      <c r="AO241" s="276"/>
      <c r="AP241" s="275"/>
      <c r="AQ241" s="275"/>
      <c r="AR241" s="275"/>
      <c r="AS241" s="275"/>
      <c r="AT241" s="275"/>
      <c r="AU241" s="275"/>
      <c r="AV241" s="275"/>
      <c r="AW241" s="275"/>
      <c r="AX241" s="275"/>
      <c r="AY241" s="275"/>
      <c r="AZ241" s="275"/>
      <c r="BA241" s="275"/>
      <c r="BB241" s="275"/>
      <c r="BC241" s="275"/>
      <c r="BD241" s="275"/>
      <c r="BE241" s="275"/>
      <c r="BF241" s="275"/>
      <c r="BH241" s="277"/>
    </row>
    <row r="242" spans="1:60" ht="16.5" hidden="1" customHeight="1" x14ac:dyDescent="0.3">
      <c r="A242" s="260">
        <v>220</v>
      </c>
      <c r="B242" s="261"/>
      <c r="C242" s="261"/>
      <c r="D242" s="262" t="s">
        <v>15</v>
      </c>
      <c r="E242" s="262" t="s">
        <v>0</v>
      </c>
      <c r="F242" s="263" t="s">
        <v>15</v>
      </c>
      <c r="G242" s="264" t="s">
        <v>0</v>
      </c>
      <c r="H242" s="281"/>
      <c r="I242" s="265"/>
      <c r="J242" s="266" t="s">
        <v>959</v>
      </c>
      <c r="K242" s="262"/>
      <c r="L242" s="262"/>
      <c r="M242" s="262">
        <v>66326</v>
      </c>
      <c r="N242" s="262" t="s">
        <v>17</v>
      </c>
      <c r="O242" s="262" t="s">
        <v>178</v>
      </c>
      <c r="P242" s="262" t="s">
        <v>57</v>
      </c>
      <c r="Q242" s="262" t="s">
        <v>59</v>
      </c>
      <c r="R242" s="262" t="s">
        <v>476</v>
      </c>
      <c r="S242" s="267" t="s">
        <v>825</v>
      </c>
      <c r="T242" s="268"/>
      <c r="U242" s="269"/>
      <c r="V242" s="269"/>
      <c r="W242" s="278">
        <v>0</v>
      </c>
      <c r="X242" s="270"/>
      <c r="Y242" s="262"/>
      <c r="Z242" s="271" t="s">
        <v>27</v>
      </c>
      <c r="AA242" s="287"/>
      <c r="AB242" s="287"/>
      <c r="AC242" s="272">
        <f t="shared" si="9"/>
        <v>200000000</v>
      </c>
      <c r="AD242" s="272">
        <v>200000000</v>
      </c>
      <c r="AE242" s="272">
        <f t="shared" si="10"/>
        <v>0</v>
      </c>
      <c r="AF242" s="273"/>
      <c r="AG242" s="274"/>
      <c r="AH242" s="273"/>
      <c r="AI242" s="273"/>
      <c r="AJ242" s="274"/>
      <c r="AK242" s="273"/>
      <c r="AL242" s="275">
        <v>20000000</v>
      </c>
      <c r="AM242" s="290"/>
      <c r="AN242" s="275" t="s">
        <v>1022</v>
      </c>
      <c r="AO242" s="276">
        <v>20000000</v>
      </c>
      <c r="AP242" s="275"/>
      <c r="AQ242" s="275">
        <v>20000000</v>
      </c>
      <c r="AR242" s="275"/>
      <c r="AS242" s="275">
        <v>20000000</v>
      </c>
      <c r="AT242" s="275"/>
      <c r="AU242" s="275">
        <v>20000000</v>
      </c>
      <c r="AV242" s="275"/>
      <c r="AW242" s="275">
        <v>20000000</v>
      </c>
      <c r="AX242" s="275"/>
      <c r="AY242" s="275">
        <v>20000000</v>
      </c>
      <c r="AZ242" s="275"/>
      <c r="BA242" s="275">
        <v>50000000</v>
      </c>
      <c r="BB242" s="275"/>
      <c r="BC242" s="275">
        <v>30000000</v>
      </c>
      <c r="BD242" s="275"/>
      <c r="BE242" s="275"/>
      <c r="BF242" s="275"/>
      <c r="BH242" s="277"/>
    </row>
    <row r="243" spans="1:60" ht="16.5" hidden="1" customHeight="1" x14ac:dyDescent="0.3">
      <c r="A243" s="260">
        <v>221</v>
      </c>
      <c r="B243" s="261"/>
      <c r="C243" s="261"/>
      <c r="D243" s="262" t="s">
        <v>15</v>
      </c>
      <c r="E243" s="262" t="s">
        <v>0</v>
      </c>
      <c r="F243" s="263" t="s">
        <v>15</v>
      </c>
      <c r="G243" s="264" t="s">
        <v>0</v>
      </c>
      <c r="H243" s="281"/>
      <c r="I243" s="265"/>
      <c r="J243" s="266" t="s">
        <v>227</v>
      </c>
      <c r="K243" s="262"/>
      <c r="L243" s="262"/>
      <c r="M243" s="262">
        <v>44405</v>
      </c>
      <c r="N243" s="262" t="s">
        <v>32</v>
      </c>
      <c r="O243" s="262" t="s">
        <v>178</v>
      </c>
      <c r="P243" s="262"/>
      <c r="Q243" s="262" t="s">
        <v>18</v>
      </c>
      <c r="R243" s="262" t="s">
        <v>19</v>
      </c>
      <c r="S243" s="267" t="s">
        <v>19</v>
      </c>
      <c r="T243" s="268"/>
      <c r="U243" s="269">
        <v>20831000</v>
      </c>
      <c r="V243" s="269">
        <v>0</v>
      </c>
      <c r="W243" s="278">
        <v>0</v>
      </c>
      <c r="X243" s="270"/>
      <c r="Y243" s="262" t="s">
        <v>25</v>
      </c>
      <c r="Z243" s="271" t="s">
        <v>24</v>
      </c>
      <c r="AA243" s="287"/>
      <c r="AB243" s="287"/>
      <c r="AC243" s="272">
        <f t="shared" si="9"/>
        <v>10000000</v>
      </c>
      <c r="AD243" s="272">
        <v>10000000</v>
      </c>
      <c r="AE243" s="272">
        <f t="shared" si="10"/>
        <v>0</v>
      </c>
      <c r="AF243" s="273"/>
      <c r="AG243" s="274"/>
      <c r="AH243" s="273"/>
      <c r="AI243" s="273"/>
      <c r="AJ243" s="274"/>
      <c r="AK243" s="273"/>
      <c r="AL243" s="275"/>
      <c r="AM243" s="290"/>
      <c r="AN243" s="275"/>
      <c r="AO243" s="276"/>
      <c r="AP243" s="275"/>
      <c r="AQ243" s="275"/>
      <c r="AR243" s="275"/>
      <c r="AS243" s="275"/>
      <c r="AT243" s="275"/>
      <c r="AU243" s="275"/>
      <c r="AV243" s="275"/>
      <c r="AW243" s="275">
        <v>5000000</v>
      </c>
      <c r="AX243" s="275"/>
      <c r="AY243" s="275"/>
      <c r="AZ243" s="275"/>
      <c r="BA243" s="275"/>
      <c r="BB243" s="275"/>
      <c r="BC243" s="275">
        <v>5000000</v>
      </c>
      <c r="BD243" s="275"/>
      <c r="BE243" s="275"/>
      <c r="BF243" s="275"/>
      <c r="BH243" s="277"/>
    </row>
    <row r="244" spans="1:60" ht="16.5" hidden="1" customHeight="1" x14ac:dyDescent="0.3">
      <c r="A244" s="260">
        <v>222</v>
      </c>
      <c r="B244" s="261"/>
      <c r="C244" s="261"/>
      <c r="D244" s="262" t="s">
        <v>15</v>
      </c>
      <c r="E244" s="262" t="s">
        <v>0</v>
      </c>
      <c r="F244" s="263" t="s">
        <v>15</v>
      </c>
      <c r="G244" s="264" t="s">
        <v>0</v>
      </c>
      <c r="H244" s="281"/>
      <c r="I244" s="265"/>
      <c r="J244" s="266" t="s">
        <v>228</v>
      </c>
      <c r="K244" s="262"/>
      <c r="L244" s="262"/>
      <c r="M244" s="262">
        <v>40020</v>
      </c>
      <c r="N244" s="262" t="s">
        <v>32</v>
      </c>
      <c r="O244" s="262" t="s">
        <v>56</v>
      </c>
      <c r="P244" s="262" t="s">
        <v>156</v>
      </c>
      <c r="Q244" s="262" t="s">
        <v>30</v>
      </c>
      <c r="R244" s="262" t="s">
        <v>31</v>
      </c>
      <c r="S244" s="267" t="s">
        <v>31</v>
      </c>
      <c r="T244" s="268"/>
      <c r="U244" s="269" t="s">
        <v>154</v>
      </c>
      <c r="V244" s="269">
        <v>3407000</v>
      </c>
      <c r="W244" s="278">
        <v>2242000</v>
      </c>
      <c r="X244" s="270"/>
      <c r="Y244" s="262" t="s">
        <v>27</v>
      </c>
      <c r="Z244" s="271" t="s">
        <v>27</v>
      </c>
      <c r="AA244" s="287"/>
      <c r="AB244" s="287"/>
      <c r="AC244" s="272">
        <f t="shared" si="9"/>
        <v>5150000</v>
      </c>
      <c r="AD244" s="272">
        <v>5150000</v>
      </c>
      <c r="AE244" s="272">
        <f t="shared" si="10"/>
        <v>0</v>
      </c>
      <c r="AF244" s="273"/>
      <c r="AG244" s="274">
        <v>540000</v>
      </c>
      <c r="AH244" s="273"/>
      <c r="AI244" s="273"/>
      <c r="AJ244" s="274">
        <v>60000</v>
      </c>
      <c r="AK244" s="273"/>
      <c r="AL244" s="275"/>
      <c r="AM244" s="290">
        <v>90000</v>
      </c>
      <c r="AN244" s="275"/>
      <c r="AO244" s="276"/>
      <c r="AP244" s="275"/>
      <c r="AQ244" s="275"/>
      <c r="AR244" s="275"/>
      <c r="AS244" s="275"/>
      <c r="AT244" s="275"/>
      <c r="AU244" s="275"/>
      <c r="AV244" s="275"/>
      <c r="AW244" s="275"/>
      <c r="AX244" s="275"/>
      <c r="AY244" s="275"/>
      <c r="AZ244" s="275"/>
      <c r="BA244" s="275">
        <v>4460000</v>
      </c>
      <c r="BB244" s="275"/>
      <c r="BC244" s="275"/>
      <c r="BD244" s="275"/>
      <c r="BE244" s="275"/>
      <c r="BF244" s="275"/>
      <c r="BH244" s="277"/>
    </row>
    <row r="245" spans="1:60" ht="16.5" hidden="1" customHeight="1" x14ac:dyDescent="0.3">
      <c r="A245" s="260">
        <v>223</v>
      </c>
      <c r="B245" s="261"/>
      <c r="C245" s="261"/>
      <c r="D245" s="262"/>
      <c r="E245" s="262"/>
      <c r="F245" s="263" t="s">
        <v>15</v>
      </c>
      <c r="G245" s="264" t="s">
        <v>0</v>
      </c>
      <c r="H245" s="281"/>
      <c r="I245" s="265"/>
      <c r="J245" s="266" t="s">
        <v>228</v>
      </c>
      <c r="K245" s="262"/>
      <c r="L245" s="262"/>
      <c r="M245" s="262">
        <v>40020</v>
      </c>
      <c r="N245" s="262"/>
      <c r="O245" s="262"/>
      <c r="P245" s="262"/>
      <c r="Q245" s="262"/>
      <c r="R245" s="262"/>
      <c r="S245" s="267" t="s">
        <v>478</v>
      </c>
      <c r="T245" s="268"/>
      <c r="U245" s="269"/>
      <c r="V245" s="269"/>
      <c r="W245" s="278">
        <v>4549500</v>
      </c>
      <c r="X245" s="270"/>
      <c r="Y245" s="262"/>
      <c r="Z245" s="271" t="s">
        <v>718</v>
      </c>
      <c r="AA245" s="287"/>
      <c r="AB245" s="287"/>
      <c r="AC245" s="272">
        <f t="shared" si="9"/>
        <v>0</v>
      </c>
      <c r="AD245" s="272">
        <v>0</v>
      </c>
      <c r="AE245" s="272">
        <f t="shared" si="10"/>
        <v>0</v>
      </c>
      <c r="AF245" s="273"/>
      <c r="AG245" s="274"/>
      <c r="AH245" s="273"/>
      <c r="AI245" s="273"/>
      <c r="AJ245" s="274"/>
      <c r="AK245" s="273"/>
      <c r="AL245" s="275"/>
      <c r="AM245" s="290"/>
      <c r="AN245" s="275"/>
      <c r="AO245" s="276"/>
      <c r="AP245" s="275"/>
      <c r="AQ245" s="275"/>
      <c r="AR245" s="275"/>
      <c r="AS245" s="275"/>
      <c r="AT245" s="275"/>
      <c r="AU245" s="275"/>
      <c r="AV245" s="275"/>
      <c r="AW245" s="275"/>
      <c r="AX245" s="275"/>
      <c r="AY245" s="275"/>
      <c r="AZ245" s="275"/>
      <c r="BA245" s="275"/>
      <c r="BB245" s="275"/>
      <c r="BC245" s="275"/>
      <c r="BD245" s="275"/>
      <c r="BE245" s="275"/>
      <c r="BF245" s="275"/>
      <c r="BH245" s="277"/>
    </row>
    <row r="246" spans="1:60" ht="16.5" hidden="1" customHeight="1" x14ac:dyDescent="0.3">
      <c r="A246" s="260">
        <v>224</v>
      </c>
      <c r="B246" s="261"/>
      <c r="C246" s="261"/>
      <c r="D246" s="262" t="s">
        <v>15</v>
      </c>
      <c r="E246" s="262" t="s">
        <v>0</v>
      </c>
      <c r="F246" s="263" t="s">
        <v>15</v>
      </c>
      <c r="G246" s="264" t="s">
        <v>0</v>
      </c>
      <c r="H246" s="281"/>
      <c r="I246" s="265"/>
      <c r="J246" s="266" t="s">
        <v>229</v>
      </c>
      <c r="K246" s="262"/>
      <c r="L246" s="262"/>
      <c r="M246" s="262">
        <v>56027</v>
      </c>
      <c r="N246" s="262" t="s">
        <v>32</v>
      </c>
      <c r="O246" s="262" t="s">
        <v>56</v>
      </c>
      <c r="P246" s="262"/>
      <c r="Q246" s="262" t="s">
        <v>26</v>
      </c>
      <c r="R246" s="262" t="s">
        <v>478</v>
      </c>
      <c r="S246" s="267" t="s">
        <v>478</v>
      </c>
      <c r="T246" s="268"/>
      <c r="U246" s="269" t="s">
        <v>154</v>
      </c>
      <c r="V246" s="269">
        <v>0</v>
      </c>
      <c r="W246" s="278">
        <v>185071853</v>
      </c>
      <c r="X246" s="270"/>
      <c r="Y246" s="262" t="s">
        <v>24</v>
      </c>
      <c r="Z246" s="271" t="s">
        <v>27</v>
      </c>
      <c r="AA246" s="287"/>
      <c r="AB246" s="287"/>
      <c r="AC246" s="272">
        <f t="shared" si="9"/>
        <v>40660000</v>
      </c>
      <c r="AD246" s="272">
        <v>40660000</v>
      </c>
      <c r="AE246" s="272">
        <f t="shared" si="10"/>
        <v>0</v>
      </c>
      <c r="AF246" s="273">
        <v>6000000</v>
      </c>
      <c r="AG246" s="274">
        <v>6400000</v>
      </c>
      <c r="AH246" s="273"/>
      <c r="AI246" s="273">
        <v>2000000</v>
      </c>
      <c r="AJ246" s="274">
        <v>2000000</v>
      </c>
      <c r="AK246" s="273"/>
      <c r="AL246" s="275">
        <v>4000000</v>
      </c>
      <c r="AM246" s="290">
        <v>7260000</v>
      </c>
      <c r="AN246" s="275"/>
      <c r="AO246" s="276">
        <v>5000000</v>
      </c>
      <c r="AP246" s="275"/>
      <c r="AQ246" s="275">
        <v>5000000</v>
      </c>
      <c r="AR246" s="275"/>
      <c r="AS246" s="275">
        <v>5000000</v>
      </c>
      <c r="AT246" s="275"/>
      <c r="AU246" s="275"/>
      <c r="AV246" s="275"/>
      <c r="AW246" s="275"/>
      <c r="AX246" s="275"/>
      <c r="AY246" s="275">
        <v>5000000</v>
      </c>
      <c r="AZ246" s="275"/>
      <c r="BA246" s="275">
        <v>5000000</v>
      </c>
      <c r="BB246" s="275"/>
      <c r="BC246" s="275"/>
      <c r="BD246" s="275"/>
      <c r="BE246" s="275"/>
      <c r="BF246" s="275"/>
      <c r="BH246" s="277"/>
    </row>
    <row r="247" spans="1:60" ht="16.5" hidden="1" customHeight="1" x14ac:dyDescent="0.3">
      <c r="A247" s="260">
        <v>225</v>
      </c>
      <c r="B247" s="261"/>
      <c r="C247" s="261"/>
      <c r="D247" s="262" t="s">
        <v>15</v>
      </c>
      <c r="E247" s="262" t="s">
        <v>0</v>
      </c>
      <c r="F247" s="263" t="s">
        <v>15</v>
      </c>
      <c r="G247" s="264" t="s">
        <v>0</v>
      </c>
      <c r="H247" s="281"/>
      <c r="I247" s="265"/>
      <c r="J247" s="266" t="s">
        <v>229</v>
      </c>
      <c r="K247" s="262"/>
      <c r="L247" s="262"/>
      <c r="M247" s="262">
        <v>56027</v>
      </c>
      <c r="N247" s="262" t="s">
        <v>32</v>
      </c>
      <c r="O247" s="262" t="s">
        <v>212</v>
      </c>
      <c r="P247" s="262" t="s">
        <v>57</v>
      </c>
      <c r="Q247" s="262" t="s">
        <v>18</v>
      </c>
      <c r="R247" s="262" t="s">
        <v>478</v>
      </c>
      <c r="S247" s="267" t="s">
        <v>478</v>
      </c>
      <c r="T247" s="268"/>
      <c r="U247" s="269"/>
      <c r="V247" s="269">
        <v>7260000</v>
      </c>
      <c r="W247" s="278">
        <v>0</v>
      </c>
      <c r="X247" s="270"/>
      <c r="Y247" s="262" t="s">
        <v>27</v>
      </c>
      <c r="Z247" s="271" t="s">
        <v>24</v>
      </c>
      <c r="AA247" s="287"/>
      <c r="AB247" s="287"/>
      <c r="AC247" s="272">
        <f t="shared" si="9"/>
        <v>30000000</v>
      </c>
      <c r="AD247" s="272">
        <v>30000000</v>
      </c>
      <c r="AE247" s="272">
        <f t="shared" si="10"/>
        <v>0</v>
      </c>
      <c r="AF247" s="273"/>
      <c r="AG247" s="274"/>
      <c r="AH247" s="273"/>
      <c r="AI247" s="273"/>
      <c r="AJ247" s="274"/>
      <c r="AK247" s="273"/>
      <c r="AL247" s="275"/>
      <c r="AM247" s="290"/>
      <c r="AN247" s="275"/>
      <c r="AO247" s="276"/>
      <c r="AP247" s="275"/>
      <c r="AQ247" s="275"/>
      <c r="AR247" s="275"/>
      <c r="AS247" s="275"/>
      <c r="AT247" s="275"/>
      <c r="AU247" s="275">
        <v>10000000</v>
      </c>
      <c r="AV247" s="275"/>
      <c r="AW247" s="275">
        <v>10000000</v>
      </c>
      <c r="AX247" s="275"/>
      <c r="AY247" s="275">
        <v>10000000</v>
      </c>
      <c r="AZ247" s="275"/>
      <c r="BA247" s="275"/>
      <c r="BB247" s="275"/>
      <c r="BC247" s="275"/>
      <c r="BD247" s="275"/>
      <c r="BE247" s="275"/>
      <c r="BF247" s="275"/>
      <c r="BH247" s="277"/>
    </row>
    <row r="248" spans="1:60" ht="16.5" hidden="1" customHeight="1" x14ac:dyDescent="0.3">
      <c r="A248" s="260">
        <v>226</v>
      </c>
      <c r="B248" s="261"/>
      <c r="C248" s="261"/>
      <c r="D248" s="262" t="s">
        <v>15</v>
      </c>
      <c r="E248" s="262" t="s">
        <v>0</v>
      </c>
      <c r="F248" s="263" t="s">
        <v>15</v>
      </c>
      <c r="G248" s="264" t="s">
        <v>0</v>
      </c>
      <c r="H248" s="281"/>
      <c r="I248" s="265"/>
      <c r="J248" s="266" t="s">
        <v>229</v>
      </c>
      <c r="K248" s="262"/>
      <c r="L248" s="262"/>
      <c r="M248" s="262">
        <v>56027</v>
      </c>
      <c r="N248" s="262" t="s">
        <v>32</v>
      </c>
      <c r="O248" s="262" t="s">
        <v>35</v>
      </c>
      <c r="P248" s="262" t="s">
        <v>57</v>
      </c>
      <c r="Q248" s="262" t="s">
        <v>26</v>
      </c>
      <c r="R248" s="262" t="s">
        <v>478</v>
      </c>
      <c r="S248" s="267" t="s">
        <v>478</v>
      </c>
      <c r="T248" s="268"/>
      <c r="U248" s="269" t="s">
        <v>154</v>
      </c>
      <c r="V248" s="269">
        <v>0</v>
      </c>
      <c r="W248" s="278">
        <v>0</v>
      </c>
      <c r="X248" s="270"/>
      <c r="Y248" s="262" t="s">
        <v>25</v>
      </c>
      <c r="Z248" s="271" t="s">
        <v>562</v>
      </c>
      <c r="AA248" s="287"/>
      <c r="AB248" s="287"/>
      <c r="AC248" s="272">
        <f t="shared" si="9"/>
        <v>0</v>
      </c>
      <c r="AD248" s="272">
        <v>0</v>
      </c>
      <c r="AE248" s="272">
        <f t="shared" si="10"/>
        <v>0</v>
      </c>
      <c r="AF248" s="273"/>
      <c r="AG248" s="274"/>
      <c r="AH248" s="273"/>
      <c r="AI248" s="273"/>
      <c r="AJ248" s="274"/>
      <c r="AK248" s="273"/>
      <c r="AL248" s="275"/>
      <c r="AM248" s="290"/>
      <c r="AN248" s="275"/>
      <c r="AO248" s="276"/>
      <c r="AP248" s="275"/>
      <c r="AQ248" s="275"/>
      <c r="AR248" s="275"/>
      <c r="AS248" s="275"/>
      <c r="AT248" s="275"/>
      <c r="AU248" s="275"/>
      <c r="AV248" s="275"/>
      <c r="AW248" s="275"/>
      <c r="AX248" s="275"/>
      <c r="AY248" s="275"/>
      <c r="AZ248" s="275"/>
      <c r="BA248" s="275"/>
      <c r="BB248" s="275"/>
      <c r="BC248" s="275"/>
      <c r="BD248" s="275"/>
      <c r="BE248" s="275"/>
      <c r="BF248" s="275"/>
      <c r="BH248" s="277"/>
    </row>
    <row r="249" spans="1:60" ht="16.5" hidden="1" customHeight="1" x14ac:dyDescent="0.3">
      <c r="A249" s="260">
        <v>227</v>
      </c>
      <c r="B249" s="261"/>
      <c r="C249" s="261"/>
      <c r="D249" s="262" t="s">
        <v>15</v>
      </c>
      <c r="E249" s="262" t="s">
        <v>0</v>
      </c>
      <c r="F249" s="263" t="s">
        <v>15</v>
      </c>
      <c r="G249" s="264" t="s">
        <v>0</v>
      </c>
      <c r="H249" s="281"/>
      <c r="I249" s="265"/>
      <c r="J249" s="266" t="s">
        <v>229</v>
      </c>
      <c r="K249" s="262"/>
      <c r="L249" s="262"/>
      <c r="M249" s="262">
        <v>847</v>
      </c>
      <c r="N249" s="262" t="s">
        <v>32</v>
      </c>
      <c r="O249" s="262" t="s">
        <v>56</v>
      </c>
      <c r="P249" s="262" t="s">
        <v>57</v>
      </c>
      <c r="Q249" s="262" t="s">
        <v>26</v>
      </c>
      <c r="R249" s="262" t="s">
        <v>478</v>
      </c>
      <c r="S249" s="267" t="s">
        <v>478</v>
      </c>
      <c r="T249" s="268"/>
      <c r="U249" s="269">
        <v>18245000</v>
      </c>
      <c r="V249" s="269">
        <v>99618000</v>
      </c>
      <c r="W249" s="278">
        <v>0</v>
      </c>
      <c r="X249" s="270"/>
      <c r="Y249" s="262" t="s">
        <v>24</v>
      </c>
      <c r="Z249" s="271" t="s">
        <v>20</v>
      </c>
      <c r="AA249" s="287"/>
      <c r="AB249" s="287"/>
      <c r="AC249" s="272">
        <f t="shared" si="9"/>
        <v>0</v>
      </c>
      <c r="AD249" s="272">
        <v>0</v>
      </c>
      <c r="AE249" s="272">
        <f t="shared" si="10"/>
        <v>0</v>
      </c>
      <c r="AF249" s="273"/>
      <c r="AG249" s="274"/>
      <c r="AH249" s="273"/>
      <c r="AI249" s="273"/>
      <c r="AJ249" s="274"/>
      <c r="AK249" s="273"/>
      <c r="AL249" s="275"/>
      <c r="AM249" s="290"/>
      <c r="AN249" s="275"/>
      <c r="AO249" s="276"/>
      <c r="AP249" s="275"/>
      <c r="AQ249" s="275"/>
      <c r="AR249" s="275"/>
      <c r="AS249" s="275"/>
      <c r="AT249" s="275"/>
      <c r="AU249" s="275"/>
      <c r="AV249" s="275"/>
      <c r="AW249" s="275"/>
      <c r="AX249" s="275"/>
      <c r="AY249" s="275"/>
      <c r="AZ249" s="275"/>
      <c r="BA249" s="275"/>
      <c r="BB249" s="275"/>
      <c r="BC249" s="275"/>
      <c r="BD249" s="275"/>
      <c r="BE249" s="275"/>
      <c r="BF249" s="275"/>
      <c r="BH249" s="277"/>
    </row>
    <row r="250" spans="1:60" ht="16.5" hidden="1" customHeight="1" x14ac:dyDescent="0.3">
      <c r="A250" s="260">
        <v>228</v>
      </c>
      <c r="B250" s="261"/>
      <c r="C250" s="261"/>
      <c r="D250" s="262" t="s">
        <v>15</v>
      </c>
      <c r="E250" s="262" t="s">
        <v>0</v>
      </c>
      <c r="F250" s="263" t="s">
        <v>15</v>
      </c>
      <c r="G250" s="264" t="s">
        <v>0</v>
      </c>
      <c r="H250" s="281"/>
      <c r="I250" s="265"/>
      <c r="J250" s="266" t="s">
        <v>229</v>
      </c>
      <c r="K250" s="262"/>
      <c r="L250" s="262"/>
      <c r="M250" s="262">
        <v>56027</v>
      </c>
      <c r="N250" s="262"/>
      <c r="O250" s="262"/>
      <c r="P250" s="262"/>
      <c r="Q250" s="262"/>
      <c r="R250" s="262"/>
      <c r="S250" s="267" t="s">
        <v>823</v>
      </c>
      <c r="T250" s="268"/>
      <c r="U250" s="269"/>
      <c r="V250" s="269"/>
      <c r="W250" s="278">
        <v>28600000</v>
      </c>
      <c r="X250" s="270"/>
      <c r="Y250" s="262"/>
      <c r="Z250" s="271" t="s">
        <v>718</v>
      </c>
      <c r="AA250" s="287"/>
      <c r="AB250" s="287"/>
      <c r="AC250" s="272">
        <f t="shared" si="9"/>
        <v>0</v>
      </c>
      <c r="AD250" s="272">
        <v>0</v>
      </c>
      <c r="AE250" s="272">
        <f t="shared" si="10"/>
        <v>0</v>
      </c>
      <c r="AF250" s="273"/>
      <c r="AG250" s="274"/>
      <c r="AH250" s="273"/>
      <c r="AI250" s="273"/>
      <c r="AJ250" s="274"/>
      <c r="AK250" s="273"/>
      <c r="AL250" s="275"/>
      <c r="AM250" s="290"/>
      <c r="AN250" s="275"/>
      <c r="AO250" s="276"/>
      <c r="AP250" s="275"/>
      <c r="AQ250" s="275"/>
      <c r="AR250" s="275"/>
      <c r="AS250" s="275"/>
      <c r="AT250" s="275"/>
      <c r="AU250" s="275"/>
      <c r="AV250" s="275"/>
      <c r="AW250" s="275"/>
      <c r="AX250" s="275"/>
      <c r="AY250" s="275"/>
      <c r="AZ250" s="275"/>
      <c r="BA250" s="275"/>
      <c r="BB250" s="275"/>
      <c r="BC250" s="275"/>
      <c r="BD250" s="275"/>
      <c r="BE250" s="275"/>
      <c r="BF250" s="275"/>
      <c r="BH250" s="277"/>
    </row>
    <row r="251" spans="1:60" ht="16.5" hidden="1" customHeight="1" x14ac:dyDescent="0.3">
      <c r="A251" s="260">
        <v>229</v>
      </c>
      <c r="B251" s="261"/>
      <c r="C251" s="261"/>
      <c r="D251" s="262" t="s">
        <v>15</v>
      </c>
      <c r="E251" s="262" t="s">
        <v>0</v>
      </c>
      <c r="F251" s="263" t="s">
        <v>15</v>
      </c>
      <c r="G251" s="264" t="s">
        <v>0</v>
      </c>
      <c r="H251" s="281"/>
      <c r="I251" s="265"/>
      <c r="J251" s="266" t="s">
        <v>745</v>
      </c>
      <c r="K251" s="262"/>
      <c r="L251" s="262"/>
      <c r="M251" s="262">
        <v>56027</v>
      </c>
      <c r="N251" s="262" t="s">
        <v>32</v>
      </c>
      <c r="O251" s="262" t="s">
        <v>212</v>
      </c>
      <c r="P251" s="262" t="s">
        <v>57</v>
      </c>
      <c r="Q251" s="262" t="s">
        <v>63</v>
      </c>
      <c r="R251" s="262" t="s">
        <v>28</v>
      </c>
      <c r="S251" s="267" t="s">
        <v>28</v>
      </c>
      <c r="T251" s="268"/>
      <c r="U251" s="269">
        <v>544607850</v>
      </c>
      <c r="V251" s="269">
        <v>0</v>
      </c>
      <c r="W251" s="278">
        <v>82798459</v>
      </c>
      <c r="X251" s="270"/>
      <c r="Y251" s="262" t="s">
        <v>27</v>
      </c>
      <c r="Z251" s="271" t="s">
        <v>20</v>
      </c>
      <c r="AA251" s="287"/>
      <c r="AB251" s="287"/>
      <c r="AC251" s="272">
        <f t="shared" si="9"/>
        <v>0</v>
      </c>
      <c r="AD251" s="272">
        <v>0</v>
      </c>
      <c r="AE251" s="272">
        <f t="shared" si="10"/>
        <v>0</v>
      </c>
      <c r="AF251" s="273"/>
      <c r="AG251" s="274"/>
      <c r="AH251" s="273"/>
      <c r="AI251" s="273"/>
      <c r="AJ251" s="274"/>
      <c r="AK251" s="273"/>
      <c r="AL251" s="275"/>
      <c r="AM251" s="290"/>
      <c r="AN251" s="275"/>
      <c r="AO251" s="276"/>
      <c r="AP251" s="275"/>
      <c r="AQ251" s="275"/>
      <c r="AR251" s="275"/>
      <c r="AS251" s="275"/>
      <c r="AT251" s="275"/>
      <c r="AU251" s="275"/>
      <c r="AV251" s="275"/>
      <c r="AW251" s="275"/>
      <c r="AX251" s="275"/>
      <c r="AY251" s="275"/>
      <c r="AZ251" s="275"/>
      <c r="BA251" s="275"/>
      <c r="BB251" s="275"/>
      <c r="BC251" s="275"/>
      <c r="BD251" s="275"/>
      <c r="BE251" s="275"/>
      <c r="BF251" s="275"/>
      <c r="BH251" s="277"/>
    </row>
    <row r="252" spans="1:60" ht="16.5" hidden="1" customHeight="1" x14ac:dyDescent="0.3">
      <c r="A252" s="260">
        <v>230</v>
      </c>
      <c r="B252" s="261"/>
      <c r="C252" s="261"/>
      <c r="D252" s="262" t="s">
        <v>15</v>
      </c>
      <c r="E252" s="262" t="s">
        <v>0</v>
      </c>
      <c r="F252" s="263" t="s">
        <v>15</v>
      </c>
      <c r="G252" s="264" t="s">
        <v>0</v>
      </c>
      <c r="H252" s="281"/>
      <c r="I252" s="265"/>
      <c r="J252" s="266" t="s">
        <v>604</v>
      </c>
      <c r="K252" s="262"/>
      <c r="L252" s="262"/>
      <c r="M252" s="262">
        <v>56027</v>
      </c>
      <c r="N252" s="262" t="s">
        <v>32</v>
      </c>
      <c r="O252" s="262" t="s">
        <v>56</v>
      </c>
      <c r="P252" s="262" t="s">
        <v>57</v>
      </c>
      <c r="Q252" s="262" t="s">
        <v>63</v>
      </c>
      <c r="R252" s="262" t="s">
        <v>28</v>
      </c>
      <c r="S252" s="267" t="s">
        <v>28</v>
      </c>
      <c r="T252" s="268" t="s">
        <v>951</v>
      </c>
      <c r="U252" s="269" t="s">
        <v>154</v>
      </c>
      <c r="V252" s="269">
        <v>572760380</v>
      </c>
      <c r="W252" s="278">
        <v>537545879</v>
      </c>
      <c r="X252" s="270"/>
      <c r="Y252" s="262" t="s">
        <v>27</v>
      </c>
      <c r="Z252" s="271" t="s">
        <v>27</v>
      </c>
      <c r="AA252" s="287"/>
      <c r="AB252" s="287"/>
      <c r="AC252" s="272">
        <f t="shared" si="9"/>
        <v>770896105</v>
      </c>
      <c r="AD252" s="272">
        <v>770896105</v>
      </c>
      <c r="AE252" s="272">
        <f t="shared" si="10"/>
        <v>0</v>
      </c>
      <c r="AF252" s="273"/>
      <c r="AG252" s="274"/>
      <c r="AH252" s="273" t="s">
        <v>808</v>
      </c>
      <c r="AI252" s="273">
        <v>70000000</v>
      </c>
      <c r="AJ252" s="274">
        <v>42660245</v>
      </c>
      <c r="AK252" s="273"/>
      <c r="AL252" s="275">
        <v>77000000</v>
      </c>
      <c r="AM252" s="290">
        <v>77235860</v>
      </c>
      <c r="AN252" s="275"/>
      <c r="AO252" s="276">
        <v>77000000</v>
      </c>
      <c r="AP252" s="275"/>
      <c r="AQ252" s="275">
        <v>77000000</v>
      </c>
      <c r="AR252" s="275"/>
      <c r="AS252" s="275">
        <v>77000000</v>
      </c>
      <c r="AT252" s="275"/>
      <c r="AU252" s="275">
        <v>70000000</v>
      </c>
      <c r="AV252" s="275"/>
      <c r="AW252" s="275">
        <v>70000000</v>
      </c>
      <c r="AX252" s="275"/>
      <c r="AY252" s="275">
        <v>70000000</v>
      </c>
      <c r="AZ252" s="275"/>
      <c r="BA252" s="275">
        <v>70000000</v>
      </c>
      <c r="BB252" s="275"/>
      <c r="BC252" s="275">
        <v>70000000</v>
      </c>
      <c r="BD252" s="275"/>
      <c r="BE252" s="275">
        <v>70000000</v>
      </c>
      <c r="BF252" s="275"/>
      <c r="BH252" s="277"/>
    </row>
    <row r="253" spans="1:60" ht="16.5" hidden="1" customHeight="1" x14ac:dyDescent="0.3">
      <c r="A253" s="260">
        <v>231</v>
      </c>
      <c r="B253" s="261"/>
      <c r="C253" s="261"/>
      <c r="D253" s="262" t="s">
        <v>15</v>
      </c>
      <c r="E253" s="262" t="s">
        <v>0</v>
      </c>
      <c r="F253" s="263" t="s">
        <v>15</v>
      </c>
      <c r="G253" s="264" t="s">
        <v>0</v>
      </c>
      <c r="H253" s="281"/>
      <c r="I253" s="265"/>
      <c r="J253" s="266" t="s">
        <v>957</v>
      </c>
      <c r="K253" s="262"/>
      <c r="L253" s="262"/>
      <c r="M253" s="262">
        <v>56027</v>
      </c>
      <c r="N253" s="262" t="s">
        <v>32</v>
      </c>
      <c r="O253" s="262" t="s">
        <v>56</v>
      </c>
      <c r="P253" s="262" t="s">
        <v>57</v>
      </c>
      <c r="Q253" s="262" t="s">
        <v>26</v>
      </c>
      <c r="R253" s="262" t="s">
        <v>478</v>
      </c>
      <c r="S253" s="267" t="s">
        <v>478</v>
      </c>
      <c r="T253" s="268"/>
      <c r="U253" s="269" t="s">
        <v>154</v>
      </c>
      <c r="V253" s="269">
        <v>0</v>
      </c>
      <c r="W253" s="278">
        <v>112671336</v>
      </c>
      <c r="X253" s="270"/>
      <c r="Y253" s="262" t="s">
        <v>27</v>
      </c>
      <c r="Z253" s="271" t="s">
        <v>27</v>
      </c>
      <c r="AA253" s="287"/>
      <c r="AB253" s="287"/>
      <c r="AC253" s="272">
        <f t="shared" si="9"/>
        <v>123368000</v>
      </c>
      <c r="AD253" s="272">
        <v>123368000</v>
      </c>
      <c r="AE253" s="272">
        <f t="shared" si="10"/>
        <v>0</v>
      </c>
      <c r="AF253" s="273"/>
      <c r="AG253" s="274"/>
      <c r="AH253" s="273"/>
      <c r="AI253" s="273"/>
      <c r="AJ253" s="274"/>
      <c r="AK253" s="273"/>
      <c r="AL253" s="275"/>
      <c r="AM253" s="290">
        <v>3368000</v>
      </c>
      <c r="AN253" s="275"/>
      <c r="AO253" s="276">
        <v>15000000</v>
      </c>
      <c r="AP253" s="275"/>
      <c r="AQ253" s="275">
        <v>15000000</v>
      </c>
      <c r="AR253" s="275"/>
      <c r="AS253" s="275">
        <v>15000000</v>
      </c>
      <c r="AT253" s="275"/>
      <c r="AU253" s="275">
        <v>15000000</v>
      </c>
      <c r="AV253" s="275"/>
      <c r="AW253" s="275">
        <v>15000000</v>
      </c>
      <c r="AX253" s="275"/>
      <c r="AY253" s="275">
        <v>15000000</v>
      </c>
      <c r="AZ253" s="275"/>
      <c r="BA253" s="275">
        <v>15000000</v>
      </c>
      <c r="BB253" s="275"/>
      <c r="BC253" s="275">
        <v>15000000</v>
      </c>
      <c r="BD253" s="275"/>
      <c r="BE253" s="275"/>
      <c r="BF253" s="275"/>
      <c r="BH253" s="277"/>
    </row>
    <row r="254" spans="1:60" ht="16.5" hidden="1" customHeight="1" x14ac:dyDescent="0.3">
      <c r="A254" s="260">
        <v>232</v>
      </c>
      <c r="B254" s="261"/>
      <c r="C254" s="261"/>
      <c r="D254" s="262"/>
      <c r="E254" s="262"/>
      <c r="F254" s="263" t="s">
        <v>15</v>
      </c>
      <c r="G254" s="264" t="s">
        <v>0</v>
      </c>
      <c r="H254" s="281"/>
      <c r="I254" s="265"/>
      <c r="J254" s="266" t="s">
        <v>957</v>
      </c>
      <c r="K254" s="262"/>
      <c r="L254" s="262"/>
      <c r="M254" s="262">
        <v>56027</v>
      </c>
      <c r="N254" s="262"/>
      <c r="O254" s="262"/>
      <c r="P254" s="262"/>
      <c r="Q254" s="262"/>
      <c r="R254" s="262"/>
      <c r="S254" s="267"/>
      <c r="T254" s="268"/>
      <c r="U254" s="269"/>
      <c r="V254" s="269"/>
      <c r="W254" s="278">
        <v>0</v>
      </c>
      <c r="X254" s="270"/>
      <c r="Y254" s="262"/>
      <c r="Z254" s="271" t="s">
        <v>718</v>
      </c>
      <c r="AA254" s="287"/>
      <c r="AB254" s="287"/>
      <c r="AC254" s="272">
        <f t="shared" si="9"/>
        <v>0</v>
      </c>
      <c r="AD254" s="272">
        <v>0</v>
      </c>
      <c r="AE254" s="272">
        <f t="shared" si="10"/>
        <v>0</v>
      </c>
      <c r="AF254" s="273"/>
      <c r="AG254" s="274"/>
      <c r="AH254" s="273"/>
      <c r="AI254" s="273"/>
      <c r="AJ254" s="274"/>
      <c r="AK254" s="273"/>
      <c r="AL254" s="275"/>
      <c r="AM254" s="290"/>
      <c r="AN254" s="275"/>
      <c r="AO254" s="276"/>
      <c r="AP254" s="275"/>
      <c r="AQ254" s="275"/>
      <c r="AR254" s="275"/>
      <c r="AS254" s="275"/>
      <c r="AT254" s="275"/>
      <c r="AU254" s="275"/>
      <c r="AV254" s="275"/>
      <c r="AW254" s="275"/>
      <c r="AX254" s="275"/>
      <c r="AY254" s="275"/>
      <c r="AZ254" s="275"/>
      <c r="BA254" s="275"/>
      <c r="BB254" s="275"/>
      <c r="BC254" s="275"/>
      <c r="BD254" s="275"/>
      <c r="BE254" s="275"/>
      <c r="BF254" s="275"/>
      <c r="BH254" s="277"/>
    </row>
    <row r="255" spans="1:60" ht="16.5" hidden="1" customHeight="1" x14ac:dyDescent="0.3">
      <c r="A255" s="260">
        <v>233</v>
      </c>
      <c r="B255" s="261"/>
      <c r="C255" s="261"/>
      <c r="D255" s="262" t="s">
        <v>15</v>
      </c>
      <c r="E255" s="262" t="s">
        <v>0</v>
      </c>
      <c r="F255" s="263" t="s">
        <v>15</v>
      </c>
      <c r="G255" s="264" t="s">
        <v>0</v>
      </c>
      <c r="H255" s="281"/>
      <c r="I255" s="265"/>
      <c r="J255" s="266" t="s">
        <v>230</v>
      </c>
      <c r="K255" s="262"/>
      <c r="L255" s="262"/>
      <c r="M255" s="262">
        <v>56028</v>
      </c>
      <c r="N255" s="262" t="s">
        <v>32</v>
      </c>
      <c r="O255" s="262" t="s">
        <v>56</v>
      </c>
      <c r="P255" s="262" t="s">
        <v>57</v>
      </c>
      <c r="Q255" s="262" t="s">
        <v>59</v>
      </c>
      <c r="R255" s="262" t="s">
        <v>476</v>
      </c>
      <c r="S255" s="267" t="s">
        <v>825</v>
      </c>
      <c r="T255" s="268"/>
      <c r="U255" s="269"/>
      <c r="V255" s="269">
        <v>0</v>
      </c>
      <c r="W255" s="278">
        <v>34799352</v>
      </c>
      <c r="X255" s="270"/>
      <c r="Y255" s="262" t="s">
        <v>27</v>
      </c>
      <c r="Z255" s="271" t="s">
        <v>27</v>
      </c>
      <c r="AA255" s="287"/>
      <c r="AB255" s="287"/>
      <c r="AC255" s="272">
        <f t="shared" si="9"/>
        <v>54942672</v>
      </c>
      <c r="AD255" s="272">
        <v>54942672</v>
      </c>
      <c r="AE255" s="272">
        <f t="shared" si="10"/>
        <v>0</v>
      </c>
      <c r="AF255" s="273"/>
      <c r="AG255" s="274"/>
      <c r="AH255" s="273" t="s">
        <v>809</v>
      </c>
      <c r="AI255" s="273">
        <v>10000000</v>
      </c>
      <c r="AJ255" s="274">
        <v>4971336</v>
      </c>
      <c r="AK255" s="273"/>
      <c r="AL255" s="275">
        <v>5000000</v>
      </c>
      <c r="AM255" s="290">
        <v>4971336</v>
      </c>
      <c r="AN255" s="275"/>
      <c r="AO255" s="276">
        <v>5000000</v>
      </c>
      <c r="AP255" s="275"/>
      <c r="AQ255" s="275">
        <v>5000000</v>
      </c>
      <c r="AR255" s="275"/>
      <c r="AS255" s="275">
        <v>5000000</v>
      </c>
      <c r="AT255" s="275"/>
      <c r="AU255" s="275">
        <v>5000000</v>
      </c>
      <c r="AV255" s="275"/>
      <c r="AW255" s="275">
        <v>5000000</v>
      </c>
      <c r="AX255" s="275"/>
      <c r="AY255" s="275">
        <v>5000000</v>
      </c>
      <c r="AZ255" s="275"/>
      <c r="BA255" s="275">
        <v>5000000</v>
      </c>
      <c r="BB255" s="275"/>
      <c r="BC255" s="275">
        <v>5000000</v>
      </c>
      <c r="BD255" s="275"/>
      <c r="BE255" s="275">
        <v>5000000</v>
      </c>
      <c r="BF255" s="275"/>
      <c r="BH255" s="277"/>
    </row>
    <row r="256" spans="1:60" ht="16.5" hidden="1" customHeight="1" x14ac:dyDescent="0.3">
      <c r="A256" s="260">
        <v>234</v>
      </c>
      <c r="B256" s="261"/>
      <c r="C256" s="261"/>
      <c r="D256" s="262" t="s">
        <v>15</v>
      </c>
      <c r="E256" s="262" t="s">
        <v>0</v>
      </c>
      <c r="F256" s="263" t="s">
        <v>15</v>
      </c>
      <c r="G256" s="264" t="s">
        <v>0</v>
      </c>
      <c r="H256" s="281"/>
      <c r="I256" s="265"/>
      <c r="J256" s="266" t="s">
        <v>635</v>
      </c>
      <c r="K256" s="262"/>
      <c r="L256" s="262"/>
      <c r="M256" s="262">
        <v>56028</v>
      </c>
      <c r="N256" s="262" t="s">
        <v>32</v>
      </c>
      <c r="O256" s="262" t="s">
        <v>56</v>
      </c>
      <c r="P256" s="262" t="s">
        <v>57</v>
      </c>
      <c r="Q256" s="262"/>
      <c r="R256" s="262" t="s">
        <v>476</v>
      </c>
      <c r="S256" s="267" t="s">
        <v>825</v>
      </c>
      <c r="T256" s="268"/>
      <c r="U256" s="269"/>
      <c r="V256" s="269"/>
      <c r="W256" s="278">
        <v>0</v>
      </c>
      <c r="X256" s="270"/>
      <c r="Y256" s="262" t="s">
        <v>27</v>
      </c>
      <c r="Z256" s="271" t="s">
        <v>20</v>
      </c>
      <c r="AA256" s="287"/>
      <c r="AB256" s="287"/>
      <c r="AC256" s="272">
        <f t="shared" si="9"/>
        <v>0</v>
      </c>
      <c r="AD256" s="272">
        <v>0</v>
      </c>
      <c r="AE256" s="272">
        <f t="shared" si="10"/>
        <v>0</v>
      </c>
      <c r="AF256" s="273"/>
      <c r="AG256" s="274"/>
      <c r="AH256" s="273"/>
      <c r="AI256" s="273"/>
      <c r="AJ256" s="274"/>
      <c r="AK256" s="273"/>
      <c r="AL256" s="275"/>
      <c r="AM256" s="290"/>
      <c r="AN256" s="275"/>
      <c r="AO256" s="276"/>
      <c r="AP256" s="275"/>
      <c r="AQ256" s="275"/>
      <c r="AR256" s="275"/>
      <c r="AS256" s="275"/>
      <c r="AT256" s="275"/>
      <c r="AU256" s="275"/>
      <c r="AV256" s="275"/>
      <c r="AW256" s="275"/>
      <c r="AX256" s="275"/>
      <c r="AY256" s="275"/>
      <c r="AZ256" s="275"/>
      <c r="BA256" s="275"/>
      <c r="BB256" s="275"/>
      <c r="BC256" s="275"/>
      <c r="BD256" s="275"/>
      <c r="BE256" s="275"/>
      <c r="BF256" s="275"/>
      <c r="BH256" s="277"/>
    </row>
    <row r="257" spans="1:60" ht="16.5" hidden="1" customHeight="1" x14ac:dyDescent="0.3">
      <c r="A257" s="260">
        <v>235</v>
      </c>
      <c r="B257" s="261"/>
      <c r="C257" s="261"/>
      <c r="D257" s="262" t="s">
        <v>15</v>
      </c>
      <c r="E257" s="262" t="s">
        <v>0</v>
      </c>
      <c r="F257" s="263" t="s">
        <v>15</v>
      </c>
      <c r="G257" s="264" t="s">
        <v>0</v>
      </c>
      <c r="H257" s="281"/>
      <c r="I257" s="265"/>
      <c r="J257" s="266" t="s">
        <v>231</v>
      </c>
      <c r="K257" s="262"/>
      <c r="L257" s="262"/>
      <c r="M257" s="262">
        <v>2647</v>
      </c>
      <c r="N257" s="262" t="s">
        <v>32</v>
      </c>
      <c r="O257" s="262" t="s">
        <v>56</v>
      </c>
      <c r="P257" s="262" t="s">
        <v>57</v>
      </c>
      <c r="Q257" s="262" t="s">
        <v>63</v>
      </c>
      <c r="R257" s="262" t="s">
        <v>28</v>
      </c>
      <c r="S257" s="267" t="s">
        <v>28</v>
      </c>
      <c r="T257" s="268"/>
      <c r="U257" s="269"/>
      <c r="V257" s="269">
        <v>0</v>
      </c>
      <c r="W257" s="278">
        <v>0</v>
      </c>
      <c r="X257" s="270"/>
      <c r="Y257" s="262" t="s">
        <v>74</v>
      </c>
      <c r="Z257" s="271" t="s">
        <v>74</v>
      </c>
      <c r="AA257" s="287"/>
      <c r="AB257" s="287"/>
      <c r="AC257" s="272">
        <f t="shared" si="9"/>
        <v>0</v>
      </c>
      <c r="AD257" s="272">
        <v>0</v>
      </c>
      <c r="AE257" s="272">
        <f t="shared" si="10"/>
        <v>0</v>
      </c>
      <c r="AF257" s="273"/>
      <c r="AG257" s="274"/>
      <c r="AH257" s="273"/>
      <c r="AI257" s="273">
        <v>200000000</v>
      </c>
      <c r="AJ257" s="274"/>
      <c r="AK257" s="273"/>
      <c r="AL257" s="275"/>
      <c r="AM257" s="290"/>
      <c r="AN257" s="275"/>
      <c r="AO257" s="276"/>
      <c r="AP257" s="275"/>
      <c r="AQ257" s="275"/>
      <c r="AR257" s="275"/>
      <c r="AS257" s="275"/>
      <c r="AT257" s="275"/>
      <c r="AU257" s="275"/>
      <c r="AV257" s="275"/>
      <c r="AW257" s="275"/>
      <c r="AX257" s="275"/>
      <c r="AY257" s="275"/>
      <c r="AZ257" s="275"/>
      <c r="BA257" s="275"/>
      <c r="BB257" s="275"/>
      <c r="BC257" s="275"/>
      <c r="BD257" s="275"/>
      <c r="BE257" s="275"/>
      <c r="BF257" s="275"/>
      <c r="BH257" s="277"/>
    </row>
    <row r="258" spans="1:60" ht="16.5" hidden="1" customHeight="1" x14ac:dyDescent="0.3">
      <c r="A258" s="260">
        <v>236</v>
      </c>
      <c r="B258" s="261"/>
      <c r="C258" s="261"/>
      <c r="D258" s="262" t="s">
        <v>15</v>
      </c>
      <c r="E258" s="262" t="s">
        <v>0</v>
      </c>
      <c r="F258" s="263" t="s">
        <v>15</v>
      </c>
      <c r="G258" s="264" t="s">
        <v>0</v>
      </c>
      <c r="H258" s="281"/>
      <c r="I258" s="265"/>
      <c r="J258" s="266" t="s">
        <v>231</v>
      </c>
      <c r="K258" s="262"/>
      <c r="L258" s="262"/>
      <c r="M258" s="262">
        <v>2647</v>
      </c>
      <c r="N258" s="262" t="s">
        <v>32</v>
      </c>
      <c r="O258" s="262" t="s">
        <v>178</v>
      </c>
      <c r="P258" s="262"/>
      <c r="Q258" s="262" t="s">
        <v>63</v>
      </c>
      <c r="R258" s="262" t="s">
        <v>28</v>
      </c>
      <c r="S258" s="267" t="s">
        <v>28</v>
      </c>
      <c r="T258" s="268"/>
      <c r="U258" s="269"/>
      <c r="V258" s="269">
        <v>0</v>
      </c>
      <c r="W258" s="278">
        <v>0</v>
      </c>
      <c r="X258" s="270"/>
      <c r="Y258" s="262" t="s">
        <v>74</v>
      </c>
      <c r="Z258" s="271" t="s">
        <v>562</v>
      </c>
      <c r="AA258" s="287"/>
      <c r="AB258" s="287"/>
      <c r="AC258" s="272">
        <f t="shared" si="9"/>
        <v>0</v>
      </c>
      <c r="AD258" s="272">
        <v>0</v>
      </c>
      <c r="AE258" s="272">
        <f t="shared" si="10"/>
        <v>0</v>
      </c>
      <c r="AF258" s="273"/>
      <c r="AG258" s="274"/>
      <c r="AH258" s="273"/>
      <c r="AI258" s="273"/>
      <c r="AJ258" s="274"/>
      <c r="AK258" s="273"/>
      <c r="AL258" s="275"/>
      <c r="AM258" s="290"/>
      <c r="AN258" s="275"/>
      <c r="AO258" s="276"/>
      <c r="AP258" s="275"/>
      <c r="AQ258" s="275"/>
      <c r="AR258" s="275"/>
      <c r="AS258" s="275"/>
      <c r="AT258" s="275"/>
      <c r="AU258" s="275"/>
      <c r="AV258" s="275"/>
      <c r="AW258" s="275"/>
      <c r="AX258" s="275"/>
      <c r="AY258" s="275"/>
      <c r="AZ258" s="275"/>
      <c r="BA258" s="275"/>
      <c r="BB258" s="275"/>
      <c r="BC258" s="275"/>
      <c r="BD258" s="275"/>
      <c r="BE258" s="275"/>
      <c r="BF258" s="275"/>
      <c r="BH258" s="277"/>
    </row>
    <row r="259" spans="1:60" ht="16.5" hidden="1" customHeight="1" x14ac:dyDescent="0.3">
      <c r="A259" s="260">
        <v>237</v>
      </c>
      <c r="B259" s="261"/>
      <c r="C259" s="261"/>
      <c r="D259" s="262" t="s">
        <v>15</v>
      </c>
      <c r="E259" s="262" t="s">
        <v>0</v>
      </c>
      <c r="F259" s="263" t="s">
        <v>15</v>
      </c>
      <c r="G259" s="264" t="s">
        <v>0</v>
      </c>
      <c r="H259" s="281"/>
      <c r="I259" s="265"/>
      <c r="J259" s="266" t="s">
        <v>232</v>
      </c>
      <c r="K259" s="262"/>
      <c r="L259" s="262"/>
      <c r="M259" s="262">
        <v>43878</v>
      </c>
      <c r="N259" s="262" t="s">
        <v>32</v>
      </c>
      <c r="O259" s="262" t="s">
        <v>56</v>
      </c>
      <c r="P259" s="262"/>
      <c r="Q259" s="262" t="s">
        <v>18</v>
      </c>
      <c r="R259" s="262" t="s">
        <v>19</v>
      </c>
      <c r="S259" s="267" t="s">
        <v>19</v>
      </c>
      <c r="T259" s="268"/>
      <c r="U259" s="269"/>
      <c r="V259" s="269">
        <v>0</v>
      </c>
      <c r="W259" s="278">
        <v>0</v>
      </c>
      <c r="X259" s="270"/>
      <c r="Y259" s="262" t="s">
        <v>25</v>
      </c>
      <c r="Z259" s="271" t="s">
        <v>24</v>
      </c>
      <c r="AA259" s="287"/>
      <c r="AB259" s="287"/>
      <c r="AC259" s="272">
        <f t="shared" si="9"/>
        <v>1000000</v>
      </c>
      <c r="AD259" s="272">
        <v>1000000</v>
      </c>
      <c r="AE259" s="272">
        <f t="shared" si="10"/>
        <v>0</v>
      </c>
      <c r="AF259" s="273"/>
      <c r="AG259" s="274"/>
      <c r="AH259" s="273"/>
      <c r="AI259" s="273"/>
      <c r="AJ259" s="274"/>
      <c r="AK259" s="273"/>
      <c r="AL259" s="275"/>
      <c r="AM259" s="290"/>
      <c r="AN259" s="275"/>
      <c r="AO259" s="276"/>
      <c r="AP259" s="275"/>
      <c r="AQ259" s="275"/>
      <c r="AR259" s="275"/>
      <c r="AS259" s="275"/>
      <c r="AT259" s="275"/>
      <c r="AU259" s="275"/>
      <c r="AV259" s="275"/>
      <c r="AW259" s="275"/>
      <c r="AX259" s="275"/>
      <c r="AY259" s="275">
        <v>1000000</v>
      </c>
      <c r="AZ259" s="275"/>
      <c r="BA259" s="275"/>
      <c r="BB259" s="275"/>
      <c r="BC259" s="275"/>
      <c r="BD259" s="275"/>
      <c r="BE259" s="275"/>
      <c r="BF259" s="275"/>
      <c r="BH259" s="277"/>
    </row>
    <row r="260" spans="1:60" ht="16.5" hidden="1" customHeight="1" x14ac:dyDescent="0.3">
      <c r="A260" s="260">
        <v>238</v>
      </c>
      <c r="B260" s="261"/>
      <c r="C260" s="261"/>
      <c r="D260" s="262" t="s">
        <v>15</v>
      </c>
      <c r="E260" s="262" t="s">
        <v>0</v>
      </c>
      <c r="F260" s="263" t="s">
        <v>15</v>
      </c>
      <c r="G260" s="264" t="s">
        <v>0</v>
      </c>
      <c r="H260" s="281"/>
      <c r="I260" s="265"/>
      <c r="J260" s="266" t="s">
        <v>234</v>
      </c>
      <c r="K260" s="262"/>
      <c r="L260" s="262"/>
      <c r="M260" s="262">
        <v>4095</v>
      </c>
      <c r="N260" s="262" t="s">
        <v>32</v>
      </c>
      <c r="O260" s="262" t="s">
        <v>56</v>
      </c>
      <c r="P260" s="262" t="s">
        <v>156</v>
      </c>
      <c r="Q260" s="262" t="s">
        <v>18</v>
      </c>
      <c r="R260" s="262" t="s">
        <v>19</v>
      </c>
      <c r="S260" s="267" t="s">
        <v>19</v>
      </c>
      <c r="T260" s="268"/>
      <c r="U260" s="269" t="s">
        <v>154</v>
      </c>
      <c r="V260" s="269">
        <v>1741000</v>
      </c>
      <c r="W260" s="278">
        <v>0</v>
      </c>
      <c r="X260" s="270"/>
      <c r="Y260" s="262" t="s">
        <v>25</v>
      </c>
      <c r="Z260" s="271" t="s">
        <v>24</v>
      </c>
      <c r="AA260" s="287"/>
      <c r="AB260" s="287"/>
      <c r="AC260" s="272">
        <f t="shared" si="9"/>
        <v>3000000</v>
      </c>
      <c r="AD260" s="272">
        <v>3000000</v>
      </c>
      <c r="AE260" s="272">
        <f t="shared" si="10"/>
        <v>0</v>
      </c>
      <c r="AF260" s="273"/>
      <c r="AG260" s="274"/>
      <c r="AH260" s="273"/>
      <c r="AI260" s="273"/>
      <c r="AJ260" s="274"/>
      <c r="AK260" s="273"/>
      <c r="AL260" s="275"/>
      <c r="AM260" s="290"/>
      <c r="AN260" s="275"/>
      <c r="AO260" s="276"/>
      <c r="AP260" s="275"/>
      <c r="AQ260" s="275"/>
      <c r="AR260" s="275"/>
      <c r="AS260" s="275"/>
      <c r="AT260" s="275"/>
      <c r="AU260" s="275"/>
      <c r="AV260" s="275"/>
      <c r="AW260" s="275"/>
      <c r="AX260" s="275"/>
      <c r="AY260" s="275"/>
      <c r="AZ260" s="275"/>
      <c r="BA260" s="275">
        <v>3000000</v>
      </c>
      <c r="BB260" s="275"/>
      <c r="BC260" s="275"/>
      <c r="BD260" s="275"/>
      <c r="BE260" s="275"/>
      <c r="BF260" s="275"/>
      <c r="BH260" s="277"/>
    </row>
    <row r="261" spans="1:60" ht="16.5" hidden="1" customHeight="1" x14ac:dyDescent="0.3">
      <c r="A261" s="260">
        <v>239</v>
      </c>
      <c r="B261" s="261"/>
      <c r="C261" s="261"/>
      <c r="D261" s="262" t="s">
        <v>15</v>
      </c>
      <c r="E261" s="262" t="s">
        <v>0</v>
      </c>
      <c r="F261" s="263" t="s">
        <v>15</v>
      </c>
      <c r="G261" s="264" t="s">
        <v>0</v>
      </c>
      <c r="H261" s="281"/>
      <c r="I261" s="265"/>
      <c r="J261" s="266" t="s">
        <v>235</v>
      </c>
      <c r="K261" s="262"/>
      <c r="L261" s="262"/>
      <c r="M261" s="262" t="s">
        <v>236</v>
      </c>
      <c r="N261" s="262" t="s">
        <v>32</v>
      </c>
      <c r="O261" s="262" t="s">
        <v>56</v>
      </c>
      <c r="P261" s="262" t="s">
        <v>57</v>
      </c>
      <c r="Q261" s="262" t="s">
        <v>62</v>
      </c>
      <c r="R261" s="262" t="s">
        <v>678</v>
      </c>
      <c r="S261" s="267" t="s">
        <v>832</v>
      </c>
      <c r="T261" s="268"/>
      <c r="U261" s="269">
        <v>17220000</v>
      </c>
      <c r="V261" s="269">
        <v>0</v>
      </c>
      <c r="W261" s="278">
        <v>0</v>
      </c>
      <c r="X261" s="270"/>
      <c r="Y261" s="262" t="s">
        <v>21</v>
      </c>
      <c r="Z261" s="271" t="s">
        <v>21</v>
      </c>
      <c r="AA261" s="287"/>
      <c r="AB261" s="287"/>
      <c r="AC261" s="272">
        <f t="shared" si="9"/>
        <v>0</v>
      </c>
      <c r="AD261" s="272">
        <v>0</v>
      </c>
      <c r="AE261" s="272">
        <f t="shared" si="10"/>
        <v>0</v>
      </c>
      <c r="AF261" s="273"/>
      <c r="AG261" s="274"/>
      <c r="AH261" s="273"/>
      <c r="AI261" s="273"/>
      <c r="AJ261" s="274"/>
      <c r="AK261" s="273"/>
      <c r="AL261" s="275"/>
      <c r="AM261" s="290"/>
      <c r="AN261" s="275"/>
      <c r="AO261" s="276"/>
      <c r="AP261" s="275"/>
      <c r="AQ261" s="275"/>
      <c r="AR261" s="275"/>
      <c r="AS261" s="275"/>
      <c r="AT261" s="275"/>
      <c r="AU261" s="275"/>
      <c r="AV261" s="275"/>
      <c r="AW261" s="275"/>
      <c r="AX261" s="275"/>
      <c r="AY261" s="275"/>
      <c r="AZ261" s="275"/>
      <c r="BA261" s="275"/>
      <c r="BB261" s="275"/>
      <c r="BC261" s="275"/>
      <c r="BD261" s="275"/>
      <c r="BE261" s="275"/>
      <c r="BF261" s="275"/>
      <c r="BH261" s="277"/>
    </row>
    <row r="262" spans="1:60" ht="16.5" hidden="1" customHeight="1" x14ac:dyDescent="0.3">
      <c r="A262" s="260">
        <v>240</v>
      </c>
      <c r="B262" s="261"/>
      <c r="C262" s="261"/>
      <c r="D262" s="262" t="s">
        <v>15</v>
      </c>
      <c r="E262" s="262" t="s">
        <v>0</v>
      </c>
      <c r="F262" s="263" t="s">
        <v>15</v>
      </c>
      <c r="G262" s="264" t="s">
        <v>0</v>
      </c>
      <c r="H262" s="281"/>
      <c r="I262" s="265"/>
      <c r="J262" s="266" t="s">
        <v>669</v>
      </c>
      <c r="K262" s="262"/>
      <c r="L262" s="262"/>
      <c r="M262" s="262">
        <v>1374</v>
      </c>
      <c r="N262" s="262" t="s">
        <v>22</v>
      </c>
      <c r="O262" s="262" t="s">
        <v>56</v>
      </c>
      <c r="P262" s="262" t="s">
        <v>156</v>
      </c>
      <c r="Q262" s="262"/>
      <c r="R262" s="262" t="s">
        <v>476</v>
      </c>
      <c r="S262" s="267" t="s">
        <v>825</v>
      </c>
      <c r="T262" s="268"/>
      <c r="U262" s="269"/>
      <c r="V262" s="269">
        <v>0</v>
      </c>
      <c r="W262" s="278">
        <v>1760000</v>
      </c>
      <c r="X262" s="270"/>
      <c r="Y262" s="262" t="s">
        <v>27</v>
      </c>
      <c r="Z262" s="271" t="s">
        <v>24</v>
      </c>
      <c r="AA262" s="287"/>
      <c r="AB262" s="287"/>
      <c r="AC262" s="272">
        <f t="shared" si="9"/>
        <v>1000000</v>
      </c>
      <c r="AD262" s="272">
        <v>1000000</v>
      </c>
      <c r="AE262" s="272">
        <f t="shared" si="10"/>
        <v>0</v>
      </c>
      <c r="AF262" s="273"/>
      <c r="AG262" s="274"/>
      <c r="AH262" s="273"/>
      <c r="AI262" s="273"/>
      <c r="AJ262" s="274"/>
      <c r="AK262" s="273"/>
      <c r="AL262" s="275"/>
      <c r="AM262" s="290"/>
      <c r="AN262" s="275"/>
      <c r="AO262" s="276"/>
      <c r="AP262" s="275"/>
      <c r="AQ262" s="291">
        <v>1000000</v>
      </c>
      <c r="AR262" s="275"/>
      <c r="AS262" s="275"/>
      <c r="AT262" s="275"/>
      <c r="AU262" s="275"/>
      <c r="AV262" s="275"/>
      <c r="AW262" s="275"/>
      <c r="AX262" s="275"/>
      <c r="AY262" s="275"/>
      <c r="AZ262" s="275"/>
      <c r="BA262" s="275"/>
      <c r="BB262" s="275"/>
      <c r="BC262" s="275"/>
      <c r="BD262" s="275"/>
      <c r="BE262" s="275"/>
      <c r="BF262" s="275"/>
      <c r="BH262" s="277"/>
    </row>
    <row r="263" spans="1:60" ht="16.5" hidden="1" customHeight="1" x14ac:dyDescent="0.3">
      <c r="A263" s="260">
        <v>241</v>
      </c>
      <c r="B263" s="261"/>
      <c r="C263" s="261"/>
      <c r="D263" s="262" t="s">
        <v>15</v>
      </c>
      <c r="E263" s="262" t="s">
        <v>0</v>
      </c>
      <c r="F263" s="263" t="s">
        <v>15</v>
      </c>
      <c r="G263" s="264" t="s">
        <v>0</v>
      </c>
      <c r="H263" s="281"/>
      <c r="I263" s="265"/>
      <c r="J263" s="266" t="s">
        <v>576</v>
      </c>
      <c r="K263" s="262"/>
      <c r="L263" s="262"/>
      <c r="M263" s="262">
        <v>1374</v>
      </c>
      <c r="N263" s="262" t="s">
        <v>22</v>
      </c>
      <c r="O263" s="262" t="s">
        <v>212</v>
      </c>
      <c r="P263" s="262" t="s">
        <v>124</v>
      </c>
      <c r="Q263" s="262" t="s">
        <v>26</v>
      </c>
      <c r="R263" s="262" t="s">
        <v>478</v>
      </c>
      <c r="S263" s="267" t="s">
        <v>478</v>
      </c>
      <c r="T263" s="268"/>
      <c r="U263" s="269">
        <v>44122500</v>
      </c>
      <c r="V263" s="269">
        <v>85291000</v>
      </c>
      <c r="W263" s="278">
        <v>37394000</v>
      </c>
      <c r="X263" s="270"/>
      <c r="Y263" s="262" t="s">
        <v>27</v>
      </c>
      <c r="Z263" s="271" t="s">
        <v>24</v>
      </c>
      <c r="AA263" s="287"/>
      <c r="AB263" s="287"/>
      <c r="AC263" s="272">
        <f t="shared" si="9"/>
        <v>30000000</v>
      </c>
      <c r="AD263" s="272">
        <v>30000000</v>
      </c>
      <c r="AE263" s="272">
        <f t="shared" si="10"/>
        <v>0</v>
      </c>
      <c r="AF263" s="273"/>
      <c r="AG263" s="274"/>
      <c r="AH263" s="273"/>
      <c r="AI263" s="273"/>
      <c r="AJ263" s="274"/>
      <c r="AK263" s="273"/>
      <c r="AL263" s="275"/>
      <c r="AM263" s="290"/>
      <c r="AN263" s="275"/>
      <c r="AO263" s="276"/>
      <c r="AP263" s="275"/>
      <c r="AQ263" s="275">
        <v>30000000</v>
      </c>
      <c r="AR263" s="275"/>
      <c r="AS263" s="275"/>
      <c r="AT263" s="275"/>
      <c r="AU263" s="275"/>
      <c r="AV263" s="275"/>
      <c r="AW263" s="275"/>
      <c r="AX263" s="275"/>
      <c r="AY263" s="275"/>
      <c r="AZ263" s="275"/>
      <c r="BA263" s="275"/>
      <c r="BB263" s="275"/>
      <c r="BC263" s="275"/>
      <c r="BD263" s="275"/>
      <c r="BE263" s="275"/>
      <c r="BF263" s="275"/>
      <c r="BH263" s="277"/>
    </row>
    <row r="264" spans="1:60" ht="16.5" hidden="1" customHeight="1" x14ac:dyDescent="0.3">
      <c r="A264" s="260">
        <v>242</v>
      </c>
      <c r="B264" s="261"/>
      <c r="C264" s="261"/>
      <c r="D264" s="262" t="s">
        <v>15</v>
      </c>
      <c r="E264" s="262" t="s">
        <v>0</v>
      </c>
      <c r="F264" s="263" t="s">
        <v>15</v>
      </c>
      <c r="G264" s="264" t="s">
        <v>0</v>
      </c>
      <c r="H264" s="281"/>
      <c r="I264" s="265"/>
      <c r="J264" s="266" t="s">
        <v>577</v>
      </c>
      <c r="K264" s="262"/>
      <c r="L264" s="262"/>
      <c r="M264" s="262">
        <v>1374</v>
      </c>
      <c r="N264" s="262" t="s">
        <v>22</v>
      </c>
      <c r="O264" s="262" t="s">
        <v>212</v>
      </c>
      <c r="P264" s="262" t="s">
        <v>124</v>
      </c>
      <c r="Q264" s="262" t="s">
        <v>26</v>
      </c>
      <c r="R264" s="262" t="s">
        <v>468</v>
      </c>
      <c r="S264" s="267" t="s">
        <v>468</v>
      </c>
      <c r="T264" s="268"/>
      <c r="U264" s="269"/>
      <c r="V264" s="269">
        <v>0</v>
      </c>
      <c r="W264" s="278">
        <v>0</v>
      </c>
      <c r="X264" s="270"/>
      <c r="Y264" s="262" t="s">
        <v>74</v>
      </c>
      <c r="Z264" s="271" t="s">
        <v>27</v>
      </c>
      <c r="AA264" s="287"/>
      <c r="AB264" s="287"/>
      <c r="AC264" s="272">
        <f t="shared" si="9"/>
        <v>21955000</v>
      </c>
      <c r="AD264" s="272">
        <v>21955000</v>
      </c>
      <c r="AE264" s="272">
        <f t="shared" si="10"/>
        <v>0</v>
      </c>
      <c r="AF264" s="273"/>
      <c r="AG264" s="274">
        <v>1700000</v>
      </c>
      <c r="AH264" s="273"/>
      <c r="AI264" s="273"/>
      <c r="AJ264" s="274"/>
      <c r="AK264" s="273"/>
      <c r="AL264" s="275">
        <v>20255000</v>
      </c>
      <c r="AM264" s="290">
        <v>20255000</v>
      </c>
      <c r="AN264" s="275"/>
      <c r="AO264" s="276"/>
      <c r="AP264" s="275"/>
      <c r="AQ264" s="275"/>
      <c r="AR264" s="275"/>
      <c r="AS264" s="275"/>
      <c r="AT264" s="275"/>
      <c r="AU264" s="275"/>
      <c r="AV264" s="275"/>
      <c r="AW264" s="275"/>
      <c r="AX264" s="275"/>
      <c r="AY264" s="275"/>
      <c r="AZ264" s="275"/>
      <c r="BA264" s="275"/>
      <c r="BB264" s="275"/>
      <c r="BC264" s="275"/>
      <c r="BD264" s="275"/>
      <c r="BE264" s="275"/>
      <c r="BF264" s="275"/>
      <c r="BH264" s="277"/>
    </row>
    <row r="265" spans="1:60" ht="16.5" hidden="1" customHeight="1" x14ac:dyDescent="0.3">
      <c r="A265" s="260">
        <v>243</v>
      </c>
      <c r="B265" s="261"/>
      <c r="C265" s="261"/>
      <c r="D265" s="262" t="s">
        <v>15</v>
      </c>
      <c r="E265" s="262" t="s">
        <v>175</v>
      </c>
      <c r="F265" s="263" t="s">
        <v>15</v>
      </c>
      <c r="G265" s="264" t="s">
        <v>175</v>
      </c>
      <c r="H265" s="281"/>
      <c r="I265" s="265"/>
      <c r="J265" s="266" t="s">
        <v>791</v>
      </c>
      <c r="K265" s="262"/>
      <c r="L265" s="262"/>
      <c r="M265" s="262">
        <v>58760</v>
      </c>
      <c r="N265" s="262" t="s">
        <v>32</v>
      </c>
      <c r="O265" s="262"/>
      <c r="P265" s="262" t="s">
        <v>57</v>
      </c>
      <c r="Q265" s="262" t="s">
        <v>18</v>
      </c>
      <c r="R265" s="262" t="s">
        <v>19</v>
      </c>
      <c r="S265" s="267" t="s">
        <v>19</v>
      </c>
      <c r="T265" s="268"/>
      <c r="U265" s="269">
        <v>9697560</v>
      </c>
      <c r="V265" s="269">
        <v>0</v>
      </c>
      <c r="W265" s="278">
        <v>0</v>
      </c>
      <c r="X265" s="270"/>
      <c r="Y265" s="262" t="s">
        <v>21</v>
      </c>
      <c r="Z265" s="271" t="s">
        <v>21</v>
      </c>
      <c r="AA265" s="287"/>
      <c r="AB265" s="287"/>
      <c r="AC265" s="272">
        <f t="shared" si="9"/>
        <v>0</v>
      </c>
      <c r="AD265" s="272">
        <v>0</v>
      </c>
      <c r="AE265" s="272">
        <f t="shared" si="10"/>
        <v>0</v>
      </c>
      <c r="AF265" s="273"/>
      <c r="AG265" s="274"/>
      <c r="AH265" s="273"/>
      <c r="AI265" s="273"/>
      <c r="AJ265" s="274"/>
      <c r="AK265" s="273"/>
      <c r="AL265" s="275"/>
      <c r="AM265" s="290"/>
      <c r="AN265" s="275"/>
      <c r="AO265" s="276"/>
      <c r="AP265" s="275"/>
      <c r="AQ265" s="275"/>
      <c r="AR265" s="275"/>
      <c r="AS265" s="275"/>
      <c r="AT265" s="275"/>
      <c r="AU265" s="275"/>
      <c r="AV265" s="275"/>
      <c r="AW265" s="275"/>
      <c r="AX265" s="275"/>
      <c r="AY265" s="275"/>
      <c r="AZ265" s="275"/>
      <c r="BA265" s="275"/>
      <c r="BB265" s="275"/>
      <c r="BC265" s="275"/>
      <c r="BD265" s="275"/>
      <c r="BE265" s="275"/>
      <c r="BF265" s="275"/>
      <c r="BH265" s="277"/>
    </row>
    <row r="266" spans="1:60" ht="16.5" customHeight="1" x14ac:dyDescent="0.3">
      <c r="A266" s="260">
        <v>244</v>
      </c>
      <c r="B266" s="261"/>
      <c r="C266" s="261"/>
      <c r="D266" s="262" t="s">
        <v>15</v>
      </c>
      <c r="E266" s="262" t="s">
        <v>175</v>
      </c>
      <c r="F266" s="263" t="s">
        <v>15</v>
      </c>
      <c r="G266" s="264" t="s">
        <v>175</v>
      </c>
      <c r="H266" s="281"/>
      <c r="I266" s="265"/>
      <c r="J266" s="266" t="s">
        <v>335</v>
      </c>
      <c r="K266" s="262"/>
      <c r="L266" s="262"/>
      <c r="M266" s="262">
        <v>3702</v>
      </c>
      <c r="N266" s="262" t="s">
        <v>22</v>
      </c>
      <c r="O266" s="262" t="s">
        <v>56</v>
      </c>
      <c r="P266" s="262" t="s">
        <v>57</v>
      </c>
      <c r="Q266" s="262" t="s">
        <v>63</v>
      </c>
      <c r="R266" s="262" t="s">
        <v>28</v>
      </c>
      <c r="S266" s="267" t="s">
        <v>28</v>
      </c>
      <c r="T266" s="268" t="s">
        <v>951</v>
      </c>
      <c r="U266" s="269">
        <v>127367508</v>
      </c>
      <c r="V266" s="269">
        <v>126577610</v>
      </c>
      <c r="W266" s="278">
        <v>107101690</v>
      </c>
      <c r="X266" s="270"/>
      <c r="Y266" s="262" t="s">
        <v>27</v>
      </c>
      <c r="Z266" s="271" t="s">
        <v>27</v>
      </c>
      <c r="AA266" s="287"/>
      <c r="AB266" s="287"/>
      <c r="AC266" s="272">
        <f t="shared" si="9"/>
        <v>122902870</v>
      </c>
      <c r="AD266" s="272">
        <v>122902870</v>
      </c>
      <c r="AE266" s="272">
        <f t="shared" si="10"/>
        <v>0</v>
      </c>
      <c r="AF266" s="273">
        <v>13409180</v>
      </c>
      <c r="AG266" s="274">
        <v>13409180</v>
      </c>
      <c r="AH266" s="273"/>
      <c r="AI266" s="273">
        <v>10000000</v>
      </c>
      <c r="AJ266" s="274">
        <v>9481690</v>
      </c>
      <c r="AK266" s="273"/>
      <c r="AL266" s="275">
        <v>3332000</v>
      </c>
      <c r="AM266" s="290">
        <v>3332000</v>
      </c>
      <c r="AN266" s="275"/>
      <c r="AO266" s="276">
        <v>16680000</v>
      </c>
      <c r="AP266" s="275"/>
      <c r="AQ266" s="275">
        <v>10000000</v>
      </c>
      <c r="AR266" s="275"/>
      <c r="AS266" s="275">
        <v>10000000</v>
      </c>
      <c r="AT266" s="275"/>
      <c r="AU266" s="275">
        <v>10000000</v>
      </c>
      <c r="AV266" s="275"/>
      <c r="AW266" s="275">
        <v>10000000</v>
      </c>
      <c r="AX266" s="275"/>
      <c r="AY266" s="275">
        <v>10000000</v>
      </c>
      <c r="AZ266" s="275"/>
      <c r="BA266" s="275">
        <v>10000000</v>
      </c>
      <c r="BB266" s="275"/>
      <c r="BC266" s="275">
        <v>10000000</v>
      </c>
      <c r="BD266" s="275"/>
      <c r="BE266" s="275">
        <v>10000000</v>
      </c>
      <c r="BF266" s="275"/>
      <c r="BH266" s="277"/>
    </row>
    <row r="267" spans="1:60" ht="16.5" hidden="1" customHeight="1" x14ac:dyDescent="0.3">
      <c r="A267" s="260">
        <v>245</v>
      </c>
      <c r="B267" s="261"/>
      <c r="C267" s="261"/>
      <c r="D267" s="262" t="s">
        <v>15</v>
      </c>
      <c r="E267" s="262" t="s">
        <v>175</v>
      </c>
      <c r="F267" s="263" t="s">
        <v>15</v>
      </c>
      <c r="G267" s="264" t="s">
        <v>175</v>
      </c>
      <c r="H267" s="281"/>
      <c r="I267" s="265"/>
      <c r="J267" s="266" t="s">
        <v>335</v>
      </c>
      <c r="K267" s="262"/>
      <c r="L267" s="262"/>
      <c r="M267" s="262">
        <v>3702</v>
      </c>
      <c r="N267" s="262" t="s">
        <v>22</v>
      </c>
      <c r="O267" s="262" t="s">
        <v>56</v>
      </c>
      <c r="P267" s="262" t="s">
        <v>57</v>
      </c>
      <c r="Q267" s="262" t="s">
        <v>63</v>
      </c>
      <c r="R267" s="262" t="s">
        <v>468</v>
      </c>
      <c r="S267" s="267" t="s">
        <v>468</v>
      </c>
      <c r="T267" s="268"/>
      <c r="U267" s="269">
        <v>0</v>
      </c>
      <c r="V267" s="269">
        <v>0</v>
      </c>
      <c r="W267" s="278">
        <v>0</v>
      </c>
      <c r="X267" s="270"/>
      <c r="Y267" s="262" t="s">
        <v>25</v>
      </c>
      <c r="Z267" s="271" t="s">
        <v>718</v>
      </c>
      <c r="AA267" s="287"/>
      <c r="AB267" s="287"/>
      <c r="AC267" s="272">
        <f t="shared" si="9"/>
        <v>0</v>
      </c>
      <c r="AD267" s="272">
        <v>0</v>
      </c>
      <c r="AE267" s="272">
        <f t="shared" si="10"/>
        <v>0</v>
      </c>
      <c r="AF267" s="273"/>
      <c r="AG267" s="274"/>
      <c r="AH267" s="273"/>
      <c r="AI267" s="273"/>
      <c r="AJ267" s="274"/>
      <c r="AK267" s="273"/>
      <c r="AL267" s="275"/>
      <c r="AM267" s="290"/>
      <c r="AN267" s="275"/>
      <c r="AO267" s="276"/>
      <c r="AP267" s="275"/>
      <c r="AQ267" s="275"/>
      <c r="AR267" s="275"/>
      <c r="AS267" s="275"/>
      <c r="AT267" s="275"/>
      <c r="AU267" s="275"/>
      <c r="AV267" s="275"/>
      <c r="AW267" s="275"/>
      <c r="AX267" s="275"/>
      <c r="AY267" s="275"/>
      <c r="AZ267" s="275"/>
      <c r="BA267" s="275"/>
      <c r="BB267" s="275"/>
      <c r="BC267" s="275"/>
      <c r="BD267" s="275"/>
      <c r="BE267" s="275"/>
      <c r="BF267" s="275"/>
      <c r="BH267" s="277"/>
    </row>
    <row r="268" spans="1:60" ht="16.5" hidden="1" customHeight="1" x14ac:dyDescent="0.3">
      <c r="A268" s="260">
        <v>246</v>
      </c>
      <c r="B268" s="261"/>
      <c r="C268" s="261"/>
      <c r="D268" s="262" t="s">
        <v>15</v>
      </c>
      <c r="E268" s="262" t="s">
        <v>175</v>
      </c>
      <c r="F268" s="263" t="s">
        <v>15</v>
      </c>
      <c r="G268" s="264" t="s">
        <v>175</v>
      </c>
      <c r="H268" s="281"/>
      <c r="I268" s="265"/>
      <c r="J268" s="266" t="s">
        <v>336</v>
      </c>
      <c r="K268" s="262"/>
      <c r="L268" s="262"/>
      <c r="M268" s="262">
        <v>42616</v>
      </c>
      <c r="N268" s="262" t="s">
        <v>32</v>
      </c>
      <c r="O268" s="262" t="s">
        <v>178</v>
      </c>
      <c r="P268" s="262" t="s">
        <v>57</v>
      </c>
      <c r="Q268" s="262" t="s">
        <v>44</v>
      </c>
      <c r="R268" s="262" t="s">
        <v>469</v>
      </c>
      <c r="S268" s="267" t="s">
        <v>1030</v>
      </c>
      <c r="T268" s="268"/>
      <c r="U268" s="269">
        <v>177272727</v>
      </c>
      <c r="V268" s="269">
        <v>0</v>
      </c>
      <c r="W268" s="278">
        <v>0</v>
      </c>
      <c r="X268" s="270"/>
      <c r="Y268" s="262" t="s">
        <v>25</v>
      </c>
      <c r="Z268" s="271" t="s">
        <v>21</v>
      </c>
      <c r="AA268" s="287"/>
      <c r="AB268" s="287"/>
      <c r="AC268" s="272">
        <f t="shared" si="9"/>
        <v>0</v>
      </c>
      <c r="AD268" s="272">
        <v>0</v>
      </c>
      <c r="AE268" s="272">
        <f t="shared" si="10"/>
        <v>0</v>
      </c>
      <c r="AF268" s="273"/>
      <c r="AG268" s="274"/>
      <c r="AH268" s="273"/>
      <c r="AI268" s="273"/>
      <c r="AJ268" s="274"/>
      <c r="AK268" s="273"/>
      <c r="AL268" s="275"/>
      <c r="AM268" s="290"/>
      <c r="AN268" s="275"/>
      <c r="AO268" s="276"/>
      <c r="AP268" s="275"/>
      <c r="AQ268" s="275"/>
      <c r="AR268" s="275"/>
      <c r="AS268" s="275"/>
      <c r="AT268" s="275"/>
      <c r="AU268" s="275"/>
      <c r="AV268" s="275"/>
      <c r="AW268" s="275"/>
      <c r="AX268" s="275"/>
      <c r="AY268" s="275"/>
      <c r="AZ268" s="275"/>
      <c r="BA268" s="275"/>
      <c r="BB268" s="275"/>
      <c r="BC268" s="275"/>
      <c r="BD268" s="275"/>
      <c r="BE268" s="275"/>
      <c r="BF268" s="275"/>
      <c r="BH268" s="277"/>
    </row>
    <row r="269" spans="1:60" ht="16.5" customHeight="1" x14ac:dyDescent="0.3">
      <c r="A269" s="260">
        <v>247</v>
      </c>
      <c r="B269" s="261"/>
      <c r="C269" s="261"/>
      <c r="D269" s="262" t="s">
        <v>15</v>
      </c>
      <c r="E269" s="262" t="s">
        <v>175</v>
      </c>
      <c r="F269" s="263" t="s">
        <v>15</v>
      </c>
      <c r="G269" s="264" t="s">
        <v>175</v>
      </c>
      <c r="H269" s="281"/>
      <c r="I269" s="265"/>
      <c r="J269" s="266" t="s">
        <v>336</v>
      </c>
      <c r="K269" s="262"/>
      <c r="L269" s="262"/>
      <c r="M269" s="262">
        <v>42616</v>
      </c>
      <c r="N269" s="262" t="s">
        <v>32</v>
      </c>
      <c r="O269" s="262" t="s">
        <v>178</v>
      </c>
      <c r="P269" s="262" t="s">
        <v>57</v>
      </c>
      <c r="Q269" s="262"/>
      <c r="R269" s="262" t="s">
        <v>468</v>
      </c>
      <c r="S269" s="267" t="s">
        <v>468</v>
      </c>
      <c r="T269" s="268"/>
      <c r="U269" s="269"/>
      <c r="V269" s="269"/>
      <c r="W269" s="278">
        <v>268409091</v>
      </c>
      <c r="X269" s="270"/>
      <c r="Y269" s="262" t="s">
        <v>27</v>
      </c>
      <c r="Z269" s="271" t="s">
        <v>27</v>
      </c>
      <c r="AA269" s="287"/>
      <c r="AB269" s="287"/>
      <c r="AC269" s="272">
        <f t="shared" si="9"/>
        <v>230000000</v>
      </c>
      <c r="AD269" s="272">
        <v>230000000</v>
      </c>
      <c r="AE269" s="272">
        <f t="shared" si="10"/>
        <v>0</v>
      </c>
      <c r="AF269" s="273"/>
      <c r="AG269" s="274"/>
      <c r="AH269" s="273"/>
      <c r="AI269" s="273"/>
      <c r="AJ269" s="274"/>
      <c r="AK269" s="273"/>
      <c r="AL269" s="275"/>
      <c r="AM269" s="290"/>
      <c r="AN269" s="275"/>
      <c r="AO269" s="276"/>
      <c r="AP269" s="275"/>
      <c r="AQ269" s="275">
        <v>160000000</v>
      </c>
      <c r="AR269" s="275"/>
      <c r="AS269" s="275"/>
      <c r="AT269" s="275"/>
      <c r="AU269" s="275"/>
      <c r="AV269" s="275"/>
      <c r="AW269" s="275">
        <v>70000000</v>
      </c>
      <c r="AX269" s="275"/>
      <c r="AY269" s="275"/>
      <c r="AZ269" s="275"/>
      <c r="BA269" s="275"/>
      <c r="BB269" s="275"/>
      <c r="BC269" s="275"/>
      <c r="BD269" s="275"/>
      <c r="BE269" s="275"/>
      <c r="BF269" s="275"/>
      <c r="BH269" s="277"/>
    </row>
    <row r="270" spans="1:60" ht="16.5" hidden="1" customHeight="1" x14ac:dyDescent="0.3">
      <c r="A270" s="260">
        <v>248</v>
      </c>
      <c r="B270" s="261"/>
      <c r="C270" s="261"/>
      <c r="D270" s="262" t="s">
        <v>15</v>
      </c>
      <c r="E270" s="262" t="s">
        <v>175</v>
      </c>
      <c r="F270" s="263" t="s">
        <v>15</v>
      </c>
      <c r="G270" s="264" t="s">
        <v>175</v>
      </c>
      <c r="H270" s="281"/>
      <c r="I270" s="265"/>
      <c r="J270" s="266" t="s">
        <v>336</v>
      </c>
      <c r="K270" s="262"/>
      <c r="L270" s="262"/>
      <c r="M270" s="262">
        <v>42616</v>
      </c>
      <c r="N270" s="262" t="s">
        <v>32</v>
      </c>
      <c r="O270" s="262" t="s">
        <v>178</v>
      </c>
      <c r="P270" s="262" t="s">
        <v>57</v>
      </c>
      <c r="Q270" s="262"/>
      <c r="R270" s="262"/>
      <c r="S270" s="267" t="s">
        <v>823</v>
      </c>
      <c r="T270" s="268"/>
      <c r="U270" s="269"/>
      <c r="V270" s="269">
        <v>0</v>
      </c>
      <c r="W270" s="278">
        <v>0</v>
      </c>
      <c r="X270" s="270"/>
      <c r="Y270" s="262"/>
      <c r="Z270" s="271" t="s">
        <v>562</v>
      </c>
      <c r="AA270" s="287"/>
      <c r="AB270" s="287"/>
      <c r="AC270" s="272">
        <f t="shared" si="9"/>
        <v>182000000</v>
      </c>
      <c r="AD270" s="272">
        <v>182000000</v>
      </c>
      <c r="AE270" s="272">
        <f t="shared" si="10"/>
        <v>0</v>
      </c>
      <c r="AF270" s="273"/>
      <c r="AG270" s="274"/>
      <c r="AH270" s="273"/>
      <c r="AI270" s="273"/>
      <c r="AJ270" s="274"/>
      <c r="AK270" s="273"/>
      <c r="AL270" s="275"/>
      <c r="AM270" s="290"/>
      <c r="AN270" s="275"/>
      <c r="AO270" s="276">
        <v>100000000</v>
      </c>
      <c r="AP270" s="275"/>
      <c r="AQ270" s="275"/>
      <c r="AR270" s="275"/>
      <c r="AS270" s="275"/>
      <c r="AT270" s="275"/>
      <c r="AU270" s="275"/>
      <c r="AV270" s="275"/>
      <c r="AW270" s="275">
        <v>82000000</v>
      </c>
      <c r="AX270" s="275"/>
      <c r="AY270" s="275"/>
      <c r="AZ270" s="275"/>
      <c r="BA270" s="275"/>
      <c r="BB270" s="275"/>
      <c r="BC270" s="275"/>
      <c r="BD270" s="275"/>
      <c r="BE270" s="275"/>
      <c r="BF270" s="275"/>
      <c r="BH270" s="277"/>
    </row>
    <row r="271" spans="1:60" ht="16.5" customHeight="1" x14ac:dyDescent="0.3">
      <c r="A271" s="260">
        <v>249</v>
      </c>
      <c r="B271" s="261"/>
      <c r="C271" s="261"/>
      <c r="D271" s="262" t="s">
        <v>15</v>
      </c>
      <c r="E271" s="262" t="s">
        <v>175</v>
      </c>
      <c r="F271" s="263" t="s">
        <v>15</v>
      </c>
      <c r="G271" s="264" t="s">
        <v>175</v>
      </c>
      <c r="H271" s="281"/>
      <c r="I271" s="265"/>
      <c r="J271" s="266" t="s">
        <v>457</v>
      </c>
      <c r="K271" s="262"/>
      <c r="L271" s="262"/>
      <c r="M271" s="262">
        <v>62518</v>
      </c>
      <c r="N271" s="262" t="s">
        <v>32</v>
      </c>
      <c r="O271" s="262" t="s">
        <v>56</v>
      </c>
      <c r="P271" s="262" t="s">
        <v>124</v>
      </c>
      <c r="Q271" s="262"/>
      <c r="R271" s="262" t="s">
        <v>472</v>
      </c>
      <c r="S271" s="267" t="s">
        <v>824</v>
      </c>
      <c r="T271" s="268"/>
      <c r="U271" s="269"/>
      <c r="V271" s="269">
        <v>0</v>
      </c>
      <c r="W271" s="278">
        <v>1643165008</v>
      </c>
      <c r="X271" s="270">
        <v>1646346825</v>
      </c>
      <c r="Y271" s="262" t="s">
        <v>27</v>
      </c>
      <c r="Z271" s="271" t="s">
        <v>27</v>
      </c>
      <c r="AA271" s="287"/>
      <c r="AB271" s="287"/>
      <c r="AC271" s="272">
        <f t="shared" si="9"/>
        <v>2346456364</v>
      </c>
      <c r="AD271" s="272">
        <v>2346456364</v>
      </c>
      <c r="AE271" s="272">
        <f t="shared" si="10"/>
        <v>0</v>
      </c>
      <c r="AF271" s="273"/>
      <c r="AG271" s="274">
        <v>276027273</v>
      </c>
      <c r="AH271" s="273"/>
      <c r="AI271" s="273">
        <v>180000000</v>
      </c>
      <c r="AJ271" s="274">
        <v>149590910</v>
      </c>
      <c r="AK271" s="273"/>
      <c r="AL271" s="275">
        <v>139609091</v>
      </c>
      <c r="AM271" s="290">
        <v>139609091</v>
      </c>
      <c r="AN271" s="275"/>
      <c r="AO271" s="276">
        <v>180000000</v>
      </c>
      <c r="AP271" s="275"/>
      <c r="AQ271" s="275">
        <v>180000000</v>
      </c>
      <c r="AR271" s="275"/>
      <c r="AS271" s="275">
        <v>220000000</v>
      </c>
      <c r="AT271" s="275"/>
      <c r="AU271" s="275">
        <v>180000000</v>
      </c>
      <c r="AV271" s="275"/>
      <c r="AW271" s="275">
        <v>180000000</v>
      </c>
      <c r="AX271" s="275"/>
      <c r="AY271" s="275">
        <v>180000000</v>
      </c>
      <c r="AZ271" s="275"/>
      <c r="BA271" s="275">
        <v>180000000</v>
      </c>
      <c r="BB271" s="275"/>
      <c r="BC271" s="275">
        <v>180000000</v>
      </c>
      <c r="BD271" s="275"/>
      <c r="BE271" s="275">
        <v>301229090</v>
      </c>
      <c r="BF271" s="275"/>
      <c r="BH271" s="277"/>
    </row>
    <row r="272" spans="1:60" ht="16.5" customHeight="1" x14ac:dyDescent="0.3">
      <c r="A272" s="260">
        <v>250</v>
      </c>
      <c r="B272" s="261"/>
      <c r="C272" s="261"/>
      <c r="D272" s="262" t="s">
        <v>15</v>
      </c>
      <c r="E272" s="262" t="s">
        <v>175</v>
      </c>
      <c r="F272" s="263" t="s">
        <v>15</v>
      </c>
      <c r="G272" s="264" t="s">
        <v>175</v>
      </c>
      <c r="H272" s="281"/>
      <c r="I272" s="265"/>
      <c r="J272" s="266" t="s">
        <v>337</v>
      </c>
      <c r="K272" s="262"/>
      <c r="L272" s="262"/>
      <c r="M272" s="262">
        <v>4578</v>
      </c>
      <c r="N272" s="262" t="s">
        <v>17</v>
      </c>
      <c r="O272" s="262" t="s">
        <v>56</v>
      </c>
      <c r="P272" s="262" t="s">
        <v>57</v>
      </c>
      <c r="Q272" s="262" t="s">
        <v>63</v>
      </c>
      <c r="R272" s="262" t="s">
        <v>28</v>
      </c>
      <c r="S272" s="267" t="s">
        <v>28</v>
      </c>
      <c r="T272" s="268"/>
      <c r="U272" s="269">
        <v>68500000</v>
      </c>
      <c r="V272" s="269">
        <v>104207000</v>
      </c>
      <c r="W272" s="278">
        <v>99000000</v>
      </c>
      <c r="X272" s="270"/>
      <c r="Y272" s="262" t="s">
        <v>27</v>
      </c>
      <c r="Z272" s="271" t="s">
        <v>27</v>
      </c>
      <c r="AA272" s="287"/>
      <c r="AB272" s="287"/>
      <c r="AC272" s="272">
        <f t="shared" si="9"/>
        <v>101861000</v>
      </c>
      <c r="AD272" s="272">
        <v>101861000</v>
      </c>
      <c r="AE272" s="272">
        <f t="shared" si="10"/>
        <v>0</v>
      </c>
      <c r="AF272" s="273"/>
      <c r="AG272" s="274"/>
      <c r="AH272" s="273"/>
      <c r="AI272" s="273">
        <v>49500000</v>
      </c>
      <c r="AJ272" s="274">
        <v>52361000</v>
      </c>
      <c r="AK272" s="273"/>
      <c r="AL272" s="275"/>
      <c r="AM272" s="290"/>
      <c r="AN272" s="275"/>
      <c r="AO272" s="276"/>
      <c r="AP272" s="275"/>
      <c r="AQ272" s="275"/>
      <c r="AR272" s="275"/>
      <c r="AS272" s="275"/>
      <c r="AT272" s="275"/>
      <c r="AU272" s="275"/>
      <c r="AV272" s="275"/>
      <c r="AW272" s="275"/>
      <c r="AX272" s="275"/>
      <c r="AY272" s="275"/>
      <c r="AZ272" s="275"/>
      <c r="BA272" s="275">
        <v>49500000</v>
      </c>
      <c r="BB272" s="275"/>
      <c r="BC272" s="275"/>
      <c r="BD272" s="275"/>
      <c r="BE272" s="275"/>
      <c r="BF272" s="275"/>
      <c r="BH272" s="277"/>
    </row>
    <row r="273" spans="1:60" ht="16.5" customHeight="1" x14ac:dyDescent="0.3">
      <c r="A273" s="260">
        <v>251</v>
      </c>
      <c r="B273" s="261"/>
      <c r="C273" s="261"/>
      <c r="D273" s="262" t="s">
        <v>15</v>
      </c>
      <c r="E273" s="262" t="s">
        <v>175</v>
      </c>
      <c r="F273" s="263" t="s">
        <v>15</v>
      </c>
      <c r="G273" s="264" t="s">
        <v>175</v>
      </c>
      <c r="H273" s="281"/>
      <c r="I273" s="265"/>
      <c r="J273" s="266" t="s">
        <v>337</v>
      </c>
      <c r="K273" s="262"/>
      <c r="L273" s="262"/>
      <c r="M273" s="262">
        <v>4578</v>
      </c>
      <c r="N273" s="262" t="s">
        <v>17</v>
      </c>
      <c r="O273" s="262" t="s">
        <v>35</v>
      </c>
      <c r="P273" s="262" t="s">
        <v>57</v>
      </c>
      <c r="Q273" s="262" t="s">
        <v>63</v>
      </c>
      <c r="R273" s="262" t="s">
        <v>478</v>
      </c>
      <c r="S273" s="267" t="s">
        <v>478</v>
      </c>
      <c r="T273" s="268"/>
      <c r="U273" s="269"/>
      <c r="V273" s="269">
        <v>0</v>
      </c>
      <c r="W273" s="278">
        <v>0</v>
      </c>
      <c r="X273" s="270"/>
      <c r="Y273" s="262" t="s">
        <v>25</v>
      </c>
      <c r="Z273" s="271" t="s">
        <v>25</v>
      </c>
      <c r="AA273" s="287"/>
      <c r="AB273" s="287"/>
      <c r="AC273" s="272">
        <f t="shared" si="9"/>
        <v>5000000</v>
      </c>
      <c r="AD273" s="272">
        <v>5000000</v>
      </c>
      <c r="AE273" s="272">
        <f t="shared" si="10"/>
        <v>0</v>
      </c>
      <c r="AF273" s="273"/>
      <c r="AG273" s="274"/>
      <c r="AH273" s="273"/>
      <c r="AI273" s="273"/>
      <c r="AJ273" s="274"/>
      <c r="AK273" s="273"/>
      <c r="AL273" s="275"/>
      <c r="AM273" s="290"/>
      <c r="AN273" s="275"/>
      <c r="AO273" s="276"/>
      <c r="AP273" s="275"/>
      <c r="AQ273" s="275">
        <v>5000000</v>
      </c>
      <c r="AR273" s="275"/>
      <c r="AS273" s="275"/>
      <c r="AT273" s="275"/>
      <c r="AU273" s="275"/>
      <c r="AV273" s="275"/>
      <c r="AW273" s="275"/>
      <c r="AX273" s="275"/>
      <c r="AY273" s="275"/>
      <c r="AZ273" s="275"/>
      <c r="BA273" s="275"/>
      <c r="BB273" s="275"/>
      <c r="BC273" s="275"/>
      <c r="BD273" s="275"/>
      <c r="BE273" s="275"/>
      <c r="BF273" s="275"/>
      <c r="BH273" s="277"/>
    </row>
    <row r="274" spans="1:60" ht="16.5" customHeight="1" x14ac:dyDescent="0.3">
      <c r="A274" s="260">
        <v>252</v>
      </c>
      <c r="B274" s="261"/>
      <c r="C274" s="261"/>
      <c r="D274" s="262" t="s">
        <v>15</v>
      </c>
      <c r="E274" s="262" t="s">
        <v>175</v>
      </c>
      <c r="F274" s="263" t="s">
        <v>15</v>
      </c>
      <c r="G274" s="264" t="s">
        <v>175</v>
      </c>
      <c r="H274" s="281"/>
      <c r="I274" s="265"/>
      <c r="J274" s="266" t="s">
        <v>338</v>
      </c>
      <c r="K274" s="262"/>
      <c r="L274" s="262"/>
      <c r="M274" s="262">
        <v>57958</v>
      </c>
      <c r="N274" s="262" t="s">
        <v>17</v>
      </c>
      <c r="O274" s="262" t="s">
        <v>56</v>
      </c>
      <c r="P274" s="262" t="s">
        <v>57</v>
      </c>
      <c r="Q274" s="262" t="s">
        <v>30</v>
      </c>
      <c r="R274" s="262" t="s">
        <v>31</v>
      </c>
      <c r="S274" s="267" t="s">
        <v>31</v>
      </c>
      <c r="T274" s="268"/>
      <c r="U274" s="269">
        <v>10209000</v>
      </c>
      <c r="V274" s="269">
        <v>2334000</v>
      </c>
      <c r="W274" s="278">
        <v>8010000</v>
      </c>
      <c r="X274" s="270"/>
      <c r="Y274" s="262" t="s">
        <v>27</v>
      </c>
      <c r="Z274" s="271" t="s">
        <v>27</v>
      </c>
      <c r="AA274" s="287"/>
      <c r="AB274" s="287"/>
      <c r="AC274" s="272">
        <f t="shared" si="9"/>
        <v>3000000</v>
      </c>
      <c r="AD274" s="272">
        <v>3000000</v>
      </c>
      <c r="AE274" s="272">
        <f t="shared" si="10"/>
        <v>0</v>
      </c>
      <c r="AF274" s="273"/>
      <c r="AG274" s="274"/>
      <c r="AH274" s="273"/>
      <c r="AI274" s="273"/>
      <c r="AJ274" s="274"/>
      <c r="AK274" s="273"/>
      <c r="AL274" s="275">
        <v>0</v>
      </c>
      <c r="AM274" s="290"/>
      <c r="AN274" s="275"/>
      <c r="AO274" s="276"/>
      <c r="AP274" s="275"/>
      <c r="AQ274" s="275"/>
      <c r="AR274" s="275"/>
      <c r="AS274" s="275"/>
      <c r="AT274" s="275"/>
      <c r="AU274" s="275"/>
      <c r="AV274" s="275"/>
      <c r="AW274" s="275"/>
      <c r="AX274" s="275"/>
      <c r="AY274" s="275"/>
      <c r="AZ274" s="275"/>
      <c r="BA274" s="275"/>
      <c r="BB274" s="275"/>
      <c r="BC274" s="275">
        <v>3000000</v>
      </c>
      <c r="BD274" s="275"/>
      <c r="BE274" s="275"/>
      <c r="BF274" s="275"/>
      <c r="BH274" s="277"/>
    </row>
    <row r="275" spans="1:60" ht="16.5" customHeight="1" x14ac:dyDescent="0.3">
      <c r="A275" s="260">
        <v>253</v>
      </c>
      <c r="B275" s="261"/>
      <c r="C275" s="261"/>
      <c r="D275" s="262" t="s">
        <v>15</v>
      </c>
      <c r="E275" s="262" t="s">
        <v>175</v>
      </c>
      <c r="F275" s="263" t="s">
        <v>15</v>
      </c>
      <c r="G275" s="264" t="s">
        <v>175</v>
      </c>
      <c r="H275" s="281"/>
      <c r="I275" s="265"/>
      <c r="J275" s="266" t="s">
        <v>339</v>
      </c>
      <c r="K275" s="262"/>
      <c r="L275" s="262"/>
      <c r="M275" s="262">
        <v>10460</v>
      </c>
      <c r="N275" s="262" t="s">
        <v>32</v>
      </c>
      <c r="O275" s="262" t="s">
        <v>56</v>
      </c>
      <c r="P275" s="262" t="s">
        <v>156</v>
      </c>
      <c r="Q275" s="262" t="s">
        <v>63</v>
      </c>
      <c r="R275" s="262" t="s">
        <v>28</v>
      </c>
      <c r="S275" s="267" t="s">
        <v>28</v>
      </c>
      <c r="T275" s="268"/>
      <c r="U275" s="269" t="s">
        <v>154</v>
      </c>
      <c r="V275" s="269">
        <v>0</v>
      </c>
      <c r="W275" s="278">
        <v>118558380</v>
      </c>
      <c r="X275" s="270"/>
      <c r="Y275" s="262" t="s">
        <v>27</v>
      </c>
      <c r="Z275" s="271" t="s">
        <v>27</v>
      </c>
      <c r="AA275" s="287"/>
      <c r="AB275" s="287"/>
      <c r="AC275" s="272">
        <f t="shared" si="9"/>
        <v>130441620</v>
      </c>
      <c r="AD275" s="272">
        <v>130441620</v>
      </c>
      <c r="AE275" s="272">
        <f t="shared" si="10"/>
        <v>0</v>
      </c>
      <c r="AF275" s="273"/>
      <c r="AG275" s="274"/>
      <c r="AH275" s="273"/>
      <c r="AI275" s="273"/>
      <c r="AJ275" s="274"/>
      <c r="AK275" s="273"/>
      <c r="AL275" s="275">
        <v>20441620</v>
      </c>
      <c r="AM275" s="290">
        <v>20441620</v>
      </c>
      <c r="AN275" s="275"/>
      <c r="AO275" s="276"/>
      <c r="AP275" s="275"/>
      <c r="AQ275" s="275"/>
      <c r="AR275" s="275"/>
      <c r="AS275" s="275">
        <v>40000000</v>
      </c>
      <c r="AT275" s="275"/>
      <c r="AU275" s="275"/>
      <c r="AV275" s="275"/>
      <c r="AW275" s="275"/>
      <c r="AX275" s="275"/>
      <c r="AY275" s="275">
        <v>40000000</v>
      </c>
      <c r="AZ275" s="275"/>
      <c r="BA275" s="275"/>
      <c r="BB275" s="275"/>
      <c r="BC275" s="275"/>
      <c r="BD275" s="275"/>
      <c r="BE275" s="275">
        <v>30000000</v>
      </c>
      <c r="BF275" s="275"/>
      <c r="BH275" s="277"/>
    </row>
    <row r="276" spans="1:60" ht="16.5" customHeight="1" x14ac:dyDescent="0.3">
      <c r="A276" s="260">
        <v>254</v>
      </c>
      <c r="B276" s="261"/>
      <c r="C276" s="261"/>
      <c r="D276" s="262" t="s">
        <v>15</v>
      </c>
      <c r="E276" s="262" t="s">
        <v>175</v>
      </c>
      <c r="F276" s="263" t="s">
        <v>15</v>
      </c>
      <c r="G276" s="264" t="s">
        <v>175</v>
      </c>
      <c r="H276" s="281"/>
      <c r="I276" s="265"/>
      <c r="J276" s="266" t="s">
        <v>1029</v>
      </c>
      <c r="K276" s="262"/>
      <c r="L276" s="262"/>
      <c r="M276" s="262">
        <v>2168</v>
      </c>
      <c r="N276" s="262" t="s">
        <v>53</v>
      </c>
      <c r="O276" s="262" t="s">
        <v>212</v>
      </c>
      <c r="P276" s="262" t="s">
        <v>57</v>
      </c>
      <c r="Q276" s="262" t="s">
        <v>30</v>
      </c>
      <c r="R276" s="262" t="s">
        <v>31</v>
      </c>
      <c r="S276" s="267" t="s">
        <v>31</v>
      </c>
      <c r="T276" s="268"/>
      <c r="U276" s="269">
        <v>10275000</v>
      </c>
      <c r="V276" s="269">
        <v>13875000</v>
      </c>
      <c r="W276" s="278">
        <v>14862500</v>
      </c>
      <c r="X276" s="270">
        <v>12037500</v>
      </c>
      <c r="Y276" s="262" t="s">
        <v>27</v>
      </c>
      <c r="Z276" s="271" t="s">
        <v>27</v>
      </c>
      <c r="AA276" s="287"/>
      <c r="AB276" s="287"/>
      <c r="AC276" s="272">
        <f t="shared" si="9"/>
        <v>8545000</v>
      </c>
      <c r="AD276" s="272">
        <v>8545000</v>
      </c>
      <c r="AE276" s="272">
        <f t="shared" si="10"/>
        <v>0</v>
      </c>
      <c r="AF276" s="273">
        <v>5000</v>
      </c>
      <c r="AG276" s="274">
        <v>5000</v>
      </c>
      <c r="AH276" s="273"/>
      <c r="AI276" s="273"/>
      <c r="AJ276" s="274"/>
      <c r="AK276" s="273"/>
      <c r="AL276" s="275">
        <v>4840000</v>
      </c>
      <c r="AM276" s="290">
        <v>40000</v>
      </c>
      <c r="AN276" s="275"/>
      <c r="AO276" s="276"/>
      <c r="AP276" s="275"/>
      <c r="AQ276" s="275"/>
      <c r="AR276" s="275"/>
      <c r="AS276" s="275"/>
      <c r="AT276" s="275"/>
      <c r="AU276" s="275"/>
      <c r="AV276" s="275"/>
      <c r="AW276" s="275"/>
      <c r="AX276" s="275"/>
      <c r="AY276" s="275"/>
      <c r="AZ276" s="275"/>
      <c r="BA276" s="275"/>
      <c r="BB276" s="275"/>
      <c r="BC276" s="275"/>
      <c r="BD276" s="275"/>
      <c r="BE276" s="275">
        <v>8500000</v>
      </c>
      <c r="BF276" s="275"/>
      <c r="BH276" s="277"/>
    </row>
    <row r="277" spans="1:60" ht="16.5" customHeight="1" x14ac:dyDescent="0.3">
      <c r="A277" s="260">
        <v>255</v>
      </c>
      <c r="B277" s="261"/>
      <c r="C277" s="261"/>
      <c r="D277" s="262" t="s">
        <v>15</v>
      </c>
      <c r="E277" s="262" t="s">
        <v>175</v>
      </c>
      <c r="F277" s="263" t="s">
        <v>15</v>
      </c>
      <c r="G277" s="264" t="s">
        <v>175</v>
      </c>
      <c r="H277" s="281"/>
      <c r="I277" s="265"/>
      <c r="J277" s="266" t="s">
        <v>340</v>
      </c>
      <c r="K277" s="262"/>
      <c r="L277" s="262"/>
      <c r="M277" s="262">
        <v>2168</v>
      </c>
      <c r="N277" s="262" t="s">
        <v>53</v>
      </c>
      <c r="O277" s="262" t="s">
        <v>212</v>
      </c>
      <c r="P277" s="262" t="s">
        <v>57</v>
      </c>
      <c r="Q277" s="262" t="s">
        <v>30</v>
      </c>
      <c r="R277" s="262"/>
      <c r="S277" s="267" t="s">
        <v>468</v>
      </c>
      <c r="T277" s="268"/>
      <c r="U277" s="269"/>
      <c r="V277" s="269"/>
      <c r="W277" s="278">
        <v>0</v>
      </c>
      <c r="X277" s="270"/>
      <c r="Y277" s="262"/>
      <c r="Z277" s="271" t="s">
        <v>27</v>
      </c>
      <c r="AA277" s="287"/>
      <c r="AB277" s="287"/>
      <c r="AC277" s="272">
        <f t="shared" si="9"/>
        <v>3150000</v>
      </c>
      <c r="AD277" s="272">
        <v>3150000</v>
      </c>
      <c r="AE277" s="272">
        <f t="shared" si="10"/>
        <v>0</v>
      </c>
      <c r="AF277" s="273"/>
      <c r="AG277" s="274"/>
      <c r="AH277" s="273"/>
      <c r="AI277" s="273">
        <v>3000000</v>
      </c>
      <c r="AJ277" s="274">
        <v>3150000</v>
      </c>
      <c r="AK277" s="273"/>
      <c r="AL277" s="275">
        <v>2700000</v>
      </c>
      <c r="AM277" s="290">
        <v>0</v>
      </c>
      <c r="AN277" s="275"/>
      <c r="AO277" s="276"/>
      <c r="AP277" s="275"/>
      <c r="AQ277" s="275"/>
      <c r="AR277" s="275"/>
      <c r="AS277" s="275"/>
      <c r="AT277" s="275"/>
      <c r="AU277" s="275"/>
      <c r="AV277" s="275"/>
      <c r="AW277" s="275"/>
      <c r="AX277" s="275"/>
      <c r="AY277" s="275"/>
      <c r="AZ277" s="275"/>
      <c r="BA277" s="275"/>
      <c r="BB277" s="275"/>
      <c r="BC277" s="275"/>
      <c r="BD277" s="275"/>
      <c r="BE277" s="275"/>
      <c r="BF277" s="275"/>
      <c r="BH277" s="277"/>
    </row>
    <row r="278" spans="1:60" ht="16.5" hidden="1" customHeight="1" x14ac:dyDescent="0.3">
      <c r="A278" s="260">
        <v>256</v>
      </c>
      <c r="B278" s="261"/>
      <c r="C278" s="261"/>
      <c r="D278" s="262"/>
      <c r="E278" s="262"/>
      <c r="F278" s="263" t="s">
        <v>15</v>
      </c>
      <c r="G278" s="264" t="s">
        <v>175</v>
      </c>
      <c r="H278" s="281"/>
      <c r="I278" s="265"/>
      <c r="J278" s="266" t="s">
        <v>792</v>
      </c>
      <c r="K278" s="262"/>
      <c r="L278" s="262"/>
      <c r="M278" s="262">
        <v>55755</v>
      </c>
      <c r="N278" s="262"/>
      <c r="O278" s="262"/>
      <c r="P278" s="262"/>
      <c r="Q278" s="262"/>
      <c r="R278" s="262"/>
      <c r="S278" s="267" t="s">
        <v>31</v>
      </c>
      <c r="T278" s="268"/>
      <c r="U278" s="269"/>
      <c r="V278" s="269"/>
      <c r="W278" s="278">
        <v>3728000</v>
      </c>
      <c r="X278" s="270"/>
      <c r="Y278" s="262"/>
      <c r="Z278" s="271" t="s">
        <v>718</v>
      </c>
      <c r="AA278" s="287"/>
      <c r="AB278" s="287"/>
      <c r="AC278" s="272">
        <f t="shared" si="9"/>
        <v>0</v>
      </c>
      <c r="AD278" s="272">
        <v>0</v>
      </c>
      <c r="AE278" s="272">
        <f t="shared" si="10"/>
        <v>0</v>
      </c>
      <c r="AF278" s="273"/>
      <c r="AG278" s="274"/>
      <c r="AH278" s="273"/>
      <c r="AI278" s="273"/>
      <c r="AJ278" s="274"/>
      <c r="AK278" s="273"/>
      <c r="AL278" s="275"/>
      <c r="AM278" s="290"/>
      <c r="AN278" s="275"/>
      <c r="AO278" s="276"/>
      <c r="AP278" s="275"/>
      <c r="AQ278" s="275"/>
      <c r="AR278" s="275"/>
      <c r="AS278" s="275"/>
      <c r="AT278" s="275"/>
      <c r="AU278" s="275"/>
      <c r="AV278" s="275"/>
      <c r="AW278" s="275"/>
      <c r="AX278" s="275"/>
      <c r="AY278" s="275"/>
      <c r="AZ278" s="275"/>
      <c r="BA278" s="275"/>
      <c r="BB278" s="275"/>
      <c r="BC278" s="275"/>
      <c r="BD278" s="275"/>
      <c r="BE278" s="275"/>
      <c r="BF278" s="275"/>
      <c r="BH278" s="277"/>
    </row>
    <row r="279" spans="1:60" ht="16.5" hidden="1" customHeight="1" x14ac:dyDescent="0.3">
      <c r="A279" s="260">
        <v>257</v>
      </c>
      <c r="B279" s="261"/>
      <c r="C279" s="261"/>
      <c r="D279" s="262" t="s">
        <v>15</v>
      </c>
      <c r="E279" s="262" t="s">
        <v>175</v>
      </c>
      <c r="F279" s="263" t="s">
        <v>15</v>
      </c>
      <c r="G279" s="264" t="s">
        <v>175</v>
      </c>
      <c r="H279" s="281"/>
      <c r="I279" s="265"/>
      <c r="J279" s="266" t="s">
        <v>792</v>
      </c>
      <c r="K279" s="262"/>
      <c r="L279" s="262"/>
      <c r="M279" s="262">
        <v>55755</v>
      </c>
      <c r="N279" s="262" t="s">
        <v>22</v>
      </c>
      <c r="O279" s="262" t="s">
        <v>56</v>
      </c>
      <c r="P279" s="262"/>
      <c r="Q279" s="262" t="s">
        <v>62</v>
      </c>
      <c r="R279" s="262" t="s">
        <v>633</v>
      </c>
      <c r="S279" s="267" t="s">
        <v>833</v>
      </c>
      <c r="T279" s="268"/>
      <c r="U279" s="269"/>
      <c r="V279" s="269">
        <v>18060000</v>
      </c>
      <c r="W279" s="278">
        <v>0</v>
      </c>
      <c r="X279" s="270"/>
      <c r="Y279" s="262" t="s">
        <v>20</v>
      </c>
      <c r="Z279" s="271" t="s">
        <v>20</v>
      </c>
      <c r="AA279" s="287"/>
      <c r="AB279" s="287"/>
      <c r="AC279" s="272">
        <f t="shared" ref="AC279:AC342" si="11">AG279+AJ279+AM279+AO279+AQ279+AS279+AU279+AW279+AY279+BA279+BC279+BE279</f>
        <v>0</v>
      </c>
      <c r="AD279" s="272">
        <v>0</v>
      </c>
      <c r="AE279" s="272">
        <f t="shared" ref="AE279:AE342" si="12">AC279-AD279</f>
        <v>0</v>
      </c>
      <c r="AF279" s="273"/>
      <c r="AG279" s="274"/>
      <c r="AH279" s="273"/>
      <c r="AI279" s="273"/>
      <c r="AJ279" s="274"/>
      <c r="AK279" s="273"/>
      <c r="AL279" s="275"/>
      <c r="AM279" s="290"/>
      <c r="AN279" s="275"/>
      <c r="AO279" s="276"/>
      <c r="AP279" s="275"/>
      <c r="AQ279" s="275"/>
      <c r="AR279" s="275"/>
      <c r="AS279" s="275"/>
      <c r="AT279" s="275"/>
      <c r="AU279" s="275"/>
      <c r="AV279" s="275"/>
      <c r="AW279" s="275"/>
      <c r="AX279" s="275"/>
      <c r="AY279" s="275"/>
      <c r="AZ279" s="275"/>
      <c r="BA279" s="275"/>
      <c r="BB279" s="275"/>
      <c r="BC279" s="275"/>
      <c r="BD279" s="275"/>
      <c r="BE279" s="275"/>
      <c r="BF279" s="275"/>
      <c r="BH279" s="277"/>
    </row>
    <row r="280" spans="1:60" ht="16.5" customHeight="1" x14ac:dyDescent="0.3">
      <c r="A280" s="260">
        <v>258</v>
      </c>
      <c r="B280" s="261"/>
      <c r="C280" s="261"/>
      <c r="D280" s="262" t="s">
        <v>15</v>
      </c>
      <c r="E280" s="262" t="s">
        <v>175</v>
      </c>
      <c r="F280" s="263" t="s">
        <v>15</v>
      </c>
      <c r="G280" s="264" t="s">
        <v>175</v>
      </c>
      <c r="H280" s="281"/>
      <c r="I280" s="265"/>
      <c r="J280" s="266" t="s">
        <v>679</v>
      </c>
      <c r="K280" s="262"/>
      <c r="L280" s="262"/>
      <c r="M280" s="262">
        <v>12913</v>
      </c>
      <c r="N280" s="262" t="s">
        <v>22</v>
      </c>
      <c r="O280" s="262" t="s">
        <v>56</v>
      </c>
      <c r="P280" s="262" t="s">
        <v>156</v>
      </c>
      <c r="Q280" s="262" t="s">
        <v>18</v>
      </c>
      <c r="R280" s="262" t="s">
        <v>633</v>
      </c>
      <c r="S280" s="267" t="s">
        <v>833</v>
      </c>
      <c r="T280" s="268"/>
      <c r="U280" s="269">
        <v>7132700</v>
      </c>
      <c r="V280" s="269">
        <v>5411100</v>
      </c>
      <c r="W280" s="278">
        <v>8680000</v>
      </c>
      <c r="X280" s="270"/>
      <c r="Y280" s="262" t="s">
        <v>27</v>
      </c>
      <c r="Z280" s="271" t="s">
        <v>25</v>
      </c>
      <c r="AA280" s="287"/>
      <c r="AB280" s="287"/>
      <c r="AC280" s="272">
        <f t="shared" si="11"/>
        <v>8000000</v>
      </c>
      <c r="AD280" s="272">
        <v>8000000</v>
      </c>
      <c r="AE280" s="272">
        <f t="shared" si="12"/>
        <v>0</v>
      </c>
      <c r="AF280" s="273"/>
      <c r="AG280" s="274"/>
      <c r="AH280" s="273"/>
      <c r="AI280" s="273"/>
      <c r="AJ280" s="274"/>
      <c r="AK280" s="273"/>
      <c r="AL280" s="275"/>
      <c r="AM280" s="290"/>
      <c r="AN280" s="275"/>
      <c r="AO280" s="276"/>
      <c r="AP280" s="275"/>
      <c r="AQ280" s="275">
        <v>8000000</v>
      </c>
      <c r="AR280" s="275"/>
      <c r="AS280" s="275"/>
      <c r="AT280" s="275"/>
      <c r="AU280" s="275"/>
      <c r="AV280" s="275"/>
      <c r="AW280" s="275"/>
      <c r="AX280" s="275"/>
      <c r="AY280" s="275"/>
      <c r="AZ280" s="275"/>
      <c r="BA280" s="275"/>
      <c r="BB280" s="275"/>
      <c r="BC280" s="275"/>
      <c r="BD280" s="275"/>
      <c r="BE280" s="275"/>
      <c r="BF280" s="275"/>
      <c r="BH280" s="277"/>
    </row>
    <row r="281" spans="1:60" ht="16.5" customHeight="1" x14ac:dyDescent="0.3">
      <c r="A281" s="260">
        <v>259</v>
      </c>
      <c r="B281" s="261"/>
      <c r="C281" s="261"/>
      <c r="D281" s="262" t="s">
        <v>15</v>
      </c>
      <c r="E281" s="262" t="s">
        <v>175</v>
      </c>
      <c r="F281" s="263" t="s">
        <v>15</v>
      </c>
      <c r="G281" s="264" t="s">
        <v>175</v>
      </c>
      <c r="H281" s="281"/>
      <c r="I281" s="265"/>
      <c r="J281" s="266" t="s">
        <v>342</v>
      </c>
      <c r="K281" s="262"/>
      <c r="L281" s="262"/>
      <c r="M281" s="262">
        <v>46587</v>
      </c>
      <c r="N281" s="262" t="s">
        <v>22</v>
      </c>
      <c r="O281" s="262" t="s">
        <v>56</v>
      </c>
      <c r="P281" s="262" t="s">
        <v>57</v>
      </c>
      <c r="Q281" s="262" t="s">
        <v>26</v>
      </c>
      <c r="R281" s="262" t="s">
        <v>468</v>
      </c>
      <c r="S281" s="267" t="s">
        <v>468</v>
      </c>
      <c r="T281" s="268"/>
      <c r="U281" s="269" t="s">
        <v>154</v>
      </c>
      <c r="V281" s="269">
        <v>8800000</v>
      </c>
      <c r="W281" s="278">
        <v>6600000</v>
      </c>
      <c r="X281" s="270"/>
      <c r="Y281" s="262" t="s">
        <v>27</v>
      </c>
      <c r="Z281" s="271" t="s">
        <v>24</v>
      </c>
      <c r="AA281" s="287"/>
      <c r="AB281" s="287"/>
      <c r="AC281" s="272">
        <f t="shared" si="11"/>
        <v>5000000</v>
      </c>
      <c r="AD281" s="272">
        <v>5000000</v>
      </c>
      <c r="AE281" s="272">
        <f t="shared" si="12"/>
        <v>0</v>
      </c>
      <c r="AF281" s="273"/>
      <c r="AG281" s="274"/>
      <c r="AH281" s="273"/>
      <c r="AI281" s="273"/>
      <c r="AJ281" s="274"/>
      <c r="AK281" s="273"/>
      <c r="AL281" s="275"/>
      <c r="AM281" s="290"/>
      <c r="AN281" s="275"/>
      <c r="AO281" s="276"/>
      <c r="AP281" s="275"/>
      <c r="AQ281" s="275">
        <v>5000000</v>
      </c>
      <c r="AR281" s="275"/>
      <c r="AS281" s="275"/>
      <c r="AT281" s="275"/>
      <c r="AU281" s="275"/>
      <c r="AV281" s="275"/>
      <c r="AW281" s="275"/>
      <c r="AX281" s="275"/>
      <c r="AY281" s="275"/>
      <c r="AZ281" s="275"/>
      <c r="BA281" s="275"/>
      <c r="BB281" s="275"/>
      <c r="BC281" s="275"/>
      <c r="BD281" s="275"/>
      <c r="BE281" s="275"/>
      <c r="BF281" s="275"/>
      <c r="BH281" s="277"/>
    </row>
    <row r="282" spans="1:60" ht="16.5" hidden="1" customHeight="1" x14ac:dyDescent="0.3">
      <c r="A282" s="260">
        <v>260</v>
      </c>
      <c r="B282" s="261"/>
      <c r="C282" s="261"/>
      <c r="D282" s="262" t="s">
        <v>15</v>
      </c>
      <c r="E282" s="262" t="s">
        <v>175</v>
      </c>
      <c r="F282" s="263" t="s">
        <v>15</v>
      </c>
      <c r="G282" s="264" t="s">
        <v>175</v>
      </c>
      <c r="H282" s="281"/>
      <c r="I282" s="265"/>
      <c r="J282" s="266" t="s">
        <v>342</v>
      </c>
      <c r="K282" s="262"/>
      <c r="L282" s="262"/>
      <c r="M282" s="262">
        <v>46587</v>
      </c>
      <c r="N282" s="262" t="s">
        <v>22</v>
      </c>
      <c r="O282" s="262" t="s">
        <v>56</v>
      </c>
      <c r="P282" s="262"/>
      <c r="Q282" s="262" t="s">
        <v>23</v>
      </c>
      <c r="R282" s="262" t="s">
        <v>397</v>
      </c>
      <c r="S282" s="267" t="s">
        <v>823</v>
      </c>
      <c r="T282" s="268"/>
      <c r="U282" s="269">
        <v>640000</v>
      </c>
      <c r="V282" s="269">
        <v>0</v>
      </c>
      <c r="W282" s="278">
        <v>0</v>
      </c>
      <c r="X282" s="270"/>
      <c r="Y282" s="262" t="s">
        <v>21</v>
      </c>
      <c r="Z282" s="271" t="s">
        <v>21</v>
      </c>
      <c r="AA282" s="287"/>
      <c r="AB282" s="287"/>
      <c r="AC282" s="272">
        <f t="shared" si="11"/>
        <v>0</v>
      </c>
      <c r="AD282" s="272">
        <v>0</v>
      </c>
      <c r="AE282" s="272">
        <f t="shared" si="12"/>
        <v>0</v>
      </c>
      <c r="AF282" s="273"/>
      <c r="AG282" s="274"/>
      <c r="AH282" s="273"/>
      <c r="AI282" s="273"/>
      <c r="AJ282" s="274"/>
      <c r="AK282" s="273"/>
      <c r="AL282" s="275"/>
      <c r="AM282" s="290"/>
      <c r="AN282" s="275"/>
      <c r="AO282" s="276"/>
      <c r="AP282" s="275"/>
      <c r="AQ282" s="275"/>
      <c r="AR282" s="275"/>
      <c r="AS282" s="275"/>
      <c r="AT282" s="275"/>
      <c r="AU282" s="275"/>
      <c r="AV282" s="275"/>
      <c r="AW282" s="275"/>
      <c r="AX282" s="275"/>
      <c r="AY282" s="275"/>
      <c r="AZ282" s="275"/>
      <c r="BA282" s="275"/>
      <c r="BB282" s="275"/>
      <c r="BC282" s="275"/>
      <c r="BD282" s="275"/>
      <c r="BE282" s="275"/>
      <c r="BF282" s="275"/>
      <c r="BH282" s="277"/>
    </row>
    <row r="283" spans="1:60" ht="16.5" customHeight="1" x14ac:dyDescent="0.3">
      <c r="A283" s="260">
        <v>261</v>
      </c>
      <c r="B283" s="261"/>
      <c r="C283" s="261"/>
      <c r="D283" s="262" t="s">
        <v>15</v>
      </c>
      <c r="E283" s="262" t="s">
        <v>175</v>
      </c>
      <c r="F283" s="263" t="s">
        <v>15</v>
      </c>
      <c r="G283" s="264" t="s">
        <v>175</v>
      </c>
      <c r="H283" s="281"/>
      <c r="I283" s="265"/>
      <c r="J283" s="266" t="s">
        <v>561</v>
      </c>
      <c r="K283" s="262"/>
      <c r="L283" s="262"/>
      <c r="M283" s="262">
        <v>46587</v>
      </c>
      <c r="N283" s="262" t="s">
        <v>22</v>
      </c>
      <c r="O283" s="262" t="s">
        <v>212</v>
      </c>
      <c r="P283" s="262" t="s">
        <v>57</v>
      </c>
      <c r="Q283" s="262" t="s">
        <v>63</v>
      </c>
      <c r="R283" s="262" t="s">
        <v>28</v>
      </c>
      <c r="S283" s="267" t="s">
        <v>28</v>
      </c>
      <c r="T283" s="268" t="s">
        <v>951</v>
      </c>
      <c r="U283" s="269">
        <v>94955349</v>
      </c>
      <c r="V283" s="269">
        <v>107682588</v>
      </c>
      <c r="W283" s="278">
        <v>145855620</v>
      </c>
      <c r="X283" s="270"/>
      <c r="Y283" s="262" t="s">
        <v>27</v>
      </c>
      <c r="Z283" s="271" t="s">
        <v>27</v>
      </c>
      <c r="AA283" s="287"/>
      <c r="AB283" s="287"/>
      <c r="AC283" s="272">
        <f t="shared" si="11"/>
        <v>54267410</v>
      </c>
      <c r="AD283" s="272">
        <v>54267410</v>
      </c>
      <c r="AE283" s="272">
        <f t="shared" si="12"/>
        <v>0</v>
      </c>
      <c r="AF283" s="273">
        <v>7708220</v>
      </c>
      <c r="AG283" s="274">
        <v>7708220</v>
      </c>
      <c r="AH283" s="273"/>
      <c r="AI283" s="273">
        <v>10000000</v>
      </c>
      <c r="AJ283" s="274">
        <v>9785700</v>
      </c>
      <c r="AK283" s="273"/>
      <c r="AL283" s="275">
        <v>6773490</v>
      </c>
      <c r="AM283" s="290">
        <v>6773490</v>
      </c>
      <c r="AN283" s="275"/>
      <c r="AO283" s="276">
        <v>10000000</v>
      </c>
      <c r="AP283" s="275"/>
      <c r="AQ283" s="275">
        <v>10000000</v>
      </c>
      <c r="AR283" s="275"/>
      <c r="AS283" s="275">
        <v>10000000</v>
      </c>
      <c r="AT283" s="275"/>
      <c r="AU283" s="275"/>
      <c r="AV283" s="275"/>
      <c r="AW283" s="275"/>
      <c r="AX283" s="275"/>
      <c r="AY283" s="275"/>
      <c r="AZ283" s="275"/>
      <c r="BA283" s="275"/>
      <c r="BB283" s="275"/>
      <c r="BC283" s="275"/>
      <c r="BD283" s="275"/>
      <c r="BE283" s="275"/>
      <c r="BF283" s="275"/>
      <c r="BH283" s="277"/>
    </row>
    <row r="284" spans="1:60" ht="16.5" customHeight="1" x14ac:dyDescent="0.3">
      <c r="A284" s="260">
        <v>262</v>
      </c>
      <c r="B284" s="261"/>
      <c r="C284" s="261"/>
      <c r="D284" s="262" t="s">
        <v>15</v>
      </c>
      <c r="E284" s="262" t="s">
        <v>175</v>
      </c>
      <c r="F284" s="263" t="s">
        <v>15</v>
      </c>
      <c r="G284" s="264" t="s">
        <v>175</v>
      </c>
      <c r="H284" s="281"/>
      <c r="I284" s="265"/>
      <c r="J284" s="266" t="s">
        <v>746</v>
      </c>
      <c r="K284" s="262"/>
      <c r="L284" s="262"/>
      <c r="M284" s="262">
        <v>46587</v>
      </c>
      <c r="N284" s="262" t="s">
        <v>22</v>
      </c>
      <c r="O284" s="262" t="s">
        <v>56</v>
      </c>
      <c r="P284" s="262"/>
      <c r="Q284" s="262" t="s">
        <v>63</v>
      </c>
      <c r="R284" s="262" t="s">
        <v>28</v>
      </c>
      <c r="S284" s="267" t="s">
        <v>28</v>
      </c>
      <c r="T284" s="268"/>
      <c r="U284" s="269"/>
      <c r="V284" s="269">
        <v>0</v>
      </c>
      <c r="W284" s="278">
        <v>0</v>
      </c>
      <c r="X284" s="270"/>
      <c r="Y284" s="262" t="s">
        <v>562</v>
      </c>
      <c r="Z284" s="271" t="s">
        <v>24</v>
      </c>
      <c r="AA284" s="287"/>
      <c r="AB284" s="287"/>
      <c r="AC284" s="272">
        <f t="shared" si="11"/>
        <v>48000000</v>
      </c>
      <c r="AD284" s="272">
        <v>48000000</v>
      </c>
      <c r="AE284" s="272">
        <f t="shared" si="12"/>
        <v>0</v>
      </c>
      <c r="AF284" s="273"/>
      <c r="AG284" s="274"/>
      <c r="AH284" s="273"/>
      <c r="AI284" s="273"/>
      <c r="AJ284" s="274"/>
      <c r="AK284" s="273"/>
      <c r="AL284" s="275"/>
      <c r="AM284" s="290"/>
      <c r="AN284" s="275"/>
      <c r="AO284" s="276"/>
      <c r="AP284" s="275"/>
      <c r="AQ284" s="275"/>
      <c r="AR284" s="275"/>
      <c r="AS284" s="275"/>
      <c r="AT284" s="275"/>
      <c r="AU284" s="275">
        <v>8000000</v>
      </c>
      <c r="AV284" s="275"/>
      <c r="AW284" s="275">
        <v>8000000</v>
      </c>
      <c r="AX284" s="275"/>
      <c r="AY284" s="275">
        <v>8000000</v>
      </c>
      <c r="AZ284" s="275"/>
      <c r="BA284" s="275">
        <v>8000000</v>
      </c>
      <c r="BB284" s="275"/>
      <c r="BC284" s="275">
        <v>8000000</v>
      </c>
      <c r="BD284" s="275"/>
      <c r="BE284" s="275">
        <v>8000000</v>
      </c>
      <c r="BF284" s="275"/>
      <c r="BH284" s="277"/>
    </row>
    <row r="285" spans="1:60" ht="16.5" customHeight="1" x14ac:dyDescent="0.3">
      <c r="A285" s="260">
        <v>263</v>
      </c>
      <c r="B285" s="261"/>
      <c r="C285" s="261"/>
      <c r="D285" s="262" t="s">
        <v>15</v>
      </c>
      <c r="E285" s="262" t="s">
        <v>175</v>
      </c>
      <c r="F285" s="263" t="s">
        <v>15</v>
      </c>
      <c r="G285" s="264" t="s">
        <v>175</v>
      </c>
      <c r="H285" s="281"/>
      <c r="I285" s="265"/>
      <c r="J285" s="266" t="s">
        <v>649</v>
      </c>
      <c r="K285" s="262"/>
      <c r="L285" s="262"/>
      <c r="M285" s="262">
        <v>787</v>
      </c>
      <c r="N285" s="262" t="s">
        <v>22</v>
      </c>
      <c r="O285" s="262" t="s">
        <v>35</v>
      </c>
      <c r="P285" s="262" t="s">
        <v>156</v>
      </c>
      <c r="Q285" s="262" t="s">
        <v>18</v>
      </c>
      <c r="R285" s="262" t="s">
        <v>19</v>
      </c>
      <c r="S285" s="267" t="s">
        <v>19</v>
      </c>
      <c r="T285" s="268"/>
      <c r="U285" s="269">
        <v>73348060</v>
      </c>
      <c r="V285" s="269">
        <v>0</v>
      </c>
      <c r="W285" s="278">
        <v>0</v>
      </c>
      <c r="X285" s="270"/>
      <c r="Y285" s="262" t="s">
        <v>25</v>
      </c>
      <c r="Z285" s="271" t="s">
        <v>27</v>
      </c>
      <c r="AA285" s="287"/>
      <c r="AB285" s="287"/>
      <c r="AC285" s="272">
        <f t="shared" si="11"/>
        <v>25000000</v>
      </c>
      <c r="AD285" s="272">
        <v>25000000</v>
      </c>
      <c r="AE285" s="272">
        <f t="shared" si="12"/>
        <v>0</v>
      </c>
      <c r="AF285" s="273"/>
      <c r="AG285" s="274"/>
      <c r="AH285" s="273"/>
      <c r="AI285" s="273"/>
      <c r="AJ285" s="274"/>
      <c r="AK285" s="273"/>
      <c r="AL285" s="275"/>
      <c r="AM285" s="290"/>
      <c r="AN285" s="275"/>
      <c r="AO285" s="276"/>
      <c r="AP285" s="275"/>
      <c r="AQ285" s="275"/>
      <c r="AR285" s="275"/>
      <c r="AS285" s="275"/>
      <c r="AT285" s="275"/>
      <c r="AU285" s="275">
        <v>25000000</v>
      </c>
      <c r="AV285" s="275"/>
      <c r="AW285" s="275"/>
      <c r="AX285" s="275"/>
      <c r="AY285" s="275"/>
      <c r="AZ285" s="275"/>
      <c r="BA285" s="275"/>
      <c r="BB285" s="275"/>
      <c r="BC285" s="275"/>
      <c r="BD285" s="275"/>
      <c r="BE285" s="275"/>
      <c r="BF285" s="275"/>
      <c r="BH285" s="277"/>
    </row>
    <row r="286" spans="1:60" ht="16.5" customHeight="1" x14ac:dyDescent="0.3">
      <c r="A286" s="260">
        <v>264</v>
      </c>
      <c r="B286" s="261"/>
      <c r="C286" s="261"/>
      <c r="D286" s="262" t="s">
        <v>15</v>
      </c>
      <c r="E286" s="262" t="s">
        <v>175</v>
      </c>
      <c r="F286" s="263" t="s">
        <v>15</v>
      </c>
      <c r="G286" s="264" t="s">
        <v>175</v>
      </c>
      <c r="H286" s="281"/>
      <c r="I286" s="265"/>
      <c r="J286" s="266" t="s">
        <v>649</v>
      </c>
      <c r="K286" s="262"/>
      <c r="L286" s="262"/>
      <c r="M286" s="262">
        <v>787</v>
      </c>
      <c r="N286" s="262" t="s">
        <v>22</v>
      </c>
      <c r="O286" s="262" t="s">
        <v>56</v>
      </c>
      <c r="P286" s="262" t="s">
        <v>156</v>
      </c>
      <c r="Q286" s="262" t="s">
        <v>26</v>
      </c>
      <c r="R286" s="262" t="s">
        <v>468</v>
      </c>
      <c r="S286" s="267" t="s">
        <v>468</v>
      </c>
      <c r="T286" s="268"/>
      <c r="U286" s="269" t="s">
        <v>154</v>
      </c>
      <c r="V286" s="269">
        <v>8448000</v>
      </c>
      <c r="W286" s="278">
        <v>3330000</v>
      </c>
      <c r="X286" s="270"/>
      <c r="Y286" s="262" t="s">
        <v>25</v>
      </c>
      <c r="Z286" s="271" t="s">
        <v>25</v>
      </c>
      <c r="AA286" s="287"/>
      <c r="AB286" s="287"/>
      <c r="AC286" s="272">
        <f t="shared" si="11"/>
        <v>30000000</v>
      </c>
      <c r="AD286" s="272">
        <v>30000000</v>
      </c>
      <c r="AE286" s="272">
        <f t="shared" si="12"/>
        <v>0</v>
      </c>
      <c r="AF286" s="273"/>
      <c r="AG286" s="274"/>
      <c r="AH286" s="273"/>
      <c r="AI286" s="273"/>
      <c r="AJ286" s="274"/>
      <c r="AK286" s="273"/>
      <c r="AL286" s="275"/>
      <c r="AM286" s="290"/>
      <c r="AN286" s="275"/>
      <c r="AO286" s="276"/>
      <c r="AP286" s="275"/>
      <c r="AQ286" s="275">
        <v>10000000</v>
      </c>
      <c r="AR286" s="275"/>
      <c r="AS286" s="275"/>
      <c r="AT286" s="275"/>
      <c r="AU286" s="275"/>
      <c r="AV286" s="275"/>
      <c r="AW286" s="275">
        <v>10000000</v>
      </c>
      <c r="AX286" s="275"/>
      <c r="AY286" s="275"/>
      <c r="AZ286" s="275"/>
      <c r="BA286" s="275"/>
      <c r="BB286" s="275"/>
      <c r="BC286" s="275">
        <v>10000000</v>
      </c>
      <c r="BD286" s="275"/>
      <c r="BE286" s="275"/>
      <c r="BF286" s="275"/>
      <c r="BH286" s="277"/>
    </row>
    <row r="287" spans="1:60" ht="16.5" customHeight="1" x14ac:dyDescent="0.3">
      <c r="A287" s="260">
        <v>265</v>
      </c>
      <c r="B287" s="261"/>
      <c r="C287" s="261"/>
      <c r="D287" s="262" t="s">
        <v>15</v>
      </c>
      <c r="E287" s="262" t="s">
        <v>175</v>
      </c>
      <c r="F287" s="263" t="s">
        <v>15</v>
      </c>
      <c r="G287" s="264" t="s">
        <v>175</v>
      </c>
      <c r="H287" s="281"/>
      <c r="I287" s="265"/>
      <c r="J287" s="266" t="s">
        <v>747</v>
      </c>
      <c r="K287" s="262"/>
      <c r="L287" s="262"/>
      <c r="M287" s="262">
        <v>787</v>
      </c>
      <c r="N287" s="262" t="s">
        <v>22</v>
      </c>
      <c r="O287" s="262" t="s">
        <v>35</v>
      </c>
      <c r="P287" s="262" t="s">
        <v>156</v>
      </c>
      <c r="Q287" s="262" t="s">
        <v>23</v>
      </c>
      <c r="R287" s="262" t="s">
        <v>397</v>
      </c>
      <c r="S287" s="267" t="s">
        <v>823</v>
      </c>
      <c r="T287" s="268"/>
      <c r="U287" s="269" t="s">
        <v>154</v>
      </c>
      <c r="V287" s="269">
        <v>0</v>
      </c>
      <c r="W287" s="278">
        <v>69700000</v>
      </c>
      <c r="X287" s="270"/>
      <c r="Y287" s="262" t="s">
        <v>25</v>
      </c>
      <c r="Z287" s="271" t="s">
        <v>25</v>
      </c>
      <c r="AA287" s="287"/>
      <c r="AB287" s="287"/>
      <c r="AC287" s="272">
        <f t="shared" si="11"/>
        <v>30000000</v>
      </c>
      <c r="AD287" s="272">
        <v>30000000</v>
      </c>
      <c r="AE287" s="272">
        <f t="shared" si="12"/>
        <v>0</v>
      </c>
      <c r="AF287" s="273"/>
      <c r="AG287" s="274"/>
      <c r="AH287" s="273"/>
      <c r="AI287" s="273"/>
      <c r="AJ287" s="274"/>
      <c r="AK287" s="273"/>
      <c r="AL287" s="275"/>
      <c r="AM287" s="290"/>
      <c r="AN287" s="275"/>
      <c r="AO287" s="276"/>
      <c r="AP287" s="275"/>
      <c r="AQ287" s="275"/>
      <c r="AR287" s="275"/>
      <c r="AS287" s="275"/>
      <c r="AT287" s="275"/>
      <c r="AU287" s="275"/>
      <c r="AV287" s="275"/>
      <c r="AW287" s="275"/>
      <c r="AX287" s="275"/>
      <c r="AY287" s="275"/>
      <c r="AZ287" s="275"/>
      <c r="BA287" s="275">
        <v>30000000</v>
      </c>
      <c r="BB287" s="275"/>
      <c r="BC287" s="275"/>
      <c r="BD287" s="275"/>
      <c r="BE287" s="275"/>
      <c r="BF287" s="275"/>
      <c r="BH287" s="277"/>
    </row>
    <row r="288" spans="1:60" ht="16.5" hidden="1" customHeight="1" x14ac:dyDescent="0.3">
      <c r="A288" s="260">
        <v>266</v>
      </c>
      <c r="B288" s="261"/>
      <c r="C288" s="261"/>
      <c r="D288" s="262" t="s">
        <v>15</v>
      </c>
      <c r="E288" s="262" t="s">
        <v>175</v>
      </c>
      <c r="F288" s="263" t="s">
        <v>15</v>
      </c>
      <c r="G288" s="264" t="s">
        <v>175</v>
      </c>
      <c r="H288" s="281"/>
      <c r="I288" s="265"/>
      <c r="J288" s="266" t="s">
        <v>748</v>
      </c>
      <c r="K288" s="262"/>
      <c r="L288" s="262"/>
      <c r="M288" s="262">
        <v>787</v>
      </c>
      <c r="N288" s="262" t="s">
        <v>22</v>
      </c>
      <c r="O288" s="262" t="s">
        <v>56</v>
      </c>
      <c r="P288" s="262" t="s">
        <v>156</v>
      </c>
      <c r="Q288" s="262" t="s">
        <v>23</v>
      </c>
      <c r="R288" s="262" t="s">
        <v>397</v>
      </c>
      <c r="S288" s="267" t="s">
        <v>823</v>
      </c>
      <c r="T288" s="268"/>
      <c r="U288" s="269" t="s">
        <v>154</v>
      </c>
      <c r="V288" s="269">
        <v>84100000</v>
      </c>
      <c r="W288" s="278">
        <v>0</v>
      </c>
      <c r="X288" s="270"/>
      <c r="Y288" s="262" t="s">
        <v>27</v>
      </c>
      <c r="Z288" s="271" t="s">
        <v>74</v>
      </c>
      <c r="AA288" s="287"/>
      <c r="AB288" s="287"/>
      <c r="AC288" s="272">
        <f t="shared" si="11"/>
        <v>65000000</v>
      </c>
      <c r="AD288" s="272">
        <v>65000000</v>
      </c>
      <c r="AE288" s="272">
        <f t="shared" si="12"/>
        <v>0</v>
      </c>
      <c r="AF288" s="273"/>
      <c r="AG288" s="274"/>
      <c r="AH288" s="273"/>
      <c r="AI288" s="273"/>
      <c r="AJ288" s="274"/>
      <c r="AK288" s="273"/>
      <c r="AL288" s="275"/>
      <c r="AM288" s="290"/>
      <c r="AN288" s="275"/>
      <c r="AO288" s="276"/>
      <c r="AP288" s="275"/>
      <c r="AQ288" s="275"/>
      <c r="AR288" s="275"/>
      <c r="AS288" s="275"/>
      <c r="AT288" s="275"/>
      <c r="AU288" s="275"/>
      <c r="AV288" s="275"/>
      <c r="AW288" s="275"/>
      <c r="AX288" s="275"/>
      <c r="AY288" s="275">
        <v>65000000</v>
      </c>
      <c r="AZ288" s="275"/>
      <c r="BA288" s="275"/>
      <c r="BB288" s="275"/>
      <c r="BC288" s="275"/>
      <c r="BD288" s="275"/>
      <c r="BE288" s="275"/>
      <c r="BF288" s="275"/>
      <c r="BH288" s="277"/>
    </row>
    <row r="289" spans="1:60" ht="16.5" hidden="1" customHeight="1" x14ac:dyDescent="0.3">
      <c r="A289" s="260">
        <v>267</v>
      </c>
      <c r="B289" s="261"/>
      <c r="C289" s="261"/>
      <c r="D289" s="262" t="s">
        <v>112</v>
      </c>
      <c r="E289" s="262" t="s">
        <v>702</v>
      </c>
      <c r="F289" s="263" t="s">
        <v>15</v>
      </c>
      <c r="G289" s="264" t="s">
        <v>175</v>
      </c>
      <c r="H289" s="281"/>
      <c r="I289" s="265"/>
      <c r="J289" s="266" t="s">
        <v>793</v>
      </c>
      <c r="K289" s="262"/>
      <c r="L289" s="262"/>
      <c r="M289" s="262">
        <v>46973</v>
      </c>
      <c r="N289" s="262" t="s">
        <v>32</v>
      </c>
      <c r="O289" s="262" t="s">
        <v>56</v>
      </c>
      <c r="P289" s="262" t="s">
        <v>57</v>
      </c>
      <c r="Q289" s="262" t="s">
        <v>23</v>
      </c>
      <c r="R289" s="262" t="s">
        <v>397</v>
      </c>
      <c r="S289" s="267" t="s">
        <v>823</v>
      </c>
      <c r="T289" s="268"/>
      <c r="U289" s="269"/>
      <c r="V289" s="269">
        <v>114000000</v>
      </c>
      <c r="W289" s="278">
        <v>0</v>
      </c>
      <c r="X289" s="270"/>
      <c r="Y289" s="262" t="s">
        <v>24</v>
      </c>
      <c r="Z289" s="271" t="s">
        <v>562</v>
      </c>
      <c r="AA289" s="287"/>
      <c r="AB289" s="287"/>
      <c r="AC289" s="272">
        <f t="shared" si="11"/>
        <v>100000000</v>
      </c>
      <c r="AD289" s="272">
        <v>100000000</v>
      </c>
      <c r="AE289" s="272">
        <f t="shared" si="12"/>
        <v>0</v>
      </c>
      <c r="AF289" s="273"/>
      <c r="AG289" s="274"/>
      <c r="AH289" s="273"/>
      <c r="AI289" s="273"/>
      <c r="AJ289" s="274"/>
      <c r="AK289" s="273"/>
      <c r="AL289" s="275"/>
      <c r="AM289" s="290"/>
      <c r="AN289" s="275"/>
      <c r="AO289" s="276"/>
      <c r="AP289" s="275"/>
      <c r="AQ289" s="275"/>
      <c r="AR289" s="275"/>
      <c r="AS289" s="275"/>
      <c r="AT289" s="275"/>
      <c r="AU289" s="275"/>
      <c r="AV289" s="275"/>
      <c r="AW289" s="275"/>
      <c r="AX289" s="275"/>
      <c r="AY289" s="275"/>
      <c r="AZ289" s="275"/>
      <c r="BA289" s="275"/>
      <c r="BB289" s="275"/>
      <c r="BC289" s="275"/>
      <c r="BD289" s="275"/>
      <c r="BE289" s="275">
        <v>100000000</v>
      </c>
      <c r="BF289" s="275"/>
      <c r="BH289" s="277"/>
    </row>
    <row r="290" spans="1:60" ht="16.5" hidden="1" customHeight="1" x14ac:dyDescent="0.3">
      <c r="A290" s="260">
        <v>268</v>
      </c>
      <c r="B290" s="261"/>
      <c r="C290" s="261"/>
      <c r="D290" s="262" t="s">
        <v>112</v>
      </c>
      <c r="E290" s="262" t="s">
        <v>702</v>
      </c>
      <c r="F290" s="263" t="s">
        <v>15</v>
      </c>
      <c r="G290" s="264" t="s">
        <v>175</v>
      </c>
      <c r="H290" s="281"/>
      <c r="I290" s="265"/>
      <c r="J290" s="266" t="s">
        <v>793</v>
      </c>
      <c r="K290" s="262"/>
      <c r="L290" s="262"/>
      <c r="M290" s="262">
        <v>46973</v>
      </c>
      <c r="N290" s="262" t="s">
        <v>32</v>
      </c>
      <c r="O290" s="262"/>
      <c r="P290" s="262"/>
      <c r="Q290" s="262"/>
      <c r="R290" s="262" t="s">
        <v>472</v>
      </c>
      <c r="S290" s="267" t="s">
        <v>824</v>
      </c>
      <c r="T290" s="268"/>
      <c r="U290" s="269"/>
      <c r="V290" s="269">
        <v>0</v>
      </c>
      <c r="W290" s="278">
        <v>0</v>
      </c>
      <c r="X290" s="270"/>
      <c r="Y290" s="262" t="s">
        <v>24</v>
      </c>
      <c r="Z290" s="271" t="s">
        <v>562</v>
      </c>
      <c r="AA290" s="287"/>
      <c r="AB290" s="287"/>
      <c r="AC290" s="272">
        <f t="shared" si="11"/>
        <v>170000000</v>
      </c>
      <c r="AD290" s="272">
        <v>170000000</v>
      </c>
      <c r="AE290" s="272">
        <f t="shared" si="12"/>
        <v>0</v>
      </c>
      <c r="AF290" s="273"/>
      <c r="AG290" s="274"/>
      <c r="AH290" s="273"/>
      <c r="AI290" s="273"/>
      <c r="AJ290" s="274"/>
      <c r="AK290" s="273"/>
      <c r="AL290" s="275"/>
      <c r="AM290" s="290"/>
      <c r="AN290" s="275"/>
      <c r="AO290" s="276"/>
      <c r="AP290" s="275"/>
      <c r="AQ290" s="275"/>
      <c r="AR290" s="275"/>
      <c r="AS290" s="275"/>
      <c r="AT290" s="275"/>
      <c r="AU290" s="275"/>
      <c r="AV290" s="275"/>
      <c r="AW290" s="275"/>
      <c r="AX290" s="275"/>
      <c r="AY290" s="275"/>
      <c r="AZ290" s="275"/>
      <c r="BA290" s="275"/>
      <c r="BB290" s="275"/>
      <c r="BC290" s="275"/>
      <c r="BD290" s="275"/>
      <c r="BE290" s="275">
        <v>170000000</v>
      </c>
      <c r="BF290" s="275"/>
      <c r="BH290" s="277"/>
    </row>
    <row r="291" spans="1:60" ht="16.5" hidden="1" customHeight="1" x14ac:dyDescent="0.3">
      <c r="A291" s="260">
        <v>269</v>
      </c>
      <c r="B291" s="261"/>
      <c r="C291" s="261"/>
      <c r="D291" s="262" t="s">
        <v>15</v>
      </c>
      <c r="E291" s="262" t="s">
        <v>175</v>
      </c>
      <c r="F291" s="263" t="s">
        <v>15</v>
      </c>
      <c r="G291" s="264" t="s">
        <v>175</v>
      </c>
      <c r="H291" s="281"/>
      <c r="I291" s="265"/>
      <c r="J291" s="266" t="s">
        <v>680</v>
      </c>
      <c r="K291" s="262"/>
      <c r="L291" s="262"/>
      <c r="M291" s="262">
        <v>27194</v>
      </c>
      <c r="N291" s="262" t="s">
        <v>22</v>
      </c>
      <c r="O291" s="262" t="s">
        <v>56</v>
      </c>
      <c r="P291" s="262" t="s">
        <v>57</v>
      </c>
      <c r="Q291" s="262" t="s">
        <v>30</v>
      </c>
      <c r="R291" s="262" t="s">
        <v>31</v>
      </c>
      <c r="S291" s="267" t="s">
        <v>31</v>
      </c>
      <c r="T291" s="268"/>
      <c r="U291" s="269"/>
      <c r="V291" s="269">
        <v>0</v>
      </c>
      <c r="W291" s="278">
        <v>7357500</v>
      </c>
      <c r="X291" s="270"/>
      <c r="Y291" s="262" t="s">
        <v>27</v>
      </c>
      <c r="Z291" s="271" t="s">
        <v>562</v>
      </c>
      <c r="AA291" s="287"/>
      <c r="AB291" s="287"/>
      <c r="AC291" s="272">
        <f t="shared" si="11"/>
        <v>7500000</v>
      </c>
      <c r="AD291" s="272">
        <v>7500000</v>
      </c>
      <c r="AE291" s="272">
        <f t="shared" si="12"/>
        <v>0</v>
      </c>
      <c r="AF291" s="273"/>
      <c r="AG291" s="274"/>
      <c r="AH291" s="273"/>
      <c r="AI291" s="273"/>
      <c r="AJ291" s="274"/>
      <c r="AK291" s="273"/>
      <c r="AL291" s="275"/>
      <c r="AM291" s="290"/>
      <c r="AN291" s="275"/>
      <c r="AO291" s="276"/>
      <c r="AP291" s="275"/>
      <c r="AQ291" s="275"/>
      <c r="AR291" s="275"/>
      <c r="AS291" s="275"/>
      <c r="AT291" s="275"/>
      <c r="AU291" s="275"/>
      <c r="AV291" s="275"/>
      <c r="AW291" s="275"/>
      <c r="AX291" s="275"/>
      <c r="AY291" s="275"/>
      <c r="AZ291" s="275"/>
      <c r="BA291" s="275"/>
      <c r="BB291" s="275"/>
      <c r="BC291" s="275"/>
      <c r="BD291" s="275"/>
      <c r="BE291" s="275">
        <v>7500000</v>
      </c>
      <c r="BF291" s="275"/>
      <c r="BH291" s="277"/>
    </row>
    <row r="292" spans="1:60" ht="16.5" hidden="1" customHeight="1" x14ac:dyDescent="0.3">
      <c r="A292" s="260">
        <v>270</v>
      </c>
      <c r="B292" s="261"/>
      <c r="C292" s="261"/>
      <c r="D292" s="262" t="s">
        <v>15</v>
      </c>
      <c r="E292" s="262" t="s">
        <v>175</v>
      </c>
      <c r="F292" s="263" t="s">
        <v>15</v>
      </c>
      <c r="G292" s="264" t="s">
        <v>175</v>
      </c>
      <c r="H292" s="281"/>
      <c r="I292" s="265"/>
      <c r="J292" s="266" t="s">
        <v>344</v>
      </c>
      <c r="K292" s="262"/>
      <c r="L292" s="262"/>
      <c r="M292" s="262">
        <v>49976</v>
      </c>
      <c r="N292" s="262" t="s">
        <v>22</v>
      </c>
      <c r="O292" s="262" t="s">
        <v>56</v>
      </c>
      <c r="P292" s="262" t="s">
        <v>57</v>
      </c>
      <c r="Q292" s="262" t="s">
        <v>18</v>
      </c>
      <c r="R292" s="262" t="s">
        <v>19</v>
      </c>
      <c r="S292" s="267" t="s">
        <v>19</v>
      </c>
      <c r="T292" s="268"/>
      <c r="U292" s="269">
        <v>8000000</v>
      </c>
      <c r="V292" s="269">
        <v>8000000</v>
      </c>
      <c r="W292" s="278">
        <v>4000000</v>
      </c>
      <c r="X292" s="270">
        <v>0</v>
      </c>
      <c r="Y292" s="262" t="s">
        <v>24</v>
      </c>
      <c r="Z292" s="271" t="s">
        <v>718</v>
      </c>
      <c r="AA292" s="287"/>
      <c r="AB292" s="287"/>
      <c r="AC292" s="272">
        <f t="shared" si="11"/>
        <v>0</v>
      </c>
      <c r="AD292" s="272">
        <v>0</v>
      </c>
      <c r="AE292" s="272">
        <f t="shared" si="12"/>
        <v>0</v>
      </c>
      <c r="AF292" s="273"/>
      <c r="AG292" s="274"/>
      <c r="AH292" s="273"/>
      <c r="AI292" s="273"/>
      <c r="AJ292" s="274"/>
      <c r="AK292" s="273"/>
      <c r="AL292" s="275"/>
      <c r="AM292" s="290"/>
      <c r="AN292" s="275"/>
      <c r="AO292" s="276"/>
      <c r="AP292" s="275"/>
      <c r="AQ292" s="275"/>
      <c r="AR292" s="275"/>
      <c r="AS292" s="275"/>
      <c r="AT292" s="275"/>
      <c r="AU292" s="275"/>
      <c r="AV292" s="275"/>
      <c r="AW292" s="275"/>
      <c r="AX292" s="275"/>
      <c r="AY292" s="275"/>
      <c r="AZ292" s="275"/>
      <c r="BA292" s="275"/>
      <c r="BB292" s="275"/>
      <c r="BC292" s="275"/>
      <c r="BD292" s="275"/>
      <c r="BE292" s="275"/>
      <c r="BF292" s="275"/>
      <c r="BH292" s="277"/>
    </row>
    <row r="293" spans="1:60" ht="16.5" customHeight="1" x14ac:dyDescent="0.3">
      <c r="A293" s="260">
        <v>271</v>
      </c>
      <c r="B293" s="261"/>
      <c r="C293" s="261"/>
      <c r="D293" s="262" t="s">
        <v>15</v>
      </c>
      <c r="E293" s="262" t="s">
        <v>175</v>
      </c>
      <c r="F293" s="263" t="s">
        <v>15</v>
      </c>
      <c r="G293" s="264" t="s">
        <v>175</v>
      </c>
      <c r="H293" s="281"/>
      <c r="I293" s="265"/>
      <c r="J293" s="266" t="s">
        <v>749</v>
      </c>
      <c r="K293" s="262"/>
      <c r="L293" s="262"/>
      <c r="M293" s="262">
        <v>3640</v>
      </c>
      <c r="N293" s="262" t="s">
        <v>22</v>
      </c>
      <c r="O293" s="262" t="s">
        <v>212</v>
      </c>
      <c r="P293" s="262" t="s">
        <v>57</v>
      </c>
      <c r="Q293" s="262" t="s">
        <v>63</v>
      </c>
      <c r="R293" s="262" t="s">
        <v>28</v>
      </c>
      <c r="S293" s="267" t="s">
        <v>28</v>
      </c>
      <c r="T293" s="268" t="s">
        <v>951</v>
      </c>
      <c r="U293" s="269">
        <v>189992708</v>
      </c>
      <c r="V293" s="269">
        <v>201131700</v>
      </c>
      <c r="W293" s="278">
        <v>243218555</v>
      </c>
      <c r="X293" s="270"/>
      <c r="Y293" s="262" t="s">
        <v>27</v>
      </c>
      <c r="Z293" s="271" t="s">
        <v>27</v>
      </c>
      <c r="AA293" s="287"/>
      <c r="AB293" s="287"/>
      <c r="AC293" s="272">
        <f t="shared" si="11"/>
        <v>106538580</v>
      </c>
      <c r="AD293" s="272">
        <v>106538580</v>
      </c>
      <c r="AE293" s="272">
        <f t="shared" si="12"/>
        <v>0</v>
      </c>
      <c r="AF293" s="273">
        <v>19749105</v>
      </c>
      <c r="AG293" s="274">
        <v>15749105</v>
      </c>
      <c r="AH293" s="273"/>
      <c r="AI293" s="273">
        <v>15000000</v>
      </c>
      <c r="AJ293" s="274">
        <v>22157575</v>
      </c>
      <c r="AK293" s="273"/>
      <c r="AL293" s="275">
        <v>23631900</v>
      </c>
      <c r="AM293" s="290">
        <v>23631900</v>
      </c>
      <c r="AN293" s="275"/>
      <c r="AO293" s="276">
        <v>15000000</v>
      </c>
      <c r="AP293" s="275"/>
      <c r="AQ293" s="275">
        <v>15000000</v>
      </c>
      <c r="AR293" s="275"/>
      <c r="AS293" s="275">
        <v>15000000</v>
      </c>
      <c r="AT293" s="275"/>
      <c r="AU293" s="275"/>
      <c r="AV293" s="275"/>
      <c r="AW293" s="275"/>
      <c r="AX293" s="275"/>
      <c r="AY293" s="275"/>
      <c r="AZ293" s="275"/>
      <c r="BA293" s="275"/>
      <c r="BB293" s="275"/>
      <c r="BC293" s="275"/>
      <c r="BD293" s="275"/>
      <c r="BE293" s="275"/>
      <c r="BF293" s="275"/>
      <c r="BH293" s="277"/>
    </row>
    <row r="294" spans="1:60" ht="16.5" customHeight="1" x14ac:dyDescent="0.3">
      <c r="A294" s="260">
        <v>272</v>
      </c>
      <c r="B294" s="261"/>
      <c r="C294" s="261"/>
      <c r="D294" s="262" t="s">
        <v>15</v>
      </c>
      <c r="E294" s="262" t="s">
        <v>175</v>
      </c>
      <c r="F294" s="263" t="s">
        <v>15</v>
      </c>
      <c r="G294" s="264" t="s">
        <v>175</v>
      </c>
      <c r="H294" s="281"/>
      <c r="I294" s="265"/>
      <c r="J294" s="266" t="s">
        <v>750</v>
      </c>
      <c r="K294" s="262"/>
      <c r="L294" s="262"/>
      <c r="M294" s="262">
        <v>3640</v>
      </c>
      <c r="N294" s="262" t="s">
        <v>22</v>
      </c>
      <c r="O294" s="262" t="s">
        <v>56</v>
      </c>
      <c r="P294" s="262" t="s">
        <v>57</v>
      </c>
      <c r="Q294" s="262" t="s">
        <v>63</v>
      </c>
      <c r="R294" s="262" t="s">
        <v>468</v>
      </c>
      <c r="S294" s="267" t="s">
        <v>468</v>
      </c>
      <c r="T294" s="268"/>
      <c r="U294" s="269"/>
      <c r="V294" s="269">
        <v>0</v>
      </c>
      <c r="W294" s="278">
        <v>0</v>
      </c>
      <c r="X294" s="270"/>
      <c r="Y294" s="262" t="s">
        <v>25</v>
      </c>
      <c r="Z294" s="271" t="s">
        <v>24</v>
      </c>
      <c r="AA294" s="287"/>
      <c r="AB294" s="287"/>
      <c r="AC294" s="272">
        <f t="shared" si="11"/>
        <v>90000000</v>
      </c>
      <c r="AD294" s="272">
        <v>90000000</v>
      </c>
      <c r="AE294" s="272">
        <f t="shared" si="12"/>
        <v>0</v>
      </c>
      <c r="AF294" s="273"/>
      <c r="AG294" s="274"/>
      <c r="AH294" s="273"/>
      <c r="AI294" s="273"/>
      <c r="AJ294" s="274"/>
      <c r="AK294" s="273"/>
      <c r="AL294" s="275"/>
      <c r="AM294" s="290"/>
      <c r="AN294" s="275"/>
      <c r="AO294" s="276"/>
      <c r="AP294" s="275"/>
      <c r="AQ294" s="275"/>
      <c r="AR294" s="275"/>
      <c r="AS294" s="275"/>
      <c r="AT294" s="275"/>
      <c r="AU294" s="275">
        <v>15000000</v>
      </c>
      <c r="AV294" s="275"/>
      <c r="AW294" s="275">
        <v>15000000</v>
      </c>
      <c r="AX294" s="275"/>
      <c r="AY294" s="275">
        <v>15000000</v>
      </c>
      <c r="AZ294" s="275"/>
      <c r="BA294" s="275">
        <v>15000000</v>
      </c>
      <c r="BB294" s="275"/>
      <c r="BC294" s="275">
        <v>15000000</v>
      </c>
      <c r="BD294" s="275"/>
      <c r="BE294" s="275">
        <v>15000000</v>
      </c>
      <c r="BF294" s="275"/>
      <c r="BH294" s="277"/>
    </row>
    <row r="295" spans="1:60" ht="16.5" hidden="1" customHeight="1" x14ac:dyDescent="0.3">
      <c r="A295" s="260">
        <v>273</v>
      </c>
      <c r="B295" s="261"/>
      <c r="C295" s="261"/>
      <c r="D295" s="262" t="s">
        <v>15</v>
      </c>
      <c r="E295" s="262" t="s">
        <v>175</v>
      </c>
      <c r="F295" s="263" t="s">
        <v>15</v>
      </c>
      <c r="G295" s="264" t="s">
        <v>175</v>
      </c>
      <c r="H295" s="281"/>
      <c r="I295" s="265"/>
      <c r="J295" s="266" t="s">
        <v>345</v>
      </c>
      <c r="K295" s="262"/>
      <c r="L295" s="262"/>
      <c r="M295" s="262">
        <v>47109</v>
      </c>
      <c r="N295" s="262" t="s">
        <v>32</v>
      </c>
      <c r="O295" s="262" t="s">
        <v>56</v>
      </c>
      <c r="P295" s="262" t="s">
        <v>57</v>
      </c>
      <c r="Q295" s="262" t="s">
        <v>26</v>
      </c>
      <c r="R295" s="262" t="s">
        <v>468</v>
      </c>
      <c r="S295" s="267" t="s">
        <v>468</v>
      </c>
      <c r="T295" s="268"/>
      <c r="U295" s="269">
        <v>8500000</v>
      </c>
      <c r="V295" s="269">
        <v>9650000</v>
      </c>
      <c r="W295" s="278">
        <v>0</v>
      </c>
      <c r="X295" s="270"/>
      <c r="Y295" s="262" t="s">
        <v>25</v>
      </c>
      <c r="Z295" s="271" t="s">
        <v>20</v>
      </c>
      <c r="AA295" s="287"/>
      <c r="AB295" s="287"/>
      <c r="AC295" s="272">
        <f t="shared" si="11"/>
        <v>0</v>
      </c>
      <c r="AD295" s="272">
        <v>0</v>
      </c>
      <c r="AE295" s="272">
        <f t="shared" si="12"/>
        <v>0</v>
      </c>
      <c r="AF295" s="273"/>
      <c r="AG295" s="274"/>
      <c r="AH295" s="273"/>
      <c r="AI295" s="273"/>
      <c r="AJ295" s="274"/>
      <c r="AK295" s="273"/>
      <c r="AL295" s="275"/>
      <c r="AM295" s="290"/>
      <c r="AN295" s="275"/>
      <c r="AO295" s="276"/>
      <c r="AP295" s="275"/>
      <c r="AQ295" s="275"/>
      <c r="AR295" s="275"/>
      <c r="AS295" s="275"/>
      <c r="AT295" s="275"/>
      <c r="AU295" s="275"/>
      <c r="AV295" s="275"/>
      <c r="AW295" s="275"/>
      <c r="AX295" s="275"/>
      <c r="AY295" s="275"/>
      <c r="AZ295" s="275"/>
      <c r="BA295" s="275"/>
      <c r="BB295" s="275"/>
      <c r="BC295" s="275"/>
      <c r="BD295" s="275"/>
      <c r="BE295" s="275"/>
      <c r="BF295" s="275"/>
      <c r="BH295" s="277"/>
    </row>
    <row r="296" spans="1:60" ht="16.5" hidden="1" customHeight="1" x14ac:dyDescent="0.3">
      <c r="A296" s="260">
        <v>274</v>
      </c>
      <c r="B296" s="261"/>
      <c r="C296" s="261"/>
      <c r="D296" s="262"/>
      <c r="E296" s="262"/>
      <c r="F296" s="263" t="s">
        <v>15</v>
      </c>
      <c r="G296" s="264" t="s">
        <v>175</v>
      </c>
      <c r="H296" s="281"/>
      <c r="I296" s="265"/>
      <c r="J296" s="266" t="s">
        <v>915</v>
      </c>
      <c r="K296" s="262"/>
      <c r="L296" s="262"/>
      <c r="M296" s="262">
        <v>42940</v>
      </c>
      <c r="N296" s="262"/>
      <c r="O296" s="262"/>
      <c r="P296" s="262"/>
      <c r="Q296" s="262"/>
      <c r="R296" s="262"/>
      <c r="S296" s="267" t="s">
        <v>28</v>
      </c>
      <c r="T296" s="268"/>
      <c r="U296" s="269"/>
      <c r="V296" s="269"/>
      <c r="W296" s="278">
        <v>159405700</v>
      </c>
      <c r="X296" s="270">
        <v>0</v>
      </c>
      <c r="Y296" s="262"/>
      <c r="Z296" s="271" t="s">
        <v>562</v>
      </c>
      <c r="AA296" s="287"/>
      <c r="AB296" s="287"/>
      <c r="AC296" s="272">
        <f t="shared" si="11"/>
        <v>0</v>
      </c>
      <c r="AD296" s="272">
        <v>0</v>
      </c>
      <c r="AE296" s="272">
        <f t="shared" si="12"/>
        <v>0</v>
      </c>
      <c r="AF296" s="273"/>
      <c r="AG296" s="274"/>
      <c r="AH296" s="273"/>
      <c r="AI296" s="273"/>
      <c r="AJ296" s="274"/>
      <c r="AK296" s="273"/>
      <c r="AL296" s="275"/>
      <c r="AM296" s="290"/>
      <c r="AN296" s="275"/>
      <c r="AO296" s="276"/>
      <c r="AP296" s="275"/>
      <c r="AQ296" s="275"/>
      <c r="AR296" s="275"/>
      <c r="AS296" s="275"/>
      <c r="AT296" s="275"/>
      <c r="AU296" s="275"/>
      <c r="AV296" s="275"/>
      <c r="AW296" s="275"/>
      <c r="AX296" s="275"/>
      <c r="AY296" s="275"/>
      <c r="AZ296" s="275"/>
      <c r="BA296" s="275"/>
      <c r="BB296" s="275"/>
      <c r="BC296" s="275"/>
      <c r="BD296" s="275"/>
      <c r="BE296" s="275"/>
      <c r="BF296" s="275"/>
      <c r="BH296" s="277"/>
    </row>
    <row r="297" spans="1:60" ht="16.5" customHeight="1" x14ac:dyDescent="0.3">
      <c r="A297" s="260">
        <v>275</v>
      </c>
      <c r="B297" s="261"/>
      <c r="C297" s="261"/>
      <c r="D297" s="262" t="s">
        <v>15</v>
      </c>
      <c r="E297" s="262" t="s">
        <v>175</v>
      </c>
      <c r="F297" s="263" t="s">
        <v>15</v>
      </c>
      <c r="G297" s="264" t="s">
        <v>175</v>
      </c>
      <c r="H297" s="281"/>
      <c r="I297" s="265"/>
      <c r="J297" s="266" t="s">
        <v>346</v>
      </c>
      <c r="K297" s="262"/>
      <c r="L297" s="262"/>
      <c r="M297" s="262">
        <v>7740</v>
      </c>
      <c r="N297" s="262" t="s">
        <v>32</v>
      </c>
      <c r="O297" s="262" t="s">
        <v>212</v>
      </c>
      <c r="P297" s="262" t="s">
        <v>124</v>
      </c>
      <c r="Q297" s="262" t="s">
        <v>44</v>
      </c>
      <c r="R297" s="262" t="s">
        <v>469</v>
      </c>
      <c r="S297" s="267" t="s">
        <v>469</v>
      </c>
      <c r="T297" s="268"/>
      <c r="U297" s="269">
        <v>27130232</v>
      </c>
      <c r="V297" s="269">
        <v>155823387</v>
      </c>
      <c r="W297" s="278">
        <v>17050636</v>
      </c>
      <c r="X297" s="270"/>
      <c r="Y297" s="262" t="s">
        <v>27</v>
      </c>
      <c r="Z297" s="271" t="s">
        <v>27</v>
      </c>
      <c r="AA297" s="287"/>
      <c r="AB297" s="287"/>
      <c r="AC297" s="272">
        <f t="shared" si="11"/>
        <v>15000000</v>
      </c>
      <c r="AD297" s="272">
        <v>15000000</v>
      </c>
      <c r="AE297" s="272">
        <f t="shared" si="12"/>
        <v>0</v>
      </c>
      <c r="AF297" s="273"/>
      <c r="AG297" s="274"/>
      <c r="AH297" s="273"/>
      <c r="AI297" s="273"/>
      <c r="AJ297" s="274"/>
      <c r="AK297" s="273"/>
      <c r="AL297" s="275"/>
      <c r="AM297" s="290"/>
      <c r="AN297" s="275"/>
      <c r="AO297" s="276">
        <v>5000000</v>
      </c>
      <c r="AP297" s="275"/>
      <c r="AQ297" s="275"/>
      <c r="AR297" s="275"/>
      <c r="AS297" s="275"/>
      <c r="AT297" s="275"/>
      <c r="AU297" s="275"/>
      <c r="AV297" s="275"/>
      <c r="AW297" s="275">
        <v>5000000</v>
      </c>
      <c r="AX297" s="275"/>
      <c r="AY297" s="275"/>
      <c r="AZ297" s="275"/>
      <c r="BA297" s="275"/>
      <c r="BB297" s="275"/>
      <c r="BC297" s="275"/>
      <c r="BD297" s="275"/>
      <c r="BE297" s="275">
        <v>5000000</v>
      </c>
      <c r="BF297" s="275"/>
      <c r="BH297" s="277"/>
    </row>
    <row r="298" spans="1:60" ht="16.5" hidden="1" customHeight="1" x14ac:dyDescent="0.3">
      <c r="A298" s="260">
        <v>276</v>
      </c>
      <c r="B298" s="261"/>
      <c r="C298" s="261"/>
      <c r="D298" s="262" t="s">
        <v>15</v>
      </c>
      <c r="E298" s="262" t="s">
        <v>175</v>
      </c>
      <c r="F298" s="263" t="s">
        <v>15</v>
      </c>
      <c r="G298" s="264" t="s">
        <v>175</v>
      </c>
      <c r="H298" s="281"/>
      <c r="I298" s="265"/>
      <c r="J298" s="266" t="s">
        <v>751</v>
      </c>
      <c r="K298" s="262"/>
      <c r="L298" s="262"/>
      <c r="M298" s="262">
        <v>42940</v>
      </c>
      <c r="N298" s="262" t="s">
        <v>32</v>
      </c>
      <c r="O298" s="262" t="s">
        <v>56</v>
      </c>
      <c r="P298" s="262" t="s">
        <v>57</v>
      </c>
      <c r="Q298" s="262" t="s">
        <v>26</v>
      </c>
      <c r="R298" s="262" t="s">
        <v>468</v>
      </c>
      <c r="S298" s="267" t="s">
        <v>468</v>
      </c>
      <c r="T298" s="268"/>
      <c r="U298" s="269" t="s">
        <v>154</v>
      </c>
      <c r="V298" s="269">
        <v>106631818</v>
      </c>
      <c r="W298" s="278">
        <v>30836836</v>
      </c>
      <c r="X298" s="270"/>
      <c r="Y298" s="262" t="s">
        <v>74</v>
      </c>
      <c r="Z298" s="271" t="s">
        <v>74</v>
      </c>
      <c r="AA298" s="287"/>
      <c r="AB298" s="287"/>
      <c r="AC298" s="272">
        <f t="shared" si="11"/>
        <v>220000000</v>
      </c>
      <c r="AD298" s="272">
        <v>220000000</v>
      </c>
      <c r="AE298" s="272">
        <f t="shared" si="12"/>
        <v>0</v>
      </c>
      <c r="AF298" s="273"/>
      <c r="AG298" s="274"/>
      <c r="AH298" s="273"/>
      <c r="AI298" s="273"/>
      <c r="AJ298" s="274"/>
      <c r="AK298" s="273"/>
      <c r="AL298" s="275"/>
      <c r="AM298" s="290"/>
      <c r="AN298" s="275"/>
      <c r="AO298" s="276"/>
      <c r="AP298" s="275"/>
      <c r="AQ298" s="275">
        <v>190000000</v>
      </c>
      <c r="AR298" s="275"/>
      <c r="AS298" s="275"/>
      <c r="AT298" s="275"/>
      <c r="AU298" s="275"/>
      <c r="AV298" s="275"/>
      <c r="AW298" s="275"/>
      <c r="AX298" s="275"/>
      <c r="AY298" s="275"/>
      <c r="AZ298" s="275"/>
      <c r="BA298" s="275"/>
      <c r="BB298" s="275"/>
      <c r="BC298" s="275"/>
      <c r="BD298" s="275"/>
      <c r="BE298" s="275">
        <v>30000000</v>
      </c>
      <c r="BF298" s="275"/>
      <c r="BH298" s="277"/>
    </row>
    <row r="299" spans="1:60" ht="16.5" customHeight="1" x14ac:dyDescent="0.3">
      <c r="A299" s="260">
        <v>277</v>
      </c>
      <c r="B299" s="261"/>
      <c r="C299" s="261"/>
      <c r="D299" s="262" t="s">
        <v>15</v>
      </c>
      <c r="E299" s="262" t="s">
        <v>175</v>
      </c>
      <c r="F299" s="263" t="s">
        <v>15</v>
      </c>
      <c r="G299" s="264" t="s">
        <v>175</v>
      </c>
      <c r="H299" s="281"/>
      <c r="I299" s="265"/>
      <c r="J299" s="266" t="s">
        <v>622</v>
      </c>
      <c r="K299" s="262"/>
      <c r="L299" s="262"/>
      <c r="M299" s="262">
        <v>42940</v>
      </c>
      <c r="N299" s="262" t="s">
        <v>32</v>
      </c>
      <c r="O299" s="262" t="s">
        <v>56</v>
      </c>
      <c r="P299" s="262" t="s">
        <v>57</v>
      </c>
      <c r="Q299" s="262" t="s">
        <v>63</v>
      </c>
      <c r="R299" s="262" t="s">
        <v>47</v>
      </c>
      <c r="S299" s="267" t="s">
        <v>28</v>
      </c>
      <c r="T299" s="268"/>
      <c r="U299" s="269">
        <v>204578707</v>
      </c>
      <c r="V299" s="269">
        <v>179197380</v>
      </c>
      <c r="W299" s="278">
        <v>0</v>
      </c>
      <c r="X299" s="270">
        <v>150970800</v>
      </c>
      <c r="Y299" s="262" t="s">
        <v>27</v>
      </c>
      <c r="Z299" s="271" t="s">
        <v>27</v>
      </c>
      <c r="AA299" s="287"/>
      <c r="AB299" s="287"/>
      <c r="AC299" s="272">
        <f t="shared" si="11"/>
        <v>131080000</v>
      </c>
      <c r="AD299" s="272">
        <v>131080000</v>
      </c>
      <c r="AE299" s="272">
        <f t="shared" si="12"/>
        <v>0</v>
      </c>
      <c r="AF299" s="273"/>
      <c r="AG299" s="274"/>
      <c r="AH299" s="273"/>
      <c r="AI299" s="273"/>
      <c r="AJ299" s="274"/>
      <c r="AK299" s="273"/>
      <c r="AL299" s="275">
        <v>1080000</v>
      </c>
      <c r="AM299" s="290">
        <v>1080000</v>
      </c>
      <c r="AN299" s="275"/>
      <c r="AO299" s="276"/>
      <c r="AP299" s="275"/>
      <c r="AQ299" s="275">
        <v>40000000</v>
      </c>
      <c r="AR299" s="275"/>
      <c r="AS299" s="275"/>
      <c r="AT299" s="275"/>
      <c r="AU299" s="275"/>
      <c r="AV299" s="275"/>
      <c r="AW299" s="275">
        <v>40000000</v>
      </c>
      <c r="AX299" s="275"/>
      <c r="AY299" s="275"/>
      <c r="AZ299" s="275"/>
      <c r="BA299" s="275"/>
      <c r="BB299" s="275"/>
      <c r="BC299" s="275">
        <v>50000000</v>
      </c>
      <c r="BD299" s="275"/>
      <c r="BE299" s="275"/>
      <c r="BF299" s="275"/>
      <c r="BH299" s="277"/>
    </row>
    <row r="300" spans="1:60" ht="16.5" customHeight="1" x14ac:dyDescent="0.3">
      <c r="A300" s="260">
        <v>278</v>
      </c>
      <c r="B300" s="261"/>
      <c r="C300" s="261"/>
      <c r="D300" s="262" t="s">
        <v>15</v>
      </c>
      <c r="E300" s="262" t="s">
        <v>175</v>
      </c>
      <c r="F300" s="263" t="s">
        <v>15</v>
      </c>
      <c r="G300" s="264" t="s">
        <v>175</v>
      </c>
      <c r="H300" s="281"/>
      <c r="I300" s="265"/>
      <c r="J300" s="266" t="s">
        <v>657</v>
      </c>
      <c r="K300" s="262"/>
      <c r="L300" s="262"/>
      <c r="M300" s="262">
        <v>7740</v>
      </c>
      <c r="N300" s="262" t="s">
        <v>32</v>
      </c>
      <c r="O300" s="262" t="s">
        <v>56</v>
      </c>
      <c r="P300" s="262" t="s">
        <v>57</v>
      </c>
      <c r="Q300" s="262" t="s">
        <v>44</v>
      </c>
      <c r="R300" s="262" t="s">
        <v>469</v>
      </c>
      <c r="S300" s="267" t="s">
        <v>469</v>
      </c>
      <c r="T300" s="268"/>
      <c r="U300" s="269">
        <v>96000000</v>
      </c>
      <c r="V300" s="269">
        <v>0</v>
      </c>
      <c r="W300" s="278">
        <v>130909091</v>
      </c>
      <c r="X300" s="270"/>
      <c r="Y300" s="262" t="s">
        <v>27</v>
      </c>
      <c r="Z300" s="271" t="s">
        <v>27</v>
      </c>
      <c r="AA300" s="287"/>
      <c r="AB300" s="287"/>
      <c r="AC300" s="272">
        <f t="shared" si="11"/>
        <v>130000000</v>
      </c>
      <c r="AD300" s="272">
        <v>130000000</v>
      </c>
      <c r="AE300" s="272">
        <f t="shared" si="12"/>
        <v>0</v>
      </c>
      <c r="AF300" s="273"/>
      <c r="AG300" s="274"/>
      <c r="AH300" s="273"/>
      <c r="AI300" s="273"/>
      <c r="AJ300" s="274"/>
      <c r="AK300" s="273"/>
      <c r="AL300" s="275"/>
      <c r="AM300" s="290"/>
      <c r="AN300" s="275"/>
      <c r="AO300" s="276"/>
      <c r="AP300" s="275"/>
      <c r="AQ300" s="275">
        <v>90000000</v>
      </c>
      <c r="AR300" s="275"/>
      <c r="AS300" s="275"/>
      <c r="AT300" s="275"/>
      <c r="AU300" s="275"/>
      <c r="AV300" s="275"/>
      <c r="AW300" s="275"/>
      <c r="AX300" s="275"/>
      <c r="AY300" s="275"/>
      <c r="AZ300" s="275"/>
      <c r="BA300" s="275"/>
      <c r="BB300" s="275"/>
      <c r="BC300" s="275"/>
      <c r="BD300" s="275"/>
      <c r="BE300" s="275">
        <v>40000000</v>
      </c>
      <c r="BF300" s="275"/>
      <c r="BH300" s="277"/>
    </row>
    <row r="301" spans="1:60" ht="16.5" customHeight="1" x14ac:dyDescent="0.3">
      <c r="A301" s="260">
        <v>279</v>
      </c>
      <c r="B301" s="261"/>
      <c r="C301" s="261"/>
      <c r="D301" s="262"/>
      <c r="E301" s="262"/>
      <c r="F301" s="263" t="s">
        <v>15</v>
      </c>
      <c r="G301" s="264" t="s">
        <v>175</v>
      </c>
      <c r="H301" s="281"/>
      <c r="I301" s="265"/>
      <c r="J301" s="266" t="s">
        <v>916</v>
      </c>
      <c r="K301" s="262"/>
      <c r="L301" s="262"/>
      <c r="M301" s="262">
        <v>63615</v>
      </c>
      <c r="N301" s="262"/>
      <c r="O301" s="262"/>
      <c r="P301" s="262"/>
      <c r="Q301" s="262"/>
      <c r="R301" s="262"/>
      <c r="S301" s="267" t="s">
        <v>31</v>
      </c>
      <c r="T301" s="268"/>
      <c r="U301" s="269"/>
      <c r="V301" s="269"/>
      <c r="W301" s="278">
        <v>6789000</v>
      </c>
      <c r="X301" s="270"/>
      <c r="Y301" s="262"/>
      <c r="Z301" s="271" t="s">
        <v>27</v>
      </c>
      <c r="AA301" s="287"/>
      <c r="AB301" s="287"/>
      <c r="AC301" s="272">
        <f t="shared" si="11"/>
        <v>4100000</v>
      </c>
      <c r="AD301" s="272">
        <v>4100000</v>
      </c>
      <c r="AE301" s="272">
        <f t="shared" si="12"/>
        <v>0</v>
      </c>
      <c r="AF301" s="273"/>
      <c r="AG301" s="274"/>
      <c r="AH301" s="273"/>
      <c r="AI301" s="273"/>
      <c r="AJ301" s="274"/>
      <c r="AK301" s="273"/>
      <c r="AL301" s="275"/>
      <c r="AM301" s="290"/>
      <c r="AN301" s="275"/>
      <c r="AO301" s="276">
        <v>4100000</v>
      </c>
      <c r="AP301" s="275"/>
      <c r="AQ301" s="275"/>
      <c r="AR301" s="275"/>
      <c r="AS301" s="275"/>
      <c r="AT301" s="275"/>
      <c r="AU301" s="275"/>
      <c r="AV301" s="275"/>
      <c r="AW301" s="275"/>
      <c r="AX301" s="275"/>
      <c r="AY301" s="275"/>
      <c r="AZ301" s="275"/>
      <c r="BA301" s="275"/>
      <c r="BB301" s="275"/>
      <c r="BC301" s="275"/>
      <c r="BD301" s="275"/>
      <c r="BE301" s="275"/>
      <c r="BF301" s="275"/>
      <c r="BH301" s="277"/>
    </row>
    <row r="302" spans="1:60" ht="16.5" customHeight="1" x14ac:dyDescent="0.3">
      <c r="A302" s="260">
        <v>280</v>
      </c>
      <c r="B302" s="261"/>
      <c r="C302" s="261"/>
      <c r="D302" s="262" t="s">
        <v>15</v>
      </c>
      <c r="E302" s="262" t="s">
        <v>175</v>
      </c>
      <c r="F302" s="263" t="s">
        <v>15</v>
      </c>
      <c r="G302" s="264" t="s">
        <v>175</v>
      </c>
      <c r="H302" s="281"/>
      <c r="I302" s="265"/>
      <c r="J302" s="266" t="s">
        <v>197</v>
      </c>
      <c r="K302" s="262"/>
      <c r="L302" s="262"/>
      <c r="M302" s="262">
        <v>1829</v>
      </c>
      <c r="N302" s="262" t="s">
        <v>22</v>
      </c>
      <c r="O302" s="262" t="s">
        <v>35</v>
      </c>
      <c r="P302" s="262" t="s">
        <v>57</v>
      </c>
      <c r="Q302" s="262" t="s">
        <v>18</v>
      </c>
      <c r="R302" s="262" t="s">
        <v>28</v>
      </c>
      <c r="S302" s="267" t="s">
        <v>19</v>
      </c>
      <c r="T302" s="268"/>
      <c r="U302" s="269">
        <v>14620000</v>
      </c>
      <c r="V302" s="269">
        <v>0</v>
      </c>
      <c r="W302" s="278">
        <v>0</v>
      </c>
      <c r="X302" s="270"/>
      <c r="Y302" s="262" t="s">
        <v>25</v>
      </c>
      <c r="Z302" s="271" t="s">
        <v>25</v>
      </c>
      <c r="AA302" s="287"/>
      <c r="AB302" s="287"/>
      <c r="AC302" s="272">
        <f t="shared" si="11"/>
        <v>30000000</v>
      </c>
      <c r="AD302" s="272">
        <v>30000000</v>
      </c>
      <c r="AE302" s="272">
        <f t="shared" si="12"/>
        <v>0</v>
      </c>
      <c r="AF302" s="273"/>
      <c r="AG302" s="274"/>
      <c r="AH302" s="273"/>
      <c r="AI302" s="273"/>
      <c r="AJ302" s="274"/>
      <c r="AK302" s="273"/>
      <c r="AL302" s="275"/>
      <c r="AM302" s="290"/>
      <c r="AN302" s="275"/>
      <c r="AO302" s="276"/>
      <c r="AP302" s="275"/>
      <c r="AQ302" s="275">
        <v>30000000</v>
      </c>
      <c r="AR302" s="275"/>
      <c r="AS302" s="275"/>
      <c r="AT302" s="275"/>
      <c r="AU302" s="275"/>
      <c r="AV302" s="275"/>
      <c r="AW302" s="275"/>
      <c r="AX302" s="275"/>
      <c r="AY302" s="275"/>
      <c r="AZ302" s="275"/>
      <c r="BA302" s="275"/>
      <c r="BB302" s="275"/>
      <c r="BC302" s="275"/>
      <c r="BD302" s="275"/>
      <c r="BE302" s="275"/>
      <c r="BF302" s="275"/>
      <c r="BH302" s="277"/>
    </row>
    <row r="303" spans="1:60" ht="16.5" hidden="1" customHeight="1" x14ac:dyDescent="0.3">
      <c r="A303" s="260">
        <v>281</v>
      </c>
      <c r="B303" s="261"/>
      <c r="C303" s="261"/>
      <c r="D303" s="262" t="s">
        <v>15</v>
      </c>
      <c r="E303" s="262" t="s">
        <v>175</v>
      </c>
      <c r="F303" s="263" t="s">
        <v>15</v>
      </c>
      <c r="G303" s="264" t="s">
        <v>175</v>
      </c>
      <c r="H303" s="281"/>
      <c r="I303" s="265"/>
      <c r="J303" s="266" t="s">
        <v>198</v>
      </c>
      <c r="K303" s="262"/>
      <c r="L303" s="262"/>
      <c r="M303" s="262">
        <v>1829</v>
      </c>
      <c r="N303" s="262" t="s">
        <v>22</v>
      </c>
      <c r="O303" s="262" t="s">
        <v>56</v>
      </c>
      <c r="P303" s="262"/>
      <c r="Q303" s="262" t="s">
        <v>58</v>
      </c>
      <c r="R303" s="262" t="s">
        <v>470</v>
      </c>
      <c r="S303" s="267" t="s">
        <v>822</v>
      </c>
      <c r="T303" s="268"/>
      <c r="U303" s="269"/>
      <c r="V303" s="269">
        <v>2500000</v>
      </c>
      <c r="W303" s="278">
        <v>0</v>
      </c>
      <c r="X303" s="270"/>
      <c r="Y303" s="262" t="s">
        <v>24</v>
      </c>
      <c r="Z303" s="271" t="s">
        <v>20</v>
      </c>
      <c r="AA303" s="287"/>
      <c r="AB303" s="287"/>
      <c r="AC303" s="272">
        <f t="shared" si="11"/>
        <v>0</v>
      </c>
      <c r="AD303" s="272">
        <v>0</v>
      </c>
      <c r="AE303" s="272">
        <f t="shared" si="12"/>
        <v>0</v>
      </c>
      <c r="AF303" s="273"/>
      <c r="AG303" s="274"/>
      <c r="AH303" s="273"/>
      <c r="AI303" s="273"/>
      <c r="AJ303" s="274"/>
      <c r="AK303" s="273"/>
      <c r="AL303" s="275"/>
      <c r="AM303" s="290"/>
      <c r="AN303" s="275"/>
      <c r="AO303" s="276"/>
      <c r="AP303" s="275"/>
      <c r="AQ303" s="275"/>
      <c r="AR303" s="275"/>
      <c r="AS303" s="275"/>
      <c r="AT303" s="275"/>
      <c r="AU303" s="275"/>
      <c r="AV303" s="275"/>
      <c r="AW303" s="275"/>
      <c r="AX303" s="275"/>
      <c r="AY303" s="275"/>
      <c r="AZ303" s="275"/>
      <c r="BA303" s="275"/>
      <c r="BB303" s="275"/>
      <c r="BC303" s="275"/>
      <c r="BD303" s="275"/>
      <c r="BE303" s="275"/>
      <c r="BF303" s="275"/>
      <c r="BH303" s="277"/>
    </row>
    <row r="304" spans="1:60" ht="16.5" hidden="1" customHeight="1" x14ac:dyDescent="0.3">
      <c r="A304" s="260">
        <v>282</v>
      </c>
      <c r="B304" s="261"/>
      <c r="C304" s="261"/>
      <c r="D304" s="262" t="s">
        <v>15</v>
      </c>
      <c r="E304" s="262" t="s">
        <v>175</v>
      </c>
      <c r="F304" s="263" t="s">
        <v>15</v>
      </c>
      <c r="G304" s="264" t="s">
        <v>175</v>
      </c>
      <c r="H304" s="281"/>
      <c r="I304" s="265"/>
      <c r="J304" s="266" t="s">
        <v>199</v>
      </c>
      <c r="K304" s="262"/>
      <c r="L304" s="262"/>
      <c r="M304" s="262">
        <v>1829</v>
      </c>
      <c r="N304" s="262" t="s">
        <v>22</v>
      </c>
      <c r="O304" s="262" t="s">
        <v>35</v>
      </c>
      <c r="P304" s="262" t="s">
        <v>156</v>
      </c>
      <c r="Q304" s="262"/>
      <c r="R304" s="262" t="s">
        <v>468</v>
      </c>
      <c r="S304" s="267" t="s">
        <v>468</v>
      </c>
      <c r="T304" s="268"/>
      <c r="U304" s="269"/>
      <c r="V304" s="269">
        <v>0</v>
      </c>
      <c r="W304" s="278">
        <v>0</v>
      </c>
      <c r="X304" s="270"/>
      <c r="Y304" s="262" t="s">
        <v>25</v>
      </c>
      <c r="Z304" s="271" t="s">
        <v>718</v>
      </c>
      <c r="AA304" s="287"/>
      <c r="AB304" s="287"/>
      <c r="AC304" s="272">
        <f t="shared" si="11"/>
        <v>0</v>
      </c>
      <c r="AD304" s="272">
        <v>0</v>
      </c>
      <c r="AE304" s="272">
        <f t="shared" si="12"/>
        <v>0</v>
      </c>
      <c r="AF304" s="273"/>
      <c r="AG304" s="274"/>
      <c r="AH304" s="273"/>
      <c r="AI304" s="273"/>
      <c r="AJ304" s="274"/>
      <c r="AK304" s="273"/>
      <c r="AL304" s="275"/>
      <c r="AM304" s="290"/>
      <c r="AN304" s="275"/>
      <c r="AO304" s="276"/>
      <c r="AP304" s="275"/>
      <c r="AQ304" s="275"/>
      <c r="AR304" s="275"/>
      <c r="AS304" s="275"/>
      <c r="AT304" s="275"/>
      <c r="AU304" s="275"/>
      <c r="AV304" s="275"/>
      <c r="AW304" s="275"/>
      <c r="AX304" s="275"/>
      <c r="AY304" s="275"/>
      <c r="AZ304" s="275"/>
      <c r="BA304" s="275"/>
      <c r="BB304" s="275"/>
      <c r="BC304" s="275"/>
      <c r="BD304" s="275"/>
      <c r="BE304" s="275"/>
      <c r="BF304" s="275"/>
      <c r="BH304" s="277"/>
    </row>
    <row r="305" spans="1:60" ht="16.5" hidden="1" customHeight="1" x14ac:dyDescent="0.3">
      <c r="A305" s="260">
        <v>283</v>
      </c>
      <c r="B305" s="261"/>
      <c r="C305" s="261"/>
      <c r="D305" s="262" t="s">
        <v>15</v>
      </c>
      <c r="E305" s="262" t="s">
        <v>175</v>
      </c>
      <c r="F305" s="263" t="s">
        <v>15</v>
      </c>
      <c r="G305" s="264" t="s">
        <v>175</v>
      </c>
      <c r="H305" s="281"/>
      <c r="I305" s="265"/>
      <c r="J305" s="266" t="s">
        <v>174</v>
      </c>
      <c r="K305" s="262"/>
      <c r="L305" s="262"/>
      <c r="M305" s="262">
        <v>58658</v>
      </c>
      <c r="N305" s="262" t="s">
        <v>32</v>
      </c>
      <c r="O305" s="262"/>
      <c r="P305" s="262" t="s">
        <v>124</v>
      </c>
      <c r="Q305" s="262" t="s">
        <v>18</v>
      </c>
      <c r="R305" s="262" t="s">
        <v>19</v>
      </c>
      <c r="S305" s="267" t="s">
        <v>19</v>
      </c>
      <c r="T305" s="268"/>
      <c r="U305" s="269">
        <v>280000</v>
      </c>
      <c r="V305" s="269">
        <v>0</v>
      </c>
      <c r="W305" s="278">
        <v>0</v>
      </c>
      <c r="X305" s="270"/>
      <c r="Y305" s="262" t="s">
        <v>21</v>
      </c>
      <c r="Z305" s="271" t="s">
        <v>21</v>
      </c>
      <c r="AA305" s="287"/>
      <c r="AB305" s="287"/>
      <c r="AC305" s="272">
        <f t="shared" si="11"/>
        <v>0</v>
      </c>
      <c r="AD305" s="272">
        <v>0</v>
      </c>
      <c r="AE305" s="272">
        <f t="shared" si="12"/>
        <v>0</v>
      </c>
      <c r="AF305" s="273"/>
      <c r="AG305" s="274"/>
      <c r="AH305" s="273"/>
      <c r="AI305" s="273"/>
      <c r="AJ305" s="274"/>
      <c r="AK305" s="273"/>
      <c r="AL305" s="275"/>
      <c r="AM305" s="290"/>
      <c r="AN305" s="275"/>
      <c r="AO305" s="276"/>
      <c r="AP305" s="275"/>
      <c r="AQ305" s="275"/>
      <c r="AR305" s="275"/>
      <c r="AS305" s="275"/>
      <c r="AT305" s="275"/>
      <c r="AU305" s="275"/>
      <c r="AV305" s="275"/>
      <c r="AW305" s="275"/>
      <c r="AX305" s="275"/>
      <c r="AY305" s="275"/>
      <c r="AZ305" s="275"/>
      <c r="BA305" s="275"/>
      <c r="BB305" s="275"/>
      <c r="BC305" s="275"/>
      <c r="BD305" s="275"/>
      <c r="BE305" s="275"/>
      <c r="BF305" s="275"/>
      <c r="BH305" s="277"/>
    </row>
    <row r="306" spans="1:60" ht="16.5" hidden="1" customHeight="1" x14ac:dyDescent="0.3">
      <c r="A306" s="260">
        <v>284</v>
      </c>
      <c r="B306" s="261"/>
      <c r="C306" s="261"/>
      <c r="D306" s="262" t="s">
        <v>15</v>
      </c>
      <c r="E306" s="262" t="s">
        <v>175</v>
      </c>
      <c r="F306" s="263" t="s">
        <v>15</v>
      </c>
      <c r="G306" s="264" t="s">
        <v>175</v>
      </c>
      <c r="H306" s="281"/>
      <c r="I306" s="265"/>
      <c r="J306" s="266" t="s">
        <v>668</v>
      </c>
      <c r="K306" s="262"/>
      <c r="L306" s="262"/>
      <c r="M306" s="262">
        <v>1347</v>
      </c>
      <c r="N306" s="262" t="s">
        <v>32</v>
      </c>
      <c r="O306" s="262" t="s">
        <v>35</v>
      </c>
      <c r="P306" s="262"/>
      <c r="Q306" s="262" t="s">
        <v>63</v>
      </c>
      <c r="R306" s="262" t="s">
        <v>28</v>
      </c>
      <c r="S306" s="267" t="s">
        <v>28</v>
      </c>
      <c r="T306" s="268"/>
      <c r="U306" s="269"/>
      <c r="V306" s="269">
        <v>0</v>
      </c>
      <c r="W306" s="278">
        <v>0</v>
      </c>
      <c r="X306" s="270"/>
      <c r="Y306" s="262" t="s">
        <v>74</v>
      </c>
      <c r="Z306" s="271" t="s">
        <v>74</v>
      </c>
      <c r="AA306" s="287"/>
      <c r="AB306" s="287"/>
      <c r="AC306" s="272">
        <f t="shared" si="11"/>
        <v>200000000</v>
      </c>
      <c r="AD306" s="272">
        <v>200000000</v>
      </c>
      <c r="AE306" s="272">
        <f t="shared" si="12"/>
        <v>0</v>
      </c>
      <c r="AF306" s="273"/>
      <c r="AG306" s="274"/>
      <c r="AH306" s="273"/>
      <c r="AI306" s="273"/>
      <c r="AJ306" s="274"/>
      <c r="AK306" s="273"/>
      <c r="AL306" s="275">
        <v>300000000</v>
      </c>
      <c r="AM306" s="290"/>
      <c r="AN306" s="275"/>
      <c r="AO306" s="276"/>
      <c r="AP306" s="275"/>
      <c r="AQ306" s="275"/>
      <c r="AR306" s="275"/>
      <c r="AS306" s="275"/>
      <c r="AT306" s="275"/>
      <c r="AU306" s="275"/>
      <c r="AV306" s="275"/>
      <c r="AW306" s="275"/>
      <c r="AX306" s="275"/>
      <c r="AY306" s="275"/>
      <c r="AZ306" s="275"/>
      <c r="BA306" s="275"/>
      <c r="BB306" s="275"/>
      <c r="BC306" s="275"/>
      <c r="BD306" s="275"/>
      <c r="BE306" s="275">
        <v>200000000</v>
      </c>
      <c r="BF306" s="275"/>
      <c r="BH306" s="277"/>
    </row>
    <row r="307" spans="1:60" ht="16.5" customHeight="1" x14ac:dyDescent="0.3">
      <c r="A307" s="260">
        <v>285</v>
      </c>
      <c r="B307" s="261"/>
      <c r="C307" s="261"/>
      <c r="D307" s="262" t="s">
        <v>15</v>
      </c>
      <c r="E307" s="262" t="s">
        <v>175</v>
      </c>
      <c r="F307" s="263" t="s">
        <v>15</v>
      </c>
      <c r="G307" s="264" t="s">
        <v>175</v>
      </c>
      <c r="H307" s="281"/>
      <c r="I307" s="265"/>
      <c r="J307" s="266" t="s">
        <v>668</v>
      </c>
      <c r="K307" s="262"/>
      <c r="L307" s="262"/>
      <c r="M307" s="262">
        <v>1347</v>
      </c>
      <c r="N307" s="262" t="s">
        <v>32</v>
      </c>
      <c r="O307" s="262" t="s">
        <v>35</v>
      </c>
      <c r="P307" s="262" t="s">
        <v>156</v>
      </c>
      <c r="Q307" s="262" t="s">
        <v>44</v>
      </c>
      <c r="R307" s="262" t="s">
        <v>469</v>
      </c>
      <c r="S307" s="267" t="s">
        <v>469</v>
      </c>
      <c r="T307" s="268"/>
      <c r="U307" s="269">
        <v>0</v>
      </c>
      <c r="V307" s="269">
        <v>0</v>
      </c>
      <c r="W307" s="278">
        <v>99003500</v>
      </c>
      <c r="X307" s="270"/>
      <c r="Y307" s="262" t="s">
        <v>27</v>
      </c>
      <c r="Z307" s="271" t="s">
        <v>27</v>
      </c>
      <c r="AA307" s="287"/>
      <c r="AB307" s="287"/>
      <c r="AC307" s="272">
        <f t="shared" si="11"/>
        <v>27811026</v>
      </c>
      <c r="AD307" s="272">
        <v>27811026</v>
      </c>
      <c r="AE307" s="272">
        <f t="shared" si="12"/>
        <v>0</v>
      </c>
      <c r="AF307" s="273">
        <v>8848276</v>
      </c>
      <c r="AG307" s="274">
        <v>8848276</v>
      </c>
      <c r="AH307" s="273"/>
      <c r="AI307" s="273">
        <v>8000000</v>
      </c>
      <c r="AJ307" s="274">
        <v>9197935</v>
      </c>
      <c r="AK307" s="273"/>
      <c r="AL307" s="275">
        <v>9764815</v>
      </c>
      <c r="AM307" s="290">
        <v>9764815</v>
      </c>
      <c r="AN307" s="275"/>
      <c r="AO307" s="276"/>
      <c r="AP307" s="275"/>
      <c r="AQ307" s="275"/>
      <c r="AR307" s="275"/>
      <c r="AS307" s="275"/>
      <c r="AT307" s="275"/>
      <c r="AU307" s="275"/>
      <c r="AV307" s="275"/>
      <c r="AW307" s="275"/>
      <c r="AX307" s="275"/>
      <c r="AY307" s="275"/>
      <c r="AZ307" s="275"/>
      <c r="BA307" s="275"/>
      <c r="BB307" s="275"/>
      <c r="BC307" s="275"/>
      <c r="BD307" s="275"/>
      <c r="BE307" s="275"/>
      <c r="BF307" s="275"/>
      <c r="BH307" s="277"/>
    </row>
    <row r="308" spans="1:60" ht="16.5" customHeight="1" x14ac:dyDescent="0.3">
      <c r="A308" s="260">
        <v>286</v>
      </c>
      <c r="B308" s="261"/>
      <c r="C308" s="261"/>
      <c r="D308" s="262" t="s">
        <v>15</v>
      </c>
      <c r="E308" s="262" t="s">
        <v>175</v>
      </c>
      <c r="F308" s="263" t="s">
        <v>15</v>
      </c>
      <c r="G308" s="264" t="s">
        <v>175</v>
      </c>
      <c r="H308" s="281"/>
      <c r="I308" s="265"/>
      <c r="J308" s="266" t="s">
        <v>668</v>
      </c>
      <c r="K308" s="262"/>
      <c r="L308" s="262"/>
      <c r="M308" s="262">
        <v>1347</v>
      </c>
      <c r="N308" s="262" t="s">
        <v>32</v>
      </c>
      <c r="O308" s="262" t="s">
        <v>56</v>
      </c>
      <c r="P308" s="262" t="s">
        <v>156</v>
      </c>
      <c r="Q308" s="262" t="s">
        <v>26</v>
      </c>
      <c r="R308" s="262" t="s">
        <v>468</v>
      </c>
      <c r="S308" s="267" t="s">
        <v>468</v>
      </c>
      <c r="T308" s="268"/>
      <c r="U308" s="269">
        <v>10000000</v>
      </c>
      <c r="V308" s="269">
        <v>0</v>
      </c>
      <c r="W308" s="278">
        <v>0</v>
      </c>
      <c r="X308" s="270"/>
      <c r="Y308" s="262" t="s">
        <v>25</v>
      </c>
      <c r="Z308" s="271" t="s">
        <v>25</v>
      </c>
      <c r="AA308" s="287"/>
      <c r="AB308" s="287"/>
      <c r="AC308" s="272">
        <f t="shared" si="11"/>
        <v>0</v>
      </c>
      <c r="AD308" s="272">
        <v>0</v>
      </c>
      <c r="AE308" s="272">
        <f t="shared" si="12"/>
        <v>0</v>
      </c>
      <c r="AF308" s="273"/>
      <c r="AG308" s="274"/>
      <c r="AH308" s="273"/>
      <c r="AI308" s="273"/>
      <c r="AJ308" s="274"/>
      <c r="AK308" s="273"/>
      <c r="AL308" s="275"/>
      <c r="AM308" s="290"/>
      <c r="AN308" s="275"/>
      <c r="AO308" s="276"/>
      <c r="AP308" s="275"/>
      <c r="AQ308" s="275"/>
      <c r="AR308" s="275"/>
      <c r="AS308" s="275"/>
      <c r="AT308" s="275"/>
      <c r="AU308" s="275"/>
      <c r="AV308" s="275"/>
      <c r="AW308" s="275"/>
      <c r="AX308" s="275"/>
      <c r="AY308" s="275"/>
      <c r="AZ308" s="275"/>
      <c r="BA308" s="275"/>
      <c r="BB308" s="275"/>
      <c r="BC308" s="275"/>
      <c r="BD308" s="275"/>
      <c r="BE308" s="275"/>
      <c r="BF308" s="275"/>
      <c r="BH308" s="277"/>
    </row>
    <row r="309" spans="1:60" ht="16.5" hidden="1" customHeight="1" x14ac:dyDescent="0.3">
      <c r="A309" s="260">
        <v>287</v>
      </c>
      <c r="B309" s="261"/>
      <c r="C309" s="261"/>
      <c r="D309" s="262" t="s">
        <v>15</v>
      </c>
      <c r="E309" s="262" t="s">
        <v>175</v>
      </c>
      <c r="F309" s="263" t="s">
        <v>15</v>
      </c>
      <c r="G309" s="264" t="s">
        <v>175</v>
      </c>
      <c r="H309" s="281"/>
      <c r="I309" s="265"/>
      <c r="J309" s="266" t="s">
        <v>668</v>
      </c>
      <c r="K309" s="262"/>
      <c r="L309" s="262"/>
      <c r="M309" s="262">
        <v>1347</v>
      </c>
      <c r="N309" s="262" t="s">
        <v>32</v>
      </c>
      <c r="O309" s="262" t="s">
        <v>56</v>
      </c>
      <c r="P309" s="262"/>
      <c r="Q309" s="262" t="s">
        <v>23</v>
      </c>
      <c r="R309" s="262" t="s">
        <v>397</v>
      </c>
      <c r="S309" s="267" t="s">
        <v>823</v>
      </c>
      <c r="T309" s="268"/>
      <c r="U309" s="269">
        <v>2000000</v>
      </c>
      <c r="V309" s="269">
        <v>0</v>
      </c>
      <c r="W309" s="278">
        <v>0</v>
      </c>
      <c r="X309" s="270"/>
      <c r="Y309" s="262" t="s">
        <v>21</v>
      </c>
      <c r="Z309" s="271" t="s">
        <v>21</v>
      </c>
      <c r="AA309" s="287"/>
      <c r="AB309" s="287"/>
      <c r="AC309" s="272">
        <f t="shared" si="11"/>
        <v>0</v>
      </c>
      <c r="AD309" s="272">
        <v>0</v>
      </c>
      <c r="AE309" s="272">
        <f t="shared" si="12"/>
        <v>0</v>
      </c>
      <c r="AF309" s="273"/>
      <c r="AG309" s="274"/>
      <c r="AH309" s="273"/>
      <c r="AI309" s="273"/>
      <c r="AJ309" s="274"/>
      <c r="AK309" s="273"/>
      <c r="AL309" s="275"/>
      <c r="AM309" s="290"/>
      <c r="AN309" s="275"/>
      <c r="AO309" s="276"/>
      <c r="AP309" s="275"/>
      <c r="AQ309" s="275"/>
      <c r="AR309" s="275"/>
      <c r="AS309" s="275"/>
      <c r="AT309" s="275"/>
      <c r="AU309" s="275"/>
      <c r="AV309" s="275"/>
      <c r="AW309" s="275"/>
      <c r="AX309" s="275"/>
      <c r="AY309" s="275"/>
      <c r="AZ309" s="275"/>
      <c r="BA309" s="275"/>
      <c r="BB309" s="275"/>
      <c r="BC309" s="275"/>
      <c r="BD309" s="275"/>
      <c r="BE309" s="275"/>
      <c r="BF309" s="275"/>
      <c r="BH309" s="277"/>
    </row>
    <row r="310" spans="1:60" ht="16.5" customHeight="1" x14ac:dyDescent="0.3">
      <c r="A310" s="260">
        <v>288</v>
      </c>
      <c r="B310" s="261"/>
      <c r="C310" s="261"/>
      <c r="D310" s="262" t="s">
        <v>15</v>
      </c>
      <c r="E310" s="262" t="s">
        <v>175</v>
      </c>
      <c r="F310" s="263" t="s">
        <v>15</v>
      </c>
      <c r="G310" s="264" t="s">
        <v>175</v>
      </c>
      <c r="H310" s="281"/>
      <c r="I310" s="265"/>
      <c r="J310" s="266" t="s">
        <v>351</v>
      </c>
      <c r="K310" s="262"/>
      <c r="L310" s="262"/>
      <c r="M310" s="262">
        <v>2165</v>
      </c>
      <c r="N310" s="262" t="s">
        <v>42</v>
      </c>
      <c r="O310" s="262" t="s">
        <v>35</v>
      </c>
      <c r="P310" s="262" t="s">
        <v>57</v>
      </c>
      <c r="Q310" s="262" t="s">
        <v>30</v>
      </c>
      <c r="R310" s="262" t="s">
        <v>31</v>
      </c>
      <c r="S310" s="267" t="s">
        <v>31</v>
      </c>
      <c r="T310" s="268"/>
      <c r="U310" s="269">
        <v>2160000</v>
      </c>
      <c r="V310" s="269">
        <v>1944000</v>
      </c>
      <c r="W310" s="278">
        <v>1735000</v>
      </c>
      <c r="X310" s="270"/>
      <c r="Y310" s="262" t="s">
        <v>24</v>
      </c>
      <c r="Z310" s="271" t="s">
        <v>24</v>
      </c>
      <c r="AA310" s="287"/>
      <c r="AB310" s="287"/>
      <c r="AC310" s="272">
        <f t="shared" si="11"/>
        <v>2000000</v>
      </c>
      <c r="AD310" s="272">
        <v>2000000</v>
      </c>
      <c r="AE310" s="272">
        <f t="shared" si="12"/>
        <v>0</v>
      </c>
      <c r="AF310" s="273"/>
      <c r="AG310" s="274"/>
      <c r="AH310" s="273"/>
      <c r="AI310" s="273"/>
      <c r="AJ310" s="274"/>
      <c r="AK310" s="273"/>
      <c r="AL310" s="275"/>
      <c r="AM310" s="290"/>
      <c r="AN310" s="275"/>
      <c r="AO310" s="276"/>
      <c r="AP310" s="275"/>
      <c r="AQ310" s="275"/>
      <c r="AR310" s="275"/>
      <c r="AS310" s="275"/>
      <c r="AT310" s="275"/>
      <c r="AU310" s="275"/>
      <c r="AV310" s="275"/>
      <c r="AW310" s="275"/>
      <c r="AX310" s="275"/>
      <c r="AY310" s="275"/>
      <c r="AZ310" s="275"/>
      <c r="BA310" s="275"/>
      <c r="BB310" s="275"/>
      <c r="BC310" s="275"/>
      <c r="BD310" s="275"/>
      <c r="BE310" s="275">
        <v>2000000</v>
      </c>
      <c r="BF310" s="275"/>
      <c r="BH310" s="277"/>
    </row>
    <row r="311" spans="1:60" ht="16.5" hidden="1" customHeight="1" x14ac:dyDescent="0.3">
      <c r="A311" s="260">
        <v>289</v>
      </c>
      <c r="B311" s="261"/>
      <c r="C311" s="261"/>
      <c r="D311" s="262" t="s">
        <v>15</v>
      </c>
      <c r="E311" s="262" t="s">
        <v>175</v>
      </c>
      <c r="F311" s="263" t="s">
        <v>15</v>
      </c>
      <c r="G311" s="264" t="s">
        <v>175</v>
      </c>
      <c r="H311" s="281"/>
      <c r="I311" s="265"/>
      <c r="J311" s="266" t="s">
        <v>351</v>
      </c>
      <c r="K311" s="262"/>
      <c r="L311" s="262"/>
      <c r="M311" s="262">
        <v>2165</v>
      </c>
      <c r="N311" s="262" t="s">
        <v>42</v>
      </c>
      <c r="O311" s="262" t="s">
        <v>56</v>
      </c>
      <c r="P311" s="262" t="s">
        <v>57</v>
      </c>
      <c r="Q311" s="262" t="s">
        <v>30</v>
      </c>
      <c r="R311" s="262" t="s">
        <v>31</v>
      </c>
      <c r="S311" s="267" t="s">
        <v>31</v>
      </c>
      <c r="T311" s="268"/>
      <c r="U311" s="269"/>
      <c r="V311" s="269"/>
      <c r="W311" s="278">
        <v>0</v>
      </c>
      <c r="X311" s="270"/>
      <c r="Y311" s="262" t="s">
        <v>27</v>
      </c>
      <c r="Z311" s="271" t="s">
        <v>718</v>
      </c>
      <c r="AA311" s="287"/>
      <c r="AB311" s="287"/>
      <c r="AC311" s="272">
        <f t="shared" si="11"/>
        <v>0</v>
      </c>
      <c r="AD311" s="272">
        <v>0</v>
      </c>
      <c r="AE311" s="272">
        <f t="shared" si="12"/>
        <v>0</v>
      </c>
      <c r="AF311" s="273"/>
      <c r="AG311" s="274"/>
      <c r="AH311" s="273"/>
      <c r="AI311" s="273"/>
      <c r="AJ311" s="274"/>
      <c r="AK311" s="273"/>
      <c r="AL311" s="275"/>
      <c r="AM311" s="290"/>
      <c r="AN311" s="275"/>
      <c r="AO311" s="276"/>
      <c r="AP311" s="275"/>
      <c r="AQ311" s="275"/>
      <c r="AR311" s="275"/>
      <c r="AS311" s="275"/>
      <c r="AT311" s="275"/>
      <c r="AU311" s="275"/>
      <c r="AV311" s="275"/>
      <c r="AW311" s="275"/>
      <c r="AX311" s="275"/>
      <c r="AY311" s="275"/>
      <c r="AZ311" s="275"/>
      <c r="BA311" s="275"/>
      <c r="BB311" s="275"/>
      <c r="BC311" s="275"/>
      <c r="BD311" s="275"/>
      <c r="BE311" s="275"/>
      <c r="BF311" s="275"/>
      <c r="BH311" s="277"/>
    </row>
    <row r="312" spans="1:60" ht="16.5" hidden="1" customHeight="1" x14ac:dyDescent="0.3">
      <c r="A312" s="260">
        <v>290</v>
      </c>
      <c r="B312" s="261"/>
      <c r="C312" s="261"/>
      <c r="D312" s="262" t="s">
        <v>15</v>
      </c>
      <c r="E312" s="262" t="s">
        <v>175</v>
      </c>
      <c r="F312" s="263" t="s">
        <v>15</v>
      </c>
      <c r="G312" s="264" t="s">
        <v>175</v>
      </c>
      <c r="H312" s="281"/>
      <c r="I312" s="265"/>
      <c r="J312" s="266" t="s">
        <v>351</v>
      </c>
      <c r="K312" s="262"/>
      <c r="L312" s="262"/>
      <c r="M312" s="262">
        <v>2165</v>
      </c>
      <c r="N312" s="262" t="s">
        <v>42</v>
      </c>
      <c r="O312" s="262" t="s">
        <v>56</v>
      </c>
      <c r="P312" s="262" t="s">
        <v>57</v>
      </c>
      <c r="Q312" s="262" t="s">
        <v>30</v>
      </c>
      <c r="R312" s="262" t="s">
        <v>31</v>
      </c>
      <c r="S312" s="267" t="s">
        <v>31</v>
      </c>
      <c r="T312" s="268"/>
      <c r="U312" s="269"/>
      <c r="V312" s="269"/>
      <c r="W312" s="278">
        <v>0</v>
      </c>
      <c r="X312" s="270"/>
      <c r="Y312" s="262" t="s">
        <v>24</v>
      </c>
      <c r="Z312" s="271" t="s">
        <v>718</v>
      </c>
      <c r="AA312" s="287"/>
      <c r="AB312" s="287"/>
      <c r="AC312" s="272">
        <f t="shared" si="11"/>
        <v>0</v>
      </c>
      <c r="AD312" s="272">
        <v>0</v>
      </c>
      <c r="AE312" s="272">
        <f t="shared" si="12"/>
        <v>0</v>
      </c>
      <c r="AF312" s="273"/>
      <c r="AG312" s="274"/>
      <c r="AH312" s="273"/>
      <c r="AI312" s="273"/>
      <c r="AJ312" s="274"/>
      <c r="AK312" s="273"/>
      <c r="AL312" s="275"/>
      <c r="AM312" s="290"/>
      <c r="AN312" s="275"/>
      <c r="AO312" s="276"/>
      <c r="AP312" s="275"/>
      <c r="AQ312" s="275"/>
      <c r="AR312" s="275"/>
      <c r="AS312" s="275"/>
      <c r="AT312" s="275"/>
      <c r="AU312" s="275"/>
      <c r="AV312" s="275"/>
      <c r="AW312" s="275"/>
      <c r="AX312" s="275"/>
      <c r="AY312" s="275"/>
      <c r="AZ312" s="275"/>
      <c r="BA312" s="275"/>
      <c r="BB312" s="275"/>
      <c r="BC312" s="275"/>
      <c r="BD312" s="275"/>
      <c r="BE312" s="275"/>
      <c r="BF312" s="275"/>
      <c r="BH312" s="277"/>
    </row>
    <row r="313" spans="1:60" ht="16.5" customHeight="1" x14ac:dyDescent="0.3">
      <c r="A313" s="260">
        <v>291</v>
      </c>
      <c r="B313" s="261"/>
      <c r="C313" s="261"/>
      <c r="D313" s="262" t="s">
        <v>15</v>
      </c>
      <c r="E313" s="262" t="s">
        <v>175</v>
      </c>
      <c r="F313" s="263" t="s">
        <v>15</v>
      </c>
      <c r="G313" s="264" t="s">
        <v>175</v>
      </c>
      <c r="H313" s="281"/>
      <c r="I313" s="265"/>
      <c r="J313" s="266" t="s">
        <v>352</v>
      </c>
      <c r="K313" s="262"/>
      <c r="L313" s="262"/>
      <c r="M313" s="262">
        <v>6010</v>
      </c>
      <c r="N313" s="262" t="s">
        <v>53</v>
      </c>
      <c r="O313" s="262" t="s">
        <v>212</v>
      </c>
      <c r="P313" s="262" t="s">
        <v>57</v>
      </c>
      <c r="Q313" s="262" t="s">
        <v>61</v>
      </c>
      <c r="R313" s="262" t="s">
        <v>468</v>
      </c>
      <c r="S313" s="267" t="s">
        <v>468</v>
      </c>
      <c r="T313" s="268"/>
      <c r="U313" s="269">
        <v>78576000</v>
      </c>
      <c r="V313" s="269">
        <v>81322050</v>
      </c>
      <c r="W313" s="278">
        <v>104788120</v>
      </c>
      <c r="X313" s="270"/>
      <c r="Y313" s="262" t="s">
        <v>27</v>
      </c>
      <c r="Z313" s="271" t="s">
        <v>27</v>
      </c>
      <c r="AA313" s="287"/>
      <c r="AB313" s="287"/>
      <c r="AC313" s="272">
        <f t="shared" si="11"/>
        <v>71107900</v>
      </c>
      <c r="AD313" s="272">
        <v>71107900</v>
      </c>
      <c r="AE313" s="272">
        <f t="shared" si="12"/>
        <v>0</v>
      </c>
      <c r="AF313" s="273">
        <v>254300</v>
      </c>
      <c r="AG313" s="274">
        <v>254300</v>
      </c>
      <c r="AH313" s="273"/>
      <c r="AI313" s="273"/>
      <c r="AJ313" s="274">
        <v>226800</v>
      </c>
      <c r="AK313" s="273"/>
      <c r="AL313" s="275">
        <v>626800</v>
      </c>
      <c r="AM313" s="290">
        <v>626800</v>
      </c>
      <c r="AN313" s="275"/>
      <c r="AO313" s="276">
        <v>20000000</v>
      </c>
      <c r="AP313" s="275"/>
      <c r="AQ313" s="275"/>
      <c r="AR313" s="275"/>
      <c r="AS313" s="275">
        <v>5000000</v>
      </c>
      <c r="AT313" s="275"/>
      <c r="AU313" s="275">
        <v>20000000</v>
      </c>
      <c r="AV313" s="275"/>
      <c r="AW313" s="275"/>
      <c r="AX313" s="275"/>
      <c r="AY313" s="275">
        <v>5000000</v>
      </c>
      <c r="AZ313" s="275"/>
      <c r="BA313" s="275">
        <v>15000000</v>
      </c>
      <c r="BB313" s="275"/>
      <c r="BC313" s="275"/>
      <c r="BD313" s="275"/>
      <c r="BE313" s="275">
        <v>5000000</v>
      </c>
      <c r="BF313" s="275"/>
      <c r="BH313" s="277"/>
    </row>
    <row r="314" spans="1:60" ht="16.5" customHeight="1" x14ac:dyDescent="0.3">
      <c r="A314" s="260">
        <v>292</v>
      </c>
      <c r="B314" s="261"/>
      <c r="C314" s="261"/>
      <c r="D314" s="262" t="s">
        <v>15</v>
      </c>
      <c r="E314" s="262" t="s">
        <v>175</v>
      </c>
      <c r="F314" s="263" t="s">
        <v>15</v>
      </c>
      <c r="G314" s="264" t="s">
        <v>175</v>
      </c>
      <c r="H314" s="281"/>
      <c r="I314" s="265"/>
      <c r="J314" s="266" t="s">
        <v>353</v>
      </c>
      <c r="K314" s="262"/>
      <c r="L314" s="262"/>
      <c r="M314" s="262">
        <v>4084</v>
      </c>
      <c r="N314" s="262" t="s">
        <v>22</v>
      </c>
      <c r="O314" s="262" t="s">
        <v>212</v>
      </c>
      <c r="P314" s="262" t="s">
        <v>57</v>
      </c>
      <c r="Q314" s="262" t="s">
        <v>63</v>
      </c>
      <c r="R314" s="262" t="s">
        <v>28</v>
      </c>
      <c r="S314" s="267" t="s">
        <v>28</v>
      </c>
      <c r="T314" s="268"/>
      <c r="U314" s="269">
        <v>6020000</v>
      </c>
      <c r="V314" s="269">
        <v>69290400</v>
      </c>
      <c r="W314" s="278">
        <v>59513000</v>
      </c>
      <c r="X314" s="270"/>
      <c r="Y314" s="262" t="s">
        <v>27</v>
      </c>
      <c r="Z314" s="271" t="s">
        <v>27</v>
      </c>
      <c r="AA314" s="287"/>
      <c r="AB314" s="287"/>
      <c r="AC314" s="272">
        <f t="shared" si="11"/>
        <v>53895000</v>
      </c>
      <c r="AD314" s="272">
        <v>53895000</v>
      </c>
      <c r="AE314" s="272">
        <f t="shared" si="12"/>
        <v>0</v>
      </c>
      <c r="AF314" s="273">
        <v>560000</v>
      </c>
      <c r="AG314" s="274">
        <v>560000</v>
      </c>
      <c r="AH314" s="273"/>
      <c r="AI314" s="273"/>
      <c r="AJ314" s="274">
        <v>795000</v>
      </c>
      <c r="AK314" s="273"/>
      <c r="AL314" s="275">
        <v>2540000</v>
      </c>
      <c r="AM314" s="290">
        <v>2540000</v>
      </c>
      <c r="AN314" s="275"/>
      <c r="AO314" s="276"/>
      <c r="AP314" s="275"/>
      <c r="AQ314" s="275"/>
      <c r="AR314" s="275"/>
      <c r="AS314" s="275"/>
      <c r="AT314" s="275"/>
      <c r="AU314" s="275"/>
      <c r="AV314" s="275"/>
      <c r="AW314" s="275"/>
      <c r="AX314" s="275"/>
      <c r="AY314" s="275"/>
      <c r="AZ314" s="275"/>
      <c r="BA314" s="275">
        <v>30000000</v>
      </c>
      <c r="BB314" s="275"/>
      <c r="BC314" s="275">
        <v>20000000</v>
      </c>
      <c r="BD314" s="275"/>
      <c r="BE314" s="275"/>
      <c r="BF314" s="275"/>
      <c r="BH314" s="277"/>
    </row>
    <row r="315" spans="1:60" ht="16.5" customHeight="1" x14ac:dyDescent="0.3">
      <c r="A315" s="260">
        <v>293</v>
      </c>
      <c r="B315" s="261"/>
      <c r="C315" s="261"/>
      <c r="D315" s="262" t="s">
        <v>15</v>
      </c>
      <c r="E315" s="262" t="s">
        <v>175</v>
      </c>
      <c r="F315" s="263" t="s">
        <v>15</v>
      </c>
      <c r="G315" s="264" t="s">
        <v>175</v>
      </c>
      <c r="H315" s="281"/>
      <c r="I315" s="265"/>
      <c r="J315" s="266" t="s">
        <v>355</v>
      </c>
      <c r="K315" s="262"/>
      <c r="L315" s="262"/>
      <c r="M315" s="262">
        <v>45181</v>
      </c>
      <c r="N315" s="262" t="s">
        <v>22</v>
      </c>
      <c r="O315" s="262" t="s">
        <v>56</v>
      </c>
      <c r="P315" s="262" t="s">
        <v>57</v>
      </c>
      <c r="Q315" s="262" t="s">
        <v>30</v>
      </c>
      <c r="R315" s="262" t="s">
        <v>31</v>
      </c>
      <c r="S315" s="267" t="s">
        <v>31</v>
      </c>
      <c r="T315" s="268"/>
      <c r="U315" s="269">
        <v>6976000</v>
      </c>
      <c r="V315" s="269">
        <v>12187000</v>
      </c>
      <c r="W315" s="278">
        <v>9152000</v>
      </c>
      <c r="X315" s="270"/>
      <c r="Y315" s="262" t="s">
        <v>24</v>
      </c>
      <c r="Z315" s="271" t="s">
        <v>24</v>
      </c>
      <c r="AA315" s="287"/>
      <c r="AB315" s="287"/>
      <c r="AC315" s="272">
        <f t="shared" si="11"/>
        <v>10000000</v>
      </c>
      <c r="AD315" s="272">
        <v>10000000</v>
      </c>
      <c r="AE315" s="272">
        <f t="shared" si="12"/>
        <v>0</v>
      </c>
      <c r="AF315" s="273"/>
      <c r="AG315" s="274"/>
      <c r="AH315" s="273"/>
      <c r="AI315" s="273"/>
      <c r="AJ315" s="274"/>
      <c r="AK315" s="273"/>
      <c r="AL315" s="275"/>
      <c r="AM315" s="290"/>
      <c r="AN315" s="275"/>
      <c r="AO315" s="276"/>
      <c r="AP315" s="275"/>
      <c r="AQ315" s="275"/>
      <c r="AR315" s="275"/>
      <c r="AS315" s="275"/>
      <c r="AT315" s="275"/>
      <c r="AU315" s="275"/>
      <c r="AV315" s="275"/>
      <c r="AW315" s="275"/>
      <c r="AX315" s="275"/>
      <c r="AY315" s="275"/>
      <c r="AZ315" s="275"/>
      <c r="BA315" s="275"/>
      <c r="BB315" s="275"/>
      <c r="BC315" s="275"/>
      <c r="BD315" s="275"/>
      <c r="BE315" s="275">
        <v>10000000</v>
      </c>
      <c r="BF315" s="275"/>
      <c r="BH315" s="277"/>
    </row>
    <row r="316" spans="1:60" ht="16.5" customHeight="1" x14ac:dyDescent="0.3">
      <c r="A316" s="260">
        <v>294</v>
      </c>
      <c r="B316" s="261"/>
      <c r="C316" s="261"/>
      <c r="D316" s="262" t="s">
        <v>15</v>
      </c>
      <c r="E316" s="262" t="s">
        <v>456</v>
      </c>
      <c r="F316" s="263" t="s">
        <v>15</v>
      </c>
      <c r="G316" s="264" t="s">
        <v>175</v>
      </c>
      <c r="H316" s="281"/>
      <c r="I316" s="265"/>
      <c r="J316" s="266" t="s">
        <v>674</v>
      </c>
      <c r="K316" s="262"/>
      <c r="L316" s="262"/>
      <c r="M316" s="262">
        <v>63777</v>
      </c>
      <c r="N316" s="262" t="s">
        <v>22</v>
      </c>
      <c r="O316" s="262" t="s">
        <v>35</v>
      </c>
      <c r="P316" s="262"/>
      <c r="Q316" s="262"/>
      <c r="R316" s="262" t="s">
        <v>28</v>
      </c>
      <c r="S316" s="267" t="s">
        <v>28</v>
      </c>
      <c r="T316" s="268"/>
      <c r="U316" s="269"/>
      <c r="V316" s="269"/>
      <c r="W316" s="278">
        <v>11840000</v>
      </c>
      <c r="X316" s="270"/>
      <c r="Y316" s="262" t="s">
        <v>27</v>
      </c>
      <c r="Z316" s="271" t="s">
        <v>24</v>
      </c>
      <c r="AA316" s="287"/>
      <c r="AB316" s="287"/>
      <c r="AC316" s="272">
        <f t="shared" si="11"/>
        <v>10000000</v>
      </c>
      <c r="AD316" s="272">
        <v>10000000</v>
      </c>
      <c r="AE316" s="272">
        <f t="shared" si="12"/>
        <v>0</v>
      </c>
      <c r="AF316" s="273"/>
      <c r="AG316" s="274"/>
      <c r="AH316" s="273"/>
      <c r="AI316" s="273"/>
      <c r="AJ316" s="274"/>
      <c r="AK316" s="273"/>
      <c r="AL316" s="275"/>
      <c r="AM316" s="290"/>
      <c r="AN316" s="275"/>
      <c r="AO316" s="276"/>
      <c r="AP316" s="275"/>
      <c r="AQ316" s="275"/>
      <c r="AR316" s="275"/>
      <c r="AS316" s="275"/>
      <c r="AT316" s="275"/>
      <c r="AU316" s="275"/>
      <c r="AV316" s="275"/>
      <c r="AW316" s="275"/>
      <c r="AX316" s="275"/>
      <c r="AY316" s="275"/>
      <c r="AZ316" s="275"/>
      <c r="BA316" s="275">
        <v>10000000</v>
      </c>
      <c r="BB316" s="275"/>
      <c r="BC316" s="275"/>
      <c r="BD316" s="275"/>
      <c r="BE316" s="275"/>
      <c r="BF316" s="275"/>
      <c r="BH316" s="277"/>
    </row>
    <row r="317" spans="1:60" ht="16.5" hidden="1" customHeight="1" x14ac:dyDescent="0.3">
      <c r="A317" s="260">
        <v>295</v>
      </c>
      <c r="B317" s="261"/>
      <c r="C317" s="261"/>
      <c r="D317" s="262"/>
      <c r="E317" s="262"/>
      <c r="F317" s="263" t="s">
        <v>15</v>
      </c>
      <c r="G317" s="264" t="s">
        <v>175</v>
      </c>
      <c r="H317" s="281"/>
      <c r="I317" s="265"/>
      <c r="J317" s="266" t="s">
        <v>926</v>
      </c>
      <c r="K317" s="262"/>
      <c r="L317" s="262"/>
      <c r="M317" s="262">
        <v>16913</v>
      </c>
      <c r="N317" s="262"/>
      <c r="O317" s="262"/>
      <c r="P317" s="262"/>
      <c r="Q317" s="262"/>
      <c r="R317" s="262"/>
      <c r="S317" s="267" t="s">
        <v>31</v>
      </c>
      <c r="T317" s="268"/>
      <c r="U317" s="269"/>
      <c r="V317" s="269"/>
      <c r="W317" s="278">
        <v>2590000</v>
      </c>
      <c r="X317" s="270"/>
      <c r="Y317" s="262"/>
      <c r="Z317" s="271" t="s">
        <v>718</v>
      </c>
      <c r="AA317" s="287"/>
      <c r="AB317" s="287"/>
      <c r="AC317" s="272">
        <f t="shared" si="11"/>
        <v>0</v>
      </c>
      <c r="AD317" s="272">
        <v>0</v>
      </c>
      <c r="AE317" s="272">
        <f t="shared" si="12"/>
        <v>0</v>
      </c>
      <c r="AF317" s="273"/>
      <c r="AG317" s="274"/>
      <c r="AH317" s="273"/>
      <c r="AI317" s="273"/>
      <c r="AJ317" s="274"/>
      <c r="AK317" s="273"/>
      <c r="AL317" s="275"/>
      <c r="AM317" s="290"/>
      <c r="AN317" s="275"/>
      <c r="AO317" s="276"/>
      <c r="AP317" s="275"/>
      <c r="AQ317" s="275"/>
      <c r="AR317" s="275"/>
      <c r="AS317" s="275"/>
      <c r="AT317" s="275"/>
      <c r="AU317" s="275"/>
      <c r="AV317" s="275"/>
      <c r="AW317" s="275"/>
      <c r="AX317" s="275"/>
      <c r="AY317" s="275"/>
      <c r="AZ317" s="275"/>
      <c r="BA317" s="275"/>
      <c r="BB317" s="275"/>
      <c r="BC317" s="275"/>
      <c r="BD317" s="275"/>
      <c r="BE317" s="275"/>
      <c r="BF317" s="275"/>
      <c r="BH317" s="277"/>
    </row>
    <row r="318" spans="1:60" ht="16.5" customHeight="1" x14ac:dyDescent="0.3">
      <c r="A318" s="260">
        <v>296</v>
      </c>
      <c r="B318" s="261"/>
      <c r="C318" s="261"/>
      <c r="D318" s="262" t="s">
        <v>15</v>
      </c>
      <c r="E318" s="262" t="s">
        <v>175</v>
      </c>
      <c r="F318" s="263" t="s">
        <v>15</v>
      </c>
      <c r="G318" s="264" t="s">
        <v>175</v>
      </c>
      <c r="H318" s="281"/>
      <c r="I318" s="265"/>
      <c r="J318" s="266" t="s">
        <v>356</v>
      </c>
      <c r="K318" s="262"/>
      <c r="L318" s="262"/>
      <c r="M318" s="262">
        <v>16688</v>
      </c>
      <c r="N318" s="262" t="s">
        <v>22</v>
      </c>
      <c r="O318" s="262" t="s">
        <v>56</v>
      </c>
      <c r="P318" s="262" t="s">
        <v>57</v>
      </c>
      <c r="Q318" s="262" t="s">
        <v>30</v>
      </c>
      <c r="R318" s="262" t="s">
        <v>31</v>
      </c>
      <c r="S318" s="267" t="s">
        <v>31</v>
      </c>
      <c r="T318" s="268"/>
      <c r="U318" s="269">
        <v>19980000</v>
      </c>
      <c r="V318" s="269">
        <v>15130000</v>
      </c>
      <c r="W318" s="278">
        <v>12020000</v>
      </c>
      <c r="X318" s="270"/>
      <c r="Y318" s="262" t="s">
        <v>24</v>
      </c>
      <c r="Z318" s="271" t="s">
        <v>24</v>
      </c>
      <c r="AA318" s="287"/>
      <c r="AB318" s="287"/>
      <c r="AC318" s="272">
        <f t="shared" si="11"/>
        <v>17000000</v>
      </c>
      <c r="AD318" s="272">
        <v>17000000</v>
      </c>
      <c r="AE318" s="272">
        <f t="shared" si="12"/>
        <v>0</v>
      </c>
      <c r="AF318" s="273"/>
      <c r="AG318" s="274"/>
      <c r="AH318" s="273"/>
      <c r="AI318" s="273"/>
      <c r="AJ318" s="274"/>
      <c r="AK318" s="273"/>
      <c r="AL318" s="275"/>
      <c r="AM318" s="290"/>
      <c r="AN318" s="275"/>
      <c r="AO318" s="276"/>
      <c r="AP318" s="275"/>
      <c r="AQ318" s="275"/>
      <c r="AR318" s="275"/>
      <c r="AS318" s="275"/>
      <c r="AT318" s="275"/>
      <c r="AU318" s="275"/>
      <c r="AV318" s="275"/>
      <c r="AW318" s="275"/>
      <c r="AX318" s="275"/>
      <c r="AY318" s="275"/>
      <c r="AZ318" s="275"/>
      <c r="BA318" s="275"/>
      <c r="BB318" s="275"/>
      <c r="BC318" s="275"/>
      <c r="BD318" s="275"/>
      <c r="BE318" s="275">
        <v>17000000</v>
      </c>
      <c r="BF318" s="275"/>
      <c r="BH318" s="277"/>
    </row>
    <row r="319" spans="1:60" ht="16.5" customHeight="1" x14ac:dyDescent="0.3">
      <c r="A319" s="260">
        <v>297</v>
      </c>
      <c r="B319" s="261"/>
      <c r="C319" s="261"/>
      <c r="D319" s="262" t="s">
        <v>15</v>
      </c>
      <c r="E319" s="262" t="s">
        <v>175</v>
      </c>
      <c r="F319" s="263" t="s">
        <v>15</v>
      </c>
      <c r="G319" s="264" t="s">
        <v>175</v>
      </c>
      <c r="H319" s="281"/>
      <c r="I319" s="265"/>
      <c r="J319" s="266" t="s">
        <v>356</v>
      </c>
      <c r="K319" s="262"/>
      <c r="L319" s="262"/>
      <c r="M319" s="262">
        <v>16688</v>
      </c>
      <c r="N319" s="262" t="s">
        <v>22</v>
      </c>
      <c r="O319" s="262" t="s">
        <v>35</v>
      </c>
      <c r="P319" s="262" t="s">
        <v>57</v>
      </c>
      <c r="Q319" s="262" t="s">
        <v>26</v>
      </c>
      <c r="R319" s="262" t="s">
        <v>468</v>
      </c>
      <c r="S319" s="267" t="s">
        <v>468</v>
      </c>
      <c r="T319" s="268"/>
      <c r="U319" s="269">
        <v>36000000</v>
      </c>
      <c r="V319" s="269">
        <v>28375000</v>
      </c>
      <c r="W319" s="278">
        <v>23450000</v>
      </c>
      <c r="X319" s="270"/>
      <c r="Y319" s="262" t="s">
        <v>27</v>
      </c>
      <c r="Z319" s="271" t="s">
        <v>27</v>
      </c>
      <c r="AA319" s="287"/>
      <c r="AB319" s="287"/>
      <c r="AC319" s="272">
        <f t="shared" si="11"/>
        <v>28010000</v>
      </c>
      <c r="AD319" s="272">
        <v>28010000</v>
      </c>
      <c r="AE319" s="272">
        <f t="shared" si="12"/>
        <v>0</v>
      </c>
      <c r="AF319" s="273"/>
      <c r="AG319" s="274"/>
      <c r="AH319" s="273"/>
      <c r="AI319" s="273"/>
      <c r="AJ319" s="274"/>
      <c r="AK319" s="273"/>
      <c r="AL319" s="275">
        <v>3010000</v>
      </c>
      <c r="AM319" s="290">
        <v>3010000</v>
      </c>
      <c r="AN319" s="275"/>
      <c r="AO319" s="276"/>
      <c r="AP319" s="275"/>
      <c r="AQ319" s="275"/>
      <c r="AR319" s="275"/>
      <c r="AS319" s="275"/>
      <c r="AT319" s="275"/>
      <c r="AU319" s="275"/>
      <c r="AV319" s="275"/>
      <c r="AW319" s="275"/>
      <c r="AX319" s="275"/>
      <c r="AY319" s="275">
        <v>25000000</v>
      </c>
      <c r="AZ319" s="275"/>
      <c r="BA319" s="275"/>
      <c r="BB319" s="275"/>
      <c r="BC319" s="275"/>
      <c r="BD319" s="275"/>
      <c r="BE319" s="275"/>
      <c r="BF319" s="275"/>
      <c r="BH319" s="277"/>
    </row>
    <row r="320" spans="1:60" ht="16.5" hidden="1" customHeight="1" x14ac:dyDescent="0.3">
      <c r="A320" s="260">
        <v>298</v>
      </c>
      <c r="B320" s="261"/>
      <c r="C320" s="261"/>
      <c r="D320" s="262" t="s">
        <v>15</v>
      </c>
      <c r="E320" s="262" t="s">
        <v>175</v>
      </c>
      <c r="F320" s="263" t="s">
        <v>15</v>
      </c>
      <c r="G320" s="264" t="s">
        <v>175</v>
      </c>
      <c r="H320" s="281"/>
      <c r="I320" s="265"/>
      <c r="J320" s="266" t="s">
        <v>356</v>
      </c>
      <c r="K320" s="262"/>
      <c r="L320" s="262"/>
      <c r="M320" s="262">
        <v>16688</v>
      </c>
      <c r="N320" s="262" t="s">
        <v>22</v>
      </c>
      <c r="O320" s="262" t="s">
        <v>56</v>
      </c>
      <c r="P320" s="262" t="s">
        <v>57</v>
      </c>
      <c r="Q320" s="262" t="s">
        <v>30</v>
      </c>
      <c r="R320" s="262" t="s">
        <v>468</v>
      </c>
      <c r="S320" s="267" t="s">
        <v>468</v>
      </c>
      <c r="T320" s="268"/>
      <c r="U320" s="269"/>
      <c r="V320" s="269">
        <v>0</v>
      </c>
      <c r="W320" s="278">
        <v>0</v>
      </c>
      <c r="X320" s="270"/>
      <c r="Y320" s="262" t="s">
        <v>25</v>
      </c>
      <c r="Z320" s="271" t="s">
        <v>718</v>
      </c>
      <c r="AA320" s="287"/>
      <c r="AB320" s="287"/>
      <c r="AC320" s="272">
        <f t="shared" si="11"/>
        <v>0</v>
      </c>
      <c r="AD320" s="272">
        <v>0</v>
      </c>
      <c r="AE320" s="272">
        <f t="shared" si="12"/>
        <v>0</v>
      </c>
      <c r="AF320" s="273"/>
      <c r="AG320" s="274"/>
      <c r="AH320" s="273"/>
      <c r="AI320" s="273"/>
      <c r="AJ320" s="274"/>
      <c r="AK320" s="273"/>
      <c r="AL320" s="275"/>
      <c r="AM320" s="290"/>
      <c r="AN320" s="275"/>
      <c r="AO320" s="276"/>
      <c r="AP320" s="275"/>
      <c r="AQ320" s="275"/>
      <c r="AR320" s="275"/>
      <c r="AS320" s="275"/>
      <c r="AT320" s="275"/>
      <c r="AU320" s="275"/>
      <c r="AV320" s="275"/>
      <c r="AW320" s="275"/>
      <c r="AX320" s="275"/>
      <c r="AY320" s="275"/>
      <c r="AZ320" s="275"/>
      <c r="BA320" s="275"/>
      <c r="BB320" s="275"/>
      <c r="BC320" s="275"/>
      <c r="BD320" s="275"/>
      <c r="BE320" s="275"/>
      <c r="BF320" s="275"/>
      <c r="BH320" s="277"/>
    </row>
    <row r="321" spans="1:60" ht="16.5" hidden="1" customHeight="1" x14ac:dyDescent="0.3">
      <c r="A321" s="260">
        <v>299</v>
      </c>
      <c r="B321" s="261"/>
      <c r="C321" s="261"/>
      <c r="D321" s="262" t="s">
        <v>15</v>
      </c>
      <c r="E321" s="262" t="s">
        <v>175</v>
      </c>
      <c r="F321" s="263" t="s">
        <v>15</v>
      </c>
      <c r="G321" s="264" t="s">
        <v>175</v>
      </c>
      <c r="H321" s="281"/>
      <c r="I321" s="265"/>
      <c r="J321" s="266" t="s">
        <v>356</v>
      </c>
      <c r="K321" s="262"/>
      <c r="L321" s="262"/>
      <c r="M321" s="262">
        <v>16688</v>
      </c>
      <c r="N321" s="262" t="s">
        <v>22</v>
      </c>
      <c r="O321" s="262" t="s">
        <v>56</v>
      </c>
      <c r="P321" s="262" t="s">
        <v>57</v>
      </c>
      <c r="Q321" s="262" t="s">
        <v>23</v>
      </c>
      <c r="R321" s="262" t="s">
        <v>397</v>
      </c>
      <c r="S321" s="267" t="s">
        <v>823</v>
      </c>
      <c r="T321" s="268"/>
      <c r="U321" s="269">
        <v>25500000</v>
      </c>
      <c r="V321" s="269">
        <v>25500000</v>
      </c>
      <c r="W321" s="278">
        <v>0</v>
      </c>
      <c r="X321" s="270"/>
      <c r="Y321" s="262" t="s">
        <v>20</v>
      </c>
      <c r="Z321" s="271" t="s">
        <v>20</v>
      </c>
      <c r="AA321" s="287"/>
      <c r="AB321" s="287"/>
      <c r="AC321" s="272">
        <f t="shared" si="11"/>
        <v>0</v>
      </c>
      <c r="AD321" s="272">
        <v>0</v>
      </c>
      <c r="AE321" s="272">
        <f t="shared" si="12"/>
        <v>0</v>
      </c>
      <c r="AF321" s="273"/>
      <c r="AG321" s="274"/>
      <c r="AH321" s="273"/>
      <c r="AI321" s="273"/>
      <c r="AJ321" s="274"/>
      <c r="AK321" s="273"/>
      <c r="AL321" s="275"/>
      <c r="AM321" s="290"/>
      <c r="AN321" s="275"/>
      <c r="AO321" s="276"/>
      <c r="AP321" s="275"/>
      <c r="AQ321" s="275"/>
      <c r="AR321" s="275"/>
      <c r="AS321" s="275"/>
      <c r="AT321" s="275"/>
      <c r="AU321" s="275"/>
      <c r="AV321" s="275"/>
      <c r="AW321" s="275"/>
      <c r="AX321" s="275"/>
      <c r="AY321" s="275"/>
      <c r="AZ321" s="275"/>
      <c r="BA321" s="275"/>
      <c r="BB321" s="275"/>
      <c r="BC321" s="275"/>
      <c r="BD321" s="275"/>
      <c r="BE321" s="275"/>
      <c r="BF321" s="275"/>
      <c r="BH321" s="277"/>
    </row>
    <row r="322" spans="1:60" ht="16.5" hidden="1" customHeight="1" x14ac:dyDescent="0.3">
      <c r="A322" s="260">
        <v>300</v>
      </c>
      <c r="B322" s="261"/>
      <c r="C322" s="261"/>
      <c r="D322" s="262" t="s">
        <v>15</v>
      </c>
      <c r="E322" s="262" t="s">
        <v>175</v>
      </c>
      <c r="F322" s="263" t="s">
        <v>15</v>
      </c>
      <c r="G322" s="264" t="s">
        <v>175</v>
      </c>
      <c r="H322" s="281"/>
      <c r="I322" s="265"/>
      <c r="J322" s="266" t="s">
        <v>594</v>
      </c>
      <c r="K322" s="262"/>
      <c r="L322" s="262"/>
      <c r="M322" s="262">
        <v>12801</v>
      </c>
      <c r="N322" s="262" t="s">
        <v>22</v>
      </c>
      <c r="O322" s="262" t="s">
        <v>56</v>
      </c>
      <c r="P322" s="262"/>
      <c r="Q322" s="262" t="s">
        <v>18</v>
      </c>
      <c r="R322" s="262" t="s">
        <v>19</v>
      </c>
      <c r="S322" s="267" t="s">
        <v>19</v>
      </c>
      <c r="T322" s="268"/>
      <c r="U322" s="269">
        <v>2200000</v>
      </c>
      <c r="V322" s="269">
        <v>0</v>
      </c>
      <c r="W322" s="278">
        <v>13356000</v>
      </c>
      <c r="X322" s="270"/>
      <c r="Y322" s="262" t="s">
        <v>25</v>
      </c>
      <c r="Z322" s="271" t="s">
        <v>21</v>
      </c>
      <c r="AA322" s="287"/>
      <c r="AB322" s="287"/>
      <c r="AC322" s="272">
        <f t="shared" si="11"/>
        <v>0</v>
      </c>
      <c r="AD322" s="272">
        <v>0</v>
      </c>
      <c r="AE322" s="272">
        <f t="shared" si="12"/>
        <v>0</v>
      </c>
      <c r="AF322" s="273"/>
      <c r="AG322" s="274"/>
      <c r="AH322" s="273"/>
      <c r="AI322" s="273"/>
      <c r="AJ322" s="274"/>
      <c r="AK322" s="273"/>
      <c r="AL322" s="275"/>
      <c r="AM322" s="290"/>
      <c r="AN322" s="275"/>
      <c r="AO322" s="276"/>
      <c r="AP322" s="275"/>
      <c r="AQ322" s="275"/>
      <c r="AR322" s="275"/>
      <c r="AS322" s="275"/>
      <c r="AT322" s="275"/>
      <c r="AU322" s="275"/>
      <c r="AV322" s="275"/>
      <c r="AW322" s="275"/>
      <c r="AX322" s="275"/>
      <c r="AY322" s="275"/>
      <c r="AZ322" s="275"/>
      <c r="BA322" s="275"/>
      <c r="BB322" s="275"/>
      <c r="BC322" s="275"/>
      <c r="BD322" s="275"/>
      <c r="BE322" s="275"/>
      <c r="BF322" s="275"/>
      <c r="BH322" s="277"/>
    </row>
    <row r="323" spans="1:60" ht="16.5" customHeight="1" x14ac:dyDescent="0.3">
      <c r="A323" s="260">
        <v>301</v>
      </c>
      <c r="B323" s="261"/>
      <c r="C323" s="261"/>
      <c r="D323" s="262" t="s">
        <v>15</v>
      </c>
      <c r="E323" s="262" t="s">
        <v>175</v>
      </c>
      <c r="F323" s="263" t="s">
        <v>15</v>
      </c>
      <c r="G323" s="264" t="s">
        <v>175</v>
      </c>
      <c r="H323" s="281"/>
      <c r="I323" s="265"/>
      <c r="J323" s="266" t="s">
        <v>594</v>
      </c>
      <c r="K323" s="262"/>
      <c r="L323" s="262"/>
      <c r="M323" s="262">
        <v>12801</v>
      </c>
      <c r="N323" s="262" t="s">
        <v>22</v>
      </c>
      <c r="O323" s="262" t="s">
        <v>35</v>
      </c>
      <c r="P323" s="262" t="s">
        <v>57</v>
      </c>
      <c r="Q323" s="262" t="s">
        <v>44</v>
      </c>
      <c r="R323" s="262" t="s">
        <v>469</v>
      </c>
      <c r="S323" s="267" t="s">
        <v>469</v>
      </c>
      <c r="T323" s="268"/>
      <c r="U323" s="269" t="s">
        <v>154</v>
      </c>
      <c r="V323" s="269">
        <v>10400000</v>
      </c>
      <c r="W323" s="278">
        <v>0</v>
      </c>
      <c r="X323" s="270"/>
      <c r="Y323" s="262" t="s">
        <v>25</v>
      </c>
      <c r="Z323" s="271" t="s">
        <v>25</v>
      </c>
      <c r="AA323" s="287"/>
      <c r="AB323" s="287"/>
      <c r="AC323" s="272">
        <f t="shared" si="11"/>
        <v>8000000</v>
      </c>
      <c r="AD323" s="272">
        <v>8000000</v>
      </c>
      <c r="AE323" s="272">
        <f t="shared" si="12"/>
        <v>0</v>
      </c>
      <c r="AF323" s="273"/>
      <c r="AG323" s="274"/>
      <c r="AH323" s="273"/>
      <c r="AI323" s="273"/>
      <c r="AJ323" s="274"/>
      <c r="AK323" s="273"/>
      <c r="AL323" s="275"/>
      <c r="AM323" s="290"/>
      <c r="AN323" s="275"/>
      <c r="AO323" s="276"/>
      <c r="AP323" s="275"/>
      <c r="AQ323" s="275">
        <v>8000000</v>
      </c>
      <c r="AR323" s="275"/>
      <c r="AS323" s="275"/>
      <c r="AT323" s="275"/>
      <c r="AU323" s="275"/>
      <c r="AV323" s="275"/>
      <c r="AW323" s="275"/>
      <c r="AX323" s="275"/>
      <c r="AY323" s="275"/>
      <c r="AZ323" s="275"/>
      <c r="BA323" s="275"/>
      <c r="BB323" s="275"/>
      <c r="BC323" s="275"/>
      <c r="BD323" s="275"/>
      <c r="BE323" s="275"/>
      <c r="BF323" s="275"/>
      <c r="BH323" s="277"/>
    </row>
    <row r="324" spans="1:60" ht="16.5" customHeight="1" x14ac:dyDescent="0.3">
      <c r="A324" s="260">
        <v>302</v>
      </c>
      <c r="B324" s="261"/>
      <c r="C324" s="261"/>
      <c r="D324" s="262" t="s">
        <v>15</v>
      </c>
      <c r="E324" s="262" t="s">
        <v>175</v>
      </c>
      <c r="F324" s="263" t="s">
        <v>15</v>
      </c>
      <c r="G324" s="264" t="s">
        <v>175</v>
      </c>
      <c r="H324" s="281"/>
      <c r="I324" s="265"/>
      <c r="J324" s="266" t="s">
        <v>594</v>
      </c>
      <c r="K324" s="262"/>
      <c r="L324" s="262"/>
      <c r="M324" s="262">
        <v>12801</v>
      </c>
      <c r="N324" s="262" t="s">
        <v>22</v>
      </c>
      <c r="O324" s="262" t="s">
        <v>56</v>
      </c>
      <c r="P324" s="262" t="s">
        <v>57</v>
      </c>
      <c r="Q324" s="262" t="s">
        <v>26</v>
      </c>
      <c r="R324" s="262" t="s">
        <v>468</v>
      </c>
      <c r="S324" s="267" t="s">
        <v>468</v>
      </c>
      <c r="T324" s="268"/>
      <c r="U324" s="269" t="s">
        <v>154</v>
      </c>
      <c r="V324" s="269">
        <v>15979999</v>
      </c>
      <c r="W324" s="278">
        <v>8250000</v>
      </c>
      <c r="X324" s="270"/>
      <c r="Y324" s="262" t="s">
        <v>27</v>
      </c>
      <c r="Z324" s="271" t="s">
        <v>24</v>
      </c>
      <c r="AA324" s="287"/>
      <c r="AB324" s="287"/>
      <c r="AC324" s="272">
        <f t="shared" si="11"/>
        <v>3000000</v>
      </c>
      <c r="AD324" s="272">
        <v>3000000</v>
      </c>
      <c r="AE324" s="272">
        <f t="shared" si="12"/>
        <v>0</v>
      </c>
      <c r="AF324" s="273"/>
      <c r="AG324" s="274"/>
      <c r="AH324" s="273"/>
      <c r="AI324" s="273"/>
      <c r="AJ324" s="274"/>
      <c r="AK324" s="273"/>
      <c r="AL324" s="275"/>
      <c r="AM324" s="290"/>
      <c r="AN324" s="275"/>
      <c r="AO324" s="276"/>
      <c r="AP324" s="275"/>
      <c r="AQ324" s="275">
        <v>3000000</v>
      </c>
      <c r="AR324" s="275"/>
      <c r="AS324" s="275"/>
      <c r="AT324" s="275"/>
      <c r="AU324" s="275"/>
      <c r="AV324" s="275"/>
      <c r="AW324" s="275"/>
      <c r="AX324" s="275"/>
      <c r="AY324" s="275"/>
      <c r="AZ324" s="275"/>
      <c r="BA324" s="275"/>
      <c r="BB324" s="275"/>
      <c r="BC324" s="275"/>
      <c r="BD324" s="275"/>
      <c r="BE324" s="275"/>
      <c r="BF324" s="275"/>
      <c r="BH324" s="277"/>
    </row>
    <row r="325" spans="1:60" ht="16.5" customHeight="1" x14ac:dyDescent="0.3">
      <c r="A325" s="260">
        <v>303</v>
      </c>
      <c r="B325" s="261"/>
      <c r="C325" s="261"/>
      <c r="D325" s="262" t="s">
        <v>15</v>
      </c>
      <c r="E325" s="262" t="s">
        <v>175</v>
      </c>
      <c r="F325" s="263" t="s">
        <v>15</v>
      </c>
      <c r="G325" s="264" t="s">
        <v>175</v>
      </c>
      <c r="H325" s="281"/>
      <c r="I325" s="265"/>
      <c r="J325" s="266" t="s">
        <v>752</v>
      </c>
      <c r="K325" s="262"/>
      <c r="L325" s="262"/>
      <c r="M325" s="262">
        <v>40230</v>
      </c>
      <c r="N325" s="262" t="s">
        <v>53</v>
      </c>
      <c r="O325" s="262" t="s">
        <v>56</v>
      </c>
      <c r="P325" s="262" t="s">
        <v>57</v>
      </c>
      <c r="Q325" s="262" t="s">
        <v>18</v>
      </c>
      <c r="R325" s="262" t="s">
        <v>19</v>
      </c>
      <c r="S325" s="267" t="s">
        <v>19</v>
      </c>
      <c r="T325" s="268"/>
      <c r="U325" s="269">
        <v>27456960</v>
      </c>
      <c r="V325" s="269">
        <v>31589460</v>
      </c>
      <c r="W325" s="278">
        <v>17266400</v>
      </c>
      <c r="X325" s="270"/>
      <c r="Y325" s="262" t="s">
        <v>27</v>
      </c>
      <c r="Z325" s="271" t="s">
        <v>27</v>
      </c>
      <c r="AA325" s="287"/>
      <c r="AB325" s="287"/>
      <c r="AC325" s="272">
        <f t="shared" si="11"/>
        <v>16532600</v>
      </c>
      <c r="AD325" s="272">
        <v>16532600</v>
      </c>
      <c r="AE325" s="272">
        <f t="shared" si="12"/>
        <v>0</v>
      </c>
      <c r="AF325" s="273">
        <v>1266800</v>
      </c>
      <c r="AG325" s="274">
        <v>1266800</v>
      </c>
      <c r="AH325" s="273"/>
      <c r="AI325" s="273">
        <v>1500000</v>
      </c>
      <c r="AJ325" s="274">
        <v>772800</v>
      </c>
      <c r="AK325" s="273"/>
      <c r="AL325" s="275">
        <v>993000</v>
      </c>
      <c r="AM325" s="290">
        <v>993000</v>
      </c>
      <c r="AN325" s="275"/>
      <c r="AO325" s="276">
        <v>1500000</v>
      </c>
      <c r="AP325" s="275"/>
      <c r="AQ325" s="275">
        <v>1500000</v>
      </c>
      <c r="AR325" s="275"/>
      <c r="AS325" s="275">
        <v>1500000</v>
      </c>
      <c r="AT325" s="275"/>
      <c r="AU325" s="275">
        <v>1500000</v>
      </c>
      <c r="AV325" s="275"/>
      <c r="AW325" s="275">
        <v>1500000</v>
      </c>
      <c r="AX325" s="275"/>
      <c r="AY325" s="275">
        <v>1500000</v>
      </c>
      <c r="AZ325" s="275"/>
      <c r="BA325" s="275">
        <v>1500000</v>
      </c>
      <c r="BB325" s="275"/>
      <c r="BC325" s="275">
        <v>1500000</v>
      </c>
      <c r="BD325" s="275"/>
      <c r="BE325" s="275">
        <v>1500000</v>
      </c>
      <c r="BF325" s="275"/>
      <c r="BH325" s="277"/>
    </row>
    <row r="326" spans="1:60" ht="16.5" customHeight="1" x14ac:dyDescent="0.3">
      <c r="A326" s="260">
        <v>304</v>
      </c>
      <c r="B326" s="261"/>
      <c r="C326" s="261"/>
      <c r="D326" s="262" t="s">
        <v>15</v>
      </c>
      <c r="E326" s="262" t="s">
        <v>175</v>
      </c>
      <c r="F326" s="263" t="s">
        <v>15</v>
      </c>
      <c r="G326" s="264" t="s">
        <v>175</v>
      </c>
      <c r="H326" s="281"/>
      <c r="I326" s="265"/>
      <c r="J326" s="266" t="s">
        <v>357</v>
      </c>
      <c r="K326" s="262"/>
      <c r="L326" s="262"/>
      <c r="M326" s="262">
        <v>28673</v>
      </c>
      <c r="N326" s="262" t="s">
        <v>22</v>
      </c>
      <c r="O326" s="262" t="s">
        <v>56</v>
      </c>
      <c r="P326" s="262" t="s">
        <v>57</v>
      </c>
      <c r="Q326" s="262" t="s">
        <v>30</v>
      </c>
      <c r="R326" s="262" t="s">
        <v>31</v>
      </c>
      <c r="S326" s="267" t="s">
        <v>31</v>
      </c>
      <c r="T326" s="268"/>
      <c r="U326" s="269">
        <v>10738000</v>
      </c>
      <c r="V326" s="269">
        <v>11448000</v>
      </c>
      <c r="W326" s="278">
        <v>8032000</v>
      </c>
      <c r="X326" s="270"/>
      <c r="Y326" s="262" t="s">
        <v>24</v>
      </c>
      <c r="Z326" s="271" t="s">
        <v>24</v>
      </c>
      <c r="AA326" s="287"/>
      <c r="AB326" s="287"/>
      <c r="AC326" s="272">
        <f t="shared" si="11"/>
        <v>10000000</v>
      </c>
      <c r="AD326" s="272">
        <v>10000000</v>
      </c>
      <c r="AE326" s="272">
        <f t="shared" si="12"/>
        <v>0</v>
      </c>
      <c r="AF326" s="273"/>
      <c r="AG326" s="274"/>
      <c r="AH326" s="273"/>
      <c r="AI326" s="273"/>
      <c r="AJ326" s="274"/>
      <c r="AK326" s="273"/>
      <c r="AL326" s="275"/>
      <c r="AM326" s="290"/>
      <c r="AN326" s="275"/>
      <c r="AO326" s="276"/>
      <c r="AP326" s="275"/>
      <c r="AQ326" s="275"/>
      <c r="AR326" s="275"/>
      <c r="AS326" s="275"/>
      <c r="AT326" s="275"/>
      <c r="AU326" s="275"/>
      <c r="AV326" s="275"/>
      <c r="AW326" s="275"/>
      <c r="AX326" s="275"/>
      <c r="AY326" s="275"/>
      <c r="AZ326" s="275"/>
      <c r="BA326" s="275"/>
      <c r="BB326" s="275"/>
      <c r="BC326" s="275"/>
      <c r="BD326" s="275"/>
      <c r="BE326" s="275">
        <v>10000000</v>
      </c>
      <c r="BF326" s="275"/>
      <c r="BH326" s="277"/>
    </row>
    <row r="327" spans="1:60" ht="16.5" customHeight="1" x14ac:dyDescent="0.3">
      <c r="A327" s="260">
        <v>305</v>
      </c>
      <c r="B327" s="261"/>
      <c r="C327" s="261"/>
      <c r="D327" s="262" t="s">
        <v>15</v>
      </c>
      <c r="E327" s="262" t="s">
        <v>175</v>
      </c>
      <c r="F327" s="263" t="s">
        <v>15</v>
      </c>
      <c r="G327" s="264" t="s">
        <v>175</v>
      </c>
      <c r="H327" s="281"/>
      <c r="I327" s="265"/>
      <c r="J327" s="266" t="s">
        <v>358</v>
      </c>
      <c r="K327" s="262"/>
      <c r="L327" s="262"/>
      <c r="M327" s="262">
        <v>28796</v>
      </c>
      <c r="N327" s="262" t="s">
        <v>22</v>
      </c>
      <c r="O327" s="262" t="s">
        <v>56</v>
      </c>
      <c r="P327" s="262" t="s">
        <v>57</v>
      </c>
      <c r="Q327" s="262" t="s">
        <v>18</v>
      </c>
      <c r="R327" s="262" t="s">
        <v>19</v>
      </c>
      <c r="S327" s="267" t="s">
        <v>19</v>
      </c>
      <c r="T327" s="268"/>
      <c r="U327" s="269">
        <v>32657600</v>
      </c>
      <c r="V327" s="269">
        <v>23923900</v>
      </c>
      <c r="W327" s="278">
        <v>23571400</v>
      </c>
      <c r="X327" s="270"/>
      <c r="Y327" s="262" t="s">
        <v>27</v>
      </c>
      <c r="Z327" s="271" t="s">
        <v>27</v>
      </c>
      <c r="AA327" s="287"/>
      <c r="AB327" s="287"/>
      <c r="AC327" s="272">
        <f t="shared" si="11"/>
        <v>22019000</v>
      </c>
      <c r="AD327" s="272">
        <v>22019000</v>
      </c>
      <c r="AE327" s="272">
        <f t="shared" si="12"/>
        <v>0</v>
      </c>
      <c r="AF327" s="273">
        <v>11649000</v>
      </c>
      <c r="AG327" s="274">
        <v>11229000</v>
      </c>
      <c r="AH327" s="273"/>
      <c r="AI327" s="273">
        <v>1000000</v>
      </c>
      <c r="AJ327" s="274">
        <v>1280000</v>
      </c>
      <c r="AK327" s="273"/>
      <c r="AL327" s="275">
        <v>510000</v>
      </c>
      <c r="AM327" s="290">
        <v>510000</v>
      </c>
      <c r="AN327" s="275"/>
      <c r="AO327" s="276">
        <v>1000000</v>
      </c>
      <c r="AP327" s="275"/>
      <c r="AQ327" s="275">
        <v>1000000</v>
      </c>
      <c r="AR327" s="275"/>
      <c r="AS327" s="275">
        <v>1000000</v>
      </c>
      <c r="AT327" s="275"/>
      <c r="AU327" s="275">
        <v>1000000</v>
      </c>
      <c r="AV327" s="275"/>
      <c r="AW327" s="275">
        <v>1000000</v>
      </c>
      <c r="AX327" s="275"/>
      <c r="AY327" s="275">
        <v>1000000</v>
      </c>
      <c r="AZ327" s="275"/>
      <c r="BA327" s="275">
        <v>1000000</v>
      </c>
      <c r="BB327" s="275"/>
      <c r="BC327" s="275">
        <v>1000000</v>
      </c>
      <c r="BD327" s="275"/>
      <c r="BE327" s="275">
        <v>1000000</v>
      </c>
      <c r="BF327" s="275"/>
      <c r="BH327" s="277"/>
    </row>
    <row r="328" spans="1:60" ht="16.5" hidden="1" customHeight="1" x14ac:dyDescent="0.3">
      <c r="A328" s="260">
        <v>306</v>
      </c>
      <c r="B328" s="261"/>
      <c r="C328" s="261"/>
      <c r="D328" s="262" t="s">
        <v>15</v>
      </c>
      <c r="E328" s="262" t="s">
        <v>175</v>
      </c>
      <c r="F328" s="263" t="s">
        <v>15</v>
      </c>
      <c r="G328" s="264" t="s">
        <v>175</v>
      </c>
      <c r="H328" s="281"/>
      <c r="I328" s="265"/>
      <c r="J328" s="266" t="s">
        <v>358</v>
      </c>
      <c r="K328" s="262"/>
      <c r="L328" s="262"/>
      <c r="M328" s="262">
        <v>28796</v>
      </c>
      <c r="N328" s="262" t="s">
        <v>22</v>
      </c>
      <c r="O328" s="262" t="s">
        <v>56</v>
      </c>
      <c r="P328" s="262" t="s">
        <v>57</v>
      </c>
      <c r="Q328" s="262" t="s">
        <v>18</v>
      </c>
      <c r="R328" s="262" t="s">
        <v>19</v>
      </c>
      <c r="S328" s="267" t="s">
        <v>19</v>
      </c>
      <c r="T328" s="268"/>
      <c r="U328" s="269">
        <v>9452000</v>
      </c>
      <c r="V328" s="269">
        <v>0</v>
      </c>
      <c r="W328" s="278">
        <v>0</v>
      </c>
      <c r="X328" s="270"/>
      <c r="Y328" s="262" t="s">
        <v>25</v>
      </c>
      <c r="Z328" s="271" t="s">
        <v>718</v>
      </c>
      <c r="AA328" s="287"/>
      <c r="AB328" s="287"/>
      <c r="AC328" s="272">
        <f t="shared" si="11"/>
        <v>0</v>
      </c>
      <c r="AD328" s="272">
        <v>0</v>
      </c>
      <c r="AE328" s="272">
        <f t="shared" si="12"/>
        <v>0</v>
      </c>
      <c r="AF328" s="273"/>
      <c r="AG328" s="274"/>
      <c r="AH328" s="273"/>
      <c r="AI328" s="273"/>
      <c r="AJ328" s="274"/>
      <c r="AK328" s="273"/>
      <c r="AL328" s="275"/>
      <c r="AM328" s="290"/>
      <c r="AN328" s="275"/>
      <c r="AO328" s="276"/>
      <c r="AP328" s="275"/>
      <c r="AQ328" s="275"/>
      <c r="AR328" s="275"/>
      <c r="AS328" s="275"/>
      <c r="AT328" s="275"/>
      <c r="AU328" s="275"/>
      <c r="AV328" s="275"/>
      <c r="AW328" s="275"/>
      <c r="AX328" s="275"/>
      <c r="AY328" s="275"/>
      <c r="AZ328" s="275"/>
      <c r="BA328" s="275"/>
      <c r="BB328" s="275"/>
      <c r="BC328" s="275"/>
      <c r="BD328" s="275"/>
      <c r="BE328" s="275"/>
      <c r="BF328" s="275"/>
      <c r="BH328" s="277"/>
    </row>
    <row r="329" spans="1:60" ht="16.5" customHeight="1" x14ac:dyDescent="0.3">
      <c r="A329" s="260">
        <v>307</v>
      </c>
      <c r="B329" s="261"/>
      <c r="C329" s="261"/>
      <c r="D329" s="262" t="s">
        <v>15</v>
      </c>
      <c r="E329" s="262" t="s">
        <v>175</v>
      </c>
      <c r="F329" s="263" t="s">
        <v>15</v>
      </c>
      <c r="G329" s="264" t="s">
        <v>175</v>
      </c>
      <c r="H329" s="281"/>
      <c r="I329" s="265"/>
      <c r="J329" s="266" t="s">
        <v>358</v>
      </c>
      <c r="K329" s="262"/>
      <c r="L329" s="262"/>
      <c r="M329" s="262">
        <v>28796</v>
      </c>
      <c r="N329" s="262" t="s">
        <v>22</v>
      </c>
      <c r="O329" s="262" t="s">
        <v>56</v>
      </c>
      <c r="P329" s="262" t="s">
        <v>57</v>
      </c>
      <c r="Q329" s="262" t="s">
        <v>30</v>
      </c>
      <c r="R329" s="262" t="s">
        <v>31</v>
      </c>
      <c r="S329" s="267" t="s">
        <v>31</v>
      </c>
      <c r="T329" s="268"/>
      <c r="U329" s="269">
        <v>18306000</v>
      </c>
      <c r="V329" s="269">
        <v>15238000</v>
      </c>
      <c r="W329" s="278">
        <v>7119000</v>
      </c>
      <c r="X329" s="270"/>
      <c r="Y329" s="262" t="s">
        <v>24</v>
      </c>
      <c r="Z329" s="271" t="s">
        <v>24</v>
      </c>
      <c r="AA329" s="287"/>
      <c r="AB329" s="287"/>
      <c r="AC329" s="272">
        <f t="shared" si="11"/>
        <v>10000000</v>
      </c>
      <c r="AD329" s="272">
        <v>10000000</v>
      </c>
      <c r="AE329" s="272">
        <f t="shared" si="12"/>
        <v>0</v>
      </c>
      <c r="AF329" s="273"/>
      <c r="AG329" s="274"/>
      <c r="AH329" s="273"/>
      <c r="AI329" s="273"/>
      <c r="AJ329" s="274"/>
      <c r="AK329" s="273"/>
      <c r="AL329" s="275"/>
      <c r="AM329" s="290"/>
      <c r="AN329" s="275"/>
      <c r="AO329" s="276"/>
      <c r="AP329" s="275"/>
      <c r="AQ329" s="275"/>
      <c r="AR329" s="275"/>
      <c r="AS329" s="275">
        <v>5000000</v>
      </c>
      <c r="AT329" s="275"/>
      <c r="AU329" s="275"/>
      <c r="AV329" s="275"/>
      <c r="AW329" s="275"/>
      <c r="AX329" s="275"/>
      <c r="AY329" s="275"/>
      <c r="AZ329" s="275"/>
      <c r="BA329" s="275"/>
      <c r="BB329" s="275"/>
      <c r="BC329" s="275"/>
      <c r="BD329" s="275"/>
      <c r="BE329" s="275">
        <v>5000000</v>
      </c>
      <c r="BF329" s="275"/>
      <c r="BH329" s="277"/>
    </row>
    <row r="330" spans="1:60" ht="16.5" customHeight="1" x14ac:dyDescent="0.3">
      <c r="A330" s="260">
        <v>308</v>
      </c>
      <c r="B330" s="261"/>
      <c r="C330" s="261"/>
      <c r="D330" s="262" t="s">
        <v>15</v>
      </c>
      <c r="E330" s="262" t="s">
        <v>175</v>
      </c>
      <c r="F330" s="263" t="s">
        <v>15</v>
      </c>
      <c r="G330" s="264" t="s">
        <v>175</v>
      </c>
      <c r="H330" s="281"/>
      <c r="I330" s="265"/>
      <c r="J330" s="266" t="s">
        <v>358</v>
      </c>
      <c r="K330" s="262"/>
      <c r="L330" s="262"/>
      <c r="M330" s="262">
        <v>28796</v>
      </c>
      <c r="N330" s="262" t="s">
        <v>22</v>
      </c>
      <c r="O330" s="262" t="s">
        <v>56</v>
      </c>
      <c r="P330" s="262" t="s">
        <v>57</v>
      </c>
      <c r="Q330" s="262" t="s">
        <v>46</v>
      </c>
      <c r="R330" s="262" t="s">
        <v>47</v>
      </c>
      <c r="S330" s="267" t="s">
        <v>47</v>
      </c>
      <c r="T330" s="268"/>
      <c r="U330" s="269">
        <v>18000000</v>
      </c>
      <c r="V330" s="269">
        <v>9000000</v>
      </c>
      <c r="W330" s="278">
        <v>9000000</v>
      </c>
      <c r="X330" s="270"/>
      <c r="Y330" s="262" t="s">
        <v>27</v>
      </c>
      <c r="Z330" s="339" t="s">
        <v>27</v>
      </c>
      <c r="AA330" s="287"/>
      <c r="AB330" s="287"/>
      <c r="AC330" s="272">
        <f t="shared" si="11"/>
        <v>9000000</v>
      </c>
      <c r="AD330" s="272">
        <v>9000000</v>
      </c>
      <c r="AE330" s="272">
        <f t="shared" si="12"/>
        <v>0</v>
      </c>
      <c r="AF330" s="273"/>
      <c r="AG330" s="274"/>
      <c r="AH330" s="273"/>
      <c r="AI330" s="273"/>
      <c r="AJ330" s="274"/>
      <c r="AK330" s="273"/>
      <c r="AL330" s="275"/>
      <c r="AM330" s="290"/>
      <c r="AN330" s="275"/>
      <c r="AO330" s="276"/>
      <c r="AP330" s="275"/>
      <c r="AQ330" s="275">
        <v>9000000</v>
      </c>
      <c r="AR330" s="275"/>
      <c r="AS330" s="275"/>
      <c r="AT330" s="275"/>
      <c r="AU330" s="275"/>
      <c r="AV330" s="275"/>
      <c r="AW330" s="275"/>
      <c r="AX330" s="275"/>
      <c r="AY330" s="275"/>
      <c r="AZ330" s="275"/>
      <c r="BA330" s="275"/>
      <c r="BB330" s="275"/>
      <c r="BC330" s="275"/>
      <c r="BD330" s="275"/>
      <c r="BE330" s="275"/>
      <c r="BF330" s="275"/>
      <c r="BH330" s="277"/>
    </row>
    <row r="331" spans="1:60" ht="16.5" customHeight="1" x14ac:dyDescent="0.3">
      <c r="A331" s="260">
        <v>309</v>
      </c>
      <c r="B331" s="261"/>
      <c r="C331" s="261"/>
      <c r="D331" s="262" t="s">
        <v>15</v>
      </c>
      <c r="E331" s="262" t="s">
        <v>175</v>
      </c>
      <c r="F331" s="263" t="s">
        <v>15</v>
      </c>
      <c r="G331" s="264" t="s">
        <v>175</v>
      </c>
      <c r="H331" s="281"/>
      <c r="I331" s="265"/>
      <c r="J331" s="266" t="s">
        <v>600</v>
      </c>
      <c r="K331" s="262"/>
      <c r="L331" s="262"/>
      <c r="M331" s="262">
        <v>9288</v>
      </c>
      <c r="N331" s="262" t="s">
        <v>22</v>
      </c>
      <c r="O331" s="262" t="s">
        <v>56</v>
      </c>
      <c r="P331" s="262" t="s">
        <v>57</v>
      </c>
      <c r="Q331" s="262" t="s">
        <v>18</v>
      </c>
      <c r="R331" s="262" t="s">
        <v>28</v>
      </c>
      <c r="S331" s="267" t="s">
        <v>28</v>
      </c>
      <c r="T331" s="268"/>
      <c r="U331" s="269">
        <v>170472310</v>
      </c>
      <c r="V331" s="269">
        <v>25446630</v>
      </c>
      <c r="W331" s="278">
        <v>304579800</v>
      </c>
      <c r="X331" s="270"/>
      <c r="Y331" s="262" t="s">
        <v>27</v>
      </c>
      <c r="Z331" s="271" t="s">
        <v>27</v>
      </c>
      <c r="AA331" s="287"/>
      <c r="AB331" s="287"/>
      <c r="AC331" s="272">
        <f t="shared" si="11"/>
        <v>291870100</v>
      </c>
      <c r="AD331" s="272">
        <v>291870100</v>
      </c>
      <c r="AE331" s="272">
        <f t="shared" si="12"/>
        <v>0</v>
      </c>
      <c r="AF331" s="273">
        <v>29960100</v>
      </c>
      <c r="AG331" s="274">
        <v>29960100</v>
      </c>
      <c r="AH331" s="273"/>
      <c r="AI331" s="273">
        <v>23000000</v>
      </c>
      <c r="AJ331" s="274">
        <v>29970000</v>
      </c>
      <c r="AK331" s="273"/>
      <c r="AL331" s="275">
        <v>21970000</v>
      </c>
      <c r="AM331" s="290">
        <v>21970000</v>
      </c>
      <c r="AN331" s="275"/>
      <c r="AO331" s="276">
        <v>25970000</v>
      </c>
      <c r="AP331" s="275"/>
      <c r="AQ331" s="275">
        <v>23000000</v>
      </c>
      <c r="AR331" s="275"/>
      <c r="AS331" s="275">
        <v>23000000</v>
      </c>
      <c r="AT331" s="275"/>
      <c r="AU331" s="275">
        <v>23000000</v>
      </c>
      <c r="AV331" s="275"/>
      <c r="AW331" s="275">
        <v>23000000</v>
      </c>
      <c r="AX331" s="275"/>
      <c r="AY331" s="275">
        <v>23000000</v>
      </c>
      <c r="AZ331" s="275"/>
      <c r="BA331" s="275">
        <v>23000000</v>
      </c>
      <c r="BB331" s="275"/>
      <c r="BC331" s="275">
        <v>23000000</v>
      </c>
      <c r="BD331" s="275"/>
      <c r="BE331" s="275">
        <v>23000000</v>
      </c>
      <c r="BF331" s="275"/>
      <c r="BH331" s="277"/>
    </row>
    <row r="332" spans="1:60" ht="16.5" hidden="1" customHeight="1" x14ac:dyDescent="0.3">
      <c r="A332" s="260">
        <v>310</v>
      </c>
      <c r="B332" s="261"/>
      <c r="C332" s="261"/>
      <c r="D332" s="262" t="s">
        <v>15</v>
      </c>
      <c r="E332" s="262" t="s">
        <v>175</v>
      </c>
      <c r="F332" s="263" t="s">
        <v>15</v>
      </c>
      <c r="G332" s="264" t="s">
        <v>175</v>
      </c>
      <c r="H332" s="281"/>
      <c r="I332" s="265"/>
      <c r="J332" s="266" t="s">
        <v>600</v>
      </c>
      <c r="K332" s="262"/>
      <c r="L332" s="262"/>
      <c r="M332" s="262">
        <v>9288</v>
      </c>
      <c r="N332" s="262" t="s">
        <v>22</v>
      </c>
      <c r="O332" s="262" t="s">
        <v>178</v>
      </c>
      <c r="P332" s="262" t="s">
        <v>57</v>
      </c>
      <c r="Q332" s="262" t="s">
        <v>30</v>
      </c>
      <c r="R332" s="262" t="s">
        <v>31</v>
      </c>
      <c r="S332" s="267" t="s">
        <v>31</v>
      </c>
      <c r="T332" s="268"/>
      <c r="U332" s="269">
        <v>20004000</v>
      </c>
      <c r="V332" s="269">
        <v>0</v>
      </c>
      <c r="W332" s="278">
        <v>0</v>
      </c>
      <c r="X332" s="270"/>
      <c r="Y332" s="262" t="s">
        <v>21</v>
      </c>
      <c r="Z332" s="271" t="s">
        <v>21</v>
      </c>
      <c r="AA332" s="287"/>
      <c r="AB332" s="287"/>
      <c r="AC332" s="272">
        <f t="shared" si="11"/>
        <v>0</v>
      </c>
      <c r="AD332" s="272">
        <v>0</v>
      </c>
      <c r="AE332" s="272">
        <f t="shared" si="12"/>
        <v>0</v>
      </c>
      <c r="AF332" s="273"/>
      <c r="AG332" s="274"/>
      <c r="AH332" s="273"/>
      <c r="AI332" s="273"/>
      <c r="AJ332" s="274"/>
      <c r="AK332" s="273"/>
      <c r="AL332" s="275"/>
      <c r="AM332" s="290"/>
      <c r="AN332" s="275"/>
      <c r="AO332" s="276"/>
      <c r="AP332" s="275"/>
      <c r="AQ332" s="275"/>
      <c r="AR332" s="275"/>
      <c r="AS332" s="275"/>
      <c r="AT332" s="275"/>
      <c r="AU332" s="275"/>
      <c r="AV332" s="275"/>
      <c r="AW332" s="275"/>
      <c r="AX332" s="275"/>
      <c r="AY332" s="275"/>
      <c r="AZ332" s="275"/>
      <c r="BA332" s="275"/>
      <c r="BB332" s="275"/>
      <c r="BC332" s="275"/>
      <c r="BD332" s="275"/>
      <c r="BE332" s="275"/>
      <c r="BF332" s="275"/>
      <c r="BH332" s="277"/>
    </row>
    <row r="333" spans="1:60" ht="16.5" customHeight="1" x14ac:dyDescent="0.3">
      <c r="A333" s="260">
        <v>311</v>
      </c>
      <c r="B333" s="261"/>
      <c r="C333" s="261"/>
      <c r="D333" s="262" t="s">
        <v>112</v>
      </c>
      <c r="E333" s="262" t="s">
        <v>702</v>
      </c>
      <c r="F333" s="263" t="s">
        <v>15</v>
      </c>
      <c r="G333" s="264" t="s">
        <v>175</v>
      </c>
      <c r="H333" s="281"/>
      <c r="I333" s="265"/>
      <c r="J333" s="266" t="s">
        <v>836</v>
      </c>
      <c r="K333" s="262"/>
      <c r="L333" s="262"/>
      <c r="M333" s="262">
        <v>30380</v>
      </c>
      <c r="N333" s="262" t="s">
        <v>53</v>
      </c>
      <c r="O333" s="262" t="s">
        <v>56</v>
      </c>
      <c r="P333" s="262" t="s">
        <v>57</v>
      </c>
      <c r="Q333" s="262" t="s">
        <v>18</v>
      </c>
      <c r="R333" s="262" t="s">
        <v>19</v>
      </c>
      <c r="S333" s="267" t="s">
        <v>19</v>
      </c>
      <c r="T333" s="268" t="s">
        <v>951</v>
      </c>
      <c r="U333" s="269">
        <v>27011300</v>
      </c>
      <c r="V333" s="269">
        <v>26376482</v>
      </c>
      <c r="W333" s="278">
        <v>28754480</v>
      </c>
      <c r="X333" s="270"/>
      <c r="Y333" s="262" t="s">
        <v>27</v>
      </c>
      <c r="Z333" s="271" t="s">
        <v>27</v>
      </c>
      <c r="AA333" s="287"/>
      <c r="AB333" s="287"/>
      <c r="AC333" s="272">
        <f t="shared" si="11"/>
        <v>20637460</v>
      </c>
      <c r="AD333" s="272">
        <v>20637460</v>
      </c>
      <c r="AE333" s="272">
        <f t="shared" si="12"/>
        <v>0</v>
      </c>
      <c r="AF333" s="273">
        <v>789300</v>
      </c>
      <c r="AG333" s="274">
        <v>789300</v>
      </c>
      <c r="AH333" s="273"/>
      <c r="AI333" s="273">
        <v>2000000</v>
      </c>
      <c r="AJ333" s="274">
        <v>854200</v>
      </c>
      <c r="AK333" s="273"/>
      <c r="AL333" s="275">
        <v>993960</v>
      </c>
      <c r="AM333" s="290">
        <v>993960</v>
      </c>
      <c r="AN333" s="275"/>
      <c r="AO333" s="276">
        <v>2000000</v>
      </c>
      <c r="AP333" s="275"/>
      <c r="AQ333" s="275">
        <v>2000000</v>
      </c>
      <c r="AR333" s="275"/>
      <c r="AS333" s="275">
        <v>2000000</v>
      </c>
      <c r="AT333" s="275"/>
      <c r="AU333" s="275">
        <v>2000000</v>
      </c>
      <c r="AV333" s="275"/>
      <c r="AW333" s="275">
        <v>2000000</v>
      </c>
      <c r="AX333" s="275"/>
      <c r="AY333" s="275">
        <v>2000000</v>
      </c>
      <c r="AZ333" s="275"/>
      <c r="BA333" s="275">
        <v>2000000</v>
      </c>
      <c r="BB333" s="275"/>
      <c r="BC333" s="275">
        <v>2000000</v>
      </c>
      <c r="BD333" s="275"/>
      <c r="BE333" s="275">
        <v>2000000</v>
      </c>
      <c r="BF333" s="275"/>
      <c r="BH333" s="277"/>
    </row>
    <row r="334" spans="1:60" ht="16.5" customHeight="1" x14ac:dyDescent="0.3">
      <c r="A334" s="260">
        <v>312</v>
      </c>
      <c r="B334" s="261"/>
      <c r="C334" s="261"/>
      <c r="D334" s="262"/>
      <c r="E334" s="262"/>
      <c r="F334" s="263" t="s">
        <v>15</v>
      </c>
      <c r="G334" s="264" t="s">
        <v>175</v>
      </c>
      <c r="H334" s="281"/>
      <c r="I334" s="265"/>
      <c r="J334" s="266" t="s">
        <v>836</v>
      </c>
      <c r="K334" s="262"/>
      <c r="L334" s="262"/>
      <c r="M334" s="262">
        <v>30380</v>
      </c>
      <c r="N334" s="262" t="s">
        <v>53</v>
      </c>
      <c r="O334" s="262" t="s">
        <v>56</v>
      </c>
      <c r="P334" s="262" t="s">
        <v>57</v>
      </c>
      <c r="Q334" s="262"/>
      <c r="R334" s="262"/>
      <c r="S334" s="267" t="s">
        <v>31</v>
      </c>
      <c r="T334" s="268"/>
      <c r="U334" s="269"/>
      <c r="V334" s="269"/>
      <c r="W334" s="278">
        <v>0</v>
      </c>
      <c r="X334" s="270"/>
      <c r="Y334" s="262"/>
      <c r="Z334" s="271" t="s">
        <v>27</v>
      </c>
      <c r="AA334" s="287"/>
      <c r="AB334" s="287"/>
      <c r="AC334" s="272">
        <f t="shared" si="11"/>
        <v>4520000</v>
      </c>
      <c r="AD334" s="272">
        <v>4520000</v>
      </c>
      <c r="AE334" s="272">
        <f t="shared" si="12"/>
        <v>0</v>
      </c>
      <c r="AF334" s="273"/>
      <c r="AG334" s="274"/>
      <c r="AH334" s="273"/>
      <c r="AI334" s="273"/>
      <c r="AJ334" s="274"/>
      <c r="AK334" s="273"/>
      <c r="AL334" s="275"/>
      <c r="AM334" s="290"/>
      <c r="AN334" s="275"/>
      <c r="AO334" s="276"/>
      <c r="AP334" s="275"/>
      <c r="AQ334" s="275"/>
      <c r="AR334" s="275"/>
      <c r="AS334" s="275">
        <v>2260000</v>
      </c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>
        <v>2260000</v>
      </c>
      <c r="BF334" s="275"/>
      <c r="BH334" s="277"/>
    </row>
    <row r="335" spans="1:60" ht="16.5" customHeight="1" x14ac:dyDescent="0.3">
      <c r="A335" s="260">
        <v>313</v>
      </c>
      <c r="B335" s="261"/>
      <c r="C335" s="261"/>
      <c r="D335" s="262" t="s">
        <v>112</v>
      </c>
      <c r="E335" s="262" t="s">
        <v>702</v>
      </c>
      <c r="F335" s="263" t="s">
        <v>15</v>
      </c>
      <c r="G335" s="264" t="s">
        <v>175</v>
      </c>
      <c r="H335" s="281"/>
      <c r="I335" s="265"/>
      <c r="J335" s="266" t="s">
        <v>836</v>
      </c>
      <c r="K335" s="262"/>
      <c r="L335" s="262"/>
      <c r="M335" s="262">
        <v>30380</v>
      </c>
      <c r="N335" s="262"/>
      <c r="O335" s="262"/>
      <c r="P335" s="262"/>
      <c r="Q335" s="262" t="s">
        <v>23</v>
      </c>
      <c r="R335" s="262" t="s">
        <v>397</v>
      </c>
      <c r="S335" s="267" t="s">
        <v>823</v>
      </c>
      <c r="T335" s="268"/>
      <c r="U335" s="269"/>
      <c r="V335" s="269">
        <v>4000000</v>
      </c>
      <c r="W335" s="278">
        <v>0</v>
      </c>
      <c r="X335" s="270"/>
      <c r="Y335" s="262" t="s">
        <v>25</v>
      </c>
      <c r="Z335" s="271" t="s">
        <v>25</v>
      </c>
      <c r="AA335" s="287"/>
      <c r="AB335" s="287"/>
      <c r="AC335" s="272">
        <f t="shared" si="11"/>
        <v>3000000</v>
      </c>
      <c r="AD335" s="272">
        <v>3000000</v>
      </c>
      <c r="AE335" s="272">
        <f t="shared" si="12"/>
        <v>0</v>
      </c>
      <c r="AF335" s="273"/>
      <c r="AG335" s="274"/>
      <c r="AH335" s="273"/>
      <c r="AI335" s="273"/>
      <c r="AJ335" s="274"/>
      <c r="AK335" s="273"/>
      <c r="AL335" s="275"/>
      <c r="AM335" s="290"/>
      <c r="AN335" s="275"/>
      <c r="AO335" s="276"/>
      <c r="AP335" s="275"/>
      <c r="AQ335" s="275"/>
      <c r="AR335" s="275"/>
      <c r="AS335" s="275"/>
      <c r="AT335" s="275"/>
      <c r="AU335" s="275"/>
      <c r="AV335" s="275"/>
      <c r="AW335" s="275"/>
      <c r="AX335" s="275"/>
      <c r="AY335" s="275"/>
      <c r="AZ335" s="275"/>
      <c r="BA335" s="275"/>
      <c r="BB335" s="275"/>
      <c r="BC335" s="275"/>
      <c r="BD335" s="275"/>
      <c r="BE335" s="275">
        <v>3000000</v>
      </c>
      <c r="BF335" s="275"/>
      <c r="BH335" s="277"/>
    </row>
    <row r="336" spans="1:60" ht="16.5" hidden="1" customHeight="1" x14ac:dyDescent="0.3">
      <c r="A336" s="260">
        <v>314</v>
      </c>
      <c r="B336" s="261"/>
      <c r="C336" s="261"/>
      <c r="D336" s="262" t="s">
        <v>15</v>
      </c>
      <c r="E336" s="262" t="s">
        <v>175</v>
      </c>
      <c r="F336" s="263" t="s">
        <v>15</v>
      </c>
      <c r="G336" s="264" t="s">
        <v>175</v>
      </c>
      <c r="H336" s="281"/>
      <c r="I336" s="265"/>
      <c r="J336" s="266" t="s">
        <v>200</v>
      </c>
      <c r="K336" s="262"/>
      <c r="L336" s="262"/>
      <c r="M336" s="262">
        <v>391</v>
      </c>
      <c r="N336" s="262" t="s">
        <v>22</v>
      </c>
      <c r="O336" s="262" t="s">
        <v>35</v>
      </c>
      <c r="P336" s="262" t="s">
        <v>156</v>
      </c>
      <c r="Q336" s="262" t="s">
        <v>63</v>
      </c>
      <c r="R336" s="262" t="s">
        <v>28</v>
      </c>
      <c r="S336" s="267" t="s">
        <v>28</v>
      </c>
      <c r="T336" s="268"/>
      <c r="U336" s="269"/>
      <c r="V336" s="269"/>
      <c r="W336" s="278">
        <v>0</v>
      </c>
      <c r="X336" s="270"/>
      <c r="Y336" s="262" t="s">
        <v>562</v>
      </c>
      <c r="Z336" s="271" t="s">
        <v>74</v>
      </c>
      <c r="AA336" s="287"/>
      <c r="AB336" s="287"/>
      <c r="AC336" s="272">
        <f t="shared" si="11"/>
        <v>270000000</v>
      </c>
      <c r="AD336" s="272">
        <v>270000000</v>
      </c>
      <c r="AE336" s="272">
        <f t="shared" si="12"/>
        <v>0</v>
      </c>
      <c r="AF336" s="273"/>
      <c r="AG336" s="274"/>
      <c r="AH336" s="273"/>
      <c r="AI336" s="273">
        <v>30000000</v>
      </c>
      <c r="AJ336" s="274"/>
      <c r="AK336" s="273"/>
      <c r="AL336" s="275">
        <v>30000000</v>
      </c>
      <c r="AM336" s="290"/>
      <c r="AN336" s="275"/>
      <c r="AO336" s="276">
        <v>30000000</v>
      </c>
      <c r="AP336" s="275"/>
      <c r="AQ336" s="275">
        <v>30000000</v>
      </c>
      <c r="AR336" s="275"/>
      <c r="AS336" s="275">
        <v>30000000</v>
      </c>
      <c r="AT336" s="275"/>
      <c r="AU336" s="275">
        <v>30000000</v>
      </c>
      <c r="AV336" s="275"/>
      <c r="AW336" s="275">
        <v>30000000</v>
      </c>
      <c r="AX336" s="275"/>
      <c r="AY336" s="275">
        <v>30000000</v>
      </c>
      <c r="AZ336" s="275"/>
      <c r="BA336" s="275">
        <v>30000000</v>
      </c>
      <c r="BB336" s="275"/>
      <c r="BC336" s="275">
        <v>30000000</v>
      </c>
      <c r="BD336" s="275"/>
      <c r="BE336" s="275">
        <v>30000000</v>
      </c>
      <c r="BF336" s="275"/>
      <c r="BH336" s="277"/>
    </row>
    <row r="337" spans="1:60" ht="16.5" hidden="1" customHeight="1" x14ac:dyDescent="0.3">
      <c r="A337" s="260">
        <v>315</v>
      </c>
      <c r="B337" s="261"/>
      <c r="C337" s="261"/>
      <c r="D337" s="262" t="s">
        <v>15</v>
      </c>
      <c r="E337" s="262" t="s">
        <v>175</v>
      </c>
      <c r="F337" s="263" t="s">
        <v>15</v>
      </c>
      <c r="G337" s="264" t="s">
        <v>175</v>
      </c>
      <c r="H337" s="281"/>
      <c r="I337" s="265"/>
      <c r="J337" s="266" t="s">
        <v>200</v>
      </c>
      <c r="K337" s="262"/>
      <c r="L337" s="262"/>
      <c r="M337" s="262">
        <v>391</v>
      </c>
      <c r="N337" s="262" t="s">
        <v>22</v>
      </c>
      <c r="O337" s="262" t="s">
        <v>35</v>
      </c>
      <c r="P337" s="262" t="s">
        <v>57</v>
      </c>
      <c r="Q337" s="262" t="s">
        <v>18</v>
      </c>
      <c r="R337" s="262" t="s">
        <v>19</v>
      </c>
      <c r="S337" s="267" t="s">
        <v>19</v>
      </c>
      <c r="T337" s="268"/>
      <c r="U337" s="269">
        <v>193056428</v>
      </c>
      <c r="V337" s="269">
        <v>0</v>
      </c>
      <c r="W337" s="278">
        <v>0</v>
      </c>
      <c r="X337" s="270"/>
      <c r="Y337" s="262" t="s">
        <v>27</v>
      </c>
      <c r="Z337" s="271" t="s">
        <v>21</v>
      </c>
      <c r="AA337" s="287"/>
      <c r="AB337" s="287"/>
      <c r="AC337" s="272">
        <f t="shared" si="11"/>
        <v>0</v>
      </c>
      <c r="AD337" s="272">
        <v>0</v>
      </c>
      <c r="AE337" s="272">
        <f t="shared" si="12"/>
        <v>0</v>
      </c>
      <c r="AF337" s="273"/>
      <c r="AG337" s="274"/>
      <c r="AH337" s="273"/>
      <c r="AI337" s="273"/>
      <c r="AJ337" s="274"/>
      <c r="AK337" s="273"/>
      <c r="AL337" s="275"/>
      <c r="AM337" s="290"/>
      <c r="AN337" s="275"/>
      <c r="AO337" s="276"/>
      <c r="AP337" s="275"/>
      <c r="AQ337" s="275"/>
      <c r="AR337" s="275"/>
      <c r="AS337" s="275"/>
      <c r="AT337" s="275"/>
      <c r="AU337" s="275"/>
      <c r="AV337" s="275"/>
      <c r="AW337" s="275"/>
      <c r="AX337" s="275"/>
      <c r="AY337" s="275"/>
      <c r="AZ337" s="275"/>
      <c r="BA337" s="275"/>
      <c r="BB337" s="275"/>
      <c r="BC337" s="275"/>
      <c r="BD337" s="275"/>
      <c r="BE337" s="275"/>
      <c r="BF337" s="275"/>
      <c r="BH337" s="277"/>
    </row>
    <row r="338" spans="1:60" ht="16.5" hidden="1" customHeight="1" x14ac:dyDescent="0.3">
      <c r="A338" s="260">
        <v>316</v>
      </c>
      <c r="B338" s="261"/>
      <c r="C338" s="261"/>
      <c r="D338" s="262" t="s">
        <v>15</v>
      </c>
      <c r="E338" s="262" t="s">
        <v>175</v>
      </c>
      <c r="F338" s="263" t="s">
        <v>15</v>
      </c>
      <c r="G338" s="264" t="s">
        <v>175</v>
      </c>
      <c r="H338" s="281"/>
      <c r="I338" s="265"/>
      <c r="J338" s="266" t="s">
        <v>753</v>
      </c>
      <c r="K338" s="262"/>
      <c r="L338" s="262"/>
      <c r="M338" s="262">
        <v>391</v>
      </c>
      <c r="N338" s="262" t="s">
        <v>22</v>
      </c>
      <c r="O338" s="262" t="s">
        <v>56</v>
      </c>
      <c r="P338" s="262" t="s">
        <v>156</v>
      </c>
      <c r="Q338" s="262" t="s">
        <v>26</v>
      </c>
      <c r="R338" s="262" t="s">
        <v>468</v>
      </c>
      <c r="S338" s="267" t="s">
        <v>468</v>
      </c>
      <c r="T338" s="268"/>
      <c r="U338" s="269"/>
      <c r="V338" s="269">
        <v>16735872</v>
      </c>
      <c r="W338" s="278">
        <v>171341273</v>
      </c>
      <c r="X338" s="270"/>
      <c r="Y338" s="262" t="s">
        <v>27</v>
      </c>
      <c r="Z338" s="271" t="s">
        <v>74</v>
      </c>
      <c r="AA338" s="287"/>
      <c r="AB338" s="287"/>
      <c r="AC338" s="272">
        <f t="shared" si="11"/>
        <v>80000000</v>
      </c>
      <c r="AD338" s="272">
        <v>80000000</v>
      </c>
      <c r="AE338" s="272">
        <f t="shared" si="12"/>
        <v>0</v>
      </c>
      <c r="AF338" s="273"/>
      <c r="AG338" s="274"/>
      <c r="AH338" s="273"/>
      <c r="AI338" s="273"/>
      <c r="AJ338" s="274"/>
      <c r="AK338" s="273"/>
      <c r="AL338" s="275"/>
      <c r="AM338" s="290"/>
      <c r="AN338" s="275"/>
      <c r="AO338" s="276"/>
      <c r="AP338" s="275"/>
      <c r="AQ338" s="275">
        <v>20000000</v>
      </c>
      <c r="AR338" s="275"/>
      <c r="AS338" s="275">
        <v>10000000</v>
      </c>
      <c r="AT338" s="275"/>
      <c r="AU338" s="275">
        <v>30000000</v>
      </c>
      <c r="AV338" s="275"/>
      <c r="AW338" s="275">
        <v>20000000</v>
      </c>
      <c r="AX338" s="275"/>
      <c r="AY338" s="275"/>
      <c r="AZ338" s="275"/>
      <c r="BA338" s="275"/>
      <c r="BB338" s="275"/>
      <c r="BC338" s="275"/>
      <c r="BD338" s="275"/>
      <c r="BE338" s="275"/>
      <c r="BF338" s="275"/>
      <c r="BH338" s="277"/>
    </row>
    <row r="339" spans="1:60" ht="16.5" hidden="1" customHeight="1" x14ac:dyDescent="0.3">
      <c r="A339" s="260">
        <v>317</v>
      </c>
      <c r="B339" s="261"/>
      <c r="C339" s="261"/>
      <c r="D339" s="262" t="s">
        <v>15</v>
      </c>
      <c r="E339" s="262" t="s">
        <v>175</v>
      </c>
      <c r="F339" s="263" t="s">
        <v>15</v>
      </c>
      <c r="G339" s="264" t="s">
        <v>175</v>
      </c>
      <c r="H339" s="281"/>
      <c r="I339" s="265"/>
      <c r="J339" s="266" t="s">
        <v>754</v>
      </c>
      <c r="K339" s="262"/>
      <c r="L339" s="262"/>
      <c r="M339" s="262">
        <v>391</v>
      </c>
      <c r="N339" s="262" t="s">
        <v>22</v>
      </c>
      <c r="O339" s="262" t="s">
        <v>35</v>
      </c>
      <c r="P339" s="262" t="s">
        <v>156</v>
      </c>
      <c r="Q339" s="262" t="s">
        <v>26</v>
      </c>
      <c r="R339" s="262" t="s">
        <v>468</v>
      </c>
      <c r="S339" s="267" t="s">
        <v>468</v>
      </c>
      <c r="T339" s="268"/>
      <c r="U339" s="269">
        <v>0</v>
      </c>
      <c r="V339" s="269">
        <v>0</v>
      </c>
      <c r="W339" s="278">
        <v>0</v>
      </c>
      <c r="X339" s="270"/>
      <c r="Y339" s="262" t="s">
        <v>24</v>
      </c>
      <c r="Z339" s="271" t="s">
        <v>74</v>
      </c>
      <c r="AA339" s="287"/>
      <c r="AB339" s="287"/>
      <c r="AC339" s="272">
        <f t="shared" si="11"/>
        <v>70000000</v>
      </c>
      <c r="AD339" s="272">
        <v>70000000</v>
      </c>
      <c r="AE339" s="272">
        <f t="shared" si="12"/>
        <v>0</v>
      </c>
      <c r="AF339" s="273"/>
      <c r="AG339" s="274"/>
      <c r="AH339" s="273"/>
      <c r="AI339" s="273"/>
      <c r="AJ339" s="274"/>
      <c r="AK339" s="273"/>
      <c r="AL339" s="275"/>
      <c r="AM339" s="290"/>
      <c r="AN339" s="275"/>
      <c r="AO339" s="276"/>
      <c r="AP339" s="275"/>
      <c r="AQ339" s="275"/>
      <c r="AR339" s="275"/>
      <c r="AS339" s="275"/>
      <c r="AT339" s="275"/>
      <c r="AU339" s="275"/>
      <c r="AV339" s="275"/>
      <c r="AW339" s="275"/>
      <c r="AX339" s="275"/>
      <c r="AY339" s="275"/>
      <c r="AZ339" s="275"/>
      <c r="BA339" s="275">
        <v>20000000</v>
      </c>
      <c r="BB339" s="275"/>
      <c r="BC339" s="275">
        <v>20000000</v>
      </c>
      <c r="BD339" s="275"/>
      <c r="BE339" s="275">
        <v>30000000</v>
      </c>
      <c r="BF339" s="275"/>
      <c r="BH339" s="277"/>
    </row>
    <row r="340" spans="1:60" ht="16.5" hidden="1" customHeight="1" x14ac:dyDescent="0.3">
      <c r="A340" s="260">
        <v>318</v>
      </c>
      <c r="B340" s="261"/>
      <c r="C340" s="261"/>
      <c r="D340" s="262" t="s">
        <v>15</v>
      </c>
      <c r="E340" s="262" t="s">
        <v>175</v>
      </c>
      <c r="F340" s="263" t="s">
        <v>15</v>
      </c>
      <c r="G340" s="264" t="s">
        <v>175</v>
      </c>
      <c r="H340" s="281"/>
      <c r="I340" s="265"/>
      <c r="J340" s="266" t="s">
        <v>201</v>
      </c>
      <c r="K340" s="262"/>
      <c r="L340" s="262"/>
      <c r="M340" s="262">
        <v>23842</v>
      </c>
      <c r="N340" s="262" t="s">
        <v>22</v>
      </c>
      <c r="O340" s="262" t="s">
        <v>212</v>
      </c>
      <c r="P340" s="262" t="s">
        <v>57</v>
      </c>
      <c r="Q340" s="262" t="s">
        <v>18</v>
      </c>
      <c r="R340" s="262" t="s">
        <v>19</v>
      </c>
      <c r="S340" s="267" t="s">
        <v>19</v>
      </c>
      <c r="T340" s="268"/>
      <c r="U340" s="269">
        <v>2485930</v>
      </c>
      <c r="V340" s="269">
        <v>3449400</v>
      </c>
      <c r="W340" s="278">
        <v>0</v>
      </c>
      <c r="X340" s="270"/>
      <c r="Y340" s="262" t="s">
        <v>27</v>
      </c>
      <c r="Z340" s="271" t="s">
        <v>20</v>
      </c>
      <c r="AA340" s="287"/>
      <c r="AB340" s="287"/>
      <c r="AC340" s="272">
        <f t="shared" si="11"/>
        <v>0</v>
      </c>
      <c r="AD340" s="272">
        <v>0</v>
      </c>
      <c r="AE340" s="272">
        <f t="shared" si="12"/>
        <v>0</v>
      </c>
      <c r="AF340" s="273"/>
      <c r="AG340" s="274"/>
      <c r="AH340" s="273"/>
      <c r="AI340" s="273"/>
      <c r="AJ340" s="274"/>
      <c r="AK340" s="273"/>
      <c r="AL340" s="275"/>
      <c r="AM340" s="290"/>
      <c r="AN340" s="275"/>
      <c r="AO340" s="276"/>
      <c r="AP340" s="275"/>
      <c r="AQ340" s="275"/>
      <c r="AR340" s="275"/>
      <c r="AS340" s="275"/>
      <c r="AT340" s="275"/>
      <c r="AU340" s="275"/>
      <c r="AV340" s="275"/>
      <c r="AW340" s="275"/>
      <c r="AX340" s="275"/>
      <c r="AY340" s="275"/>
      <c r="AZ340" s="275"/>
      <c r="BA340" s="275"/>
      <c r="BB340" s="275"/>
      <c r="BC340" s="275"/>
      <c r="BD340" s="275"/>
      <c r="BE340" s="275"/>
      <c r="BF340" s="275"/>
      <c r="BH340" s="277"/>
    </row>
    <row r="341" spans="1:60" ht="16.5" customHeight="1" x14ac:dyDescent="0.3">
      <c r="A341" s="260">
        <v>319</v>
      </c>
      <c r="B341" s="261"/>
      <c r="C341" s="261"/>
      <c r="D341" s="262" t="s">
        <v>15</v>
      </c>
      <c r="E341" s="262" t="s">
        <v>175</v>
      </c>
      <c r="F341" s="263" t="s">
        <v>15</v>
      </c>
      <c r="G341" s="264" t="s">
        <v>175</v>
      </c>
      <c r="H341" s="281"/>
      <c r="I341" s="265"/>
      <c r="J341" s="266" t="s">
        <v>359</v>
      </c>
      <c r="K341" s="262"/>
      <c r="L341" s="262"/>
      <c r="M341" s="262">
        <v>40260</v>
      </c>
      <c r="N341" s="262" t="s">
        <v>22</v>
      </c>
      <c r="O341" s="262" t="s">
        <v>56</v>
      </c>
      <c r="P341" s="262" t="s">
        <v>124</v>
      </c>
      <c r="Q341" s="262" t="s">
        <v>44</v>
      </c>
      <c r="R341" s="262" t="s">
        <v>469</v>
      </c>
      <c r="S341" s="267" t="s">
        <v>469</v>
      </c>
      <c r="T341" s="268"/>
      <c r="U341" s="269" t="s">
        <v>154</v>
      </c>
      <c r="V341" s="269">
        <v>0</v>
      </c>
      <c r="W341" s="278">
        <v>12000000</v>
      </c>
      <c r="X341" s="270"/>
      <c r="Y341" s="262" t="s">
        <v>27</v>
      </c>
      <c r="Z341" s="271" t="s">
        <v>24</v>
      </c>
      <c r="AA341" s="287"/>
      <c r="AB341" s="287"/>
      <c r="AC341" s="272">
        <f t="shared" si="11"/>
        <v>15000000</v>
      </c>
      <c r="AD341" s="272">
        <v>15000000</v>
      </c>
      <c r="AE341" s="272">
        <f t="shared" si="12"/>
        <v>0</v>
      </c>
      <c r="AF341" s="273"/>
      <c r="AG341" s="274"/>
      <c r="AH341" s="273"/>
      <c r="AI341" s="273"/>
      <c r="AJ341" s="274"/>
      <c r="AK341" s="273"/>
      <c r="AL341" s="275"/>
      <c r="AM341" s="290"/>
      <c r="AN341" s="275"/>
      <c r="AO341" s="276"/>
      <c r="AP341" s="275"/>
      <c r="AQ341" s="291">
        <v>15000000</v>
      </c>
      <c r="AR341" s="275"/>
      <c r="AS341" s="275"/>
      <c r="AT341" s="275"/>
      <c r="AU341" s="275"/>
      <c r="AV341" s="275"/>
      <c r="AW341" s="275"/>
      <c r="AX341" s="275"/>
      <c r="AY341" s="275"/>
      <c r="AZ341" s="275"/>
      <c r="BA341" s="275"/>
      <c r="BB341" s="275"/>
      <c r="BC341" s="275"/>
      <c r="BD341" s="275"/>
      <c r="BE341" s="275"/>
      <c r="BF341" s="275"/>
      <c r="BH341" s="277"/>
    </row>
    <row r="342" spans="1:60" ht="16.5" hidden="1" customHeight="1" x14ac:dyDescent="0.3">
      <c r="A342" s="260">
        <v>320</v>
      </c>
      <c r="B342" s="261"/>
      <c r="C342" s="261"/>
      <c r="D342" s="262" t="s">
        <v>15</v>
      </c>
      <c r="E342" s="262" t="s">
        <v>175</v>
      </c>
      <c r="F342" s="263" t="s">
        <v>15</v>
      </c>
      <c r="G342" s="264" t="s">
        <v>175</v>
      </c>
      <c r="H342" s="281"/>
      <c r="I342" s="265"/>
      <c r="J342" s="266" t="s">
        <v>359</v>
      </c>
      <c r="K342" s="262"/>
      <c r="L342" s="262"/>
      <c r="M342" s="262">
        <v>40260</v>
      </c>
      <c r="N342" s="262" t="s">
        <v>22</v>
      </c>
      <c r="O342" s="262" t="s">
        <v>56</v>
      </c>
      <c r="P342" s="262"/>
      <c r="Q342" s="262" t="s">
        <v>23</v>
      </c>
      <c r="R342" s="262" t="s">
        <v>397</v>
      </c>
      <c r="S342" s="267" t="s">
        <v>823</v>
      </c>
      <c r="T342" s="268"/>
      <c r="U342" s="269">
        <v>75500000</v>
      </c>
      <c r="V342" s="269">
        <v>25400000</v>
      </c>
      <c r="W342" s="278">
        <v>0</v>
      </c>
      <c r="X342" s="270"/>
      <c r="Y342" s="262" t="s">
        <v>20</v>
      </c>
      <c r="Z342" s="271" t="s">
        <v>20</v>
      </c>
      <c r="AA342" s="287"/>
      <c r="AB342" s="287"/>
      <c r="AC342" s="272">
        <f t="shared" si="11"/>
        <v>0</v>
      </c>
      <c r="AD342" s="272">
        <v>0</v>
      </c>
      <c r="AE342" s="272">
        <f t="shared" si="12"/>
        <v>0</v>
      </c>
      <c r="AF342" s="273"/>
      <c r="AG342" s="274"/>
      <c r="AH342" s="273"/>
      <c r="AI342" s="273"/>
      <c r="AJ342" s="274"/>
      <c r="AK342" s="273"/>
      <c r="AL342" s="275"/>
      <c r="AM342" s="290"/>
      <c r="AN342" s="275"/>
      <c r="AO342" s="276"/>
      <c r="AP342" s="275"/>
      <c r="AQ342" s="275"/>
      <c r="AR342" s="275"/>
      <c r="AS342" s="275"/>
      <c r="AT342" s="275"/>
      <c r="AU342" s="275"/>
      <c r="AV342" s="275"/>
      <c r="AW342" s="275"/>
      <c r="AX342" s="275"/>
      <c r="AY342" s="275"/>
      <c r="AZ342" s="275"/>
      <c r="BA342" s="275"/>
      <c r="BB342" s="275"/>
      <c r="BC342" s="275"/>
      <c r="BD342" s="275"/>
      <c r="BE342" s="275"/>
      <c r="BF342" s="275"/>
      <c r="BH342" s="277"/>
    </row>
    <row r="343" spans="1:60" ht="16.5" hidden="1" customHeight="1" x14ac:dyDescent="0.3">
      <c r="A343" s="260">
        <v>321</v>
      </c>
      <c r="B343" s="261"/>
      <c r="C343" s="261"/>
      <c r="D343" s="262"/>
      <c r="E343" s="262"/>
      <c r="F343" s="263" t="s">
        <v>15</v>
      </c>
      <c r="G343" s="264" t="s">
        <v>175</v>
      </c>
      <c r="H343" s="281"/>
      <c r="I343" s="265"/>
      <c r="J343" s="266" t="s">
        <v>361</v>
      </c>
      <c r="K343" s="262"/>
      <c r="L343" s="262"/>
      <c r="M343" s="262">
        <v>23546</v>
      </c>
      <c r="N343" s="262"/>
      <c r="O343" s="262"/>
      <c r="P343" s="262"/>
      <c r="Q343" s="262"/>
      <c r="R343" s="262"/>
      <c r="S343" s="267" t="s">
        <v>19</v>
      </c>
      <c r="T343" s="268"/>
      <c r="U343" s="269"/>
      <c r="V343" s="269"/>
      <c r="W343" s="278">
        <v>8091000</v>
      </c>
      <c r="X343" s="270">
        <v>7713500</v>
      </c>
      <c r="Y343" s="262"/>
      <c r="Z343" s="271" t="s">
        <v>718</v>
      </c>
      <c r="AA343" s="287"/>
      <c r="AB343" s="287"/>
      <c r="AC343" s="272">
        <f t="shared" ref="AC343:AC406" si="13">AG343+AJ343+AM343+AO343+AQ343+AS343+AU343+AW343+AY343+BA343+BC343+BE343</f>
        <v>0</v>
      </c>
      <c r="AD343" s="272">
        <v>0</v>
      </c>
      <c r="AE343" s="272">
        <f t="shared" ref="AE343:AE406" si="14">AC343-AD343</f>
        <v>0</v>
      </c>
      <c r="AF343" s="273"/>
      <c r="AG343" s="274"/>
      <c r="AH343" s="273"/>
      <c r="AI343" s="273"/>
      <c r="AJ343" s="274"/>
      <c r="AK343" s="273"/>
      <c r="AL343" s="275"/>
      <c r="AM343" s="290"/>
      <c r="AN343" s="275"/>
      <c r="AO343" s="276"/>
      <c r="AP343" s="275"/>
      <c r="AQ343" s="275"/>
      <c r="AR343" s="275"/>
      <c r="AS343" s="275"/>
      <c r="AT343" s="275"/>
      <c r="AU343" s="275"/>
      <c r="AV343" s="275"/>
      <c r="AW343" s="275"/>
      <c r="AX343" s="275"/>
      <c r="AY343" s="275"/>
      <c r="AZ343" s="275"/>
      <c r="BA343" s="275"/>
      <c r="BB343" s="275"/>
      <c r="BC343" s="275"/>
      <c r="BD343" s="275"/>
      <c r="BE343" s="275"/>
      <c r="BF343" s="275"/>
      <c r="BH343" s="277"/>
    </row>
    <row r="344" spans="1:60" ht="16.5" customHeight="1" x14ac:dyDescent="0.3">
      <c r="A344" s="260">
        <v>322</v>
      </c>
      <c r="B344" s="261"/>
      <c r="C344" s="261"/>
      <c r="D344" s="262" t="s">
        <v>15</v>
      </c>
      <c r="E344" s="262" t="s">
        <v>175</v>
      </c>
      <c r="F344" s="263" t="s">
        <v>15</v>
      </c>
      <c r="G344" s="264" t="s">
        <v>175</v>
      </c>
      <c r="H344" s="281"/>
      <c r="I344" s="265"/>
      <c r="J344" s="266" t="s">
        <v>361</v>
      </c>
      <c r="K344" s="262"/>
      <c r="L344" s="262"/>
      <c r="M344" s="262">
        <v>23546</v>
      </c>
      <c r="N344" s="262" t="s">
        <v>22</v>
      </c>
      <c r="O344" s="262" t="s">
        <v>56</v>
      </c>
      <c r="P344" s="262" t="s">
        <v>57</v>
      </c>
      <c r="Q344" s="262" t="s">
        <v>18</v>
      </c>
      <c r="R344" s="262" t="s">
        <v>19</v>
      </c>
      <c r="S344" s="267" t="s">
        <v>31</v>
      </c>
      <c r="T344" s="268"/>
      <c r="U344" s="269">
        <v>7333500</v>
      </c>
      <c r="V344" s="269">
        <v>16142900</v>
      </c>
      <c r="W344" s="278">
        <v>0</v>
      </c>
      <c r="X344" s="270"/>
      <c r="Y344" s="262" t="s">
        <v>27</v>
      </c>
      <c r="Z344" s="271" t="s">
        <v>27</v>
      </c>
      <c r="AA344" s="287"/>
      <c r="AB344" s="287"/>
      <c r="AC344" s="272">
        <f t="shared" si="13"/>
        <v>3045000</v>
      </c>
      <c r="AD344" s="272">
        <v>3045000</v>
      </c>
      <c r="AE344" s="272">
        <f t="shared" si="14"/>
        <v>0</v>
      </c>
      <c r="AF344" s="273"/>
      <c r="AG344" s="274"/>
      <c r="AH344" s="273"/>
      <c r="AI344" s="273"/>
      <c r="AJ344" s="274"/>
      <c r="AK344" s="273"/>
      <c r="AL344" s="275">
        <v>722500</v>
      </c>
      <c r="AM344" s="290">
        <v>345000</v>
      </c>
      <c r="AN344" s="275"/>
      <c r="AO344" s="276"/>
      <c r="AP344" s="275"/>
      <c r="AQ344" s="275"/>
      <c r="AR344" s="275"/>
      <c r="AS344" s="275"/>
      <c r="AT344" s="275"/>
      <c r="AU344" s="275"/>
      <c r="AV344" s="275"/>
      <c r="AW344" s="275"/>
      <c r="AX344" s="275"/>
      <c r="AY344" s="275"/>
      <c r="AZ344" s="275"/>
      <c r="BA344" s="275"/>
      <c r="BB344" s="275"/>
      <c r="BC344" s="275">
        <v>2700000</v>
      </c>
      <c r="BD344" s="275"/>
      <c r="BE344" s="275"/>
      <c r="BF344" s="275"/>
      <c r="BH344" s="277"/>
    </row>
    <row r="345" spans="1:60" ht="16.5" hidden="1" customHeight="1" x14ac:dyDescent="0.3">
      <c r="A345" s="260">
        <v>323</v>
      </c>
      <c r="B345" s="261"/>
      <c r="C345" s="261"/>
      <c r="D345" s="262" t="s">
        <v>15</v>
      </c>
      <c r="E345" s="262" t="s">
        <v>175</v>
      </c>
      <c r="F345" s="263" t="s">
        <v>15</v>
      </c>
      <c r="G345" s="264" t="s">
        <v>175</v>
      </c>
      <c r="H345" s="281"/>
      <c r="I345" s="265"/>
      <c r="J345" s="266" t="s">
        <v>755</v>
      </c>
      <c r="K345" s="262"/>
      <c r="L345" s="262"/>
      <c r="M345" s="262">
        <v>39970</v>
      </c>
      <c r="N345" s="262"/>
      <c r="O345" s="262"/>
      <c r="P345" s="262"/>
      <c r="Q345" s="262"/>
      <c r="R345" s="262" t="s">
        <v>19</v>
      </c>
      <c r="S345" s="267" t="s">
        <v>19</v>
      </c>
      <c r="T345" s="268"/>
      <c r="U345" s="269"/>
      <c r="V345" s="269"/>
      <c r="W345" s="278">
        <v>600000</v>
      </c>
      <c r="X345" s="270"/>
      <c r="Y345" s="262" t="s">
        <v>27</v>
      </c>
      <c r="Z345" s="271" t="s">
        <v>718</v>
      </c>
      <c r="AA345" s="287"/>
      <c r="AB345" s="287"/>
      <c r="AC345" s="272">
        <f t="shared" si="13"/>
        <v>0</v>
      </c>
      <c r="AD345" s="272">
        <v>0</v>
      </c>
      <c r="AE345" s="272">
        <f t="shared" si="14"/>
        <v>0</v>
      </c>
      <c r="AF345" s="273"/>
      <c r="AG345" s="274"/>
      <c r="AH345" s="273"/>
      <c r="AI345" s="273"/>
      <c r="AJ345" s="274"/>
      <c r="AK345" s="273"/>
      <c r="AL345" s="275"/>
      <c r="AM345" s="290"/>
      <c r="AN345" s="275"/>
      <c r="AO345" s="276"/>
      <c r="AP345" s="275"/>
      <c r="AQ345" s="275"/>
      <c r="AR345" s="275"/>
      <c r="AS345" s="275"/>
      <c r="AT345" s="275"/>
      <c r="AU345" s="275"/>
      <c r="AV345" s="275"/>
      <c r="AW345" s="275"/>
      <c r="AX345" s="275"/>
      <c r="AY345" s="275"/>
      <c r="AZ345" s="275"/>
      <c r="BA345" s="275"/>
      <c r="BB345" s="275"/>
      <c r="BC345" s="275"/>
      <c r="BD345" s="275"/>
      <c r="BE345" s="275"/>
      <c r="BF345" s="275"/>
      <c r="BH345" s="277"/>
    </row>
    <row r="346" spans="1:60" ht="16.5" customHeight="1" x14ac:dyDescent="0.3">
      <c r="A346" s="260">
        <v>324</v>
      </c>
      <c r="B346" s="261"/>
      <c r="C346" s="261"/>
      <c r="D346" s="262" t="s">
        <v>15</v>
      </c>
      <c r="E346" s="262" t="s">
        <v>175</v>
      </c>
      <c r="F346" s="263" t="s">
        <v>15</v>
      </c>
      <c r="G346" s="264" t="s">
        <v>175</v>
      </c>
      <c r="H346" s="281"/>
      <c r="I346" s="265"/>
      <c r="J346" s="266" t="s">
        <v>755</v>
      </c>
      <c r="K346" s="262"/>
      <c r="L346" s="262"/>
      <c r="M346" s="262">
        <v>39970</v>
      </c>
      <c r="N346" s="262" t="s">
        <v>53</v>
      </c>
      <c r="O346" s="262" t="s">
        <v>35</v>
      </c>
      <c r="P346" s="262" t="s">
        <v>156</v>
      </c>
      <c r="Q346" s="262"/>
      <c r="R346" s="262"/>
      <c r="S346" s="267" t="s">
        <v>31</v>
      </c>
      <c r="T346" s="268"/>
      <c r="U346" s="269">
        <v>0</v>
      </c>
      <c r="V346" s="269">
        <v>0</v>
      </c>
      <c r="W346" s="278">
        <v>0</v>
      </c>
      <c r="X346" s="270"/>
      <c r="Y346" s="262" t="s">
        <v>599</v>
      </c>
      <c r="Z346" s="271" t="s">
        <v>25</v>
      </c>
      <c r="AA346" s="287"/>
      <c r="AB346" s="287"/>
      <c r="AC346" s="272">
        <f t="shared" si="13"/>
        <v>5000000</v>
      </c>
      <c r="AD346" s="272">
        <v>5000000</v>
      </c>
      <c r="AE346" s="272">
        <f t="shared" si="14"/>
        <v>0</v>
      </c>
      <c r="AF346" s="273"/>
      <c r="AG346" s="274"/>
      <c r="AH346" s="273"/>
      <c r="AI346" s="273"/>
      <c r="AJ346" s="274"/>
      <c r="AK346" s="273"/>
      <c r="AL346" s="275"/>
      <c r="AM346" s="290"/>
      <c r="AN346" s="275"/>
      <c r="AO346" s="276"/>
      <c r="AP346" s="275"/>
      <c r="AQ346" s="275"/>
      <c r="AR346" s="275"/>
      <c r="AS346" s="275"/>
      <c r="AT346" s="275"/>
      <c r="AU346" s="275"/>
      <c r="AV346" s="275"/>
      <c r="AW346" s="275"/>
      <c r="AX346" s="275"/>
      <c r="AY346" s="275"/>
      <c r="AZ346" s="275"/>
      <c r="BA346" s="275">
        <v>5000000</v>
      </c>
      <c r="BB346" s="275"/>
      <c r="BC346" s="275"/>
      <c r="BD346" s="275"/>
      <c r="BE346" s="275"/>
      <c r="BF346" s="275"/>
      <c r="BH346" s="277"/>
    </row>
    <row r="347" spans="1:60" ht="16.5" customHeight="1" x14ac:dyDescent="0.3">
      <c r="A347" s="260">
        <v>325</v>
      </c>
      <c r="B347" s="261"/>
      <c r="C347" s="261"/>
      <c r="D347" s="262" t="s">
        <v>15</v>
      </c>
      <c r="E347" s="262" t="s">
        <v>175</v>
      </c>
      <c r="F347" s="263" t="s">
        <v>15</v>
      </c>
      <c r="G347" s="264" t="s">
        <v>175</v>
      </c>
      <c r="H347" s="281"/>
      <c r="I347" s="265"/>
      <c r="J347" s="266" t="s">
        <v>362</v>
      </c>
      <c r="K347" s="262"/>
      <c r="L347" s="262"/>
      <c r="M347" s="262">
        <v>448</v>
      </c>
      <c r="N347" s="262" t="s">
        <v>53</v>
      </c>
      <c r="O347" s="262" t="s">
        <v>212</v>
      </c>
      <c r="P347" s="262" t="s">
        <v>57</v>
      </c>
      <c r="Q347" s="262" t="s">
        <v>18</v>
      </c>
      <c r="R347" s="262" t="s">
        <v>28</v>
      </c>
      <c r="S347" s="267" t="s">
        <v>28</v>
      </c>
      <c r="T347" s="268"/>
      <c r="U347" s="269">
        <v>87171200</v>
      </c>
      <c r="V347" s="269">
        <v>86209000</v>
      </c>
      <c r="W347" s="278">
        <v>71244400</v>
      </c>
      <c r="X347" s="270"/>
      <c r="Y347" s="262" t="s">
        <v>27</v>
      </c>
      <c r="Z347" s="271" t="s">
        <v>27</v>
      </c>
      <c r="AA347" s="287"/>
      <c r="AB347" s="287"/>
      <c r="AC347" s="272">
        <f t="shared" si="13"/>
        <v>70000000</v>
      </c>
      <c r="AD347" s="272">
        <v>70000000</v>
      </c>
      <c r="AE347" s="272">
        <f t="shared" si="14"/>
        <v>0</v>
      </c>
      <c r="AF347" s="273"/>
      <c r="AG347" s="274"/>
      <c r="AH347" s="273"/>
      <c r="AI347" s="273"/>
      <c r="AJ347" s="274"/>
      <c r="AK347" s="273"/>
      <c r="AL347" s="275"/>
      <c r="AM347" s="290"/>
      <c r="AN347" s="275"/>
      <c r="AO347" s="276"/>
      <c r="AP347" s="275"/>
      <c r="AQ347" s="275"/>
      <c r="AR347" s="275"/>
      <c r="AS347" s="275">
        <v>35000000</v>
      </c>
      <c r="AT347" s="275"/>
      <c r="AU347" s="275"/>
      <c r="AV347" s="275"/>
      <c r="AW347" s="275"/>
      <c r="AX347" s="275"/>
      <c r="AY347" s="275"/>
      <c r="AZ347" s="275"/>
      <c r="BA347" s="275"/>
      <c r="BB347" s="275"/>
      <c r="BC347" s="275">
        <v>35000000</v>
      </c>
      <c r="BD347" s="275"/>
      <c r="BE347" s="275"/>
      <c r="BF347" s="275"/>
      <c r="BH347" s="277"/>
    </row>
    <row r="348" spans="1:60" ht="16.5" customHeight="1" x14ac:dyDescent="0.3">
      <c r="A348" s="260">
        <v>326</v>
      </c>
      <c r="B348" s="261"/>
      <c r="C348" s="261"/>
      <c r="D348" s="262" t="s">
        <v>15</v>
      </c>
      <c r="E348" s="262" t="s">
        <v>175</v>
      </c>
      <c r="F348" s="263" t="s">
        <v>15</v>
      </c>
      <c r="G348" s="264" t="s">
        <v>175</v>
      </c>
      <c r="H348" s="281"/>
      <c r="I348" s="265"/>
      <c r="J348" s="266" t="s">
        <v>363</v>
      </c>
      <c r="K348" s="262"/>
      <c r="L348" s="262"/>
      <c r="M348" s="262">
        <v>3716</v>
      </c>
      <c r="N348" s="262" t="s">
        <v>22</v>
      </c>
      <c r="O348" s="262" t="s">
        <v>56</v>
      </c>
      <c r="P348" s="262" t="s">
        <v>57</v>
      </c>
      <c r="Q348" s="262" t="s">
        <v>63</v>
      </c>
      <c r="R348" s="262" t="s">
        <v>28</v>
      </c>
      <c r="S348" s="267" t="s">
        <v>28</v>
      </c>
      <c r="T348" s="268"/>
      <c r="U348" s="269">
        <v>143250000</v>
      </c>
      <c r="V348" s="269">
        <v>150884000</v>
      </c>
      <c r="W348" s="278">
        <v>128423000</v>
      </c>
      <c r="X348" s="270"/>
      <c r="Y348" s="262" t="s">
        <v>24</v>
      </c>
      <c r="Z348" s="271" t="s">
        <v>24</v>
      </c>
      <c r="AA348" s="287"/>
      <c r="AB348" s="287"/>
      <c r="AC348" s="272">
        <f t="shared" si="13"/>
        <v>150000000</v>
      </c>
      <c r="AD348" s="272">
        <v>150000000</v>
      </c>
      <c r="AE348" s="272">
        <f t="shared" si="14"/>
        <v>0</v>
      </c>
      <c r="AF348" s="273"/>
      <c r="AG348" s="274"/>
      <c r="AH348" s="273"/>
      <c r="AI348" s="273"/>
      <c r="AJ348" s="274"/>
      <c r="AK348" s="273"/>
      <c r="AL348" s="275"/>
      <c r="AM348" s="290"/>
      <c r="AN348" s="275"/>
      <c r="AO348" s="276"/>
      <c r="AP348" s="275"/>
      <c r="AQ348" s="275"/>
      <c r="AR348" s="275"/>
      <c r="AS348" s="275"/>
      <c r="AT348" s="275"/>
      <c r="AU348" s="275"/>
      <c r="AV348" s="275"/>
      <c r="AW348" s="275"/>
      <c r="AX348" s="275"/>
      <c r="AY348" s="275"/>
      <c r="AZ348" s="275"/>
      <c r="BA348" s="275">
        <v>150000000</v>
      </c>
      <c r="BB348" s="275"/>
      <c r="BC348" s="275"/>
      <c r="BD348" s="275"/>
      <c r="BE348" s="275"/>
      <c r="BF348" s="275"/>
      <c r="BH348" s="277"/>
    </row>
    <row r="349" spans="1:60" ht="16.5" hidden="1" customHeight="1" x14ac:dyDescent="0.3">
      <c r="A349" s="260">
        <v>327</v>
      </c>
      <c r="B349" s="261"/>
      <c r="C349" s="261"/>
      <c r="D349" s="262" t="s">
        <v>15</v>
      </c>
      <c r="E349" s="262" t="s">
        <v>175</v>
      </c>
      <c r="F349" s="263" t="s">
        <v>15</v>
      </c>
      <c r="G349" s="264" t="s">
        <v>175</v>
      </c>
      <c r="H349" s="281"/>
      <c r="I349" s="265"/>
      <c r="J349" s="266" t="s">
        <v>363</v>
      </c>
      <c r="K349" s="262"/>
      <c r="L349" s="262"/>
      <c r="M349" s="262">
        <v>3716</v>
      </c>
      <c r="N349" s="262" t="s">
        <v>22</v>
      </c>
      <c r="O349" s="262" t="s">
        <v>56</v>
      </c>
      <c r="P349" s="262" t="s">
        <v>57</v>
      </c>
      <c r="Q349" s="262" t="s">
        <v>63</v>
      </c>
      <c r="R349" s="262" t="s">
        <v>31</v>
      </c>
      <c r="S349" s="267" t="s">
        <v>31</v>
      </c>
      <c r="T349" s="268"/>
      <c r="U349" s="269"/>
      <c r="V349" s="269">
        <v>0</v>
      </c>
      <c r="W349" s="278">
        <v>6858000</v>
      </c>
      <c r="X349" s="270"/>
      <c r="Y349" s="262" t="s">
        <v>20</v>
      </c>
      <c r="Z349" s="271" t="s">
        <v>718</v>
      </c>
      <c r="AA349" s="287"/>
      <c r="AB349" s="287"/>
      <c r="AC349" s="272">
        <f t="shared" si="13"/>
        <v>0</v>
      </c>
      <c r="AD349" s="272">
        <v>0</v>
      </c>
      <c r="AE349" s="272">
        <f t="shared" si="14"/>
        <v>0</v>
      </c>
      <c r="AF349" s="273"/>
      <c r="AG349" s="274"/>
      <c r="AH349" s="273"/>
      <c r="AI349" s="273"/>
      <c r="AJ349" s="274"/>
      <c r="AK349" s="273"/>
      <c r="AL349" s="275"/>
      <c r="AM349" s="290"/>
      <c r="AN349" s="275"/>
      <c r="AO349" s="276"/>
      <c r="AP349" s="275"/>
      <c r="AQ349" s="275"/>
      <c r="AR349" s="275"/>
      <c r="AS349" s="275"/>
      <c r="AT349" s="275"/>
      <c r="AU349" s="275"/>
      <c r="AV349" s="275"/>
      <c r="AW349" s="275"/>
      <c r="AX349" s="275"/>
      <c r="AY349" s="275"/>
      <c r="AZ349" s="275"/>
      <c r="BA349" s="275"/>
      <c r="BB349" s="275"/>
      <c r="BC349" s="275"/>
      <c r="BD349" s="275"/>
      <c r="BE349" s="275"/>
      <c r="BF349" s="275"/>
      <c r="BH349" s="277"/>
    </row>
    <row r="350" spans="1:60" ht="16.5" hidden="1" customHeight="1" x14ac:dyDescent="0.3">
      <c r="A350" s="260">
        <v>328</v>
      </c>
      <c r="B350" s="261"/>
      <c r="C350" s="261"/>
      <c r="D350" s="262"/>
      <c r="E350" s="262"/>
      <c r="F350" s="263" t="s">
        <v>15</v>
      </c>
      <c r="G350" s="264" t="s">
        <v>364</v>
      </c>
      <c r="H350" s="281"/>
      <c r="I350" s="265"/>
      <c r="J350" s="266" t="s">
        <v>962</v>
      </c>
      <c r="K350" s="262"/>
      <c r="L350" s="262"/>
      <c r="M350" s="262">
        <v>13041</v>
      </c>
      <c r="N350" s="262"/>
      <c r="O350" s="262"/>
      <c r="P350" s="262"/>
      <c r="Q350" s="262"/>
      <c r="R350" s="262" t="s">
        <v>31</v>
      </c>
      <c r="S350" s="267" t="s">
        <v>31</v>
      </c>
      <c r="T350" s="268"/>
      <c r="U350" s="269"/>
      <c r="V350" s="269"/>
      <c r="W350" s="278">
        <v>0</v>
      </c>
      <c r="X350" s="270"/>
      <c r="Y350" s="262" t="s">
        <v>718</v>
      </c>
      <c r="Z350" s="271" t="s">
        <v>27</v>
      </c>
      <c r="AA350" s="287"/>
      <c r="AB350" s="287"/>
      <c r="AC350" s="272">
        <f t="shared" si="13"/>
        <v>-126000</v>
      </c>
      <c r="AD350" s="272">
        <v>-126000</v>
      </c>
      <c r="AE350" s="272">
        <f t="shared" si="14"/>
        <v>0</v>
      </c>
      <c r="AF350" s="273">
        <v>2615000</v>
      </c>
      <c r="AG350" s="274">
        <v>-126000</v>
      </c>
      <c r="AH350" s="273"/>
      <c r="AI350" s="273"/>
      <c r="AJ350" s="274"/>
      <c r="AK350" s="273"/>
      <c r="AL350" s="275"/>
      <c r="AM350" s="290"/>
      <c r="AN350" s="275"/>
      <c r="AO350" s="276"/>
      <c r="AP350" s="275"/>
      <c r="AQ350" s="275"/>
      <c r="AR350" s="275"/>
      <c r="AS350" s="275"/>
      <c r="AT350" s="275"/>
      <c r="AU350" s="275"/>
      <c r="AV350" s="275"/>
      <c r="AW350" s="275"/>
      <c r="AX350" s="275"/>
      <c r="AY350" s="275"/>
      <c r="AZ350" s="275"/>
      <c r="BA350" s="275"/>
      <c r="BB350" s="275"/>
      <c r="BC350" s="275"/>
      <c r="BD350" s="275"/>
      <c r="BE350" s="275"/>
      <c r="BF350" s="275"/>
      <c r="BH350" s="277"/>
    </row>
    <row r="351" spans="1:60" ht="16.5" hidden="1" customHeight="1" x14ac:dyDescent="0.3">
      <c r="A351" s="260">
        <v>329</v>
      </c>
      <c r="B351" s="261"/>
      <c r="C351" s="261"/>
      <c r="D351" s="262" t="s">
        <v>15</v>
      </c>
      <c r="E351" s="262" t="s">
        <v>364</v>
      </c>
      <c r="F351" s="263" t="s">
        <v>15</v>
      </c>
      <c r="G351" s="264" t="s">
        <v>364</v>
      </c>
      <c r="H351" s="281"/>
      <c r="I351" s="265"/>
      <c r="J351" s="266" t="s">
        <v>365</v>
      </c>
      <c r="K351" s="262"/>
      <c r="L351" s="262"/>
      <c r="M351" s="262">
        <v>40926</v>
      </c>
      <c r="N351" s="262" t="s">
        <v>32</v>
      </c>
      <c r="O351" s="262" t="s">
        <v>35</v>
      </c>
      <c r="P351" s="262" t="s">
        <v>124</v>
      </c>
      <c r="Q351" s="262" t="s">
        <v>44</v>
      </c>
      <c r="R351" s="262" t="s">
        <v>469</v>
      </c>
      <c r="S351" s="267" t="s">
        <v>469</v>
      </c>
      <c r="T351" s="268"/>
      <c r="U351" s="269">
        <v>102727273</v>
      </c>
      <c r="V351" s="269">
        <v>0</v>
      </c>
      <c r="W351" s="278">
        <v>0</v>
      </c>
      <c r="X351" s="270"/>
      <c r="Y351" s="262" t="s">
        <v>21</v>
      </c>
      <c r="Z351" s="271" t="s">
        <v>25</v>
      </c>
      <c r="AA351" s="287"/>
      <c r="AB351" s="287"/>
      <c r="AC351" s="272">
        <f t="shared" si="13"/>
        <v>40000000</v>
      </c>
      <c r="AD351" s="272">
        <v>40000000</v>
      </c>
      <c r="AE351" s="272">
        <f t="shared" si="14"/>
        <v>0</v>
      </c>
      <c r="AF351" s="273"/>
      <c r="AG351" s="274"/>
      <c r="AH351" s="273"/>
      <c r="AI351" s="273"/>
      <c r="AJ351" s="274"/>
      <c r="AK351" s="273"/>
      <c r="AL351" s="275"/>
      <c r="AM351" s="290"/>
      <c r="AN351" s="275"/>
      <c r="AO351" s="276"/>
      <c r="AP351" s="275"/>
      <c r="AQ351" s="291">
        <v>40000000</v>
      </c>
      <c r="AR351" s="275"/>
      <c r="AS351" s="275"/>
      <c r="AT351" s="275"/>
      <c r="AU351" s="275"/>
      <c r="AV351" s="275"/>
      <c r="AW351" s="275"/>
      <c r="AX351" s="275"/>
      <c r="AY351" s="275"/>
      <c r="AZ351" s="275"/>
      <c r="BA351" s="275"/>
      <c r="BB351" s="275"/>
      <c r="BC351" s="275"/>
      <c r="BD351" s="275"/>
      <c r="BE351" s="275"/>
      <c r="BF351" s="275"/>
      <c r="BH351" s="277"/>
    </row>
    <row r="352" spans="1:60" ht="16.5" hidden="1" customHeight="1" x14ac:dyDescent="0.3">
      <c r="A352" s="260">
        <v>330</v>
      </c>
      <c r="B352" s="261"/>
      <c r="C352" s="261"/>
      <c r="D352" s="262"/>
      <c r="E352" s="262"/>
      <c r="F352" s="263" t="s">
        <v>15</v>
      </c>
      <c r="G352" s="264" t="s">
        <v>364</v>
      </c>
      <c r="H352" s="281"/>
      <c r="I352" s="265"/>
      <c r="J352" s="266" t="s">
        <v>366</v>
      </c>
      <c r="K352" s="262"/>
      <c r="L352" s="262"/>
      <c r="M352" s="262">
        <v>13764</v>
      </c>
      <c r="N352" s="262"/>
      <c r="O352" s="262"/>
      <c r="P352" s="262"/>
      <c r="Q352" s="262"/>
      <c r="R352" s="262"/>
      <c r="S352" s="267" t="s">
        <v>469</v>
      </c>
      <c r="T352" s="268"/>
      <c r="U352" s="269"/>
      <c r="V352" s="269"/>
      <c r="W352" s="278">
        <v>12370000</v>
      </c>
      <c r="X352" s="270"/>
      <c r="Y352" s="262"/>
      <c r="Z352" s="271" t="s">
        <v>718</v>
      </c>
      <c r="AA352" s="287"/>
      <c r="AB352" s="287"/>
      <c r="AC352" s="272">
        <f t="shared" si="13"/>
        <v>0</v>
      </c>
      <c r="AD352" s="272">
        <v>0</v>
      </c>
      <c r="AE352" s="272">
        <f t="shared" si="14"/>
        <v>0</v>
      </c>
      <c r="AF352" s="273"/>
      <c r="AG352" s="274"/>
      <c r="AH352" s="273"/>
      <c r="AI352" s="273"/>
      <c r="AJ352" s="274"/>
      <c r="AK352" s="273"/>
      <c r="AL352" s="275"/>
      <c r="AM352" s="290"/>
      <c r="AN352" s="275"/>
      <c r="AO352" s="276"/>
      <c r="AP352" s="275"/>
      <c r="AQ352" s="275"/>
      <c r="AR352" s="275"/>
      <c r="AS352" s="275"/>
      <c r="AT352" s="275"/>
      <c r="AU352" s="275"/>
      <c r="AV352" s="275"/>
      <c r="AW352" s="275"/>
      <c r="AX352" s="275"/>
      <c r="AY352" s="275"/>
      <c r="AZ352" s="275"/>
      <c r="BA352" s="275"/>
      <c r="BB352" s="275"/>
      <c r="BC352" s="275"/>
      <c r="BD352" s="275"/>
      <c r="BE352" s="275"/>
      <c r="BF352" s="275"/>
      <c r="BH352" s="277"/>
    </row>
    <row r="353" spans="1:60" ht="16.5" hidden="1" customHeight="1" x14ac:dyDescent="0.3">
      <c r="A353" s="260">
        <v>331</v>
      </c>
      <c r="B353" s="261"/>
      <c r="C353" s="261"/>
      <c r="D353" s="262" t="s">
        <v>15</v>
      </c>
      <c r="E353" s="262" t="s">
        <v>364</v>
      </c>
      <c r="F353" s="263" t="s">
        <v>15</v>
      </c>
      <c r="G353" s="264" t="s">
        <v>364</v>
      </c>
      <c r="H353" s="281"/>
      <c r="I353" s="265"/>
      <c r="J353" s="266" t="s">
        <v>366</v>
      </c>
      <c r="K353" s="262"/>
      <c r="L353" s="262"/>
      <c r="M353" s="262">
        <v>13764</v>
      </c>
      <c r="N353" s="262" t="s">
        <v>32</v>
      </c>
      <c r="O353" s="262" t="s">
        <v>35</v>
      </c>
      <c r="P353" s="262" t="s">
        <v>57</v>
      </c>
      <c r="Q353" s="262" t="s">
        <v>23</v>
      </c>
      <c r="R353" s="262" t="s">
        <v>397</v>
      </c>
      <c r="S353" s="267" t="s">
        <v>823</v>
      </c>
      <c r="T353" s="268"/>
      <c r="U353" s="269">
        <v>9328400</v>
      </c>
      <c r="V353" s="269">
        <v>0</v>
      </c>
      <c r="W353" s="278">
        <v>0</v>
      </c>
      <c r="X353" s="270"/>
      <c r="Y353" s="262" t="s">
        <v>24</v>
      </c>
      <c r="Z353" s="271" t="s">
        <v>24</v>
      </c>
      <c r="AA353" s="287"/>
      <c r="AB353" s="287"/>
      <c r="AC353" s="272">
        <f t="shared" si="13"/>
        <v>20000000</v>
      </c>
      <c r="AD353" s="272">
        <v>20000000</v>
      </c>
      <c r="AE353" s="272">
        <f t="shared" si="14"/>
        <v>0</v>
      </c>
      <c r="AF353" s="273"/>
      <c r="AG353" s="274"/>
      <c r="AH353" s="273"/>
      <c r="AI353" s="273"/>
      <c r="AJ353" s="274"/>
      <c r="AK353" s="273"/>
      <c r="AL353" s="275"/>
      <c r="AM353" s="290"/>
      <c r="AN353" s="275"/>
      <c r="AO353" s="276"/>
      <c r="AP353" s="275"/>
      <c r="AQ353" s="291">
        <v>20000000</v>
      </c>
      <c r="AR353" s="275"/>
      <c r="AS353" s="275"/>
      <c r="AT353" s="275"/>
      <c r="AU353" s="275"/>
      <c r="AV353" s="275"/>
      <c r="AW353" s="275"/>
      <c r="AX353" s="275"/>
      <c r="AY353" s="275"/>
      <c r="AZ353" s="275"/>
      <c r="BA353" s="275"/>
      <c r="BB353" s="275"/>
      <c r="BC353" s="275"/>
      <c r="BD353" s="275"/>
      <c r="BE353" s="275"/>
      <c r="BF353" s="275"/>
      <c r="BH353" s="277"/>
    </row>
    <row r="354" spans="1:60" ht="16.5" hidden="1" customHeight="1" x14ac:dyDescent="0.3">
      <c r="A354" s="260">
        <v>332</v>
      </c>
      <c r="B354" s="261"/>
      <c r="C354" s="261"/>
      <c r="D354" s="262" t="s">
        <v>15</v>
      </c>
      <c r="E354" s="262" t="s">
        <v>364</v>
      </c>
      <c r="F354" s="263" t="s">
        <v>15</v>
      </c>
      <c r="G354" s="264" t="s">
        <v>364</v>
      </c>
      <c r="H354" s="281"/>
      <c r="I354" s="265"/>
      <c r="J354" s="266" t="s">
        <v>366</v>
      </c>
      <c r="K354" s="262"/>
      <c r="L354" s="262"/>
      <c r="M354" s="262">
        <v>13764</v>
      </c>
      <c r="N354" s="262" t="s">
        <v>32</v>
      </c>
      <c r="O354" s="262" t="s">
        <v>35</v>
      </c>
      <c r="P354" s="262" t="s">
        <v>57</v>
      </c>
      <c r="Q354" s="262"/>
      <c r="R354" s="262"/>
      <c r="S354" s="267" t="s">
        <v>830</v>
      </c>
      <c r="T354" s="268"/>
      <c r="U354" s="269"/>
      <c r="V354" s="269"/>
      <c r="W354" s="278">
        <v>0</v>
      </c>
      <c r="X354" s="270"/>
      <c r="Y354" s="262"/>
      <c r="Z354" s="271" t="s">
        <v>25</v>
      </c>
      <c r="AA354" s="287"/>
      <c r="AB354" s="287"/>
      <c r="AC354" s="272">
        <f t="shared" si="13"/>
        <v>10000000</v>
      </c>
      <c r="AD354" s="272">
        <v>10000000</v>
      </c>
      <c r="AE354" s="272">
        <f t="shared" si="14"/>
        <v>0</v>
      </c>
      <c r="AF354" s="273"/>
      <c r="AG354" s="274"/>
      <c r="AH354" s="273"/>
      <c r="AI354" s="273"/>
      <c r="AJ354" s="274"/>
      <c r="AK354" s="273"/>
      <c r="AL354" s="275"/>
      <c r="AM354" s="290"/>
      <c r="AN354" s="275"/>
      <c r="AO354" s="276"/>
      <c r="AP354" s="275"/>
      <c r="AQ354" s="275"/>
      <c r="AR354" s="275"/>
      <c r="AS354" s="275"/>
      <c r="AT354" s="275"/>
      <c r="AU354" s="275"/>
      <c r="AV354" s="275"/>
      <c r="AW354" s="275"/>
      <c r="AX354" s="275"/>
      <c r="AY354" s="275">
        <v>10000000</v>
      </c>
      <c r="AZ354" s="275"/>
      <c r="BA354" s="275"/>
      <c r="BB354" s="275"/>
      <c r="BC354" s="275"/>
      <c r="BD354" s="275"/>
      <c r="BE354" s="275"/>
      <c r="BF354" s="275"/>
      <c r="BH354" s="277"/>
    </row>
    <row r="355" spans="1:60" ht="16.5" hidden="1" customHeight="1" x14ac:dyDescent="0.3">
      <c r="A355" s="260">
        <v>333</v>
      </c>
      <c r="B355" s="261"/>
      <c r="C355" s="261"/>
      <c r="D355" s="262" t="s">
        <v>15</v>
      </c>
      <c r="E355" s="262" t="s">
        <v>364</v>
      </c>
      <c r="F355" s="263" t="s">
        <v>15</v>
      </c>
      <c r="G355" s="264" t="s">
        <v>364</v>
      </c>
      <c r="H355" s="281"/>
      <c r="I355" s="265"/>
      <c r="J355" s="266" t="s">
        <v>367</v>
      </c>
      <c r="K355" s="262"/>
      <c r="L355" s="262"/>
      <c r="M355" s="262">
        <v>49331</v>
      </c>
      <c r="N355" s="262" t="s">
        <v>32</v>
      </c>
      <c r="O355" s="262" t="s">
        <v>212</v>
      </c>
      <c r="P355" s="262" t="s">
        <v>57</v>
      </c>
      <c r="Q355" s="262" t="s">
        <v>59</v>
      </c>
      <c r="R355" s="262" t="s">
        <v>476</v>
      </c>
      <c r="S355" s="267" t="s">
        <v>825</v>
      </c>
      <c r="T355" s="268"/>
      <c r="U355" s="269">
        <v>40518000</v>
      </c>
      <c r="V355" s="269">
        <v>36127000</v>
      </c>
      <c r="W355" s="278">
        <v>10034500</v>
      </c>
      <c r="X355" s="270"/>
      <c r="Y355" s="262" t="s">
        <v>27</v>
      </c>
      <c r="Z355" s="271" t="s">
        <v>24</v>
      </c>
      <c r="AA355" s="287"/>
      <c r="AB355" s="287"/>
      <c r="AC355" s="272">
        <f t="shared" si="13"/>
        <v>27000000</v>
      </c>
      <c r="AD355" s="272">
        <v>27000000</v>
      </c>
      <c r="AE355" s="272">
        <f t="shared" si="14"/>
        <v>0</v>
      </c>
      <c r="AF355" s="273"/>
      <c r="AG355" s="274"/>
      <c r="AH355" s="273"/>
      <c r="AI355" s="273"/>
      <c r="AJ355" s="274"/>
      <c r="AK355" s="273"/>
      <c r="AL355" s="275"/>
      <c r="AM355" s="290"/>
      <c r="AN355" s="275"/>
      <c r="AO355" s="276">
        <v>3000000</v>
      </c>
      <c r="AP355" s="275"/>
      <c r="AQ355" s="275">
        <v>3000000</v>
      </c>
      <c r="AR355" s="275"/>
      <c r="AS355" s="275">
        <v>3000000</v>
      </c>
      <c r="AT355" s="275"/>
      <c r="AU355" s="275">
        <v>3000000</v>
      </c>
      <c r="AV355" s="275"/>
      <c r="AW355" s="275">
        <v>3000000</v>
      </c>
      <c r="AX355" s="275"/>
      <c r="AY355" s="275">
        <v>3000000</v>
      </c>
      <c r="AZ355" s="275"/>
      <c r="BA355" s="275">
        <v>3000000</v>
      </c>
      <c r="BB355" s="275"/>
      <c r="BC355" s="275">
        <v>3000000</v>
      </c>
      <c r="BD355" s="275"/>
      <c r="BE355" s="275">
        <v>3000000</v>
      </c>
      <c r="BF355" s="275"/>
      <c r="BH355" s="277"/>
    </row>
    <row r="356" spans="1:60" ht="16.5" hidden="1" customHeight="1" x14ac:dyDescent="0.3">
      <c r="A356" s="260">
        <v>334</v>
      </c>
      <c r="B356" s="261"/>
      <c r="C356" s="261"/>
      <c r="D356" s="262" t="s">
        <v>15</v>
      </c>
      <c r="E356" s="262" t="s">
        <v>364</v>
      </c>
      <c r="F356" s="263" t="s">
        <v>15</v>
      </c>
      <c r="G356" s="264" t="s">
        <v>364</v>
      </c>
      <c r="H356" s="281"/>
      <c r="I356" s="265"/>
      <c r="J356" s="266" t="s">
        <v>368</v>
      </c>
      <c r="K356" s="262"/>
      <c r="L356" s="262"/>
      <c r="M356" s="262">
        <v>13764</v>
      </c>
      <c r="N356" s="262" t="s">
        <v>32</v>
      </c>
      <c r="O356" s="262" t="s">
        <v>212</v>
      </c>
      <c r="P356" s="262" t="s">
        <v>57</v>
      </c>
      <c r="Q356" s="262" t="s">
        <v>18</v>
      </c>
      <c r="R356" s="262" t="s">
        <v>19</v>
      </c>
      <c r="S356" s="267" t="s">
        <v>19</v>
      </c>
      <c r="T356" s="268"/>
      <c r="U356" s="269" t="s">
        <v>154</v>
      </c>
      <c r="V356" s="269">
        <v>27315400</v>
      </c>
      <c r="W356" s="278">
        <v>20989780</v>
      </c>
      <c r="X356" s="270"/>
      <c r="Y356" s="262" t="s">
        <v>27</v>
      </c>
      <c r="Z356" s="271" t="s">
        <v>27</v>
      </c>
      <c r="AA356" s="287"/>
      <c r="AB356" s="287"/>
      <c r="AC356" s="272">
        <f t="shared" si="13"/>
        <v>15000000</v>
      </c>
      <c r="AD356" s="272">
        <v>15000000</v>
      </c>
      <c r="AE356" s="272">
        <f t="shared" si="14"/>
        <v>0</v>
      </c>
      <c r="AF356" s="273"/>
      <c r="AG356" s="274"/>
      <c r="AH356" s="273"/>
      <c r="AI356" s="273"/>
      <c r="AJ356" s="274"/>
      <c r="AK356" s="273"/>
      <c r="AL356" s="275"/>
      <c r="AM356" s="290"/>
      <c r="AN356" s="275"/>
      <c r="AO356" s="276"/>
      <c r="AP356" s="275"/>
      <c r="AQ356" s="275"/>
      <c r="AR356" s="275"/>
      <c r="AS356" s="275"/>
      <c r="AT356" s="275"/>
      <c r="AU356" s="275"/>
      <c r="AV356" s="275"/>
      <c r="AW356" s="275"/>
      <c r="AX356" s="275"/>
      <c r="AY356" s="275"/>
      <c r="AZ356" s="275"/>
      <c r="BA356" s="275">
        <v>15000000</v>
      </c>
      <c r="BB356" s="275"/>
      <c r="BC356" s="275"/>
      <c r="BD356" s="275"/>
      <c r="BE356" s="275"/>
      <c r="BF356" s="275"/>
      <c r="BH356" s="277"/>
    </row>
    <row r="357" spans="1:60" ht="16.5" hidden="1" customHeight="1" x14ac:dyDescent="0.3">
      <c r="A357" s="260">
        <v>335</v>
      </c>
      <c r="B357" s="261"/>
      <c r="C357" s="261"/>
      <c r="D357" s="262" t="s">
        <v>15</v>
      </c>
      <c r="E357" s="262" t="s">
        <v>364</v>
      </c>
      <c r="F357" s="263" t="s">
        <v>15</v>
      </c>
      <c r="G357" s="264" t="s">
        <v>364</v>
      </c>
      <c r="H357" s="281"/>
      <c r="I357" s="265"/>
      <c r="J357" s="266" t="s">
        <v>368</v>
      </c>
      <c r="K357" s="262"/>
      <c r="L357" s="262"/>
      <c r="M357" s="262">
        <v>13764</v>
      </c>
      <c r="N357" s="262" t="s">
        <v>32</v>
      </c>
      <c r="O357" s="262" t="s">
        <v>35</v>
      </c>
      <c r="P357" s="262" t="s">
        <v>57</v>
      </c>
      <c r="Q357" s="262"/>
      <c r="R357" s="262"/>
      <c r="S357" s="267" t="s">
        <v>478</v>
      </c>
      <c r="T357" s="268"/>
      <c r="U357" s="269"/>
      <c r="V357" s="269"/>
      <c r="W357" s="278">
        <v>0</v>
      </c>
      <c r="X357" s="270"/>
      <c r="Y357" s="262"/>
      <c r="Z357" s="271" t="s">
        <v>25</v>
      </c>
      <c r="AA357" s="287"/>
      <c r="AB357" s="287"/>
      <c r="AC357" s="272">
        <f t="shared" si="13"/>
        <v>20000000</v>
      </c>
      <c r="AD357" s="272">
        <v>20000000</v>
      </c>
      <c r="AE357" s="272">
        <f t="shared" si="14"/>
        <v>0</v>
      </c>
      <c r="AF357" s="273"/>
      <c r="AG357" s="274"/>
      <c r="AH357" s="273"/>
      <c r="AI357" s="273"/>
      <c r="AJ357" s="274"/>
      <c r="AK357" s="273"/>
      <c r="AL357" s="275"/>
      <c r="AM357" s="290"/>
      <c r="AN357" s="275"/>
      <c r="AO357" s="276"/>
      <c r="AP357" s="275"/>
      <c r="AQ357" s="275"/>
      <c r="AR357" s="275"/>
      <c r="AS357" s="275"/>
      <c r="AT357" s="275"/>
      <c r="AU357" s="275"/>
      <c r="AV357" s="275"/>
      <c r="AW357" s="275">
        <v>20000000</v>
      </c>
      <c r="AX357" s="275"/>
      <c r="AY357" s="275"/>
      <c r="AZ357" s="275"/>
      <c r="BA357" s="275"/>
      <c r="BB357" s="275"/>
      <c r="BC357" s="275"/>
      <c r="BD357" s="275"/>
      <c r="BE357" s="275"/>
      <c r="BF357" s="275"/>
      <c r="BH357" s="277"/>
    </row>
    <row r="358" spans="1:60" ht="16.5" hidden="1" customHeight="1" x14ac:dyDescent="0.3">
      <c r="A358" s="260">
        <v>336</v>
      </c>
      <c r="B358" s="261"/>
      <c r="C358" s="261"/>
      <c r="D358" s="262" t="s">
        <v>15</v>
      </c>
      <c r="E358" s="262" t="s">
        <v>364</v>
      </c>
      <c r="F358" s="263" t="s">
        <v>15</v>
      </c>
      <c r="G358" s="264" t="s">
        <v>364</v>
      </c>
      <c r="H358" s="281"/>
      <c r="I358" s="265"/>
      <c r="J358" s="266" t="s">
        <v>369</v>
      </c>
      <c r="K358" s="262"/>
      <c r="L358" s="262"/>
      <c r="M358" s="262">
        <v>8994</v>
      </c>
      <c r="N358" s="262" t="s">
        <v>17</v>
      </c>
      <c r="O358" s="262" t="s">
        <v>212</v>
      </c>
      <c r="P358" s="262" t="s">
        <v>57</v>
      </c>
      <c r="Q358" s="262" t="s">
        <v>30</v>
      </c>
      <c r="R358" s="262" t="s">
        <v>31</v>
      </c>
      <c r="S358" s="267" t="s">
        <v>31</v>
      </c>
      <c r="T358" s="268"/>
      <c r="U358" s="269">
        <v>10000000</v>
      </c>
      <c r="V358" s="269">
        <v>24839000</v>
      </c>
      <c r="W358" s="278">
        <v>0</v>
      </c>
      <c r="X358" s="270"/>
      <c r="Y358" s="262" t="s">
        <v>27</v>
      </c>
      <c r="Z358" s="271" t="s">
        <v>24</v>
      </c>
      <c r="AA358" s="287"/>
      <c r="AB358" s="287"/>
      <c r="AC358" s="272">
        <f t="shared" si="13"/>
        <v>10000000</v>
      </c>
      <c r="AD358" s="272">
        <v>10000000</v>
      </c>
      <c r="AE358" s="272">
        <f t="shared" si="14"/>
        <v>0</v>
      </c>
      <c r="AF358" s="273"/>
      <c r="AG358" s="274"/>
      <c r="AH358" s="273"/>
      <c r="AI358" s="273"/>
      <c r="AJ358" s="274"/>
      <c r="AK358" s="273"/>
      <c r="AL358" s="275"/>
      <c r="AM358" s="290"/>
      <c r="AN358" s="275"/>
      <c r="AO358" s="276"/>
      <c r="AP358" s="275"/>
      <c r="AQ358" s="275"/>
      <c r="AR358" s="275"/>
      <c r="AS358" s="275"/>
      <c r="AT358" s="275"/>
      <c r="AU358" s="275">
        <v>5000000</v>
      </c>
      <c r="AV358" s="275"/>
      <c r="AW358" s="275"/>
      <c r="AX358" s="275"/>
      <c r="AY358" s="275"/>
      <c r="AZ358" s="275"/>
      <c r="BA358" s="275"/>
      <c r="BB358" s="275"/>
      <c r="BC358" s="275">
        <v>5000000</v>
      </c>
      <c r="BD358" s="275"/>
      <c r="BE358" s="275"/>
      <c r="BF358" s="275"/>
      <c r="BH358" s="277"/>
    </row>
    <row r="359" spans="1:60" ht="16.5" hidden="1" customHeight="1" x14ac:dyDescent="0.3">
      <c r="A359" s="260">
        <v>337</v>
      </c>
      <c r="B359" s="261"/>
      <c r="C359" s="261"/>
      <c r="D359" s="262" t="s">
        <v>15</v>
      </c>
      <c r="E359" s="262" t="s">
        <v>364</v>
      </c>
      <c r="F359" s="263" t="s">
        <v>15</v>
      </c>
      <c r="G359" s="264" t="s">
        <v>364</v>
      </c>
      <c r="H359" s="281"/>
      <c r="I359" s="265"/>
      <c r="J359" s="266" t="s">
        <v>369</v>
      </c>
      <c r="K359" s="262"/>
      <c r="L359" s="262"/>
      <c r="M359" s="262">
        <v>8994</v>
      </c>
      <c r="N359" s="262" t="s">
        <v>17</v>
      </c>
      <c r="O359" s="262" t="s">
        <v>212</v>
      </c>
      <c r="P359" s="262" t="s">
        <v>57</v>
      </c>
      <c r="Q359" s="262" t="s">
        <v>26</v>
      </c>
      <c r="R359" s="262" t="s">
        <v>468</v>
      </c>
      <c r="S359" s="267" t="s">
        <v>468</v>
      </c>
      <c r="T359" s="268"/>
      <c r="U359" s="269" t="s">
        <v>154</v>
      </c>
      <c r="V359" s="269">
        <v>3429000</v>
      </c>
      <c r="W359" s="278">
        <v>2300000</v>
      </c>
      <c r="X359" s="270"/>
      <c r="Y359" s="262" t="s">
        <v>27</v>
      </c>
      <c r="Z359" s="271" t="s">
        <v>25</v>
      </c>
      <c r="AA359" s="287"/>
      <c r="AB359" s="287"/>
      <c r="AC359" s="272">
        <f t="shared" si="13"/>
        <v>6000000</v>
      </c>
      <c r="AD359" s="272">
        <v>6000000</v>
      </c>
      <c r="AE359" s="272">
        <f t="shared" si="14"/>
        <v>0</v>
      </c>
      <c r="AF359" s="273"/>
      <c r="AG359" s="274"/>
      <c r="AH359" s="273"/>
      <c r="AI359" s="273"/>
      <c r="AJ359" s="274"/>
      <c r="AK359" s="273"/>
      <c r="AL359" s="275"/>
      <c r="AM359" s="290"/>
      <c r="AN359" s="275"/>
      <c r="AO359" s="276"/>
      <c r="AP359" s="275"/>
      <c r="AQ359" s="291">
        <v>3000000</v>
      </c>
      <c r="AR359" s="275"/>
      <c r="AS359" s="275"/>
      <c r="AT359" s="275"/>
      <c r="AU359" s="275"/>
      <c r="AV359" s="275"/>
      <c r="AW359" s="275"/>
      <c r="AX359" s="275"/>
      <c r="AY359" s="275">
        <v>3000000</v>
      </c>
      <c r="AZ359" s="275"/>
      <c r="BA359" s="275"/>
      <c r="BB359" s="275"/>
      <c r="BC359" s="275"/>
      <c r="BD359" s="275"/>
      <c r="BE359" s="275"/>
      <c r="BF359" s="275"/>
      <c r="BH359" s="277"/>
    </row>
    <row r="360" spans="1:60" ht="16.5" hidden="1" customHeight="1" x14ac:dyDescent="0.3">
      <c r="A360" s="260">
        <v>338</v>
      </c>
      <c r="B360" s="261"/>
      <c r="C360" s="261"/>
      <c r="D360" s="262" t="s">
        <v>15</v>
      </c>
      <c r="E360" s="262" t="s">
        <v>364</v>
      </c>
      <c r="F360" s="263" t="s">
        <v>15</v>
      </c>
      <c r="G360" s="264" t="s">
        <v>364</v>
      </c>
      <c r="H360" s="281"/>
      <c r="I360" s="265"/>
      <c r="J360" s="266" t="s">
        <v>370</v>
      </c>
      <c r="K360" s="262"/>
      <c r="L360" s="262"/>
      <c r="M360" s="262">
        <v>3912</v>
      </c>
      <c r="N360" s="262" t="s">
        <v>22</v>
      </c>
      <c r="O360" s="262" t="s">
        <v>212</v>
      </c>
      <c r="P360" s="262" t="s">
        <v>57</v>
      </c>
      <c r="Q360" s="262" t="s">
        <v>63</v>
      </c>
      <c r="R360" s="262" t="s">
        <v>28</v>
      </c>
      <c r="S360" s="267" t="s">
        <v>28</v>
      </c>
      <c r="T360" s="268" t="s">
        <v>951</v>
      </c>
      <c r="U360" s="269">
        <v>77255240</v>
      </c>
      <c r="V360" s="269">
        <v>65664920</v>
      </c>
      <c r="W360" s="278">
        <v>51651600</v>
      </c>
      <c r="X360" s="270"/>
      <c r="Y360" s="262" t="s">
        <v>27</v>
      </c>
      <c r="Z360" s="271" t="s">
        <v>27</v>
      </c>
      <c r="AA360" s="287"/>
      <c r="AB360" s="287"/>
      <c r="AC360" s="272">
        <f t="shared" si="13"/>
        <v>56202000</v>
      </c>
      <c r="AD360" s="272">
        <v>56202000</v>
      </c>
      <c r="AE360" s="272">
        <f t="shared" si="14"/>
        <v>0</v>
      </c>
      <c r="AF360" s="273">
        <v>4040000</v>
      </c>
      <c r="AG360" s="274">
        <v>4040000</v>
      </c>
      <c r="AH360" s="273"/>
      <c r="AI360" s="273">
        <v>3120000</v>
      </c>
      <c r="AJ360" s="274">
        <v>3120000</v>
      </c>
      <c r="AK360" s="273"/>
      <c r="AL360" s="275">
        <v>4042000</v>
      </c>
      <c r="AM360" s="290">
        <v>4042000</v>
      </c>
      <c r="AN360" s="275"/>
      <c r="AO360" s="276">
        <v>5000000</v>
      </c>
      <c r="AP360" s="275"/>
      <c r="AQ360" s="275">
        <v>5000000</v>
      </c>
      <c r="AR360" s="275"/>
      <c r="AS360" s="275">
        <v>5000000</v>
      </c>
      <c r="AT360" s="275"/>
      <c r="AU360" s="275">
        <v>5000000</v>
      </c>
      <c r="AV360" s="275"/>
      <c r="AW360" s="275">
        <v>5000000</v>
      </c>
      <c r="AX360" s="275"/>
      <c r="AY360" s="275">
        <v>5000000</v>
      </c>
      <c r="AZ360" s="275"/>
      <c r="BA360" s="275">
        <v>5000000</v>
      </c>
      <c r="BB360" s="275"/>
      <c r="BC360" s="275">
        <v>5000000</v>
      </c>
      <c r="BD360" s="275"/>
      <c r="BE360" s="275">
        <v>5000000</v>
      </c>
      <c r="BF360" s="275"/>
      <c r="BH360" s="277"/>
    </row>
    <row r="361" spans="1:60" ht="16.5" hidden="1" customHeight="1" x14ac:dyDescent="0.3">
      <c r="A361" s="260">
        <v>339</v>
      </c>
      <c r="B361" s="261"/>
      <c r="C361" s="261"/>
      <c r="D361" s="262" t="s">
        <v>15</v>
      </c>
      <c r="E361" s="262" t="s">
        <v>364</v>
      </c>
      <c r="F361" s="263" t="s">
        <v>15</v>
      </c>
      <c r="G361" s="264" t="s">
        <v>364</v>
      </c>
      <c r="H361" s="281"/>
      <c r="I361" s="265"/>
      <c r="J361" s="266" t="s">
        <v>370</v>
      </c>
      <c r="K361" s="262"/>
      <c r="L361" s="262"/>
      <c r="M361" s="262">
        <v>3912</v>
      </c>
      <c r="N361" s="262" t="s">
        <v>22</v>
      </c>
      <c r="O361" s="262" t="s">
        <v>212</v>
      </c>
      <c r="P361" s="262" t="s">
        <v>57</v>
      </c>
      <c r="Q361" s="262" t="s">
        <v>18</v>
      </c>
      <c r="R361" s="262" t="s">
        <v>19</v>
      </c>
      <c r="S361" s="267" t="s">
        <v>19</v>
      </c>
      <c r="T361" s="268"/>
      <c r="U361" s="269"/>
      <c r="V361" s="269">
        <v>3910000</v>
      </c>
      <c r="W361" s="278">
        <v>0</v>
      </c>
      <c r="X361" s="270"/>
      <c r="Y361" s="262" t="s">
        <v>20</v>
      </c>
      <c r="Z361" s="271" t="s">
        <v>20</v>
      </c>
      <c r="AA361" s="287"/>
      <c r="AB361" s="287"/>
      <c r="AC361" s="272">
        <f t="shared" si="13"/>
        <v>0</v>
      </c>
      <c r="AD361" s="272">
        <v>0</v>
      </c>
      <c r="AE361" s="272">
        <f t="shared" si="14"/>
        <v>0</v>
      </c>
      <c r="AF361" s="273"/>
      <c r="AG361" s="274"/>
      <c r="AH361" s="273"/>
      <c r="AI361" s="273"/>
      <c r="AJ361" s="274"/>
      <c r="AK361" s="273"/>
      <c r="AL361" s="275"/>
      <c r="AM361" s="290"/>
      <c r="AN361" s="275"/>
      <c r="AO361" s="276"/>
      <c r="AP361" s="275"/>
      <c r="AQ361" s="275"/>
      <c r="AR361" s="275"/>
      <c r="AS361" s="275"/>
      <c r="AT361" s="275"/>
      <c r="AU361" s="275"/>
      <c r="AV361" s="275"/>
      <c r="AW361" s="275"/>
      <c r="AX361" s="275"/>
      <c r="AY361" s="275"/>
      <c r="AZ361" s="275"/>
      <c r="BA361" s="275"/>
      <c r="BB361" s="275"/>
      <c r="BC361" s="275"/>
      <c r="BD361" s="275"/>
      <c r="BE361" s="275"/>
      <c r="BF361" s="275"/>
      <c r="BH361" s="277"/>
    </row>
    <row r="362" spans="1:60" ht="16.5" hidden="1" customHeight="1" x14ac:dyDescent="0.3">
      <c r="A362" s="260">
        <v>340</v>
      </c>
      <c r="B362" s="261"/>
      <c r="C362" s="261"/>
      <c r="D362" s="262" t="s">
        <v>15</v>
      </c>
      <c r="E362" s="262" t="s">
        <v>364</v>
      </c>
      <c r="F362" s="263" t="s">
        <v>15</v>
      </c>
      <c r="G362" s="264" t="s">
        <v>364</v>
      </c>
      <c r="H362" s="281"/>
      <c r="I362" s="265"/>
      <c r="J362" s="266" t="s">
        <v>370</v>
      </c>
      <c r="K362" s="262"/>
      <c r="L362" s="262"/>
      <c r="M362" s="262">
        <v>3912</v>
      </c>
      <c r="N362" s="262" t="s">
        <v>22</v>
      </c>
      <c r="O362" s="262" t="s">
        <v>35</v>
      </c>
      <c r="P362" s="262" t="s">
        <v>156</v>
      </c>
      <c r="Q362" s="262" t="s">
        <v>63</v>
      </c>
      <c r="R362" s="262" t="s">
        <v>470</v>
      </c>
      <c r="S362" s="267" t="s">
        <v>822</v>
      </c>
      <c r="T362" s="268"/>
      <c r="U362" s="269"/>
      <c r="V362" s="269">
        <v>0</v>
      </c>
      <c r="W362" s="278">
        <v>0</v>
      </c>
      <c r="X362" s="270"/>
      <c r="Y362" s="262" t="s">
        <v>24</v>
      </c>
      <c r="Z362" s="271" t="s">
        <v>24</v>
      </c>
      <c r="AA362" s="287"/>
      <c r="AB362" s="287"/>
      <c r="AC362" s="272">
        <f t="shared" si="13"/>
        <v>10000000</v>
      </c>
      <c r="AD362" s="272">
        <v>10000000</v>
      </c>
      <c r="AE362" s="272">
        <f t="shared" si="14"/>
        <v>0</v>
      </c>
      <c r="AF362" s="273"/>
      <c r="AG362" s="274"/>
      <c r="AH362" s="273"/>
      <c r="AI362" s="273"/>
      <c r="AJ362" s="274"/>
      <c r="AK362" s="273"/>
      <c r="AL362" s="275"/>
      <c r="AM362" s="290"/>
      <c r="AN362" s="275"/>
      <c r="AO362" s="276"/>
      <c r="AP362" s="275"/>
      <c r="AQ362" s="275"/>
      <c r="AR362" s="275"/>
      <c r="AS362" s="275"/>
      <c r="AT362" s="275"/>
      <c r="AU362" s="275"/>
      <c r="AV362" s="275"/>
      <c r="AW362" s="275"/>
      <c r="AX362" s="275"/>
      <c r="AY362" s="275"/>
      <c r="AZ362" s="275"/>
      <c r="BA362" s="275"/>
      <c r="BB362" s="275"/>
      <c r="BC362" s="275"/>
      <c r="BD362" s="275"/>
      <c r="BE362" s="275">
        <v>10000000</v>
      </c>
      <c r="BF362" s="275"/>
      <c r="BH362" s="277"/>
    </row>
    <row r="363" spans="1:60" ht="16.5" hidden="1" customHeight="1" x14ac:dyDescent="0.3">
      <c r="A363" s="260">
        <v>341</v>
      </c>
      <c r="B363" s="261"/>
      <c r="C363" s="261"/>
      <c r="D363" s="262" t="s">
        <v>15</v>
      </c>
      <c r="E363" s="262" t="s">
        <v>364</v>
      </c>
      <c r="F363" s="263" t="s">
        <v>15</v>
      </c>
      <c r="G363" s="264" t="s">
        <v>364</v>
      </c>
      <c r="H363" s="281"/>
      <c r="I363" s="265"/>
      <c r="J363" s="266" t="s">
        <v>960</v>
      </c>
      <c r="K363" s="262"/>
      <c r="L363" s="262"/>
      <c r="M363" s="262">
        <v>4255</v>
      </c>
      <c r="N363" s="262" t="s">
        <v>32</v>
      </c>
      <c r="O363" s="262" t="s">
        <v>35</v>
      </c>
      <c r="P363" s="262" t="s">
        <v>57</v>
      </c>
      <c r="Q363" s="262" t="s">
        <v>63</v>
      </c>
      <c r="R363" s="262" t="s">
        <v>28</v>
      </c>
      <c r="S363" s="267" t="s">
        <v>28</v>
      </c>
      <c r="T363" s="268"/>
      <c r="U363" s="269">
        <v>48500000</v>
      </c>
      <c r="V363" s="269">
        <v>0</v>
      </c>
      <c r="W363" s="278">
        <v>0</v>
      </c>
      <c r="X363" s="270"/>
      <c r="Y363" s="262" t="s">
        <v>562</v>
      </c>
      <c r="Z363" s="271" t="s">
        <v>25</v>
      </c>
      <c r="AA363" s="287"/>
      <c r="AB363" s="287"/>
      <c r="AC363" s="272">
        <f t="shared" si="13"/>
        <v>0</v>
      </c>
      <c r="AD363" s="272">
        <v>0</v>
      </c>
      <c r="AE363" s="272">
        <f t="shared" si="14"/>
        <v>0</v>
      </c>
      <c r="AF363" s="273"/>
      <c r="AG363" s="274"/>
      <c r="AH363" s="273"/>
      <c r="AI363" s="273"/>
      <c r="AJ363" s="274"/>
      <c r="AK363" s="273"/>
      <c r="AL363" s="275"/>
      <c r="AM363" s="290"/>
      <c r="AN363" s="275"/>
      <c r="AO363" s="276"/>
      <c r="AP363" s="275"/>
      <c r="AQ363" s="275"/>
      <c r="AR363" s="275"/>
      <c r="AS363" s="275"/>
      <c r="AT363" s="275"/>
      <c r="AU363" s="275"/>
      <c r="AV363" s="275"/>
      <c r="AW363" s="275"/>
      <c r="AX363" s="275"/>
      <c r="AY363" s="275"/>
      <c r="AZ363" s="275"/>
      <c r="BA363" s="275"/>
      <c r="BB363" s="275"/>
      <c r="BC363" s="275"/>
      <c r="BD363" s="275"/>
      <c r="BE363" s="275"/>
      <c r="BF363" s="275"/>
      <c r="BH363" s="277"/>
    </row>
    <row r="364" spans="1:60" ht="16.5" hidden="1" customHeight="1" x14ac:dyDescent="0.3">
      <c r="A364" s="260">
        <v>342</v>
      </c>
      <c r="B364" s="261"/>
      <c r="C364" s="261"/>
      <c r="D364" s="262" t="s">
        <v>15</v>
      </c>
      <c r="E364" s="262" t="s">
        <v>364</v>
      </c>
      <c r="F364" s="263" t="s">
        <v>15</v>
      </c>
      <c r="G364" s="264" t="s">
        <v>364</v>
      </c>
      <c r="H364" s="281"/>
      <c r="I364" s="265"/>
      <c r="J364" s="266" t="s">
        <v>756</v>
      </c>
      <c r="K364" s="262"/>
      <c r="L364" s="262"/>
      <c r="M364" s="262">
        <v>29224</v>
      </c>
      <c r="N364" s="262" t="s">
        <v>32</v>
      </c>
      <c r="O364" s="262" t="s">
        <v>35</v>
      </c>
      <c r="P364" s="262"/>
      <c r="Q364" s="262"/>
      <c r="R364" s="262"/>
      <c r="S364" s="267" t="s">
        <v>31</v>
      </c>
      <c r="T364" s="268"/>
      <c r="U364" s="269"/>
      <c r="V364" s="269"/>
      <c r="W364" s="278">
        <v>0</v>
      </c>
      <c r="X364" s="270"/>
      <c r="Y364" s="262"/>
      <c r="Z364" s="271" t="s">
        <v>25</v>
      </c>
      <c r="AA364" s="287"/>
      <c r="AB364" s="287"/>
      <c r="AC364" s="272">
        <f t="shared" si="13"/>
        <v>10000000</v>
      </c>
      <c r="AD364" s="272">
        <v>10000000</v>
      </c>
      <c r="AE364" s="272">
        <f t="shared" si="14"/>
        <v>0</v>
      </c>
      <c r="AF364" s="273"/>
      <c r="AG364" s="274"/>
      <c r="AH364" s="273"/>
      <c r="AI364" s="273"/>
      <c r="AJ364" s="274"/>
      <c r="AK364" s="273"/>
      <c r="AL364" s="275"/>
      <c r="AM364" s="290"/>
      <c r="AN364" s="275"/>
      <c r="AO364" s="276"/>
      <c r="AP364" s="275"/>
      <c r="AQ364" s="275">
        <v>5000000</v>
      </c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>
        <v>5000000</v>
      </c>
      <c r="BD364" s="275"/>
      <c r="BE364" s="275"/>
      <c r="BF364" s="275"/>
      <c r="BH364" s="277"/>
    </row>
    <row r="365" spans="1:60" ht="16.5" hidden="1" customHeight="1" x14ac:dyDescent="0.3">
      <c r="A365" s="260">
        <v>343</v>
      </c>
      <c r="B365" s="261"/>
      <c r="C365" s="261"/>
      <c r="D365" s="262" t="s">
        <v>15</v>
      </c>
      <c r="E365" s="262" t="s">
        <v>364</v>
      </c>
      <c r="F365" s="263" t="s">
        <v>15</v>
      </c>
      <c r="G365" s="264" t="s">
        <v>364</v>
      </c>
      <c r="H365" s="281"/>
      <c r="I365" s="265"/>
      <c r="J365" s="266" t="s">
        <v>756</v>
      </c>
      <c r="K365" s="262"/>
      <c r="L365" s="262"/>
      <c r="M365" s="262">
        <v>29224</v>
      </c>
      <c r="N365" s="262" t="s">
        <v>32</v>
      </c>
      <c r="O365" s="262" t="s">
        <v>35</v>
      </c>
      <c r="P365" s="262"/>
      <c r="Q365" s="262"/>
      <c r="R365" s="262"/>
      <c r="S365" s="267" t="s">
        <v>823</v>
      </c>
      <c r="T365" s="268"/>
      <c r="U365" s="269"/>
      <c r="V365" s="269"/>
      <c r="W365" s="278">
        <v>0</v>
      </c>
      <c r="X365" s="270"/>
      <c r="Y365" s="262"/>
      <c r="Z365" s="271" t="s">
        <v>25</v>
      </c>
      <c r="AA365" s="287"/>
      <c r="AB365" s="287"/>
      <c r="AC365" s="272">
        <f t="shared" si="13"/>
        <v>0</v>
      </c>
      <c r="AD365" s="272">
        <v>0</v>
      </c>
      <c r="AE365" s="272">
        <f t="shared" si="14"/>
        <v>0</v>
      </c>
      <c r="AF365" s="273"/>
      <c r="AG365" s="274"/>
      <c r="AH365" s="273"/>
      <c r="AI365" s="273"/>
      <c r="AJ365" s="274"/>
      <c r="AK365" s="273"/>
      <c r="AL365" s="275"/>
      <c r="AM365" s="290"/>
      <c r="AN365" s="275"/>
      <c r="AO365" s="276"/>
      <c r="AP365" s="275"/>
      <c r="AQ365" s="275"/>
      <c r="AR365" s="275"/>
      <c r="AS365" s="275"/>
      <c r="AT365" s="275"/>
      <c r="AU365" s="275"/>
      <c r="AV365" s="275"/>
      <c r="AW365" s="275"/>
      <c r="AX365" s="275"/>
      <c r="AY365" s="275"/>
      <c r="AZ365" s="275"/>
      <c r="BA365" s="275"/>
      <c r="BB365" s="275"/>
      <c r="BC365" s="275"/>
      <c r="BD365" s="275"/>
      <c r="BE365" s="275"/>
      <c r="BF365" s="275"/>
      <c r="BH365" s="277"/>
    </row>
    <row r="366" spans="1:60" ht="16.5" hidden="1" customHeight="1" x14ac:dyDescent="0.3">
      <c r="A366" s="260">
        <v>344</v>
      </c>
      <c r="B366" s="261"/>
      <c r="C366" s="261"/>
      <c r="D366" s="262" t="s">
        <v>15</v>
      </c>
      <c r="E366" s="262" t="s">
        <v>113</v>
      </c>
      <c r="F366" s="263" t="s">
        <v>15</v>
      </c>
      <c r="G366" s="264" t="s">
        <v>364</v>
      </c>
      <c r="H366" s="281"/>
      <c r="I366" s="265"/>
      <c r="J366" s="266" t="s">
        <v>125</v>
      </c>
      <c r="K366" s="262"/>
      <c r="L366" s="262"/>
      <c r="M366" s="262">
        <v>4257</v>
      </c>
      <c r="N366" s="262" t="s">
        <v>32</v>
      </c>
      <c r="O366" s="262" t="s">
        <v>178</v>
      </c>
      <c r="P366" s="262" t="s">
        <v>57</v>
      </c>
      <c r="Q366" s="262" t="s">
        <v>63</v>
      </c>
      <c r="R366" s="262" t="s">
        <v>28</v>
      </c>
      <c r="S366" s="267" t="s">
        <v>28</v>
      </c>
      <c r="T366" s="268"/>
      <c r="U366" s="269">
        <v>1032718000</v>
      </c>
      <c r="V366" s="269">
        <v>0</v>
      </c>
      <c r="W366" s="278">
        <v>787927000</v>
      </c>
      <c r="X366" s="270"/>
      <c r="Y366" s="262" t="s">
        <v>27</v>
      </c>
      <c r="Z366" s="271" t="s">
        <v>27</v>
      </c>
      <c r="AA366" s="287"/>
      <c r="AB366" s="287"/>
      <c r="AC366" s="272">
        <f t="shared" si="13"/>
        <v>910000000</v>
      </c>
      <c r="AD366" s="272">
        <v>910000000</v>
      </c>
      <c r="AE366" s="272">
        <f t="shared" si="14"/>
        <v>0</v>
      </c>
      <c r="AF366" s="273">
        <v>0</v>
      </c>
      <c r="AG366" s="274"/>
      <c r="AH366" s="273" t="s">
        <v>850</v>
      </c>
      <c r="AI366" s="273">
        <v>145000000</v>
      </c>
      <c r="AJ366" s="274"/>
      <c r="AK366" s="273"/>
      <c r="AL366" s="275">
        <v>149735200</v>
      </c>
      <c r="AM366" s="290">
        <v>149735200</v>
      </c>
      <c r="AN366" s="275" t="s">
        <v>1006</v>
      </c>
      <c r="AO366" s="276">
        <v>100000000</v>
      </c>
      <c r="AP366" s="275"/>
      <c r="AQ366" s="275">
        <v>100000000</v>
      </c>
      <c r="AR366" s="275"/>
      <c r="AS366" s="275">
        <v>100000000</v>
      </c>
      <c r="AT366" s="275"/>
      <c r="AU366" s="275">
        <v>100000000</v>
      </c>
      <c r="AV366" s="275"/>
      <c r="AW366" s="275">
        <v>100000000</v>
      </c>
      <c r="AX366" s="275"/>
      <c r="AY366" s="275">
        <v>100000000</v>
      </c>
      <c r="AZ366" s="275"/>
      <c r="BA366" s="275">
        <v>79735200</v>
      </c>
      <c r="BB366" s="275"/>
      <c r="BC366" s="275">
        <v>70000000</v>
      </c>
      <c r="BD366" s="275"/>
      <c r="BE366" s="275">
        <v>10529600</v>
      </c>
      <c r="BF366" s="275"/>
      <c r="BH366" s="277"/>
    </row>
    <row r="367" spans="1:60" ht="16.5" hidden="1" customHeight="1" x14ac:dyDescent="0.3">
      <c r="A367" s="260">
        <v>345</v>
      </c>
      <c r="B367" s="261"/>
      <c r="C367" s="261"/>
      <c r="D367" s="262" t="s">
        <v>15</v>
      </c>
      <c r="E367" s="262" t="s">
        <v>113</v>
      </c>
      <c r="F367" s="263" t="s">
        <v>15</v>
      </c>
      <c r="G367" s="264" t="s">
        <v>364</v>
      </c>
      <c r="H367" s="281"/>
      <c r="I367" s="265"/>
      <c r="J367" s="266" t="s">
        <v>125</v>
      </c>
      <c r="K367" s="262"/>
      <c r="L367" s="262"/>
      <c r="M367" s="262">
        <v>4257</v>
      </c>
      <c r="N367" s="262" t="s">
        <v>32</v>
      </c>
      <c r="O367" s="262" t="s">
        <v>56</v>
      </c>
      <c r="P367" s="262"/>
      <c r="Q367" s="262" t="s">
        <v>55</v>
      </c>
      <c r="R367" s="262" t="s">
        <v>466</v>
      </c>
      <c r="S367" s="267" t="s">
        <v>829</v>
      </c>
      <c r="T367" s="268"/>
      <c r="U367" s="269"/>
      <c r="V367" s="269">
        <v>8818182</v>
      </c>
      <c r="W367" s="278">
        <v>0</v>
      </c>
      <c r="X367" s="270"/>
      <c r="Y367" s="262" t="s">
        <v>562</v>
      </c>
      <c r="Z367" s="271" t="s">
        <v>20</v>
      </c>
      <c r="AA367" s="287"/>
      <c r="AB367" s="287"/>
      <c r="AC367" s="272">
        <f t="shared" si="13"/>
        <v>0</v>
      </c>
      <c r="AD367" s="272">
        <v>0</v>
      </c>
      <c r="AE367" s="272">
        <f t="shared" si="14"/>
        <v>0</v>
      </c>
      <c r="AF367" s="273"/>
      <c r="AG367" s="274"/>
      <c r="AH367" s="273"/>
      <c r="AI367" s="273"/>
      <c r="AJ367" s="274"/>
      <c r="AK367" s="273"/>
      <c r="AL367" s="275"/>
      <c r="AM367" s="290"/>
      <c r="AN367" s="275"/>
      <c r="AO367" s="276"/>
      <c r="AP367" s="275"/>
      <c r="AQ367" s="275"/>
      <c r="AR367" s="275"/>
      <c r="AS367" s="275"/>
      <c r="AT367" s="275"/>
      <c r="AU367" s="275"/>
      <c r="AV367" s="275"/>
      <c r="AW367" s="275"/>
      <c r="AX367" s="275"/>
      <c r="AY367" s="275"/>
      <c r="AZ367" s="275"/>
      <c r="BA367" s="275"/>
      <c r="BB367" s="275"/>
      <c r="BC367" s="275"/>
      <c r="BD367" s="275"/>
      <c r="BE367" s="275"/>
      <c r="BF367" s="275"/>
      <c r="BH367" s="277"/>
    </row>
    <row r="368" spans="1:60" ht="16.5" hidden="1" customHeight="1" x14ac:dyDescent="0.3">
      <c r="A368" s="260">
        <v>346</v>
      </c>
      <c r="B368" s="261"/>
      <c r="C368" s="261"/>
      <c r="D368" s="262" t="s">
        <v>15</v>
      </c>
      <c r="E368" s="262" t="s">
        <v>153</v>
      </c>
      <c r="F368" s="263" t="s">
        <v>15</v>
      </c>
      <c r="G368" s="264" t="s">
        <v>364</v>
      </c>
      <c r="H368" s="281"/>
      <c r="I368" s="265"/>
      <c r="J368" s="266" t="s">
        <v>720</v>
      </c>
      <c r="K368" s="262"/>
      <c r="L368" s="262"/>
      <c r="M368" s="262">
        <v>52333</v>
      </c>
      <c r="N368" s="262" t="s">
        <v>32</v>
      </c>
      <c r="O368" s="262" t="s">
        <v>56</v>
      </c>
      <c r="P368" s="262" t="s">
        <v>57</v>
      </c>
      <c r="Q368" s="262"/>
      <c r="R368" s="262" t="s">
        <v>28</v>
      </c>
      <c r="S368" s="267" t="s">
        <v>28</v>
      </c>
      <c r="T368" s="268"/>
      <c r="U368" s="269"/>
      <c r="V368" s="269"/>
      <c r="W368" s="278">
        <v>0</v>
      </c>
      <c r="X368" s="270"/>
      <c r="Y368" s="262"/>
      <c r="Z368" s="271" t="s">
        <v>27</v>
      </c>
      <c r="AA368" s="287"/>
      <c r="AB368" s="287"/>
      <c r="AC368" s="272">
        <f t="shared" si="13"/>
        <v>90000000</v>
      </c>
      <c r="AD368" s="272">
        <v>90000000</v>
      </c>
      <c r="AE368" s="272">
        <f t="shared" si="14"/>
        <v>0</v>
      </c>
      <c r="AF368" s="273">
        <v>7500000</v>
      </c>
      <c r="AG368" s="274">
        <v>7500000</v>
      </c>
      <c r="AH368" s="273"/>
      <c r="AI368" s="273">
        <v>7500000</v>
      </c>
      <c r="AJ368" s="274">
        <v>7500000</v>
      </c>
      <c r="AK368" s="273"/>
      <c r="AL368" s="275">
        <v>0</v>
      </c>
      <c r="AM368" s="290"/>
      <c r="AN368" s="275" t="s">
        <v>1007</v>
      </c>
      <c r="AO368" s="276">
        <v>7500000</v>
      </c>
      <c r="AP368" s="275"/>
      <c r="AQ368" s="275">
        <v>7500000</v>
      </c>
      <c r="AR368" s="275"/>
      <c r="AS368" s="275">
        <v>7500000</v>
      </c>
      <c r="AT368" s="275"/>
      <c r="AU368" s="275">
        <v>7500000</v>
      </c>
      <c r="AV368" s="275"/>
      <c r="AW368" s="275">
        <v>7500000</v>
      </c>
      <c r="AX368" s="275"/>
      <c r="AY368" s="275">
        <v>7500000</v>
      </c>
      <c r="AZ368" s="275"/>
      <c r="BA368" s="275">
        <v>7500000</v>
      </c>
      <c r="BB368" s="275"/>
      <c r="BC368" s="275">
        <v>7500000</v>
      </c>
      <c r="BD368" s="275"/>
      <c r="BE368" s="275">
        <v>15000000</v>
      </c>
      <c r="BF368" s="275"/>
      <c r="BH368" s="277"/>
    </row>
    <row r="369" spans="1:60" ht="16.5" hidden="1" customHeight="1" x14ac:dyDescent="0.3">
      <c r="A369" s="260">
        <v>347</v>
      </c>
      <c r="B369" s="261"/>
      <c r="C369" s="261"/>
      <c r="D369" s="262" t="s">
        <v>15</v>
      </c>
      <c r="E369" s="262" t="s">
        <v>113</v>
      </c>
      <c r="F369" s="263" t="s">
        <v>15</v>
      </c>
      <c r="G369" s="264" t="s">
        <v>364</v>
      </c>
      <c r="H369" s="281"/>
      <c r="I369" s="265"/>
      <c r="J369" s="266" t="s">
        <v>720</v>
      </c>
      <c r="K369" s="262"/>
      <c r="L369" s="262"/>
      <c r="M369" s="262">
        <v>52333</v>
      </c>
      <c r="N369" s="262" t="s">
        <v>32</v>
      </c>
      <c r="O369" s="262" t="s">
        <v>56</v>
      </c>
      <c r="P369" s="262" t="s">
        <v>57</v>
      </c>
      <c r="Q369" s="262" t="s">
        <v>59</v>
      </c>
      <c r="R369" s="262" t="s">
        <v>476</v>
      </c>
      <c r="S369" s="267" t="s">
        <v>825</v>
      </c>
      <c r="T369" s="268"/>
      <c r="U369" s="269">
        <v>155999998</v>
      </c>
      <c r="V369" s="269">
        <v>63960000</v>
      </c>
      <c r="W369" s="278">
        <v>94920000</v>
      </c>
      <c r="X369" s="270"/>
      <c r="Y369" s="262" t="s">
        <v>27</v>
      </c>
      <c r="Z369" s="271" t="s">
        <v>20</v>
      </c>
      <c r="AA369" s="287"/>
      <c r="AB369" s="287"/>
      <c r="AC369" s="272">
        <f t="shared" si="13"/>
        <v>0</v>
      </c>
      <c r="AD369" s="272">
        <v>0</v>
      </c>
      <c r="AE369" s="272">
        <f t="shared" si="14"/>
        <v>0</v>
      </c>
      <c r="AF369" s="273"/>
      <c r="AG369" s="274"/>
      <c r="AH369" s="273"/>
      <c r="AI369" s="273"/>
      <c r="AJ369" s="274"/>
      <c r="AK369" s="273"/>
      <c r="AL369" s="275"/>
      <c r="AM369" s="290"/>
      <c r="AN369" s="275"/>
      <c r="AO369" s="276"/>
      <c r="AP369" s="275"/>
      <c r="AQ369" s="275"/>
      <c r="AR369" s="275"/>
      <c r="AS369" s="275"/>
      <c r="AT369" s="275"/>
      <c r="AU369" s="275"/>
      <c r="AV369" s="275"/>
      <c r="AW369" s="275"/>
      <c r="AX369" s="275"/>
      <c r="AY369" s="275"/>
      <c r="AZ369" s="275"/>
      <c r="BA369" s="275"/>
      <c r="BB369" s="275"/>
      <c r="BC369" s="275"/>
      <c r="BD369" s="275"/>
      <c r="BE369" s="275"/>
      <c r="BF369" s="275"/>
      <c r="BH369" s="277"/>
    </row>
    <row r="370" spans="1:60" ht="16.5" hidden="1" customHeight="1" x14ac:dyDescent="0.3">
      <c r="A370" s="260">
        <v>348</v>
      </c>
      <c r="B370" s="261"/>
      <c r="C370" s="261"/>
      <c r="D370" s="262" t="s">
        <v>15</v>
      </c>
      <c r="E370" s="262" t="s">
        <v>364</v>
      </c>
      <c r="F370" s="263" t="s">
        <v>15</v>
      </c>
      <c r="G370" s="264" t="s">
        <v>364</v>
      </c>
      <c r="H370" s="281"/>
      <c r="I370" s="265"/>
      <c r="J370" s="266" t="s">
        <v>757</v>
      </c>
      <c r="K370" s="262"/>
      <c r="L370" s="262"/>
      <c r="M370" s="262">
        <v>46319</v>
      </c>
      <c r="N370" s="262" t="s">
        <v>32</v>
      </c>
      <c r="O370" s="262" t="s">
        <v>35</v>
      </c>
      <c r="P370" s="262"/>
      <c r="Q370" s="262"/>
      <c r="R370" s="262"/>
      <c r="S370" s="267" t="s">
        <v>478</v>
      </c>
      <c r="T370" s="268"/>
      <c r="U370" s="269"/>
      <c r="V370" s="269"/>
      <c r="W370" s="278">
        <v>6320000</v>
      </c>
      <c r="X370" s="270"/>
      <c r="Y370" s="262"/>
      <c r="Z370" s="271" t="s">
        <v>25</v>
      </c>
      <c r="AA370" s="287"/>
      <c r="AB370" s="287"/>
      <c r="AC370" s="272">
        <f t="shared" si="13"/>
        <v>10000000</v>
      </c>
      <c r="AD370" s="272">
        <v>10000000</v>
      </c>
      <c r="AE370" s="272">
        <f t="shared" si="14"/>
        <v>0</v>
      </c>
      <c r="AF370" s="273"/>
      <c r="AG370" s="274"/>
      <c r="AH370" s="273"/>
      <c r="AI370" s="273"/>
      <c r="AJ370" s="274"/>
      <c r="AK370" s="273"/>
      <c r="AL370" s="275"/>
      <c r="AM370" s="290"/>
      <c r="AN370" s="275"/>
      <c r="AO370" s="276"/>
      <c r="AP370" s="275"/>
      <c r="AQ370" s="275"/>
      <c r="AR370" s="275"/>
      <c r="AS370" s="275"/>
      <c r="AT370" s="275"/>
      <c r="AU370" s="275"/>
      <c r="AV370" s="275"/>
      <c r="AW370" s="275"/>
      <c r="AX370" s="275"/>
      <c r="AY370" s="275">
        <v>10000000</v>
      </c>
      <c r="AZ370" s="275"/>
      <c r="BA370" s="275"/>
      <c r="BB370" s="275"/>
      <c r="BC370" s="275"/>
      <c r="BD370" s="275"/>
      <c r="BE370" s="275"/>
      <c r="BF370" s="275"/>
      <c r="BH370" s="277"/>
    </row>
    <row r="371" spans="1:60" ht="16.5" hidden="1" customHeight="1" x14ac:dyDescent="0.3">
      <c r="A371" s="260">
        <v>349</v>
      </c>
      <c r="B371" s="261"/>
      <c r="C371" s="261"/>
      <c r="D371" s="262" t="s">
        <v>15</v>
      </c>
      <c r="E371" s="262" t="s">
        <v>364</v>
      </c>
      <c r="F371" s="263" t="s">
        <v>15</v>
      </c>
      <c r="G371" s="264" t="s">
        <v>364</v>
      </c>
      <c r="H371" s="281"/>
      <c r="I371" s="265"/>
      <c r="J371" s="266" t="s">
        <v>757</v>
      </c>
      <c r="K371" s="262"/>
      <c r="L371" s="262"/>
      <c r="M371" s="262">
        <v>46319</v>
      </c>
      <c r="N371" s="262" t="s">
        <v>32</v>
      </c>
      <c r="O371" s="262" t="s">
        <v>35</v>
      </c>
      <c r="P371" s="262"/>
      <c r="Q371" s="262"/>
      <c r="R371" s="262"/>
      <c r="S371" s="267" t="s">
        <v>822</v>
      </c>
      <c r="T371" s="268"/>
      <c r="U371" s="269"/>
      <c r="V371" s="269"/>
      <c r="W371" s="278">
        <v>0</v>
      </c>
      <c r="X371" s="270"/>
      <c r="Y371" s="262"/>
      <c r="Z371" s="271" t="s">
        <v>25</v>
      </c>
      <c r="AA371" s="287"/>
      <c r="AB371" s="287"/>
      <c r="AC371" s="272">
        <f t="shared" si="13"/>
        <v>10000000</v>
      </c>
      <c r="AD371" s="272">
        <v>10000000</v>
      </c>
      <c r="AE371" s="272">
        <f t="shared" si="14"/>
        <v>0</v>
      </c>
      <c r="AF371" s="273"/>
      <c r="AG371" s="274"/>
      <c r="AH371" s="273"/>
      <c r="AI371" s="273"/>
      <c r="AJ371" s="274"/>
      <c r="AK371" s="273"/>
      <c r="AL371" s="275"/>
      <c r="AM371" s="290"/>
      <c r="AN371" s="275"/>
      <c r="AO371" s="276"/>
      <c r="AP371" s="275"/>
      <c r="AQ371" s="275"/>
      <c r="AR371" s="275"/>
      <c r="AS371" s="275">
        <v>10000000</v>
      </c>
      <c r="AT371" s="275"/>
      <c r="AU371" s="275"/>
      <c r="AV371" s="275"/>
      <c r="AW371" s="275"/>
      <c r="AX371" s="275"/>
      <c r="AY371" s="275">
        <v>0</v>
      </c>
      <c r="AZ371" s="275"/>
      <c r="BA371" s="275"/>
      <c r="BB371" s="275"/>
      <c r="BC371" s="275"/>
      <c r="BD371" s="275"/>
      <c r="BE371" s="275"/>
      <c r="BF371" s="275"/>
      <c r="BH371" s="277"/>
    </row>
    <row r="372" spans="1:60" ht="16.5" hidden="1" customHeight="1" x14ac:dyDescent="0.3">
      <c r="A372" s="260">
        <v>350</v>
      </c>
      <c r="B372" s="261"/>
      <c r="C372" s="261"/>
      <c r="D372" s="262" t="s">
        <v>15</v>
      </c>
      <c r="E372" s="262" t="s">
        <v>364</v>
      </c>
      <c r="F372" s="263" t="s">
        <v>15</v>
      </c>
      <c r="G372" s="264" t="s">
        <v>364</v>
      </c>
      <c r="H372" s="281"/>
      <c r="I372" s="265"/>
      <c r="J372" s="266" t="s">
        <v>757</v>
      </c>
      <c r="K372" s="262"/>
      <c r="L372" s="262"/>
      <c r="M372" s="262">
        <v>46319</v>
      </c>
      <c r="N372" s="262" t="s">
        <v>32</v>
      </c>
      <c r="O372" s="262" t="s">
        <v>35</v>
      </c>
      <c r="P372" s="262"/>
      <c r="Q372" s="262"/>
      <c r="R372" s="262"/>
      <c r="S372" s="267" t="s">
        <v>828</v>
      </c>
      <c r="T372" s="268"/>
      <c r="U372" s="269"/>
      <c r="V372" s="269"/>
      <c r="W372" s="278">
        <v>0</v>
      </c>
      <c r="X372" s="270"/>
      <c r="Y372" s="262"/>
      <c r="Z372" s="271" t="s">
        <v>25</v>
      </c>
      <c r="AA372" s="287"/>
      <c r="AB372" s="287"/>
      <c r="AC372" s="272">
        <f t="shared" si="13"/>
        <v>10000000</v>
      </c>
      <c r="AD372" s="272">
        <v>10000000</v>
      </c>
      <c r="AE372" s="272">
        <f t="shared" si="14"/>
        <v>0</v>
      </c>
      <c r="AF372" s="273"/>
      <c r="AG372" s="274"/>
      <c r="AH372" s="273"/>
      <c r="AI372" s="273"/>
      <c r="AJ372" s="274"/>
      <c r="AK372" s="273"/>
      <c r="AL372" s="275"/>
      <c r="AM372" s="290"/>
      <c r="AN372" s="275"/>
      <c r="AO372" s="276"/>
      <c r="AP372" s="275"/>
      <c r="AQ372" s="275"/>
      <c r="AR372" s="275"/>
      <c r="AS372" s="275">
        <v>10000000</v>
      </c>
      <c r="AT372" s="275"/>
      <c r="AU372" s="275"/>
      <c r="AV372" s="275"/>
      <c r="AW372" s="275"/>
      <c r="AX372" s="275"/>
      <c r="AY372" s="275">
        <v>0</v>
      </c>
      <c r="AZ372" s="275"/>
      <c r="BA372" s="275"/>
      <c r="BB372" s="275"/>
      <c r="BC372" s="275"/>
      <c r="BD372" s="275"/>
      <c r="BE372" s="275"/>
      <c r="BF372" s="275"/>
      <c r="BH372" s="277"/>
    </row>
    <row r="373" spans="1:60" ht="16.5" hidden="1" customHeight="1" x14ac:dyDescent="0.3">
      <c r="A373" s="260">
        <v>351</v>
      </c>
      <c r="B373" s="261"/>
      <c r="C373" s="261"/>
      <c r="D373" s="262" t="s">
        <v>15</v>
      </c>
      <c r="E373" s="262" t="s">
        <v>364</v>
      </c>
      <c r="F373" s="263" t="s">
        <v>15</v>
      </c>
      <c r="G373" s="264" t="s">
        <v>364</v>
      </c>
      <c r="H373" s="281"/>
      <c r="I373" s="265"/>
      <c r="J373" s="266" t="s">
        <v>371</v>
      </c>
      <c r="K373" s="262"/>
      <c r="L373" s="262"/>
      <c r="M373" s="262">
        <v>10461</v>
      </c>
      <c r="N373" s="262" t="s">
        <v>32</v>
      </c>
      <c r="O373" s="262" t="s">
        <v>56</v>
      </c>
      <c r="P373" s="262" t="s">
        <v>57</v>
      </c>
      <c r="Q373" s="262" t="s">
        <v>63</v>
      </c>
      <c r="R373" s="262" t="s">
        <v>28</v>
      </c>
      <c r="S373" s="267" t="s">
        <v>28</v>
      </c>
      <c r="T373" s="268"/>
      <c r="U373" s="269">
        <v>80000000</v>
      </c>
      <c r="V373" s="269">
        <v>87272727</v>
      </c>
      <c r="W373" s="278">
        <v>101818181</v>
      </c>
      <c r="X373" s="270"/>
      <c r="Y373" s="262" t="s">
        <v>27</v>
      </c>
      <c r="Z373" s="271" t="s">
        <v>27</v>
      </c>
      <c r="AA373" s="287"/>
      <c r="AB373" s="287"/>
      <c r="AC373" s="272">
        <f t="shared" si="13"/>
        <v>110000000</v>
      </c>
      <c r="AD373" s="272">
        <v>110000000</v>
      </c>
      <c r="AE373" s="272">
        <f t="shared" si="14"/>
        <v>0</v>
      </c>
      <c r="AF373" s="273"/>
      <c r="AG373" s="274"/>
      <c r="AH373" s="273"/>
      <c r="AI373" s="273"/>
      <c r="AJ373" s="274"/>
      <c r="AK373" s="273"/>
      <c r="AL373" s="275"/>
      <c r="AM373" s="290"/>
      <c r="AN373" s="275"/>
      <c r="AO373" s="276"/>
      <c r="AP373" s="275"/>
      <c r="AQ373" s="275"/>
      <c r="AR373" s="275"/>
      <c r="AS373" s="275"/>
      <c r="AT373" s="275"/>
      <c r="AU373" s="275">
        <v>60000000</v>
      </c>
      <c r="AV373" s="275"/>
      <c r="AW373" s="275"/>
      <c r="AX373" s="275"/>
      <c r="AY373" s="275"/>
      <c r="AZ373" s="275"/>
      <c r="BA373" s="275"/>
      <c r="BB373" s="275"/>
      <c r="BC373" s="275"/>
      <c r="BD373" s="275"/>
      <c r="BE373" s="275">
        <v>50000000</v>
      </c>
      <c r="BF373" s="275"/>
      <c r="BH373" s="277"/>
    </row>
    <row r="374" spans="1:60" ht="16.5" hidden="1" customHeight="1" x14ac:dyDescent="0.3">
      <c r="A374" s="260">
        <v>352</v>
      </c>
      <c r="B374" s="261"/>
      <c r="C374" s="261"/>
      <c r="D374" s="262" t="s">
        <v>15</v>
      </c>
      <c r="E374" s="262" t="s">
        <v>364</v>
      </c>
      <c r="F374" s="263" t="s">
        <v>15</v>
      </c>
      <c r="G374" s="264" t="s">
        <v>364</v>
      </c>
      <c r="H374" s="281"/>
      <c r="I374" s="265"/>
      <c r="J374" s="266" t="s">
        <v>625</v>
      </c>
      <c r="K374" s="262"/>
      <c r="L374" s="262"/>
      <c r="M374" s="262">
        <v>61976</v>
      </c>
      <c r="N374" s="262" t="s">
        <v>32</v>
      </c>
      <c r="O374" s="262" t="s">
        <v>35</v>
      </c>
      <c r="P374" s="262" t="s">
        <v>124</v>
      </c>
      <c r="Q374" s="262" t="s">
        <v>44</v>
      </c>
      <c r="R374" s="262" t="s">
        <v>469</v>
      </c>
      <c r="S374" s="267" t="s">
        <v>469</v>
      </c>
      <c r="T374" s="268"/>
      <c r="U374" s="269"/>
      <c r="V374" s="269">
        <v>6000000</v>
      </c>
      <c r="W374" s="278">
        <v>0</v>
      </c>
      <c r="X374" s="270"/>
      <c r="Y374" s="262" t="s">
        <v>20</v>
      </c>
      <c r="Z374" s="271" t="s">
        <v>24</v>
      </c>
      <c r="AA374" s="287"/>
      <c r="AB374" s="287"/>
      <c r="AC374" s="272">
        <f t="shared" si="13"/>
        <v>6000000</v>
      </c>
      <c r="AD374" s="272">
        <v>6000000</v>
      </c>
      <c r="AE374" s="272">
        <f t="shared" si="14"/>
        <v>0</v>
      </c>
      <c r="AF374" s="273"/>
      <c r="AG374" s="274"/>
      <c r="AH374" s="273"/>
      <c r="AI374" s="273"/>
      <c r="AJ374" s="274"/>
      <c r="AK374" s="273"/>
      <c r="AL374" s="275"/>
      <c r="AM374" s="290"/>
      <c r="AN374" s="275"/>
      <c r="AO374" s="276"/>
      <c r="AP374" s="275"/>
      <c r="AQ374" s="275"/>
      <c r="AR374" s="275"/>
      <c r="AS374" s="275"/>
      <c r="AT374" s="275"/>
      <c r="AU374" s="275"/>
      <c r="AV374" s="275"/>
      <c r="AW374" s="275"/>
      <c r="AX374" s="275"/>
      <c r="AY374" s="275"/>
      <c r="AZ374" s="275"/>
      <c r="BA374" s="275"/>
      <c r="BB374" s="275"/>
      <c r="BC374" s="275">
        <v>6000000</v>
      </c>
      <c r="BD374" s="275"/>
      <c r="BE374" s="275"/>
      <c r="BF374" s="275"/>
      <c r="BH374" s="277"/>
    </row>
    <row r="375" spans="1:60" ht="16.5" hidden="1" customHeight="1" x14ac:dyDescent="0.3">
      <c r="A375" s="260">
        <v>353</v>
      </c>
      <c r="B375" s="261"/>
      <c r="C375" s="261"/>
      <c r="D375" s="262" t="s">
        <v>15</v>
      </c>
      <c r="E375" s="262" t="s">
        <v>364</v>
      </c>
      <c r="F375" s="263" t="s">
        <v>15</v>
      </c>
      <c r="G375" s="264" t="s">
        <v>364</v>
      </c>
      <c r="H375" s="281"/>
      <c r="I375" s="265"/>
      <c r="J375" s="266" t="s">
        <v>374</v>
      </c>
      <c r="K375" s="262"/>
      <c r="L375" s="262"/>
      <c r="M375" s="262">
        <v>3889</v>
      </c>
      <c r="N375" s="262" t="s">
        <v>22</v>
      </c>
      <c r="O375" s="262" t="s">
        <v>56</v>
      </c>
      <c r="P375" s="262" t="s">
        <v>156</v>
      </c>
      <c r="Q375" s="262" t="s">
        <v>23</v>
      </c>
      <c r="R375" s="262" t="s">
        <v>397</v>
      </c>
      <c r="S375" s="267" t="s">
        <v>823</v>
      </c>
      <c r="T375" s="268"/>
      <c r="U375" s="269" t="s">
        <v>154</v>
      </c>
      <c r="V375" s="269">
        <v>90000000</v>
      </c>
      <c r="W375" s="278">
        <v>35200000</v>
      </c>
      <c r="X375" s="270"/>
      <c r="Y375" s="262" t="s">
        <v>24</v>
      </c>
      <c r="Z375" s="271" t="s">
        <v>27</v>
      </c>
      <c r="AA375" s="287"/>
      <c r="AB375" s="287"/>
      <c r="AC375" s="272">
        <f t="shared" si="13"/>
        <v>7818182</v>
      </c>
      <c r="AD375" s="272">
        <v>7818182</v>
      </c>
      <c r="AE375" s="272">
        <f t="shared" si="14"/>
        <v>0</v>
      </c>
      <c r="AF375" s="273"/>
      <c r="AG375" s="274"/>
      <c r="AH375" s="273"/>
      <c r="AI375" s="273"/>
      <c r="AJ375" s="274"/>
      <c r="AK375" s="273"/>
      <c r="AL375" s="275">
        <v>1818182</v>
      </c>
      <c r="AM375" s="290">
        <v>1818182</v>
      </c>
      <c r="AN375" s="275"/>
      <c r="AO375" s="276"/>
      <c r="AP375" s="275"/>
      <c r="AQ375" s="275"/>
      <c r="AR375" s="275"/>
      <c r="AS375" s="275"/>
      <c r="AT375" s="275"/>
      <c r="AU375" s="275"/>
      <c r="AV375" s="275"/>
      <c r="AW375" s="275"/>
      <c r="AX375" s="275"/>
      <c r="AY375" s="275">
        <v>0</v>
      </c>
      <c r="AZ375" s="275"/>
      <c r="BA375" s="275"/>
      <c r="BB375" s="275"/>
      <c r="BC375" s="275">
        <v>6000000</v>
      </c>
      <c r="BD375" s="275"/>
      <c r="BE375" s="275"/>
      <c r="BF375" s="275"/>
      <c r="BH375" s="277"/>
    </row>
    <row r="376" spans="1:60" ht="16.5" hidden="1" customHeight="1" x14ac:dyDescent="0.3">
      <c r="A376" s="260">
        <v>354</v>
      </c>
      <c r="B376" s="261"/>
      <c r="C376" s="261"/>
      <c r="D376" s="262" t="s">
        <v>15</v>
      </c>
      <c r="E376" s="262" t="s">
        <v>364</v>
      </c>
      <c r="F376" s="263" t="s">
        <v>15</v>
      </c>
      <c r="G376" s="264" t="s">
        <v>364</v>
      </c>
      <c r="H376" s="281"/>
      <c r="I376" s="265"/>
      <c r="J376" s="266" t="s">
        <v>568</v>
      </c>
      <c r="K376" s="262"/>
      <c r="L376" s="262"/>
      <c r="M376" s="262">
        <v>1261</v>
      </c>
      <c r="N376" s="262" t="s">
        <v>53</v>
      </c>
      <c r="O376" s="262" t="s">
        <v>212</v>
      </c>
      <c r="P376" s="262" t="s">
        <v>57</v>
      </c>
      <c r="Q376" s="262" t="s">
        <v>63</v>
      </c>
      <c r="R376" s="262" t="s">
        <v>28</v>
      </c>
      <c r="S376" s="267" t="s">
        <v>28</v>
      </c>
      <c r="T376" s="268" t="s">
        <v>951</v>
      </c>
      <c r="U376" s="269">
        <v>55850920</v>
      </c>
      <c r="V376" s="269">
        <v>57024600</v>
      </c>
      <c r="W376" s="278">
        <v>55690100</v>
      </c>
      <c r="X376" s="270"/>
      <c r="Y376" s="262" t="s">
        <v>27</v>
      </c>
      <c r="Z376" s="271" t="s">
        <v>27</v>
      </c>
      <c r="AA376" s="287"/>
      <c r="AB376" s="287"/>
      <c r="AC376" s="272">
        <f t="shared" si="13"/>
        <v>48985000</v>
      </c>
      <c r="AD376" s="272">
        <v>48985000</v>
      </c>
      <c r="AE376" s="272">
        <f t="shared" si="14"/>
        <v>0</v>
      </c>
      <c r="AF376" s="273">
        <v>765400</v>
      </c>
      <c r="AG376" s="274">
        <v>765400</v>
      </c>
      <c r="AH376" s="273"/>
      <c r="AI376" s="273">
        <v>1333000</v>
      </c>
      <c r="AJ376" s="274">
        <v>1333000</v>
      </c>
      <c r="AK376" s="273"/>
      <c r="AL376" s="275">
        <v>1886600</v>
      </c>
      <c r="AM376" s="290">
        <v>1886600</v>
      </c>
      <c r="AN376" s="275"/>
      <c r="AO376" s="276">
        <v>5000000</v>
      </c>
      <c r="AP376" s="275"/>
      <c r="AQ376" s="275">
        <v>5000000</v>
      </c>
      <c r="AR376" s="275"/>
      <c r="AS376" s="275">
        <v>5000000</v>
      </c>
      <c r="AT376" s="275"/>
      <c r="AU376" s="275">
        <v>5000000</v>
      </c>
      <c r="AV376" s="275"/>
      <c r="AW376" s="275">
        <v>5000000</v>
      </c>
      <c r="AX376" s="275"/>
      <c r="AY376" s="275">
        <v>5000000</v>
      </c>
      <c r="AZ376" s="275"/>
      <c r="BA376" s="275">
        <v>5000000</v>
      </c>
      <c r="BB376" s="275"/>
      <c r="BC376" s="275">
        <v>5000000</v>
      </c>
      <c r="BD376" s="275"/>
      <c r="BE376" s="275">
        <v>5000000</v>
      </c>
      <c r="BF376" s="275"/>
      <c r="BH376" s="277"/>
    </row>
    <row r="377" spans="1:60" ht="16.5" hidden="1" customHeight="1" x14ac:dyDescent="0.3">
      <c r="A377" s="260">
        <v>355</v>
      </c>
      <c r="B377" s="261"/>
      <c r="C377" s="261"/>
      <c r="D377" s="262" t="s">
        <v>15</v>
      </c>
      <c r="E377" s="262" t="s">
        <v>364</v>
      </c>
      <c r="F377" s="263" t="s">
        <v>15</v>
      </c>
      <c r="G377" s="264" t="s">
        <v>364</v>
      </c>
      <c r="H377" s="281"/>
      <c r="I377" s="265"/>
      <c r="J377" s="266" t="s">
        <v>568</v>
      </c>
      <c r="K377" s="262"/>
      <c r="L377" s="262"/>
      <c r="M377" s="262">
        <v>1261</v>
      </c>
      <c r="N377" s="262" t="s">
        <v>53</v>
      </c>
      <c r="O377" s="262" t="s">
        <v>212</v>
      </c>
      <c r="P377" s="262" t="s">
        <v>57</v>
      </c>
      <c r="Q377" s="262" t="s">
        <v>30</v>
      </c>
      <c r="R377" s="262" t="s">
        <v>31</v>
      </c>
      <c r="S377" s="267" t="s">
        <v>31</v>
      </c>
      <c r="T377" s="268"/>
      <c r="U377" s="269">
        <v>3252500</v>
      </c>
      <c r="V377" s="269">
        <v>0</v>
      </c>
      <c r="W377" s="278">
        <v>0</v>
      </c>
      <c r="X377" s="270"/>
      <c r="Y377" s="262" t="s">
        <v>27</v>
      </c>
      <c r="Z377" s="271" t="s">
        <v>24</v>
      </c>
      <c r="AA377" s="287"/>
      <c r="AB377" s="287"/>
      <c r="AC377" s="272">
        <f t="shared" si="13"/>
        <v>25000000</v>
      </c>
      <c r="AD377" s="272">
        <v>25000000</v>
      </c>
      <c r="AE377" s="272">
        <f t="shared" si="14"/>
        <v>0</v>
      </c>
      <c r="AF377" s="273"/>
      <c r="AG377" s="274"/>
      <c r="AH377" s="273"/>
      <c r="AI377" s="273"/>
      <c r="AJ377" s="274"/>
      <c r="AK377" s="273"/>
      <c r="AL377" s="275"/>
      <c r="AM377" s="290"/>
      <c r="AN377" s="275"/>
      <c r="AO377" s="276"/>
      <c r="AP377" s="275"/>
      <c r="AQ377" s="275"/>
      <c r="AR377" s="275"/>
      <c r="AS377" s="275"/>
      <c r="AT377" s="275"/>
      <c r="AU377" s="275"/>
      <c r="AV377" s="275"/>
      <c r="AW377" s="275"/>
      <c r="AX377" s="275"/>
      <c r="AY377" s="275">
        <v>25000000</v>
      </c>
      <c r="AZ377" s="275"/>
      <c r="BA377" s="275"/>
      <c r="BB377" s="275"/>
      <c r="BC377" s="275"/>
      <c r="BD377" s="275"/>
      <c r="BE377" s="275"/>
      <c r="BF377" s="275"/>
      <c r="BH377" s="277"/>
    </row>
    <row r="378" spans="1:60" ht="16.5" hidden="1" customHeight="1" x14ac:dyDescent="0.3">
      <c r="A378" s="260">
        <v>356</v>
      </c>
      <c r="B378" s="261"/>
      <c r="C378" s="261"/>
      <c r="D378" s="262" t="s">
        <v>15</v>
      </c>
      <c r="E378" s="262" t="s">
        <v>364</v>
      </c>
      <c r="F378" s="263" t="s">
        <v>15</v>
      </c>
      <c r="G378" s="264" t="s">
        <v>364</v>
      </c>
      <c r="H378" s="281"/>
      <c r="I378" s="265"/>
      <c r="J378" s="266" t="s">
        <v>568</v>
      </c>
      <c r="K378" s="262"/>
      <c r="L378" s="262"/>
      <c r="M378" s="262">
        <v>1261</v>
      </c>
      <c r="N378" s="262" t="s">
        <v>53</v>
      </c>
      <c r="O378" s="262" t="s">
        <v>35</v>
      </c>
      <c r="P378" s="262" t="s">
        <v>57</v>
      </c>
      <c r="Q378" s="262"/>
      <c r="R378" s="262"/>
      <c r="S378" s="267" t="s">
        <v>478</v>
      </c>
      <c r="T378" s="268"/>
      <c r="U378" s="269"/>
      <c r="V378" s="269"/>
      <c r="W378" s="278">
        <v>0</v>
      </c>
      <c r="X378" s="270"/>
      <c r="Y378" s="262"/>
      <c r="Z378" s="271" t="s">
        <v>27</v>
      </c>
      <c r="AA378" s="287"/>
      <c r="AB378" s="287"/>
      <c r="AC378" s="272">
        <f t="shared" si="13"/>
        <v>5000000</v>
      </c>
      <c r="AD378" s="272">
        <v>5000000</v>
      </c>
      <c r="AE378" s="272">
        <f t="shared" si="14"/>
        <v>0</v>
      </c>
      <c r="AF378" s="273"/>
      <c r="AG378" s="274"/>
      <c r="AH378" s="273"/>
      <c r="AI378" s="273"/>
      <c r="AJ378" s="274"/>
      <c r="AK378" s="273"/>
      <c r="AL378" s="275"/>
      <c r="AM378" s="290"/>
      <c r="AN378" s="275"/>
      <c r="AO378" s="276"/>
      <c r="AP378" s="275"/>
      <c r="AQ378" s="275">
        <v>5000000</v>
      </c>
      <c r="AR378" s="275"/>
      <c r="AS378" s="275"/>
      <c r="AT378" s="275"/>
      <c r="AU378" s="275"/>
      <c r="AV378" s="275"/>
      <c r="AW378" s="275"/>
      <c r="AX378" s="275"/>
      <c r="AY378" s="275"/>
      <c r="AZ378" s="275"/>
      <c r="BA378" s="275"/>
      <c r="BB378" s="275"/>
      <c r="BC378" s="275"/>
      <c r="BD378" s="275"/>
      <c r="BE378" s="275"/>
      <c r="BF378" s="275"/>
      <c r="BH378" s="277"/>
    </row>
    <row r="379" spans="1:60" ht="16.5" hidden="1" customHeight="1" x14ac:dyDescent="0.3">
      <c r="A379" s="260">
        <v>357</v>
      </c>
      <c r="B379" s="261"/>
      <c r="C379" s="261"/>
      <c r="D379" s="262" t="s">
        <v>15</v>
      </c>
      <c r="E379" s="262" t="s">
        <v>364</v>
      </c>
      <c r="F379" s="263" t="s">
        <v>15</v>
      </c>
      <c r="G379" s="264" t="s">
        <v>364</v>
      </c>
      <c r="H379" s="281"/>
      <c r="I379" s="265"/>
      <c r="J379" s="266" t="s">
        <v>568</v>
      </c>
      <c r="K379" s="262"/>
      <c r="L379" s="262"/>
      <c r="M379" s="262">
        <v>1261</v>
      </c>
      <c r="N379" s="262" t="s">
        <v>53</v>
      </c>
      <c r="O379" s="262" t="s">
        <v>56</v>
      </c>
      <c r="P379" s="262" t="s">
        <v>57</v>
      </c>
      <c r="Q379" s="262" t="s">
        <v>63</v>
      </c>
      <c r="R379" s="262" t="s">
        <v>473</v>
      </c>
      <c r="S379" s="267" t="s">
        <v>828</v>
      </c>
      <c r="T379" s="268"/>
      <c r="U379" s="269"/>
      <c r="V379" s="269">
        <v>0</v>
      </c>
      <c r="W379" s="278">
        <v>0</v>
      </c>
      <c r="X379" s="270"/>
      <c r="Y379" s="262" t="s">
        <v>25</v>
      </c>
      <c r="Z379" s="271" t="s">
        <v>25</v>
      </c>
      <c r="AA379" s="287"/>
      <c r="AB379" s="287"/>
      <c r="AC379" s="272">
        <f t="shared" si="13"/>
        <v>10000000</v>
      </c>
      <c r="AD379" s="272">
        <v>10000000</v>
      </c>
      <c r="AE379" s="272">
        <f t="shared" si="14"/>
        <v>0</v>
      </c>
      <c r="AF379" s="273"/>
      <c r="AG379" s="274"/>
      <c r="AH379" s="273"/>
      <c r="AI379" s="273"/>
      <c r="AJ379" s="274"/>
      <c r="AK379" s="273"/>
      <c r="AL379" s="275"/>
      <c r="AM379" s="290"/>
      <c r="AN379" s="275"/>
      <c r="AO379" s="276"/>
      <c r="AP379" s="275"/>
      <c r="AQ379" s="275"/>
      <c r="AR379" s="275"/>
      <c r="AS379" s="275"/>
      <c r="AT379" s="275"/>
      <c r="AU379" s="275"/>
      <c r="AV379" s="275"/>
      <c r="AW379" s="275"/>
      <c r="AX379" s="275"/>
      <c r="AY379" s="275"/>
      <c r="AZ379" s="275"/>
      <c r="BA379" s="275"/>
      <c r="BB379" s="275"/>
      <c r="BC379" s="275"/>
      <c r="BD379" s="275"/>
      <c r="BE379" s="275">
        <v>10000000</v>
      </c>
      <c r="BF379" s="275"/>
      <c r="BH379" s="277"/>
    </row>
    <row r="380" spans="1:60" ht="16.5" hidden="1" customHeight="1" x14ac:dyDescent="0.3">
      <c r="A380" s="260">
        <v>358</v>
      </c>
      <c r="B380" s="261"/>
      <c r="C380" s="261"/>
      <c r="D380" s="262" t="s">
        <v>15</v>
      </c>
      <c r="E380" s="262" t="s">
        <v>364</v>
      </c>
      <c r="F380" s="263" t="s">
        <v>15</v>
      </c>
      <c r="G380" s="264" t="s">
        <v>364</v>
      </c>
      <c r="H380" s="281"/>
      <c r="I380" s="265"/>
      <c r="J380" s="266" t="s">
        <v>568</v>
      </c>
      <c r="K380" s="262"/>
      <c r="L380" s="262"/>
      <c r="M380" s="262">
        <v>1261</v>
      </c>
      <c r="N380" s="262" t="s">
        <v>53</v>
      </c>
      <c r="O380" s="262" t="s">
        <v>35</v>
      </c>
      <c r="P380" s="262" t="s">
        <v>57</v>
      </c>
      <c r="Q380" s="262"/>
      <c r="R380" s="262"/>
      <c r="S380" s="267" t="s">
        <v>830</v>
      </c>
      <c r="T380" s="268"/>
      <c r="U380" s="269"/>
      <c r="V380" s="269"/>
      <c r="W380" s="278">
        <v>0</v>
      </c>
      <c r="X380" s="270"/>
      <c r="Y380" s="262"/>
      <c r="Z380" s="271" t="s">
        <v>25</v>
      </c>
      <c r="AA380" s="287"/>
      <c r="AB380" s="287"/>
      <c r="AC380" s="272">
        <f t="shared" si="13"/>
        <v>15000000</v>
      </c>
      <c r="AD380" s="272">
        <v>15000000</v>
      </c>
      <c r="AE380" s="272">
        <f t="shared" si="14"/>
        <v>0</v>
      </c>
      <c r="AF380" s="273"/>
      <c r="AG380" s="274"/>
      <c r="AH380" s="273"/>
      <c r="AI380" s="273"/>
      <c r="AJ380" s="274"/>
      <c r="AK380" s="273"/>
      <c r="AL380" s="275"/>
      <c r="AM380" s="290"/>
      <c r="AN380" s="275"/>
      <c r="AO380" s="276"/>
      <c r="AP380" s="275"/>
      <c r="AQ380" s="275"/>
      <c r="AR380" s="275"/>
      <c r="AS380" s="275"/>
      <c r="AT380" s="275"/>
      <c r="AU380" s="275"/>
      <c r="AV380" s="275"/>
      <c r="AW380" s="275"/>
      <c r="AX380" s="275"/>
      <c r="AY380" s="275">
        <v>15000000</v>
      </c>
      <c r="AZ380" s="275"/>
      <c r="BA380" s="275"/>
      <c r="BB380" s="275"/>
      <c r="BC380" s="275"/>
      <c r="BD380" s="275"/>
      <c r="BE380" s="275"/>
      <c r="BF380" s="275"/>
      <c r="BH380" s="277"/>
    </row>
    <row r="381" spans="1:60" ht="16.5" hidden="1" customHeight="1" x14ac:dyDescent="0.3">
      <c r="A381" s="260">
        <v>359</v>
      </c>
      <c r="B381" s="261"/>
      <c r="C381" s="261"/>
      <c r="D381" s="262" t="s">
        <v>15</v>
      </c>
      <c r="E381" s="262" t="s">
        <v>364</v>
      </c>
      <c r="F381" s="263" t="s">
        <v>15</v>
      </c>
      <c r="G381" s="264" t="s">
        <v>364</v>
      </c>
      <c r="H381" s="281"/>
      <c r="I381" s="265"/>
      <c r="J381" s="266" t="s">
        <v>375</v>
      </c>
      <c r="K381" s="262"/>
      <c r="L381" s="262"/>
      <c r="M381" s="262">
        <v>14087</v>
      </c>
      <c r="N381" s="262" t="s">
        <v>32</v>
      </c>
      <c r="O381" s="262" t="s">
        <v>35</v>
      </c>
      <c r="P381" s="262" t="s">
        <v>57</v>
      </c>
      <c r="Q381" s="262"/>
      <c r="R381" s="262" t="s">
        <v>19</v>
      </c>
      <c r="S381" s="267" t="s">
        <v>19</v>
      </c>
      <c r="T381" s="268"/>
      <c r="U381" s="269"/>
      <c r="V381" s="269"/>
      <c r="W381" s="278">
        <v>0</v>
      </c>
      <c r="X381" s="270"/>
      <c r="Y381" s="262" t="s">
        <v>27</v>
      </c>
      <c r="Z381" s="271" t="s">
        <v>27</v>
      </c>
      <c r="AA381" s="287"/>
      <c r="AB381" s="287"/>
      <c r="AC381" s="272">
        <f t="shared" si="13"/>
        <v>27000000</v>
      </c>
      <c r="AD381" s="272">
        <v>27000000</v>
      </c>
      <c r="AE381" s="272">
        <f t="shared" si="14"/>
        <v>0</v>
      </c>
      <c r="AF381" s="273"/>
      <c r="AG381" s="274"/>
      <c r="AH381" s="273"/>
      <c r="AI381" s="273"/>
      <c r="AJ381" s="274"/>
      <c r="AK381" s="273"/>
      <c r="AL381" s="275"/>
      <c r="AM381" s="290"/>
      <c r="AN381" s="275"/>
      <c r="AO381" s="276"/>
      <c r="AP381" s="275"/>
      <c r="AQ381" s="275"/>
      <c r="AR381" s="275"/>
      <c r="AS381" s="275"/>
      <c r="AT381" s="275"/>
      <c r="AU381" s="275"/>
      <c r="AV381" s="275"/>
      <c r="AW381" s="275"/>
      <c r="AX381" s="275"/>
      <c r="AY381" s="275"/>
      <c r="AZ381" s="275"/>
      <c r="BA381" s="275">
        <v>27000000</v>
      </c>
      <c r="BB381" s="275"/>
      <c r="BC381" s="275"/>
      <c r="BD381" s="275"/>
      <c r="BE381" s="275"/>
      <c r="BF381" s="275"/>
      <c r="BH381" s="277"/>
    </row>
    <row r="382" spans="1:60" ht="16.5" hidden="1" customHeight="1" x14ac:dyDescent="0.3">
      <c r="A382" s="260">
        <v>360</v>
      </c>
      <c r="B382" s="261"/>
      <c r="C382" s="261"/>
      <c r="D382" s="262" t="s">
        <v>15</v>
      </c>
      <c r="E382" s="262" t="s">
        <v>364</v>
      </c>
      <c r="F382" s="263" t="s">
        <v>15</v>
      </c>
      <c r="G382" s="264" t="s">
        <v>364</v>
      </c>
      <c r="H382" s="281"/>
      <c r="I382" s="265"/>
      <c r="J382" s="266" t="s">
        <v>375</v>
      </c>
      <c r="K382" s="262"/>
      <c r="L382" s="262"/>
      <c r="M382" s="262">
        <v>14087</v>
      </c>
      <c r="N382" s="262" t="s">
        <v>32</v>
      </c>
      <c r="O382" s="262" t="s">
        <v>212</v>
      </c>
      <c r="P382" s="262" t="s">
        <v>57</v>
      </c>
      <c r="Q382" s="262" t="s">
        <v>30</v>
      </c>
      <c r="R382" s="262" t="s">
        <v>31</v>
      </c>
      <c r="S382" s="267" t="s">
        <v>31</v>
      </c>
      <c r="T382" s="268"/>
      <c r="U382" s="269">
        <v>32888000</v>
      </c>
      <c r="V382" s="269">
        <v>11300000</v>
      </c>
      <c r="W382" s="278">
        <v>9169000</v>
      </c>
      <c r="X382" s="270"/>
      <c r="Y382" s="262" t="s">
        <v>27</v>
      </c>
      <c r="Z382" s="271" t="s">
        <v>24</v>
      </c>
      <c r="AA382" s="287"/>
      <c r="AB382" s="287"/>
      <c r="AC382" s="272">
        <f t="shared" si="13"/>
        <v>30000000</v>
      </c>
      <c r="AD382" s="272">
        <v>30000000</v>
      </c>
      <c r="AE382" s="272">
        <f t="shared" si="14"/>
        <v>0</v>
      </c>
      <c r="AF382" s="273"/>
      <c r="AG382" s="274"/>
      <c r="AH382" s="273"/>
      <c r="AI382" s="273"/>
      <c r="AJ382" s="274"/>
      <c r="AK382" s="273"/>
      <c r="AL382" s="275"/>
      <c r="AM382" s="290"/>
      <c r="AN382" s="275"/>
      <c r="AO382" s="276"/>
      <c r="AP382" s="275"/>
      <c r="AQ382" s="275"/>
      <c r="AR382" s="275"/>
      <c r="AS382" s="275"/>
      <c r="AT382" s="275"/>
      <c r="AU382" s="275"/>
      <c r="AV382" s="275"/>
      <c r="AW382" s="275"/>
      <c r="AX382" s="275"/>
      <c r="AY382" s="275"/>
      <c r="AZ382" s="275"/>
      <c r="BA382" s="275">
        <v>30000000</v>
      </c>
      <c r="BB382" s="275"/>
      <c r="BC382" s="275"/>
      <c r="BD382" s="275"/>
      <c r="BE382" s="275"/>
      <c r="BF382" s="275"/>
      <c r="BH382" s="277"/>
    </row>
    <row r="383" spans="1:60" ht="16.5" hidden="1" customHeight="1" x14ac:dyDescent="0.3">
      <c r="A383" s="260">
        <v>361</v>
      </c>
      <c r="B383" s="261"/>
      <c r="C383" s="261"/>
      <c r="D383" s="262"/>
      <c r="E383" s="262"/>
      <c r="F383" s="263" t="s">
        <v>15</v>
      </c>
      <c r="G383" s="264" t="s">
        <v>364</v>
      </c>
      <c r="H383" s="281"/>
      <c r="I383" s="265"/>
      <c r="J383" s="266" t="s">
        <v>375</v>
      </c>
      <c r="K383" s="262"/>
      <c r="L383" s="262"/>
      <c r="M383" s="262">
        <v>14087</v>
      </c>
      <c r="N383" s="262"/>
      <c r="O383" s="262"/>
      <c r="P383" s="262"/>
      <c r="Q383" s="262"/>
      <c r="R383" s="262"/>
      <c r="S383" s="267" t="s">
        <v>468</v>
      </c>
      <c r="T383" s="268"/>
      <c r="U383" s="269"/>
      <c r="V383" s="269"/>
      <c r="W383" s="278">
        <v>3000000</v>
      </c>
      <c r="X383" s="270"/>
      <c r="Y383" s="262"/>
      <c r="Z383" s="271" t="s">
        <v>718</v>
      </c>
      <c r="AA383" s="287"/>
      <c r="AB383" s="287"/>
      <c r="AC383" s="272">
        <f t="shared" si="13"/>
        <v>0</v>
      </c>
      <c r="AD383" s="272">
        <v>0</v>
      </c>
      <c r="AE383" s="272">
        <f t="shared" si="14"/>
        <v>0</v>
      </c>
      <c r="AF383" s="273"/>
      <c r="AG383" s="274"/>
      <c r="AH383" s="273"/>
      <c r="AI383" s="273"/>
      <c r="AJ383" s="274"/>
      <c r="AK383" s="273"/>
      <c r="AL383" s="275"/>
      <c r="AM383" s="290"/>
      <c r="AN383" s="275"/>
      <c r="AO383" s="276"/>
      <c r="AP383" s="275"/>
      <c r="AQ383" s="275"/>
      <c r="AR383" s="275"/>
      <c r="AS383" s="275"/>
      <c r="AT383" s="275"/>
      <c r="AU383" s="275"/>
      <c r="AV383" s="275"/>
      <c r="AW383" s="275"/>
      <c r="AX383" s="275"/>
      <c r="AY383" s="275"/>
      <c r="AZ383" s="275"/>
      <c r="BA383" s="275"/>
      <c r="BB383" s="275"/>
      <c r="BC383" s="275"/>
      <c r="BD383" s="275"/>
      <c r="BE383" s="275"/>
      <c r="BF383" s="275"/>
      <c r="BH383" s="277"/>
    </row>
    <row r="384" spans="1:60" ht="16.5" hidden="1" customHeight="1" x14ac:dyDescent="0.3">
      <c r="A384" s="260">
        <v>362</v>
      </c>
      <c r="B384" s="261"/>
      <c r="C384" s="261"/>
      <c r="D384" s="262" t="s">
        <v>15</v>
      </c>
      <c r="E384" s="262" t="s">
        <v>364</v>
      </c>
      <c r="F384" s="263" t="s">
        <v>15</v>
      </c>
      <c r="G384" s="264" t="s">
        <v>364</v>
      </c>
      <c r="H384" s="281"/>
      <c r="I384" s="265"/>
      <c r="J384" s="266" t="s">
        <v>375</v>
      </c>
      <c r="K384" s="262"/>
      <c r="L384" s="262"/>
      <c r="M384" s="262">
        <v>14087</v>
      </c>
      <c r="N384" s="262" t="s">
        <v>32</v>
      </c>
      <c r="O384" s="262" t="s">
        <v>35</v>
      </c>
      <c r="P384" s="262" t="s">
        <v>57</v>
      </c>
      <c r="Q384" s="262"/>
      <c r="R384" s="262"/>
      <c r="S384" s="267" t="s">
        <v>828</v>
      </c>
      <c r="T384" s="268"/>
      <c r="U384" s="269"/>
      <c r="V384" s="269"/>
      <c r="W384" s="278">
        <v>0</v>
      </c>
      <c r="X384" s="270"/>
      <c r="Y384" s="262"/>
      <c r="Z384" s="271" t="s">
        <v>25</v>
      </c>
      <c r="AA384" s="287"/>
      <c r="AB384" s="287"/>
      <c r="AC384" s="272">
        <f t="shared" si="13"/>
        <v>20000000</v>
      </c>
      <c r="AD384" s="272">
        <v>20000000</v>
      </c>
      <c r="AE384" s="272">
        <f t="shared" si="14"/>
        <v>0</v>
      </c>
      <c r="AF384" s="273"/>
      <c r="AG384" s="274"/>
      <c r="AH384" s="273"/>
      <c r="AI384" s="273"/>
      <c r="AJ384" s="274"/>
      <c r="AK384" s="273"/>
      <c r="AL384" s="275"/>
      <c r="AM384" s="290"/>
      <c r="AN384" s="275"/>
      <c r="AO384" s="276"/>
      <c r="AP384" s="275"/>
      <c r="AQ384" s="275"/>
      <c r="AR384" s="275"/>
      <c r="AS384" s="275">
        <v>20000000</v>
      </c>
      <c r="AT384" s="275"/>
      <c r="AU384" s="275"/>
      <c r="AV384" s="275"/>
      <c r="AW384" s="275"/>
      <c r="AX384" s="275"/>
      <c r="AY384" s="275"/>
      <c r="AZ384" s="275"/>
      <c r="BA384" s="275"/>
      <c r="BB384" s="275"/>
      <c r="BC384" s="275"/>
      <c r="BD384" s="275"/>
      <c r="BE384" s="275"/>
      <c r="BF384" s="275"/>
      <c r="BH384" s="277"/>
    </row>
    <row r="385" spans="1:60" ht="16.5" hidden="1" customHeight="1" x14ac:dyDescent="0.3">
      <c r="A385" s="260">
        <v>363</v>
      </c>
      <c r="B385" s="261"/>
      <c r="C385" s="261"/>
      <c r="D385" s="262"/>
      <c r="E385" s="262"/>
      <c r="F385" s="263" t="s">
        <v>15</v>
      </c>
      <c r="G385" s="264" t="s">
        <v>364</v>
      </c>
      <c r="H385" s="281"/>
      <c r="I385" s="265"/>
      <c r="J385" s="266" t="s">
        <v>375</v>
      </c>
      <c r="K385" s="262"/>
      <c r="L385" s="262"/>
      <c r="M385" s="262">
        <v>14087</v>
      </c>
      <c r="N385" s="262"/>
      <c r="O385" s="262"/>
      <c r="P385" s="262"/>
      <c r="Q385" s="262"/>
      <c r="R385" s="262"/>
      <c r="S385" s="267" t="s">
        <v>832</v>
      </c>
      <c r="T385" s="268"/>
      <c r="U385" s="269"/>
      <c r="V385" s="269"/>
      <c r="W385" s="278">
        <v>20870000</v>
      </c>
      <c r="X385" s="270"/>
      <c r="Y385" s="262"/>
      <c r="Z385" s="271" t="s">
        <v>718</v>
      </c>
      <c r="AA385" s="287"/>
      <c r="AB385" s="287"/>
      <c r="AC385" s="272">
        <f t="shared" si="13"/>
        <v>0</v>
      </c>
      <c r="AD385" s="272">
        <v>0</v>
      </c>
      <c r="AE385" s="272">
        <f t="shared" si="14"/>
        <v>0</v>
      </c>
      <c r="AF385" s="273"/>
      <c r="AG385" s="274"/>
      <c r="AH385" s="273"/>
      <c r="AI385" s="273"/>
      <c r="AJ385" s="274"/>
      <c r="AK385" s="273"/>
      <c r="AL385" s="275"/>
      <c r="AM385" s="290"/>
      <c r="AN385" s="275"/>
      <c r="AO385" s="276"/>
      <c r="AP385" s="275"/>
      <c r="AQ385" s="275"/>
      <c r="AR385" s="275"/>
      <c r="AS385" s="275"/>
      <c r="AT385" s="275"/>
      <c r="AU385" s="275"/>
      <c r="AV385" s="275"/>
      <c r="AW385" s="275"/>
      <c r="AX385" s="275"/>
      <c r="AY385" s="275"/>
      <c r="AZ385" s="275"/>
      <c r="BA385" s="275"/>
      <c r="BB385" s="275"/>
      <c r="BC385" s="275"/>
      <c r="BD385" s="275"/>
      <c r="BE385" s="275"/>
      <c r="BF385" s="275"/>
      <c r="BH385" s="277"/>
    </row>
    <row r="386" spans="1:60" ht="16.5" hidden="1" customHeight="1" x14ac:dyDescent="0.3">
      <c r="A386" s="260">
        <v>364</v>
      </c>
      <c r="B386" s="261"/>
      <c r="C386" s="261"/>
      <c r="D386" s="262" t="s">
        <v>15</v>
      </c>
      <c r="E386" s="262" t="s">
        <v>364</v>
      </c>
      <c r="F386" s="263" t="s">
        <v>15</v>
      </c>
      <c r="G386" s="264" t="s">
        <v>364</v>
      </c>
      <c r="H386" s="281"/>
      <c r="I386" s="265"/>
      <c r="J386" s="266" t="s">
        <v>375</v>
      </c>
      <c r="K386" s="262"/>
      <c r="L386" s="262"/>
      <c r="M386" s="262">
        <v>14087</v>
      </c>
      <c r="N386" s="262" t="s">
        <v>32</v>
      </c>
      <c r="O386" s="262" t="s">
        <v>35</v>
      </c>
      <c r="P386" s="262" t="s">
        <v>57</v>
      </c>
      <c r="Q386" s="262"/>
      <c r="R386" s="262"/>
      <c r="S386" s="267" t="s">
        <v>830</v>
      </c>
      <c r="T386" s="268"/>
      <c r="U386" s="269"/>
      <c r="V386" s="269"/>
      <c r="W386" s="278">
        <v>0</v>
      </c>
      <c r="X386" s="270"/>
      <c r="Y386" s="262"/>
      <c r="Z386" s="271" t="s">
        <v>24</v>
      </c>
      <c r="AA386" s="287"/>
      <c r="AB386" s="287"/>
      <c r="AC386" s="272">
        <f t="shared" si="13"/>
        <v>10000000</v>
      </c>
      <c r="AD386" s="272">
        <v>10000000</v>
      </c>
      <c r="AE386" s="272">
        <f t="shared" si="14"/>
        <v>0</v>
      </c>
      <c r="AF386" s="273"/>
      <c r="AG386" s="274"/>
      <c r="AH386" s="273"/>
      <c r="AI386" s="273"/>
      <c r="AJ386" s="274"/>
      <c r="AK386" s="273"/>
      <c r="AL386" s="275"/>
      <c r="AM386" s="290"/>
      <c r="AN386" s="275"/>
      <c r="AO386" s="276"/>
      <c r="AP386" s="275"/>
      <c r="AQ386" s="275"/>
      <c r="AR386" s="275"/>
      <c r="AS386" s="275"/>
      <c r="AT386" s="275"/>
      <c r="AU386" s="275"/>
      <c r="AV386" s="275"/>
      <c r="AW386" s="275"/>
      <c r="AX386" s="275"/>
      <c r="AY386" s="275">
        <v>10000000</v>
      </c>
      <c r="AZ386" s="275"/>
      <c r="BA386" s="275"/>
      <c r="BB386" s="275"/>
      <c r="BC386" s="275"/>
      <c r="BD386" s="275"/>
      <c r="BE386" s="275"/>
      <c r="BF386" s="275"/>
      <c r="BH386" s="277"/>
    </row>
    <row r="387" spans="1:60" ht="16.5" hidden="1" customHeight="1" x14ac:dyDescent="0.3">
      <c r="A387" s="260">
        <v>365</v>
      </c>
      <c r="B387" s="261"/>
      <c r="C387" s="261"/>
      <c r="D387" s="262" t="s">
        <v>15</v>
      </c>
      <c r="E387" s="262" t="s">
        <v>364</v>
      </c>
      <c r="F387" s="263" t="s">
        <v>15</v>
      </c>
      <c r="G387" s="264" t="s">
        <v>364</v>
      </c>
      <c r="H387" s="281"/>
      <c r="I387" s="265"/>
      <c r="J387" s="266" t="s">
        <v>569</v>
      </c>
      <c r="K387" s="262"/>
      <c r="L387" s="262"/>
      <c r="M387" s="262">
        <v>7665</v>
      </c>
      <c r="N387" s="262" t="s">
        <v>22</v>
      </c>
      <c r="O387" s="262" t="s">
        <v>35</v>
      </c>
      <c r="P387" s="262" t="s">
        <v>156</v>
      </c>
      <c r="Q387" s="262" t="s">
        <v>55</v>
      </c>
      <c r="R387" s="262" t="s">
        <v>466</v>
      </c>
      <c r="S387" s="267" t="s">
        <v>31</v>
      </c>
      <c r="T387" s="268"/>
      <c r="U387" s="269"/>
      <c r="V387" s="269">
        <v>7500000</v>
      </c>
      <c r="W387" s="278">
        <v>0</v>
      </c>
      <c r="X387" s="270"/>
      <c r="Y387" s="262" t="s">
        <v>20</v>
      </c>
      <c r="Z387" s="271" t="s">
        <v>25</v>
      </c>
      <c r="AA387" s="287"/>
      <c r="AB387" s="287"/>
      <c r="AC387" s="272">
        <f t="shared" si="13"/>
        <v>10000000</v>
      </c>
      <c r="AD387" s="272">
        <v>10000000</v>
      </c>
      <c r="AE387" s="272">
        <f t="shared" si="14"/>
        <v>0</v>
      </c>
      <c r="AF387" s="273"/>
      <c r="AG387" s="274"/>
      <c r="AH387" s="273"/>
      <c r="AI387" s="273"/>
      <c r="AJ387" s="274"/>
      <c r="AK387" s="273"/>
      <c r="AL387" s="275"/>
      <c r="AM387" s="290"/>
      <c r="AN387" s="275"/>
      <c r="AO387" s="276"/>
      <c r="AP387" s="275"/>
      <c r="AQ387" s="275"/>
      <c r="AR387" s="275"/>
      <c r="AS387" s="275"/>
      <c r="AT387" s="275"/>
      <c r="AU387" s="275"/>
      <c r="AV387" s="275"/>
      <c r="AW387" s="275"/>
      <c r="AX387" s="275"/>
      <c r="AY387" s="275">
        <v>10000000</v>
      </c>
      <c r="AZ387" s="275"/>
      <c r="BA387" s="275"/>
      <c r="BB387" s="275"/>
      <c r="BC387" s="275"/>
      <c r="BD387" s="275"/>
      <c r="BE387" s="275"/>
      <c r="BF387" s="275"/>
      <c r="BH387" s="277"/>
    </row>
    <row r="388" spans="1:60" ht="16.5" hidden="1" customHeight="1" x14ac:dyDescent="0.3">
      <c r="A388" s="260">
        <v>366</v>
      </c>
      <c r="B388" s="261"/>
      <c r="C388" s="261"/>
      <c r="D388" s="262" t="s">
        <v>15</v>
      </c>
      <c r="E388" s="262" t="s">
        <v>364</v>
      </c>
      <c r="F388" s="263" t="s">
        <v>15</v>
      </c>
      <c r="G388" s="264" t="s">
        <v>364</v>
      </c>
      <c r="H388" s="281"/>
      <c r="I388" s="265"/>
      <c r="J388" s="266" t="s">
        <v>569</v>
      </c>
      <c r="K388" s="262"/>
      <c r="L388" s="262"/>
      <c r="M388" s="262">
        <v>7665</v>
      </c>
      <c r="N388" s="262" t="s">
        <v>22</v>
      </c>
      <c r="O388" s="262" t="s">
        <v>35</v>
      </c>
      <c r="P388" s="262" t="s">
        <v>156</v>
      </c>
      <c r="Q388" s="262" t="s">
        <v>26</v>
      </c>
      <c r="R388" s="262" t="s">
        <v>478</v>
      </c>
      <c r="S388" s="267" t="s">
        <v>478</v>
      </c>
      <c r="T388" s="268"/>
      <c r="U388" s="269"/>
      <c r="V388" s="269">
        <v>0</v>
      </c>
      <c r="W388" s="278">
        <v>4000000</v>
      </c>
      <c r="X388" s="270"/>
      <c r="Y388" s="262" t="s">
        <v>27</v>
      </c>
      <c r="Z388" s="271" t="s">
        <v>25</v>
      </c>
      <c r="AA388" s="287"/>
      <c r="AB388" s="287"/>
      <c r="AC388" s="272">
        <f t="shared" si="13"/>
        <v>8000000</v>
      </c>
      <c r="AD388" s="272">
        <v>8000000</v>
      </c>
      <c r="AE388" s="272">
        <f t="shared" si="14"/>
        <v>0</v>
      </c>
      <c r="AF388" s="273"/>
      <c r="AG388" s="274"/>
      <c r="AH388" s="273"/>
      <c r="AI388" s="273"/>
      <c r="AJ388" s="274"/>
      <c r="AK388" s="273"/>
      <c r="AL388" s="275"/>
      <c r="AM388" s="290"/>
      <c r="AN388" s="275"/>
      <c r="AO388" s="276"/>
      <c r="AP388" s="275"/>
      <c r="AQ388" s="291">
        <v>4000000</v>
      </c>
      <c r="AR388" s="275"/>
      <c r="AS388" s="275"/>
      <c r="AT388" s="275"/>
      <c r="AU388" s="275"/>
      <c r="AV388" s="275"/>
      <c r="AW388" s="275"/>
      <c r="AX388" s="275"/>
      <c r="AY388" s="275">
        <v>4000000</v>
      </c>
      <c r="AZ388" s="275"/>
      <c r="BA388" s="275"/>
      <c r="BB388" s="275"/>
      <c r="BC388" s="275"/>
      <c r="BD388" s="275"/>
      <c r="BE388" s="275"/>
      <c r="BF388" s="275"/>
      <c r="BH388" s="277"/>
    </row>
    <row r="389" spans="1:60" ht="16.5" hidden="1" customHeight="1" x14ac:dyDescent="0.3">
      <c r="A389" s="260">
        <v>367</v>
      </c>
      <c r="B389" s="261"/>
      <c r="C389" s="261"/>
      <c r="D389" s="262" t="s">
        <v>15</v>
      </c>
      <c r="E389" s="262" t="s">
        <v>364</v>
      </c>
      <c r="F389" s="263" t="s">
        <v>15</v>
      </c>
      <c r="G389" s="264" t="s">
        <v>364</v>
      </c>
      <c r="H389" s="281"/>
      <c r="I389" s="265"/>
      <c r="J389" s="266" t="s">
        <v>569</v>
      </c>
      <c r="K389" s="262"/>
      <c r="L389" s="262"/>
      <c r="M389" s="262">
        <v>7665</v>
      </c>
      <c r="N389" s="262" t="s">
        <v>22</v>
      </c>
      <c r="O389" s="262" t="s">
        <v>35</v>
      </c>
      <c r="P389" s="262"/>
      <c r="Q389" s="262"/>
      <c r="R389" s="262"/>
      <c r="S389" s="267" t="s">
        <v>830</v>
      </c>
      <c r="T389" s="268"/>
      <c r="U389" s="269"/>
      <c r="V389" s="269"/>
      <c r="W389" s="278">
        <v>0</v>
      </c>
      <c r="X389" s="270"/>
      <c r="Y389" s="262"/>
      <c r="Z389" s="271" t="s">
        <v>25</v>
      </c>
      <c r="AA389" s="287"/>
      <c r="AB389" s="287"/>
      <c r="AC389" s="272">
        <f t="shared" si="13"/>
        <v>10000000</v>
      </c>
      <c r="AD389" s="272">
        <v>10000000</v>
      </c>
      <c r="AE389" s="272">
        <f t="shared" si="14"/>
        <v>0</v>
      </c>
      <c r="AF389" s="273"/>
      <c r="AG389" s="274"/>
      <c r="AH389" s="273"/>
      <c r="AI389" s="273"/>
      <c r="AJ389" s="274"/>
      <c r="AK389" s="273"/>
      <c r="AL389" s="275"/>
      <c r="AM389" s="290"/>
      <c r="AN389" s="275"/>
      <c r="AO389" s="276"/>
      <c r="AP389" s="275"/>
      <c r="AQ389" s="275"/>
      <c r="AR389" s="275"/>
      <c r="AS389" s="275"/>
      <c r="AT389" s="275"/>
      <c r="AU389" s="275"/>
      <c r="AV389" s="275"/>
      <c r="AW389" s="275"/>
      <c r="AX389" s="275"/>
      <c r="AY389" s="275">
        <v>10000000</v>
      </c>
      <c r="AZ389" s="275"/>
      <c r="BA389" s="275"/>
      <c r="BB389" s="275"/>
      <c r="BC389" s="275"/>
      <c r="BD389" s="275"/>
      <c r="BE389" s="275"/>
      <c r="BF389" s="275"/>
      <c r="BH389" s="277"/>
    </row>
    <row r="390" spans="1:60" ht="16.5" hidden="1" customHeight="1" x14ac:dyDescent="0.3">
      <c r="A390" s="260">
        <v>368</v>
      </c>
      <c r="B390" s="261"/>
      <c r="C390" s="261"/>
      <c r="D390" s="262" t="s">
        <v>15</v>
      </c>
      <c r="E390" s="262" t="s">
        <v>364</v>
      </c>
      <c r="F390" s="263" t="s">
        <v>15</v>
      </c>
      <c r="G390" s="264" t="s">
        <v>364</v>
      </c>
      <c r="H390" s="281"/>
      <c r="I390" s="265"/>
      <c r="J390" s="266" t="s">
        <v>68</v>
      </c>
      <c r="K390" s="262"/>
      <c r="L390" s="262"/>
      <c r="M390" s="262">
        <v>42955</v>
      </c>
      <c r="N390" s="262" t="s">
        <v>22</v>
      </c>
      <c r="O390" s="262" t="s">
        <v>35</v>
      </c>
      <c r="P390" s="262" t="s">
        <v>156</v>
      </c>
      <c r="Q390" s="262" t="s">
        <v>55</v>
      </c>
      <c r="R390" s="262" t="s">
        <v>466</v>
      </c>
      <c r="S390" s="267" t="s">
        <v>31</v>
      </c>
      <c r="T390" s="268"/>
      <c r="U390" s="269"/>
      <c r="V390" s="269">
        <v>2500000</v>
      </c>
      <c r="W390" s="278">
        <v>0</v>
      </c>
      <c r="X390" s="270"/>
      <c r="Y390" s="262" t="s">
        <v>20</v>
      </c>
      <c r="Z390" s="271" t="s">
        <v>25</v>
      </c>
      <c r="AA390" s="287"/>
      <c r="AB390" s="287"/>
      <c r="AC390" s="272">
        <f t="shared" si="13"/>
        <v>4000000</v>
      </c>
      <c r="AD390" s="272">
        <v>4000000</v>
      </c>
      <c r="AE390" s="272">
        <f t="shared" si="14"/>
        <v>0</v>
      </c>
      <c r="AF390" s="273"/>
      <c r="AG390" s="274"/>
      <c r="AH390" s="273"/>
      <c r="AI390" s="273"/>
      <c r="AJ390" s="274"/>
      <c r="AK390" s="273"/>
      <c r="AL390" s="275"/>
      <c r="AM390" s="290"/>
      <c r="AN390" s="275"/>
      <c r="AO390" s="276"/>
      <c r="AP390" s="275"/>
      <c r="AQ390" s="275">
        <v>4000000</v>
      </c>
      <c r="AR390" s="275"/>
      <c r="AS390" s="275"/>
      <c r="AT390" s="275"/>
      <c r="AU390" s="275"/>
      <c r="AV390" s="275"/>
      <c r="AW390" s="275"/>
      <c r="AX390" s="275"/>
      <c r="AY390" s="275"/>
      <c r="AZ390" s="275"/>
      <c r="BA390" s="275"/>
      <c r="BB390" s="275"/>
      <c r="BC390" s="275"/>
      <c r="BD390" s="275"/>
      <c r="BE390" s="275"/>
      <c r="BF390" s="275"/>
      <c r="BH390" s="277"/>
    </row>
    <row r="391" spans="1:60" ht="16.5" hidden="1" customHeight="1" x14ac:dyDescent="0.3">
      <c r="A391" s="260">
        <v>369</v>
      </c>
      <c r="B391" s="261"/>
      <c r="C391" s="261"/>
      <c r="D391" s="262" t="s">
        <v>15</v>
      </c>
      <c r="E391" s="262" t="s">
        <v>364</v>
      </c>
      <c r="F391" s="263" t="s">
        <v>15</v>
      </c>
      <c r="G391" s="264" t="s">
        <v>364</v>
      </c>
      <c r="H391" s="281"/>
      <c r="I391" s="265"/>
      <c r="J391" s="266" t="s">
        <v>376</v>
      </c>
      <c r="K391" s="262"/>
      <c r="L391" s="262"/>
      <c r="M391" s="262">
        <v>4059</v>
      </c>
      <c r="N391" s="262" t="s">
        <v>22</v>
      </c>
      <c r="O391" s="262" t="s">
        <v>212</v>
      </c>
      <c r="P391" s="262" t="s">
        <v>124</v>
      </c>
      <c r="Q391" s="262" t="s">
        <v>18</v>
      </c>
      <c r="R391" s="262" t="s">
        <v>19</v>
      </c>
      <c r="S391" s="267" t="s">
        <v>19</v>
      </c>
      <c r="T391" s="268"/>
      <c r="U391" s="269">
        <v>13296600</v>
      </c>
      <c r="V391" s="269">
        <v>21031720</v>
      </c>
      <c r="W391" s="278">
        <v>15364700</v>
      </c>
      <c r="X391" s="270"/>
      <c r="Y391" s="262" t="s">
        <v>27</v>
      </c>
      <c r="Z391" s="271" t="s">
        <v>27</v>
      </c>
      <c r="AA391" s="287"/>
      <c r="AB391" s="287"/>
      <c r="AC391" s="272">
        <f t="shared" si="13"/>
        <v>10200000</v>
      </c>
      <c r="AD391" s="272">
        <v>10200000</v>
      </c>
      <c r="AE391" s="272">
        <f t="shared" si="14"/>
        <v>0</v>
      </c>
      <c r="AF391" s="273"/>
      <c r="AG391" s="274"/>
      <c r="AH391" s="273"/>
      <c r="AI391" s="273"/>
      <c r="AJ391" s="274"/>
      <c r="AK391" s="273"/>
      <c r="AL391" s="275">
        <v>2200000</v>
      </c>
      <c r="AM391" s="290">
        <v>2200000</v>
      </c>
      <c r="AN391" s="275"/>
      <c r="AO391" s="276">
        <v>4000000</v>
      </c>
      <c r="AP391" s="275"/>
      <c r="AQ391" s="275">
        <v>0</v>
      </c>
      <c r="AR391" s="275"/>
      <c r="AS391" s="275">
        <v>2000000</v>
      </c>
      <c r="AT391" s="275"/>
      <c r="AU391" s="275">
        <v>0</v>
      </c>
      <c r="AV391" s="275"/>
      <c r="AW391" s="275">
        <v>2000000</v>
      </c>
      <c r="AX391" s="275"/>
      <c r="AY391" s="275">
        <v>0</v>
      </c>
      <c r="AZ391" s="275"/>
      <c r="BA391" s="275"/>
      <c r="BB391" s="275"/>
      <c r="BC391" s="275"/>
      <c r="BD391" s="275"/>
      <c r="BE391" s="275"/>
      <c r="BF391" s="275"/>
      <c r="BH391" s="277"/>
    </row>
    <row r="392" spans="1:60" ht="16.5" hidden="1" customHeight="1" x14ac:dyDescent="0.3">
      <c r="A392" s="260">
        <v>370</v>
      </c>
      <c r="B392" s="261"/>
      <c r="C392" s="261"/>
      <c r="D392" s="262" t="s">
        <v>15</v>
      </c>
      <c r="E392" s="262" t="s">
        <v>364</v>
      </c>
      <c r="F392" s="263" t="s">
        <v>15</v>
      </c>
      <c r="G392" s="264" t="s">
        <v>364</v>
      </c>
      <c r="H392" s="281"/>
      <c r="I392" s="265"/>
      <c r="J392" s="266" t="s">
        <v>376</v>
      </c>
      <c r="K392" s="262"/>
      <c r="L392" s="262"/>
      <c r="M392" s="262">
        <v>4059</v>
      </c>
      <c r="N392" s="262" t="s">
        <v>22</v>
      </c>
      <c r="O392" s="262" t="s">
        <v>56</v>
      </c>
      <c r="P392" s="262" t="s">
        <v>124</v>
      </c>
      <c r="Q392" s="262" t="s">
        <v>46</v>
      </c>
      <c r="R392" s="262" t="s">
        <v>47</v>
      </c>
      <c r="S392" s="267" t="s">
        <v>47</v>
      </c>
      <c r="T392" s="268"/>
      <c r="U392" s="269">
        <v>3375900</v>
      </c>
      <c r="V392" s="269">
        <v>0</v>
      </c>
      <c r="W392" s="278">
        <v>0</v>
      </c>
      <c r="X392" s="270"/>
      <c r="Y392" s="262" t="s">
        <v>24</v>
      </c>
      <c r="Z392" s="271" t="s">
        <v>562</v>
      </c>
      <c r="AA392" s="287"/>
      <c r="AB392" s="287"/>
      <c r="AC392" s="272">
        <f t="shared" si="13"/>
        <v>0</v>
      </c>
      <c r="AD392" s="272">
        <v>0</v>
      </c>
      <c r="AE392" s="272">
        <f t="shared" si="14"/>
        <v>0</v>
      </c>
      <c r="AF392" s="273"/>
      <c r="AG392" s="274"/>
      <c r="AH392" s="273"/>
      <c r="AI392" s="273"/>
      <c r="AJ392" s="274"/>
      <c r="AK392" s="273"/>
      <c r="AL392" s="275"/>
      <c r="AM392" s="290"/>
      <c r="AN392" s="275"/>
      <c r="AO392" s="276"/>
      <c r="AP392" s="275"/>
      <c r="AQ392" s="275"/>
      <c r="AR392" s="275"/>
      <c r="AS392" s="275"/>
      <c r="AT392" s="275"/>
      <c r="AU392" s="275"/>
      <c r="AV392" s="275"/>
      <c r="AW392" s="275"/>
      <c r="AX392" s="275"/>
      <c r="AY392" s="275"/>
      <c r="AZ392" s="275"/>
      <c r="BA392" s="275"/>
      <c r="BB392" s="275"/>
      <c r="BC392" s="275"/>
      <c r="BD392" s="275"/>
      <c r="BE392" s="275"/>
      <c r="BF392" s="275"/>
      <c r="BH392" s="277"/>
    </row>
    <row r="393" spans="1:60" ht="16.5" hidden="1" customHeight="1" x14ac:dyDescent="0.3">
      <c r="A393" s="260">
        <v>371</v>
      </c>
      <c r="B393" s="261"/>
      <c r="C393" s="261"/>
      <c r="D393" s="262" t="s">
        <v>15</v>
      </c>
      <c r="E393" s="262" t="s">
        <v>364</v>
      </c>
      <c r="F393" s="263" t="s">
        <v>15</v>
      </c>
      <c r="G393" s="264" t="s">
        <v>364</v>
      </c>
      <c r="H393" s="281"/>
      <c r="I393" s="265"/>
      <c r="J393" s="266" t="s">
        <v>376</v>
      </c>
      <c r="K393" s="262"/>
      <c r="L393" s="262"/>
      <c r="M393" s="262">
        <v>4059</v>
      </c>
      <c r="N393" s="262" t="s">
        <v>22</v>
      </c>
      <c r="O393" s="262" t="s">
        <v>56</v>
      </c>
      <c r="P393" s="262" t="s">
        <v>124</v>
      </c>
      <c r="Q393" s="262" t="s">
        <v>26</v>
      </c>
      <c r="R393" s="262" t="s">
        <v>478</v>
      </c>
      <c r="S393" s="267" t="s">
        <v>478</v>
      </c>
      <c r="T393" s="268"/>
      <c r="U393" s="269">
        <v>7574220</v>
      </c>
      <c r="V393" s="269">
        <v>0</v>
      </c>
      <c r="W393" s="278">
        <v>300000</v>
      </c>
      <c r="X393" s="270"/>
      <c r="Y393" s="262" t="s">
        <v>27</v>
      </c>
      <c r="Z393" s="271" t="s">
        <v>25</v>
      </c>
      <c r="AA393" s="287"/>
      <c r="AB393" s="287"/>
      <c r="AC393" s="272">
        <f t="shared" si="13"/>
        <v>12000000</v>
      </c>
      <c r="AD393" s="272">
        <v>12000000</v>
      </c>
      <c r="AE393" s="272">
        <f t="shared" si="14"/>
        <v>0</v>
      </c>
      <c r="AF393" s="273"/>
      <c r="AG393" s="274"/>
      <c r="AH393" s="273"/>
      <c r="AI393" s="273"/>
      <c r="AJ393" s="274"/>
      <c r="AK393" s="273"/>
      <c r="AL393" s="275"/>
      <c r="AM393" s="290"/>
      <c r="AN393" s="275"/>
      <c r="AO393" s="276"/>
      <c r="AP393" s="275"/>
      <c r="AQ393" s="275"/>
      <c r="AR393" s="275"/>
      <c r="AS393" s="275"/>
      <c r="AT393" s="275"/>
      <c r="AU393" s="275"/>
      <c r="AV393" s="275"/>
      <c r="AW393" s="275">
        <v>12000000</v>
      </c>
      <c r="AX393" s="275"/>
      <c r="AY393" s="275"/>
      <c r="AZ393" s="275"/>
      <c r="BA393" s="275"/>
      <c r="BB393" s="275"/>
      <c r="BC393" s="275"/>
      <c r="BD393" s="275"/>
      <c r="BE393" s="275"/>
      <c r="BF393" s="275"/>
      <c r="BH393" s="277"/>
    </row>
    <row r="394" spans="1:60" ht="16.5" hidden="1" customHeight="1" x14ac:dyDescent="0.3">
      <c r="A394" s="260">
        <v>372</v>
      </c>
      <c r="B394" s="261"/>
      <c r="C394" s="261"/>
      <c r="D394" s="262" t="s">
        <v>15</v>
      </c>
      <c r="E394" s="262" t="s">
        <v>364</v>
      </c>
      <c r="F394" s="263" t="s">
        <v>15</v>
      </c>
      <c r="G394" s="264" t="s">
        <v>364</v>
      </c>
      <c r="H394" s="281"/>
      <c r="I394" s="265"/>
      <c r="J394" s="266" t="s">
        <v>376</v>
      </c>
      <c r="K394" s="262"/>
      <c r="L394" s="262"/>
      <c r="M394" s="262">
        <v>4059</v>
      </c>
      <c r="N394" s="262" t="s">
        <v>22</v>
      </c>
      <c r="O394" s="262" t="s">
        <v>35</v>
      </c>
      <c r="P394" s="262" t="s">
        <v>124</v>
      </c>
      <c r="Q394" s="262" t="s">
        <v>23</v>
      </c>
      <c r="R394" s="262" t="s">
        <v>397</v>
      </c>
      <c r="S394" s="267" t="s">
        <v>823</v>
      </c>
      <c r="T394" s="268"/>
      <c r="U394" s="269"/>
      <c r="V394" s="269"/>
      <c r="W394" s="278">
        <v>0</v>
      </c>
      <c r="X394" s="270"/>
      <c r="Y394" s="262"/>
      <c r="Z394" s="271" t="s">
        <v>25</v>
      </c>
      <c r="AA394" s="287"/>
      <c r="AB394" s="287"/>
      <c r="AC394" s="272">
        <f t="shared" si="13"/>
        <v>0</v>
      </c>
      <c r="AD394" s="272">
        <v>0</v>
      </c>
      <c r="AE394" s="272">
        <f t="shared" si="14"/>
        <v>0</v>
      </c>
      <c r="AF394" s="273"/>
      <c r="AG394" s="274"/>
      <c r="AH394" s="273"/>
      <c r="AI394" s="273"/>
      <c r="AJ394" s="274"/>
      <c r="AK394" s="273"/>
      <c r="AL394" s="275"/>
      <c r="AM394" s="290"/>
      <c r="AN394" s="275"/>
      <c r="AO394" s="276"/>
      <c r="AP394" s="275"/>
      <c r="AQ394" s="275"/>
      <c r="AR394" s="275"/>
      <c r="AS394" s="275"/>
      <c r="AT394" s="275"/>
      <c r="AU394" s="275"/>
      <c r="AV394" s="275"/>
      <c r="AW394" s="275"/>
      <c r="AX394" s="275"/>
      <c r="AY394" s="275"/>
      <c r="AZ394" s="275"/>
      <c r="BA394" s="275"/>
      <c r="BB394" s="275"/>
      <c r="BC394" s="275"/>
      <c r="BD394" s="275"/>
      <c r="BE394" s="275"/>
      <c r="BF394" s="275"/>
      <c r="BH394" s="277"/>
    </row>
    <row r="395" spans="1:60" ht="16.5" hidden="1" customHeight="1" x14ac:dyDescent="0.3">
      <c r="A395" s="260">
        <v>373</v>
      </c>
      <c r="B395" s="261"/>
      <c r="C395" s="261"/>
      <c r="D395" s="262" t="s">
        <v>15</v>
      </c>
      <c r="E395" s="262" t="s">
        <v>364</v>
      </c>
      <c r="F395" s="263" t="s">
        <v>15</v>
      </c>
      <c r="G395" s="264" t="s">
        <v>364</v>
      </c>
      <c r="H395" s="281"/>
      <c r="I395" s="265"/>
      <c r="J395" s="266" t="s">
        <v>377</v>
      </c>
      <c r="K395" s="262"/>
      <c r="L395" s="262"/>
      <c r="M395" s="262">
        <v>53744</v>
      </c>
      <c r="N395" s="262" t="s">
        <v>22</v>
      </c>
      <c r="O395" s="262" t="s">
        <v>35</v>
      </c>
      <c r="P395" s="262" t="s">
        <v>57</v>
      </c>
      <c r="Q395" s="262" t="s">
        <v>61</v>
      </c>
      <c r="R395" s="262" t="s">
        <v>468</v>
      </c>
      <c r="S395" s="267" t="s">
        <v>468</v>
      </c>
      <c r="T395" s="268"/>
      <c r="U395" s="269">
        <v>16800000</v>
      </c>
      <c r="V395" s="269">
        <v>0</v>
      </c>
      <c r="W395" s="278">
        <v>0</v>
      </c>
      <c r="X395" s="270"/>
      <c r="Y395" s="262" t="s">
        <v>21</v>
      </c>
      <c r="Z395" s="271" t="s">
        <v>25</v>
      </c>
      <c r="AA395" s="287"/>
      <c r="AB395" s="287"/>
      <c r="AC395" s="272">
        <f t="shared" si="13"/>
        <v>0</v>
      </c>
      <c r="AD395" s="272">
        <v>0</v>
      </c>
      <c r="AE395" s="272">
        <f t="shared" si="14"/>
        <v>0</v>
      </c>
      <c r="AF395" s="273"/>
      <c r="AG395" s="274"/>
      <c r="AH395" s="273"/>
      <c r="AI395" s="273"/>
      <c r="AJ395" s="274"/>
      <c r="AK395" s="273"/>
      <c r="AL395" s="275"/>
      <c r="AM395" s="290"/>
      <c r="AN395" s="275"/>
      <c r="AO395" s="276"/>
      <c r="AP395" s="275"/>
      <c r="AQ395" s="275"/>
      <c r="AR395" s="275"/>
      <c r="AS395" s="275"/>
      <c r="AT395" s="275"/>
      <c r="AU395" s="275"/>
      <c r="AV395" s="275"/>
      <c r="AW395" s="275"/>
      <c r="AX395" s="275"/>
      <c r="AY395" s="275"/>
      <c r="AZ395" s="275"/>
      <c r="BA395" s="275"/>
      <c r="BB395" s="275"/>
      <c r="BC395" s="275"/>
      <c r="BD395" s="275"/>
      <c r="BE395" s="275"/>
      <c r="BF395" s="275"/>
      <c r="BH395" s="277"/>
    </row>
    <row r="396" spans="1:60" ht="16.5" hidden="1" customHeight="1" x14ac:dyDescent="0.3">
      <c r="A396" s="260">
        <v>374</v>
      </c>
      <c r="B396" s="261"/>
      <c r="C396" s="261"/>
      <c r="D396" s="262" t="s">
        <v>15</v>
      </c>
      <c r="E396" s="262" t="s">
        <v>364</v>
      </c>
      <c r="F396" s="263" t="s">
        <v>15</v>
      </c>
      <c r="G396" s="264" t="s">
        <v>364</v>
      </c>
      <c r="H396" s="281"/>
      <c r="I396" s="265"/>
      <c r="J396" s="266" t="s">
        <v>215</v>
      </c>
      <c r="K396" s="262"/>
      <c r="L396" s="262"/>
      <c r="M396" s="262">
        <v>20943</v>
      </c>
      <c r="N396" s="262" t="s">
        <v>32</v>
      </c>
      <c r="O396" s="262" t="s">
        <v>35</v>
      </c>
      <c r="P396" s="262" t="s">
        <v>57</v>
      </c>
      <c r="Q396" s="262" t="s">
        <v>63</v>
      </c>
      <c r="R396" s="262" t="s">
        <v>469</v>
      </c>
      <c r="S396" s="267" t="s">
        <v>469</v>
      </c>
      <c r="T396" s="268"/>
      <c r="U396" s="269">
        <v>98181820</v>
      </c>
      <c r="V396" s="269">
        <v>99000000</v>
      </c>
      <c r="W396" s="278">
        <v>0</v>
      </c>
      <c r="X396" s="270"/>
      <c r="Y396" s="262" t="s">
        <v>562</v>
      </c>
      <c r="Z396" s="271" t="s">
        <v>25</v>
      </c>
      <c r="AA396" s="287"/>
      <c r="AB396" s="287"/>
      <c r="AC396" s="272">
        <f t="shared" si="13"/>
        <v>20000000</v>
      </c>
      <c r="AD396" s="272">
        <v>20000000</v>
      </c>
      <c r="AE396" s="272">
        <f t="shared" si="14"/>
        <v>0</v>
      </c>
      <c r="AF396" s="273"/>
      <c r="AG396" s="274"/>
      <c r="AH396" s="273"/>
      <c r="AI396" s="273"/>
      <c r="AJ396" s="274"/>
      <c r="AK396" s="273"/>
      <c r="AL396" s="275"/>
      <c r="AM396" s="290"/>
      <c r="AN396" s="275"/>
      <c r="AO396" s="276"/>
      <c r="AP396" s="275"/>
      <c r="AQ396" s="275"/>
      <c r="AR396" s="275"/>
      <c r="AS396" s="275"/>
      <c r="AT396" s="275"/>
      <c r="AU396" s="275"/>
      <c r="AV396" s="275"/>
      <c r="AW396" s="275"/>
      <c r="AX396" s="275"/>
      <c r="AY396" s="275"/>
      <c r="AZ396" s="275"/>
      <c r="BA396" s="275"/>
      <c r="BB396" s="275"/>
      <c r="BC396" s="275">
        <v>20000000</v>
      </c>
      <c r="BD396" s="275"/>
      <c r="BE396" s="275"/>
      <c r="BF396" s="275"/>
      <c r="BH396" s="277"/>
    </row>
    <row r="397" spans="1:60" ht="16.5" hidden="1" customHeight="1" x14ac:dyDescent="0.3">
      <c r="A397" s="260">
        <v>375</v>
      </c>
      <c r="B397" s="261"/>
      <c r="C397" s="261"/>
      <c r="D397" s="262" t="s">
        <v>15</v>
      </c>
      <c r="E397" s="262" t="s">
        <v>364</v>
      </c>
      <c r="F397" s="263" t="s">
        <v>15</v>
      </c>
      <c r="G397" s="264" t="s">
        <v>364</v>
      </c>
      <c r="H397" s="281"/>
      <c r="I397" s="265"/>
      <c r="J397" s="266" t="s">
        <v>378</v>
      </c>
      <c r="K397" s="262"/>
      <c r="L397" s="262"/>
      <c r="M397" s="262">
        <v>2943</v>
      </c>
      <c r="N397" s="262" t="s">
        <v>32</v>
      </c>
      <c r="O397" s="262" t="s">
        <v>212</v>
      </c>
      <c r="P397" s="262" t="s">
        <v>57</v>
      </c>
      <c r="Q397" s="262" t="s">
        <v>63</v>
      </c>
      <c r="R397" s="262" t="s">
        <v>28</v>
      </c>
      <c r="S397" s="267" t="s">
        <v>28</v>
      </c>
      <c r="T397" s="268"/>
      <c r="U397" s="269">
        <v>41204800</v>
      </c>
      <c r="V397" s="269">
        <v>38925260</v>
      </c>
      <c r="W397" s="278">
        <v>16733700</v>
      </c>
      <c r="X397" s="270"/>
      <c r="Y397" s="262" t="s">
        <v>27</v>
      </c>
      <c r="Z397" s="271" t="s">
        <v>27</v>
      </c>
      <c r="AA397" s="287"/>
      <c r="AB397" s="287"/>
      <c r="AC397" s="272">
        <f t="shared" si="13"/>
        <v>34097800</v>
      </c>
      <c r="AD397" s="272">
        <v>34097800</v>
      </c>
      <c r="AE397" s="272">
        <f t="shared" si="14"/>
        <v>0</v>
      </c>
      <c r="AF397" s="273"/>
      <c r="AG397" s="274"/>
      <c r="AH397" s="273"/>
      <c r="AI397" s="273">
        <v>3282800</v>
      </c>
      <c r="AJ397" s="274">
        <v>3282800</v>
      </c>
      <c r="AK397" s="273"/>
      <c r="AL397" s="275">
        <v>4135500</v>
      </c>
      <c r="AM397" s="290">
        <v>3815000</v>
      </c>
      <c r="AN397" s="275"/>
      <c r="AO397" s="276">
        <v>3000000</v>
      </c>
      <c r="AP397" s="275"/>
      <c r="AQ397" s="275">
        <v>3000000</v>
      </c>
      <c r="AR397" s="275"/>
      <c r="AS397" s="275">
        <v>3000000</v>
      </c>
      <c r="AT397" s="275"/>
      <c r="AU397" s="275">
        <v>3000000</v>
      </c>
      <c r="AV397" s="275"/>
      <c r="AW397" s="275">
        <v>3000000</v>
      </c>
      <c r="AX397" s="275"/>
      <c r="AY397" s="275">
        <v>3000000</v>
      </c>
      <c r="AZ397" s="275"/>
      <c r="BA397" s="275">
        <v>3000000</v>
      </c>
      <c r="BB397" s="275"/>
      <c r="BC397" s="275">
        <v>3000000</v>
      </c>
      <c r="BD397" s="275"/>
      <c r="BE397" s="275">
        <v>3000000</v>
      </c>
      <c r="BF397" s="275"/>
      <c r="BH397" s="277"/>
    </row>
    <row r="398" spans="1:60" ht="16.5" hidden="1" customHeight="1" x14ac:dyDescent="0.3">
      <c r="A398" s="260">
        <v>376</v>
      </c>
      <c r="B398" s="261"/>
      <c r="C398" s="261"/>
      <c r="D398" s="262" t="s">
        <v>15</v>
      </c>
      <c r="E398" s="262" t="s">
        <v>364</v>
      </c>
      <c r="F398" s="263" t="s">
        <v>15</v>
      </c>
      <c r="G398" s="264" t="s">
        <v>364</v>
      </c>
      <c r="H398" s="281"/>
      <c r="I398" s="265"/>
      <c r="J398" s="266" t="s">
        <v>672</v>
      </c>
      <c r="K398" s="262"/>
      <c r="L398" s="262"/>
      <c r="M398" s="262">
        <v>17786</v>
      </c>
      <c r="N398" s="262"/>
      <c r="O398" s="262"/>
      <c r="P398" s="262"/>
      <c r="Q398" s="262"/>
      <c r="R398" s="262"/>
      <c r="S398" s="267" t="s">
        <v>28</v>
      </c>
      <c r="T398" s="268" t="s">
        <v>951</v>
      </c>
      <c r="U398" s="269"/>
      <c r="V398" s="269"/>
      <c r="W398" s="278">
        <v>3543000</v>
      </c>
      <c r="X398" s="270"/>
      <c r="Y398" s="262"/>
      <c r="Z398" s="271" t="s">
        <v>718</v>
      </c>
      <c r="AA398" s="287"/>
      <c r="AB398" s="287"/>
      <c r="AC398" s="272">
        <f t="shared" si="13"/>
        <v>0</v>
      </c>
      <c r="AD398" s="272">
        <v>0</v>
      </c>
      <c r="AE398" s="272">
        <f t="shared" si="14"/>
        <v>0</v>
      </c>
      <c r="AF398" s="273"/>
      <c r="AG398" s="274"/>
      <c r="AH398" s="273"/>
      <c r="AI398" s="273"/>
      <c r="AJ398" s="274"/>
      <c r="AK398" s="273"/>
      <c r="AL398" s="275"/>
      <c r="AM398" s="290"/>
      <c r="AN398" s="275"/>
      <c r="AO398" s="276"/>
      <c r="AP398" s="275"/>
      <c r="AQ398" s="275"/>
      <c r="AR398" s="275"/>
      <c r="AS398" s="275"/>
      <c r="AT398" s="275"/>
      <c r="AU398" s="275"/>
      <c r="AV398" s="275"/>
      <c r="AW398" s="275"/>
      <c r="AX398" s="275"/>
      <c r="AY398" s="275"/>
      <c r="AZ398" s="275"/>
      <c r="BA398" s="275"/>
      <c r="BB398" s="275"/>
      <c r="BC398" s="275"/>
      <c r="BD398" s="275"/>
      <c r="BE398" s="275"/>
      <c r="BF398" s="275"/>
      <c r="BH398" s="277"/>
    </row>
    <row r="399" spans="1:60" ht="16.5" hidden="1" customHeight="1" x14ac:dyDescent="0.3">
      <c r="A399" s="260">
        <v>377</v>
      </c>
      <c r="B399" s="261"/>
      <c r="C399" s="261"/>
      <c r="D399" s="262" t="s">
        <v>15</v>
      </c>
      <c r="E399" s="262" t="s">
        <v>364</v>
      </c>
      <c r="F399" s="263" t="s">
        <v>15</v>
      </c>
      <c r="G399" s="264" t="s">
        <v>364</v>
      </c>
      <c r="H399" s="281"/>
      <c r="I399" s="265"/>
      <c r="J399" s="266" t="s">
        <v>672</v>
      </c>
      <c r="K399" s="262"/>
      <c r="L399" s="262"/>
      <c r="M399" s="262">
        <v>17786</v>
      </c>
      <c r="N399" s="262" t="s">
        <v>22</v>
      </c>
      <c r="O399" s="262" t="s">
        <v>212</v>
      </c>
      <c r="P399" s="262" t="s">
        <v>57</v>
      </c>
      <c r="Q399" s="262" t="s">
        <v>18</v>
      </c>
      <c r="R399" s="262" t="s">
        <v>19</v>
      </c>
      <c r="S399" s="267" t="s">
        <v>19</v>
      </c>
      <c r="T399" s="268"/>
      <c r="U399" s="269">
        <v>12774640</v>
      </c>
      <c r="V399" s="269">
        <v>23182420</v>
      </c>
      <c r="W399" s="278">
        <v>24723946</v>
      </c>
      <c r="X399" s="270"/>
      <c r="Y399" s="262" t="s">
        <v>27</v>
      </c>
      <c r="Z399" s="271" t="s">
        <v>27</v>
      </c>
      <c r="AA399" s="287"/>
      <c r="AB399" s="287"/>
      <c r="AC399" s="272">
        <f t="shared" si="13"/>
        <v>19375600</v>
      </c>
      <c r="AD399" s="272">
        <v>19375600</v>
      </c>
      <c r="AE399" s="272">
        <f t="shared" si="14"/>
        <v>0</v>
      </c>
      <c r="AF399" s="273"/>
      <c r="AG399" s="274"/>
      <c r="AH399" s="273"/>
      <c r="AI399" s="273"/>
      <c r="AJ399" s="274"/>
      <c r="AK399" s="273"/>
      <c r="AL399" s="275">
        <v>0</v>
      </c>
      <c r="AM399" s="290"/>
      <c r="AN399" s="275" t="s">
        <v>1008</v>
      </c>
      <c r="AO399" s="276">
        <v>4375600</v>
      </c>
      <c r="AP399" s="275"/>
      <c r="AQ399" s="275"/>
      <c r="AR399" s="275"/>
      <c r="AS399" s="275">
        <v>5000000</v>
      </c>
      <c r="AT399" s="275"/>
      <c r="AU399" s="275"/>
      <c r="AV399" s="275"/>
      <c r="AW399" s="275"/>
      <c r="AX399" s="275"/>
      <c r="AY399" s="275">
        <v>5000000</v>
      </c>
      <c r="AZ399" s="275"/>
      <c r="BA399" s="275"/>
      <c r="BB399" s="275"/>
      <c r="BC399" s="275"/>
      <c r="BD399" s="275"/>
      <c r="BE399" s="275">
        <v>5000000</v>
      </c>
      <c r="BF399" s="275"/>
      <c r="BH399" s="277"/>
    </row>
    <row r="400" spans="1:60" ht="16.5" hidden="1" customHeight="1" x14ac:dyDescent="0.3">
      <c r="A400" s="260">
        <v>378</v>
      </c>
      <c r="B400" s="261"/>
      <c r="C400" s="261"/>
      <c r="D400" s="262" t="s">
        <v>15</v>
      </c>
      <c r="E400" s="262" t="s">
        <v>364</v>
      </c>
      <c r="F400" s="263" t="s">
        <v>15</v>
      </c>
      <c r="G400" s="264" t="s">
        <v>364</v>
      </c>
      <c r="H400" s="281"/>
      <c r="I400" s="265"/>
      <c r="J400" s="266" t="s">
        <v>672</v>
      </c>
      <c r="K400" s="262"/>
      <c r="L400" s="262"/>
      <c r="M400" s="262">
        <v>17786</v>
      </c>
      <c r="N400" s="262" t="s">
        <v>22</v>
      </c>
      <c r="O400" s="262" t="s">
        <v>212</v>
      </c>
      <c r="P400" s="262" t="s">
        <v>57</v>
      </c>
      <c r="Q400" s="262" t="s">
        <v>30</v>
      </c>
      <c r="R400" s="262" t="s">
        <v>31</v>
      </c>
      <c r="S400" s="267" t="s">
        <v>31</v>
      </c>
      <c r="T400" s="268"/>
      <c r="U400" s="269">
        <v>3350000</v>
      </c>
      <c r="V400" s="269">
        <v>4062500</v>
      </c>
      <c r="W400" s="278">
        <v>2710000</v>
      </c>
      <c r="X400" s="270"/>
      <c r="Y400" s="262" t="s">
        <v>27</v>
      </c>
      <c r="Z400" s="271" t="s">
        <v>24</v>
      </c>
      <c r="AA400" s="287"/>
      <c r="AB400" s="287"/>
      <c r="AC400" s="272">
        <f t="shared" si="13"/>
        <v>5000000</v>
      </c>
      <c r="AD400" s="272">
        <v>5000000</v>
      </c>
      <c r="AE400" s="272">
        <f t="shared" si="14"/>
        <v>0</v>
      </c>
      <c r="AF400" s="273"/>
      <c r="AG400" s="274"/>
      <c r="AH400" s="273"/>
      <c r="AI400" s="273"/>
      <c r="AJ400" s="274"/>
      <c r="AK400" s="273"/>
      <c r="AL400" s="275"/>
      <c r="AM400" s="290"/>
      <c r="AN400" s="275"/>
      <c r="AO400" s="276"/>
      <c r="AP400" s="275"/>
      <c r="AQ400" s="275"/>
      <c r="AR400" s="275"/>
      <c r="AS400" s="275"/>
      <c r="AT400" s="275"/>
      <c r="AU400" s="275">
        <v>5000000</v>
      </c>
      <c r="AV400" s="275"/>
      <c r="AW400" s="275"/>
      <c r="AX400" s="275"/>
      <c r="AY400" s="275"/>
      <c r="AZ400" s="275"/>
      <c r="BA400" s="275"/>
      <c r="BB400" s="275"/>
      <c r="BC400" s="275"/>
      <c r="BD400" s="275"/>
      <c r="BE400" s="275"/>
      <c r="BF400" s="275"/>
      <c r="BH400" s="277"/>
    </row>
    <row r="401" spans="1:60" ht="16.5" hidden="1" customHeight="1" x14ac:dyDescent="0.3">
      <c r="A401" s="260">
        <v>379</v>
      </c>
      <c r="B401" s="261"/>
      <c r="C401" s="261"/>
      <c r="D401" s="262" t="s">
        <v>15</v>
      </c>
      <c r="E401" s="262" t="s">
        <v>364</v>
      </c>
      <c r="F401" s="263" t="s">
        <v>15</v>
      </c>
      <c r="G401" s="264" t="s">
        <v>364</v>
      </c>
      <c r="H401" s="281"/>
      <c r="I401" s="265"/>
      <c r="J401" s="266" t="s">
        <v>672</v>
      </c>
      <c r="K401" s="262"/>
      <c r="L401" s="262"/>
      <c r="M401" s="262">
        <v>17786</v>
      </c>
      <c r="N401" s="262" t="s">
        <v>22</v>
      </c>
      <c r="O401" s="262" t="s">
        <v>56</v>
      </c>
      <c r="P401" s="262" t="s">
        <v>57</v>
      </c>
      <c r="Q401" s="262" t="s">
        <v>26</v>
      </c>
      <c r="R401" s="262" t="s">
        <v>468</v>
      </c>
      <c r="S401" s="267" t="s">
        <v>468</v>
      </c>
      <c r="T401" s="268"/>
      <c r="U401" s="269">
        <v>16900000</v>
      </c>
      <c r="V401" s="269">
        <v>4230000</v>
      </c>
      <c r="W401" s="278">
        <v>293040</v>
      </c>
      <c r="X401" s="270"/>
      <c r="Y401" s="262" t="s">
        <v>27</v>
      </c>
      <c r="Z401" s="271" t="s">
        <v>25</v>
      </c>
      <c r="AA401" s="287"/>
      <c r="AB401" s="287"/>
      <c r="AC401" s="272">
        <f t="shared" si="13"/>
        <v>60000000</v>
      </c>
      <c r="AD401" s="272">
        <v>60000000</v>
      </c>
      <c r="AE401" s="272">
        <f t="shared" si="14"/>
        <v>0</v>
      </c>
      <c r="AF401" s="273"/>
      <c r="AG401" s="274"/>
      <c r="AH401" s="273"/>
      <c r="AI401" s="273"/>
      <c r="AJ401" s="274"/>
      <c r="AK401" s="273"/>
      <c r="AL401" s="275"/>
      <c r="AM401" s="290"/>
      <c r="AN401" s="275"/>
      <c r="AO401" s="276"/>
      <c r="AP401" s="275"/>
      <c r="AQ401" s="275">
        <v>30000000</v>
      </c>
      <c r="AR401" s="275"/>
      <c r="AS401" s="275"/>
      <c r="AT401" s="275"/>
      <c r="AU401" s="275"/>
      <c r="AV401" s="275"/>
      <c r="AW401" s="275"/>
      <c r="AX401" s="275"/>
      <c r="AY401" s="275">
        <v>30000000</v>
      </c>
      <c r="AZ401" s="275"/>
      <c r="BA401" s="275"/>
      <c r="BB401" s="275"/>
      <c r="BC401" s="275"/>
      <c r="BD401" s="275"/>
      <c r="BE401" s="275"/>
      <c r="BF401" s="275"/>
      <c r="BH401" s="277"/>
    </row>
    <row r="402" spans="1:60" ht="16.5" hidden="1" customHeight="1" x14ac:dyDescent="0.3">
      <c r="A402" s="260">
        <v>380</v>
      </c>
      <c r="B402" s="261"/>
      <c r="C402" s="261"/>
      <c r="D402" s="262" t="s">
        <v>15</v>
      </c>
      <c r="E402" s="262" t="s">
        <v>364</v>
      </c>
      <c r="F402" s="263" t="s">
        <v>15</v>
      </c>
      <c r="G402" s="264" t="s">
        <v>364</v>
      </c>
      <c r="H402" s="281"/>
      <c r="I402" s="265"/>
      <c r="J402" s="266" t="s">
        <v>672</v>
      </c>
      <c r="K402" s="262"/>
      <c r="L402" s="262"/>
      <c r="M402" s="262">
        <v>17786</v>
      </c>
      <c r="N402" s="262" t="s">
        <v>22</v>
      </c>
      <c r="O402" s="262" t="s">
        <v>56</v>
      </c>
      <c r="P402" s="262" t="s">
        <v>57</v>
      </c>
      <c r="Q402" s="262" t="s">
        <v>26</v>
      </c>
      <c r="R402" s="262" t="s">
        <v>478</v>
      </c>
      <c r="S402" s="267" t="s">
        <v>478</v>
      </c>
      <c r="T402" s="268"/>
      <c r="U402" s="269"/>
      <c r="V402" s="269">
        <v>0</v>
      </c>
      <c r="W402" s="278">
        <v>0</v>
      </c>
      <c r="X402" s="270"/>
      <c r="Y402" s="262" t="s">
        <v>27</v>
      </c>
      <c r="Z402" s="271" t="s">
        <v>25</v>
      </c>
      <c r="AA402" s="287"/>
      <c r="AB402" s="287"/>
      <c r="AC402" s="272">
        <f t="shared" si="13"/>
        <v>9000000</v>
      </c>
      <c r="AD402" s="272">
        <v>9000000</v>
      </c>
      <c r="AE402" s="272">
        <f t="shared" si="14"/>
        <v>0</v>
      </c>
      <c r="AF402" s="273"/>
      <c r="AG402" s="274"/>
      <c r="AH402" s="273"/>
      <c r="AI402" s="273"/>
      <c r="AJ402" s="274"/>
      <c r="AK402" s="273"/>
      <c r="AL402" s="275"/>
      <c r="AM402" s="290"/>
      <c r="AN402" s="275"/>
      <c r="AO402" s="276"/>
      <c r="AP402" s="275"/>
      <c r="AQ402" s="275"/>
      <c r="AR402" s="275"/>
      <c r="AS402" s="275">
        <v>3000000</v>
      </c>
      <c r="AT402" s="275"/>
      <c r="AU402" s="275"/>
      <c r="AV402" s="275"/>
      <c r="AW402" s="275"/>
      <c r="AX402" s="275"/>
      <c r="AY402" s="275">
        <v>3000000</v>
      </c>
      <c r="AZ402" s="275"/>
      <c r="BA402" s="275"/>
      <c r="BB402" s="275"/>
      <c r="BC402" s="275"/>
      <c r="BD402" s="275"/>
      <c r="BE402" s="275">
        <v>3000000</v>
      </c>
      <c r="BF402" s="275"/>
      <c r="BH402" s="277"/>
    </row>
    <row r="403" spans="1:60" ht="16.5" hidden="1" customHeight="1" x14ac:dyDescent="0.3">
      <c r="A403" s="260">
        <v>381</v>
      </c>
      <c r="B403" s="261"/>
      <c r="C403" s="261"/>
      <c r="D403" s="262" t="s">
        <v>15</v>
      </c>
      <c r="E403" s="262" t="s">
        <v>364</v>
      </c>
      <c r="F403" s="263" t="s">
        <v>15</v>
      </c>
      <c r="G403" s="264" t="s">
        <v>364</v>
      </c>
      <c r="H403" s="281"/>
      <c r="I403" s="265"/>
      <c r="J403" s="266" t="s">
        <v>672</v>
      </c>
      <c r="K403" s="262"/>
      <c r="L403" s="262"/>
      <c r="M403" s="262">
        <v>17786</v>
      </c>
      <c r="N403" s="262" t="s">
        <v>22</v>
      </c>
      <c r="O403" s="262" t="s">
        <v>212</v>
      </c>
      <c r="P403" s="262" t="s">
        <v>57</v>
      </c>
      <c r="Q403" s="262"/>
      <c r="R403" s="262"/>
      <c r="S403" s="267" t="s">
        <v>830</v>
      </c>
      <c r="T403" s="268"/>
      <c r="U403" s="269"/>
      <c r="V403" s="269"/>
      <c r="W403" s="278">
        <v>0</v>
      </c>
      <c r="X403" s="270"/>
      <c r="Y403" s="262"/>
      <c r="Z403" s="271" t="s">
        <v>25</v>
      </c>
      <c r="AA403" s="287"/>
      <c r="AB403" s="287"/>
      <c r="AC403" s="272">
        <f t="shared" si="13"/>
        <v>10000000</v>
      </c>
      <c r="AD403" s="272">
        <v>10000000</v>
      </c>
      <c r="AE403" s="272">
        <f t="shared" si="14"/>
        <v>0</v>
      </c>
      <c r="AF403" s="273"/>
      <c r="AG403" s="274"/>
      <c r="AH403" s="273"/>
      <c r="AI403" s="273"/>
      <c r="AJ403" s="274"/>
      <c r="AK403" s="273"/>
      <c r="AL403" s="275"/>
      <c r="AM403" s="290"/>
      <c r="AN403" s="275"/>
      <c r="AO403" s="276"/>
      <c r="AP403" s="275"/>
      <c r="AQ403" s="275"/>
      <c r="AR403" s="275"/>
      <c r="AS403" s="275"/>
      <c r="AT403" s="275"/>
      <c r="AU403" s="275"/>
      <c r="AV403" s="275"/>
      <c r="AW403" s="275"/>
      <c r="AX403" s="275"/>
      <c r="AY403" s="275">
        <v>10000000</v>
      </c>
      <c r="AZ403" s="275"/>
      <c r="BA403" s="275"/>
      <c r="BB403" s="275"/>
      <c r="BC403" s="275"/>
      <c r="BD403" s="275"/>
      <c r="BE403" s="275"/>
      <c r="BF403" s="275"/>
      <c r="BH403" s="277"/>
    </row>
    <row r="404" spans="1:60" ht="16.5" hidden="1" customHeight="1" x14ac:dyDescent="0.3">
      <c r="A404" s="260">
        <v>382</v>
      </c>
      <c r="B404" s="261"/>
      <c r="C404" s="261"/>
      <c r="D404" s="262" t="s">
        <v>15</v>
      </c>
      <c r="E404" s="262" t="s">
        <v>364</v>
      </c>
      <c r="F404" s="263" t="s">
        <v>15</v>
      </c>
      <c r="G404" s="264" t="s">
        <v>364</v>
      </c>
      <c r="H404" s="281"/>
      <c r="I404" s="265"/>
      <c r="J404" s="266" t="s">
        <v>684</v>
      </c>
      <c r="K404" s="262"/>
      <c r="L404" s="262"/>
      <c r="M404" s="262">
        <v>45447</v>
      </c>
      <c r="N404" s="262" t="s">
        <v>22</v>
      </c>
      <c r="O404" s="262" t="s">
        <v>56</v>
      </c>
      <c r="P404" s="262" t="s">
        <v>57</v>
      </c>
      <c r="Q404" s="262" t="s">
        <v>18</v>
      </c>
      <c r="R404" s="262" t="s">
        <v>19</v>
      </c>
      <c r="S404" s="267" t="s">
        <v>19</v>
      </c>
      <c r="T404" s="268"/>
      <c r="U404" s="269" t="s">
        <v>154</v>
      </c>
      <c r="V404" s="269">
        <v>0</v>
      </c>
      <c r="W404" s="278">
        <v>0</v>
      </c>
      <c r="X404" s="270"/>
      <c r="Y404" s="262" t="s">
        <v>24</v>
      </c>
      <c r="Z404" s="271" t="s">
        <v>24</v>
      </c>
      <c r="AA404" s="287"/>
      <c r="AB404" s="287"/>
      <c r="AC404" s="272">
        <f t="shared" si="13"/>
        <v>5000000</v>
      </c>
      <c r="AD404" s="272">
        <v>5000000</v>
      </c>
      <c r="AE404" s="272">
        <f t="shared" si="14"/>
        <v>0</v>
      </c>
      <c r="AF404" s="273"/>
      <c r="AG404" s="274"/>
      <c r="AH404" s="273"/>
      <c r="AI404" s="273"/>
      <c r="AJ404" s="274"/>
      <c r="AK404" s="273"/>
      <c r="AL404" s="275"/>
      <c r="AM404" s="290"/>
      <c r="AN404" s="275"/>
      <c r="AO404" s="276"/>
      <c r="AP404" s="275"/>
      <c r="AQ404" s="275"/>
      <c r="AR404" s="275"/>
      <c r="AS404" s="275"/>
      <c r="AT404" s="275"/>
      <c r="AU404" s="275"/>
      <c r="AV404" s="275"/>
      <c r="AW404" s="275">
        <v>5000000</v>
      </c>
      <c r="AX404" s="275"/>
      <c r="AY404" s="275"/>
      <c r="AZ404" s="275"/>
      <c r="BA404" s="275"/>
      <c r="BB404" s="275"/>
      <c r="BC404" s="275"/>
      <c r="BD404" s="275"/>
      <c r="BE404" s="275"/>
      <c r="BF404" s="275"/>
      <c r="BH404" s="277"/>
    </row>
    <row r="405" spans="1:60" ht="16.5" hidden="1" customHeight="1" x14ac:dyDescent="0.3">
      <c r="A405" s="260">
        <v>383</v>
      </c>
      <c r="B405" s="261"/>
      <c r="C405" s="261"/>
      <c r="D405" s="262" t="s">
        <v>15</v>
      </c>
      <c r="E405" s="262" t="s">
        <v>364</v>
      </c>
      <c r="F405" s="263" t="s">
        <v>15</v>
      </c>
      <c r="G405" s="264" t="s">
        <v>364</v>
      </c>
      <c r="H405" s="281"/>
      <c r="I405" s="265"/>
      <c r="J405" s="266" t="s">
        <v>684</v>
      </c>
      <c r="K405" s="262"/>
      <c r="L405" s="262"/>
      <c r="M405" s="262">
        <v>45447</v>
      </c>
      <c r="N405" s="262" t="s">
        <v>22</v>
      </c>
      <c r="O405" s="262" t="s">
        <v>35</v>
      </c>
      <c r="P405" s="262" t="s">
        <v>57</v>
      </c>
      <c r="Q405" s="262" t="s">
        <v>54</v>
      </c>
      <c r="R405" s="262" t="s">
        <v>467</v>
      </c>
      <c r="S405" s="267" t="s">
        <v>826</v>
      </c>
      <c r="T405" s="268"/>
      <c r="U405" s="269" t="s">
        <v>154</v>
      </c>
      <c r="V405" s="269">
        <v>0</v>
      </c>
      <c r="W405" s="278">
        <v>0</v>
      </c>
      <c r="X405" s="270"/>
      <c r="Y405" s="262" t="s">
        <v>24</v>
      </c>
      <c r="Z405" s="271" t="s">
        <v>27</v>
      </c>
      <c r="AA405" s="287"/>
      <c r="AB405" s="287"/>
      <c r="AC405" s="272">
        <f t="shared" si="13"/>
        <v>20000000</v>
      </c>
      <c r="AD405" s="272">
        <v>20000000</v>
      </c>
      <c r="AE405" s="272">
        <f t="shared" si="14"/>
        <v>0</v>
      </c>
      <c r="AF405" s="273"/>
      <c r="AG405" s="274"/>
      <c r="AH405" s="273"/>
      <c r="AI405" s="273"/>
      <c r="AJ405" s="274"/>
      <c r="AK405" s="273"/>
      <c r="AL405" s="275"/>
      <c r="AM405" s="290"/>
      <c r="AN405" s="275"/>
      <c r="AO405" s="276"/>
      <c r="AP405" s="275"/>
      <c r="AQ405" s="275"/>
      <c r="AR405" s="275"/>
      <c r="AS405" s="275"/>
      <c r="AT405" s="275"/>
      <c r="AU405" s="275">
        <v>20000000</v>
      </c>
      <c r="AV405" s="275"/>
      <c r="AW405" s="275"/>
      <c r="AX405" s="275"/>
      <c r="AY405" s="275"/>
      <c r="AZ405" s="275"/>
      <c r="BA405" s="275"/>
      <c r="BB405" s="275"/>
      <c r="BC405" s="275"/>
      <c r="BD405" s="275"/>
      <c r="BE405" s="275"/>
      <c r="BF405" s="275"/>
      <c r="BH405" s="277"/>
    </row>
    <row r="406" spans="1:60" ht="16.5" hidden="1" customHeight="1" x14ac:dyDescent="0.3">
      <c r="A406" s="260">
        <v>384</v>
      </c>
      <c r="B406" s="261"/>
      <c r="C406" s="261"/>
      <c r="D406" s="262"/>
      <c r="E406" s="262"/>
      <c r="F406" s="263" t="s">
        <v>15</v>
      </c>
      <c r="G406" s="264" t="s">
        <v>364</v>
      </c>
      <c r="H406" s="281"/>
      <c r="I406" s="265"/>
      <c r="J406" s="266" t="s">
        <v>961</v>
      </c>
      <c r="K406" s="262"/>
      <c r="L406" s="262"/>
      <c r="M406" s="262">
        <v>12798</v>
      </c>
      <c r="N406" s="262"/>
      <c r="O406" s="262"/>
      <c r="P406" s="262"/>
      <c r="Q406" s="262"/>
      <c r="R406" s="262"/>
      <c r="S406" s="267" t="s">
        <v>19</v>
      </c>
      <c r="T406" s="268"/>
      <c r="U406" s="269"/>
      <c r="V406" s="269"/>
      <c r="W406" s="278">
        <v>0</v>
      </c>
      <c r="X406" s="270"/>
      <c r="Y406" s="262"/>
      <c r="Z406" s="271" t="s">
        <v>27</v>
      </c>
      <c r="AA406" s="287"/>
      <c r="AB406" s="287"/>
      <c r="AC406" s="272">
        <f t="shared" si="13"/>
        <v>10000000</v>
      </c>
      <c r="AD406" s="272">
        <v>10000000</v>
      </c>
      <c r="AE406" s="272">
        <f t="shared" si="14"/>
        <v>0</v>
      </c>
      <c r="AF406" s="273"/>
      <c r="AG406" s="274"/>
      <c r="AH406" s="273"/>
      <c r="AI406" s="273"/>
      <c r="AJ406" s="274"/>
      <c r="AK406" s="273"/>
      <c r="AL406" s="275"/>
      <c r="AM406" s="290"/>
      <c r="AN406" s="275"/>
      <c r="AO406" s="276">
        <v>5000000</v>
      </c>
      <c r="AP406" s="275"/>
      <c r="AQ406" s="275"/>
      <c r="AR406" s="275"/>
      <c r="AS406" s="275">
        <v>5000000</v>
      </c>
      <c r="AT406" s="275"/>
      <c r="AU406" s="275"/>
      <c r="AV406" s="275"/>
      <c r="AW406" s="275"/>
      <c r="AX406" s="275"/>
      <c r="AY406" s="275"/>
      <c r="AZ406" s="275"/>
      <c r="BA406" s="275"/>
      <c r="BB406" s="275"/>
      <c r="BC406" s="275"/>
      <c r="BD406" s="275"/>
      <c r="BE406" s="275"/>
      <c r="BF406" s="275"/>
      <c r="BH406" s="277"/>
    </row>
    <row r="407" spans="1:60" ht="16.5" hidden="1" customHeight="1" x14ac:dyDescent="0.3">
      <c r="A407" s="260">
        <v>385</v>
      </c>
      <c r="B407" s="261"/>
      <c r="C407" s="261"/>
      <c r="D407" s="262"/>
      <c r="E407" s="262"/>
      <c r="F407" s="263" t="s">
        <v>15</v>
      </c>
      <c r="G407" s="264" t="s">
        <v>364</v>
      </c>
      <c r="H407" s="281"/>
      <c r="I407" s="265"/>
      <c r="J407" s="266" t="s">
        <v>961</v>
      </c>
      <c r="K407" s="262"/>
      <c r="L407" s="262"/>
      <c r="M407" s="262">
        <v>12798</v>
      </c>
      <c r="N407" s="262"/>
      <c r="O407" s="262"/>
      <c r="P407" s="262"/>
      <c r="Q407" s="262"/>
      <c r="R407" s="262"/>
      <c r="S407" s="267" t="s">
        <v>19</v>
      </c>
      <c r="T407" s="268"/>
      <c r="U407" s="269"/>
      <c r="V407" s="269"/>
      <c r="W407" s="278">
        <v>293020</v>
      </c>
      <c r="X407" s="270"/>
      <c r="Y407" s="262"/>
      <c r="Z407" s="271" t="s">
        <v>718</v>
      </c>
      <c r="AA407" s="287"/>
      <c r="AB407" s="287"/>
      <c r="AC407" s="272">
        <f t="shared" ref="AC407:AC470" si="15">AG407+AJ407+AM407+AO407+AQ407+AS407+AU407+AW407+AY407+BA407+BC407+BE407</f>
        <v>0</v>
      </c>
      <c r="AD407" s="272">
        <v>0</v>
      </c>
      <c r="AE407" s="272">
        <f t="shared" ref="AE407:AE470" si="16">AC407-AD407</f>
        <v>0</v>
      </c>
      <c r="AF407" s="273"/>
      <c r="AG407" s="274"/>
      <c r="AH407" s="273"/>
      <c r="AI407" s="273"/>
      <c r="AJ407" s="274"/>
      <c r="AK407" s="273"/>
      <c r="AL407" s="275"/>
      <c r="AM407" s="290"/>
      <c r="AN407" s="275"/>
      <c r="AO407" s="276"/>
      <c r="AP407" s="275"/>
      <c r="AQ407" s="275"/>
      <c r="AR407" s="275"/>
      <c r="AS407" s="275"/>
      <c r="AT407" s="275"/>
      <c r="AU407" s="275"/>
      <c r="AV407" s="275"/>
      <c r="AW407" s="275"/>
      <c r="AX407" s="275"/>
      <c r="AY407" s="275"/>
      <c r="AZ407" s="275"/>
      <c r="BA407" s="275"/>
      <c r="BB407" s="275"/>
      <c r="BC407" s="275"/>
      <c r="BD407" s="275"/>
      <c r="BE407" s="275"/>
      <c r="BF407" s="275"/>
      <c r="BH407" s="277"/>
    </row>
    <row r="408" spans="1:60" ht="16.5" hidden="1" customHeight="1" x14ac:dyDescent="0.3">
      <c r="A408" s="260">
        <v>386</v>
      </c>
      <c r="B408" s="261"/>
      <c r="C408" s="261"/>
      <c r="D408" s="262" t="s">
        <v>15</v>
      </c>
      <c r="E408" s="262" t="s">
        <v>364</v>
      </c>
      <c r="F408" s="263" t="s">
        <v>15</v>
      </c>
      <c r="G408" s="264" t="s">
        <v>364</v>
      </c>
      <c r="H408" s="281"/>
      <c r="I408" s="265"/>
      <c r="J408" s="266" t="s">
        <v>379</v>
      </c>
      <c r="K408" s="262"/>
      <c r="L408" s="262"/>
      <c r="M408" s="262">
        <v>1886</v>
      </c>
      <c r="N408" s="262" t="s">
        <v>22</v>
      </c>
      <c r="O408" s="262" t="s">
        <v>212</v>
      </c>
      <c r="P408" s="262" t="s">
        <v>57</v>
      </c>
      <c r="Q408" s="262" t="s">
        <v>63</v>
      </c>
      <c r="R408" s="262" t="s">
        <v>28</v>
      </c>
      <c r="S408" s="267" t="s">
        <v>28</v>
      </c>
      <c r="T408" s="268" t="s">
        <v>951</v>
      </c>
      <c r="U408" s="269" t="s">
        <v>154</v>
      </c>
      <c r="V408" s="269">
        <v>128387660</v>
      </c>
      <c r="W408" s="278">
        <v>143483898</v>
      </c>
      <c r="X408" s="270"/>
      <c r="Y408" s="262" t="s">
        <v>27</v>
      </c>
      <c r="Z408" s="271" t="s">
        <v>27</v>
      </c>
      <c r="AA408" s="287"/>
      <c r="AB408" s="287"/>
      <c r="AC408" s="272">
        <f t="shared" si="15"/>
        <v>166445700</v>
      </c>
      <c r="AD408" s="272">
        <v>166445700</v>
      </c>
      <c r="AE408" s="272">
        <f t="shared" si="16"/>
        <v>0</v>
      </c>
      <c r="AF408" s="273">
        <v>19242000</v>
      </c>
      <c r="AG408" s="274">
        <v>19242000</v>
      </c>
      <c r="AH408" s="273"/>
      <c r="AI408" s="273">
        <v>15242200</v>
      </c>
      <c r="AJ408" s="274">
        <v>15242200</v>
      </c>
      <c r="AK408" s="273"/>
      <c r="AL408" s="275">
        <v>0</v>
      </c>
      <c r="AM408" s="290"/>
      <c r="AN408" s="275" t="s">
        <v>1009</v>
      </c>
      <c r="AO408" s="276">
        <v>27961500</v>
      </c>
      <c r="AP408" s="275"/>
      <c r="AQ408" s="275">
        <v>15000000</v>
      </c>
      <c r="AR408" s="275"/>
      <c r="AS408" s="275">
        <v>15000000</v>
      </c>
      <c r="AT408" s="275"/>
      <c r="AU408" s="275">
        <v>15000000</v>
      </c>
      <c r="AV408" s="275"/>
      <c r="AW408" s="275">
        <v>15000000</v>
      </c>
      <c r="AX408" s="275"/>
      <c r="AY408" s="275">
        <v>15000000</v>
      </c>
      <c r="AZ408" s="275"/>
      <c r="BA408" s="275">
        <v>15000000</v>
      </c>
      <c r="BB408" s="275"/>
      <c r="BC408" s="275">
        <v>14000000</v>
      </c>
      <c r="BD408" s="275"/>
      <c r="BE408" s="275"/>
      <c r="BF408" s="275"/>
      <c r="BH408" s="277"/>
    </row>
    <row r="409" spans="1:60" ht="16.5" hidden="1" customHeight="1" x14ac:dyDescent="0.3">
      <c r="A409" s="260">
        <v>387</v>
      </c>
      <c r="B409" s="261"/>
      <c r="C409" s="261"/>
      <c r="D409" s="262" t="s">
        <v>15</v>
      </c>
      <c r="E409" s="262" t="s">
        <v>364</v>
      </c>
      <c r="F409" s="263" t="s">
        <v>15</v>
      </c>
      <c r="G409" s="264" t="s">
        <v>364</v>
      </c>
      <c r="H409" s="281"/>
      <c r="I409" s="265"/>
      <c r="J409" s="266" t="s">
        <v>379</v>
      </c>
      <c r="K409" s="262"/>
      <c r="L409" s="262"/>
      <c r="M409" s="262">
        <v>1886</v>
      </c>
      <c r="N409" s="262" t="s">
        <v>22</v>
      </c>
      <c r="O409" s="262" t="s">
        <v>212</v>
      </c>
      <c r="P409" s="262" t="s">
        <v>57</v>
      </c>
      <c r="Q409" s="262" t="s">
        <v>63</v>
      </c>
      <c r="R409" s="262" t="s">
        <v>28</v>
      </c>
      <c r="S409" s="267" t="s">
        <v>28</v>
      </c>
      <c r="T409" s="268"/>
      <c r="U409" s="269">
        <v>174244140</v>
      </c>
      <c r="V409" s="269">
        <v>0</v>
      </c>
      <c r="W409" s="278">
        <v>0</v>
      </c>
      <c r="X409" s="270"/>
      <c r="Y409" s="262" t="s">
        <v>21</v>
      </c>
      <c r="Z409" s="271" t="s">
        <v>21</v>
      </c>
      <c r="AA409" s="287"/>
      <c r="AB409" s="287"/>
      <c r="AC409" s="272">
        <f t="shared" si="15"/>
        <v>0</v>
      </c>
      <c r="AD409" s="272">
        <v>0</v>
      </c>
      <c r="AE409" s="272">
        <f t="shared" si="16"/>
        <v>0</v>
      </c>
      <c r="AF409" s="273"/>
      <c r="AG409" s="274"/>
      <c r="AH409" s="273"/>
      <c r="AI409" s="273"/>
      <c r="AJ409" s="274"/>
      <c r="AK409" s="273"/>
      <c r="AL409" s="275"/>
      <c r="AM409" s="290"/>
      <c r="AN409" s="275"/>
      <c r="AO409" s="276"/>
      <c r="AP409" s="275"/>
      <c r="AQ409" s="275"/>
      <c r="AR409" s="275"/>
      <c r="AS409" s="275"/>
      <c r="AT409" s="275"/>
      <c r="AU409" s="275"/>
      <c r="AV409" s="275"/>
      <c r="AW409" s="275"/>
      <c r="AX409" s="275"/>
      <c r="AY409" s="275"/>
      <c r="AZ409" s="275"/>
      <c r="BA409" s="275"/>
      <c r="BB409" s="275"/>
      <c r="BC409" s="275"/>
      <c r="BD409" s="275"/>
      <c r="BE409" s="275"/>
      <c r="BF409" s="275"/>
      <c r="BH409" s="277"/>
    </row>
    <row r="410" spans="1:60" ht="16.5" hidden="1" customHeight="1" x14ac:dyDescent="0.3">
      <c r="A410" s="260">
        <v>388</v>
      </c>
      <c r="B410" s="261"/>
      <c r="C410" s="261"/>
      <c r="D410" s="262" t="s">
        <v>15</v>
      </c>
      <c r="E410" s="262" t="s">
        <v>364</v>
      </c>
      <c r="F410" s="263" t="s">
        <v>15</v>
      </c>
      <c r="G410" s="264" t="s">
        <v>364</v>
      </c>
      <c r="H410" s="281"/>
      <c r="I410" s="265"/>
      <c r="J410" s="266" t="s">
        <v>379</v>
      </c>
      <c r="K410" s="262"/>
      <c r="L410" s="262"/>
      <c r="M410" s="262">
        <v>1886</v>
      </c>
      <c r="N410" s="262"/>
      <c r="O410" s="262"/>
      <c r="P410" s="262"/>
      <c r="Q410" s="262"/>
      <c r="R410" s="262"/>
      <c r="S410" s="267" t="s">
        <v>468</v>
      </c>
      <c r="T410" s="268"/>
      <c r="U410" s="269"/>
      <c r="V410" s="269"/>
      <c r="W410" s="278">
        <v>34770400</v>
      </c>
      <c r="X410" s="270"/>
      <c r="Y410" s="262"/>
      <c r="Z410" s="271" t="s">
        <v>718</v>
      </c>
      <c r="AA410" s="287"/>
      <c r="AB410" s="287"/>
      <c r="AC410" s="272">
        <f t="shared" si="15"/>
        <v>0</v>
      </c>
      <c r="AD410" s="272">
        <v>0</v>
      </c>
      <c r="AE410" s="272">
        <f t="shared" si="16"/>
        <v>0</v>
      </c>
      <c r="AF410" s="273"/>
      <c r="AG410" s="274"/>
      <c r="AH410" s="273"/>
      <c r="AI410" s="273"/>
      <c r="AJ410" s="274"/>
      <c r="AK410" s="273"/>
      <c r="AL410" s="275"/>
      <c r="AM410" s="290"/>
      <c r="AN410" s="275"/>
      <c r="AO410" s="276"/>
      <c r="AP410" s="275"/>
      <c r="AQ410" s="275"/>
      <c r="AR410" s="275"/>
      <c r="AS410" s="275"/>
      <c r="AT410" s="275"/>
      <c r="AU410" s="275"/>
      <c r="AV410" s="275"/>
      <c r="AW410" s="275"/>
      <c r="AX410" s="275"/>
      <c r="AY410" s="275"/>
      <c r="AZ410" s="275"/>
      <c r="BA410" s="275"/>
      <c r="BB410" s="275"/>
      <c r="BC410" s="275"/>
      <c r="BD410" s="275"/>
      <c r="BE410" s="275"/>
      <c r="BF410" s="275"/>
      <c r="BH410" s="277"/>
    </row>
    <row r="411" spans="1:60" ht="16.5" hidden="1" customHeight="1" x14ac:dyDescent="0.3">
      <c r="A411" s="260">
        <v>389</v>
      </c>
      <c r="B411" s="261"/>
      <c r="C411" s="261"/>
      <c r="D411" s="262" t="s">
        <v>15</v>
      </c>
      <c r="E411" s="262" t="s">
        <v>364</v>
      </c>
      <c r="F411" s="263" t="s">
        <v>15</v>
      </c>
      <c r="G411" s="264" t="s">
        <v>364</v>
      </c>
      <c r="H411" s="281"/>
      <c r="I411" s="265"/>
      <c r="J411" s="266" t="s">
        <v>379</v>
      </c>
      <c r="K411" s="262"/>
      <c r="L411" s="262"/>
      <c r="M411" s="262">
        <v>1886</v>
      </c>
      <c r="N411" s="262" t="s">
        <v>22</v>
      </c>
      <c r="O411" s="262" t="s">
        <v>56</v>
      </c>
      <c r="P411" s="262" t="s">
        <v>57</v>
      </c>
      <c r="Q411" s="262"/>
      <c r="R411" s="262" t="s">
        <v>478</v>
      </c>
      <c r="S411" s="267" t="s">
        <v>478</v>
      </c>
      <c r="T411" s="268"/>
      <c r="U411" s="269"/>
      <c r="V411" s="269">
        <v>0</v>
      </c>
      <c r="W411" s="278">
        <v>0</v>
      </c>
      <c r="X411" s="270"/>
      <c r="Y411" s="262" t="s">
        <v>27</v>
      </c>
      <c r="Z411" s="271" t="s">
        <v>25</v>
      </c>
      <c r="AA411" s="287"/>
      <c r="AB411" s="287"/>
      <c r="AC411" s="272">
        <f t="shared" si="15"/>
        <v>0</v>
      </c>
      <c r="AD411" s="272">
        <v>0</v>
      </c>
      <c r="AE411" s="272">
        <f t="shared" si="16"/>
        <v>0</v>
      </c>
      <c r="AF411" s="273"/>
      <c r="AG411" s="274"/>
      <c r="AH411" s="273"/>
      <c r="AI411" s="273"/>
      <c r="AJ411" s="274"/>
      <c r="AK411" s="273"/>
      <c r="AL411" s="275"/>
      <c r="AM411" s="290"/>
      <c r="AN411" s="275"/>
      <c r="AO411" s="276"/>
      <c r="AP411" s="275"/>
      <c r="AQ411" s="275"/>
      <c r="AR411" s="275"/>
      <c r="AS411" s="275"/>
      <c r="AT411" s="275"/>
      <c r="AU411" s="275"/>
      <c r="AV411" s="275"/>
      <c r="AW411" s="275"/>
      <c r="AX411" s="275"/>
      <c r="AY411" s="275"/>
      <c r="AZ411" s="275"/>
      <c r="BA411" s="275"/>
      <c r="BB411" s="275"/>
      <c r="BC411" s="275"/>
      <c r="BD411" s="275"/>
      <c r="BE411" s="275"/>
      <c r="BF411" s="275"/>
      <c r="BH411" s="277"/>
    </row>
    <row r="412" spans="1:60" ht="16.5" hidden="1" customHeight="1" x14ac:dyDescent="0.3">
      <c r="A412" s="260">
        <v>390</v>
      </c>
      <c r="B412" s="261"/>
      <c r="C412" s="261"/>
      <c r="D412" s="262" t="s">
        <v>15</v>
      </c>
      <c r="E412" s="262" t="s">
        <v>364</v>
      </c>
      <c r="F412" s="263" t="s">
        <v>15</v>
      </c>
      <c r="G412" s="264" t="s">
        <v>364</v>
      </c>
      <c r="H412" s="281"/>
      <c r="I412" s="265"/>
      <c r="J412" s="266" t="s">
        <v>379</v>
      </c>
      <c r="K412" s="262"/>
      <c r="L412" s="262"/>
      <c r="M412" s="262">
        <v>1886</v>
      </c>
      <c r="N412" s="262" t="s">
        <v>22</v>
      </c>
      <c r="O412" s="262" t="s">
        <v>212</v>
      </c>
      <c r="P412" s="262" t="s">
        <v>57</v>
      </c>
      <c r="Q412" s="262" t="s">
        <v>54</v>
      </c>
      <c r="R412" s="262" t="s">
        <v>467</v>
      </c>
      <c r="S412" s="267" t="s">
        <v>826</v>
      </c>
      <c r="T412" s="268"/>
      <c r="U412" s="269" t="s">
        <v>154</v>
      </c>
      <c r="V412" s="269">
        <v>30000000</v>
      </c>
      <c r="W412" s="278">
        <v>30000000</v>
      </c>
      <c r="X412" s="270"/>
      <c r="Y412" s="262" t="s">
        <v>27</v>
      </c>
      <c r="Z412" s="271" t="s">
        <v>27</v>
      </c>
      <c r="AA412" s="287"/>
      <c r="AB412" s="287"/>
      <c r="AC412" s="272">
        <f t="shared" si="15"/>
        <v>30000000</v>
      </c>
      <c r="AD412" s="272">
        <v>30000000</v>
      </c>
      <c r="AE412" s="272">
        <f t="shared" si="16"/>
        <v>0</v>
      </c>
      <c r="AF412" s="273">
        <v>30000000</v>
      </c>
      <c r="AG412" s="274">
        <v>30000000</v>
      </c>
      <c r="AH412" s="273"/>
      <c r="AI412" s="273"/>
      <c r="AJ412" s="274"/>
      <c r="AK412" s="273"/>
      <c r="AL412" s="275"/>
      <c r="AM412" s="290"/>
      <c r="AN412" s="275"/>
      <c r="AO412" s="276"/>
      <c r="AP412" s="275"/>
      <c r="AQ412" s="275"/>
      <c r="AR412" s="275"/>
      <c r="AS412" s="275"/>
      <c r="AT412" s="275"/>
      <c r="AU412" s="275"/>
      <c r="AV412" s="275"/>
      <c r="AW412" s="275"/>
      <c r="AX412" s="275"/>
      <c r="AY412" s="275"/>
      <c r="AZ412" s="275"/>
      <c r="BA412" s="275"/>
      <c r="BB412" s="275"/>
      <c r="BC412" s="275"/>
      <c r="BD412" s="275"/>
      <c r="BE412" s="275"/>
      <c r="BF412" s="275"/>
      <c r="BH412" s="277"/>
    </row>
    <row r="413" spans="1:60" ht="16.5" hidden="1" customHeight="1" x14ac:dyDescent="0.3">
      <c r="A413" s="260">
        <v>391</v>
      </c>
      <c r="B413" s="261"/>
      <c r="C413" s="261"/>
      <c r="D413" s="262"/>
      <c r="E413" s="262"/>
      <c r="F413" s="263" t="s">
        <v>15</v>
      </c>
      <c r="G413" s="264" t="s">
        <v>364</v>
      </c>
      <c r="H413" s="281"/>
      <c r="I413" s="265"/>
      <c r="J413" s="266" t="s">
        <v>380</v>
      </c>
      <c r="K413" s="262"/>
      <c r="L413" s="262"/>
      <c r="M413" s="262">
        <v>53292</v>
      </c>
      <c r="N413" s="262"/>
      <c r="O413" s="262"/>
      <c r="P413" s="262"/>
      <c r="Q413" s="262"/>
      <c r="R413" s="262"/>
      <c r="S413" s="267" t="s">
        <v>28</v>
      </c>
      <c r="T413" s="268"/>
      <c r="U413" s="269"/>
      <c r="V413" s="269"/>
      <c r="W413" s="278">
        <v>1400000</v>
      </c>
      <c r="X413" s="270"/>
      <c r="Y413" s="262"/>
      <c r="Z413" s="271" t="s">
        <v>718</v>
      </c>
      <c r="AA413" s="287"/>
      <c r="AB413" s="287"/>
      <c r="AC413" s="272">
        <f t="shared" si="15"/>
        <v>0</v>
      </c>
      <c r="AD413" s="272">
        <v>0</v>
      </c>
      <c r="AE413" s="272">
        <f t="shared" si="16"/>
        <v>0</v>
      </c>
      <c r="AF413" s="273"/>
      <c r="AG413" s="274"/>
      <c r="AH413" s="273"/>
      <c r="AI413" s="273"/>
      <c r="AJ413" s="274"/>
      <c r="AK413" s="273"/>
      <c r="AL413" s="275"/>
      <c r="AM413" s="290"/>
      <c r="AN413" s="275"/>
      <c r="AO413" s="276"/>
      <c r="AP413" s="275"/>
      <c r="AQ413" s="275"/>
      <c r="AR413" s="275"/>
      <c r="AS413" s="275"/>
      <c r="AT413" s="275"/>
      <c r="AU413" s="275"/>
      <c r="AV413" s="275"/>
      <c r="AW413" s="275"/>
      <c r="AX413" s="275"/>
      <c r="AY413" s="275"/>
      <c r="AZ413" s="275"/>
      <c r="BA413" s="275"/>
      <c r="BB413" s="275"/>
      <c r="BC413" s="275"/>
      <c r="BD413" s="275"/>
      <c r="BE413" s="275"/>
      <c r="BF413" s="275"/>
      <c r="BH413" s="277"/>
    </row>
    <row r="414" spans="1:60" ht="16.5" hidden="1" customHeight="1" x14ac:dyDescent="0.3">
      <c r="A414" s="260">
        <v>392</v>
      </c>
      <c r="B414" s="261"/>
      <c r="C414" s="261"/>
      <c r="D414" s="262" t="s">
        <v>15</v>
      </c>
      <c r="E414" s="262" t="s">
        <v>364</v>
      </c>
      <c r="F414" s="263" t="s">
        <v>15</v>
      </c>
      <c r="G414" s="264" t="s">
        <v>364</v>
      </c>
      <c r="H414" s="281"/>
      <c r="I414" s="265"/>
      <c r="J414" s="266" t="s">
        <v>380</v>
      </c>
      <c r="K414" s="262"/>
      <c r="L414" s="262"/>
      <c r="M414" s="262">
        <v>53292</v>
      </c>
      <c r="N414" s="262" t="s">
        <v>22</v>
      </c>
      <c r="O414" s="262" t="s">
        <v>212</v>
      </c>
      <c r="P414" s="262" t="s">
        <v>57</v>
      </c>
      <c r="Q414" s="262" t="s">
        <v>63</v>
      </c>
      <c r="R414" s="262" t="s">
        <v>19</v>
      </c>
      <c r="S414" s="267" t="s">
        <v>19</v>
      </c>
      <c r="T414" s="268"/>
      <c r="U414" s="269" t="s">
        <v>154</v>
      </c>
      <c r="V414" s="269">
        <v>7010500</v>
      </c>
      <c r="W414" s="278">
        <v>6352000</v>
      </c>
      <c r="X414" s="270"/>
      <c r="Y414" s="262" t="s">
        <v>27</v>
      </c>
      <c r="Z414" s="271" t="s">
        <v>27</v>
      </c>
      <c r="AA414" s="287"/>
      <c r="AB414" s="287"/>
      <c r="AC414" s="272">
        <f t="shared" si="15"/>
        <v>14000000</v>
      </c>
      <c r="AD414" s="272">
        <v>14000000</v>
      </c>
      <c r="AE414" s="272">
        <f t="shared" si="16"/>
        <v>0</v>
      </c>
      <c r="AF414" s="273"/>
      <c r="AG414" s="274"/>
      <c r="AH414" s="273"/>
      <c r="AI414" s="273"/>
      <c r="AJ414" s="274"/>
      <c r="AK414" s="273"/>
      <c r="AL414" s="275">
        <v>0</v>
      </c>
      <c r="AM414" s="290"/>
      <c r="AN414" s="275"/>
      <c r="AO414" s="276">
        <v>1000000</v>
      </c>
      <c r="AP414" s="275"/>
      <c r="AQ414" s="275">
        <v>2000000</v>
      </c>
      <c r="AR414" s="275"/>
      <c r="AS414" s="275">
        <v>1000000</v>
      </c>
      <c r="AT414" s="275"/>
      <c r="AU414" s="275">
        <v>2000000</v>
      </c>
      <c r="AV414" s="275"/>
      <c r="AW414" s="275">
        <v>2000000</v>
      </c>
      <c r="AX414" s="275"/>
      <c r="AY414" s="275">
        <v>1000000</v>
      </c>
      <c r="AZ414" s="275"/>
      <c r="BA414" s="275">
        <v>2000000</v>
      </c>
      <c r="BB414" s="275"/>
      <c r="BC414" s="275">
        <v>2000000</v>
      </c>
      <c r="BD414" s="275"/>
      <c r="BE414" s="275">
        <v>1000000</v>
      </c>
      <c r="BF414" s="275"/>
      <c r="BH414" s="277"/>
    </row>
    <row r="415" spans="1:60" ht="16.5" hidden="1" customHeight="1" x14ac:dyDescent="0.3">
      <c r="A415" s="260">
        <v>393</v>
      </c>
      <c r="B415" s="261"/>
      <c r="C415" s="261"/>
      <c r="D415" s="262" t="s">
        <v>15</v>
      </c>
      <c r="E415" s="262" t="s">
        <v>364</v>
      </c>
      <c r="F415" s="263" t="s">
        <v>15</v>
      </c>
      <c r="G415" s="264" t="s">
        <v>364</v>
      </c>
      <c r="H415" s="281"/>
      <c r="I415" s="265"/>
      <c r="J415" s="266" t="s">
        <v>380</v>
      </c>
      <c r="K415" s="262"/>
      <c r="L415" s="262"/>
      <c r="M415" s="262">
        <v>53292</v>
      </c>
      <c r="N415" s="262" t="s">
        <v>22</v>
      </c>
      <c r="O415" s="262" t="s">
        <v>56</v>
      </c>
      <c r="P415" s="262" t="s">
        <v>57</v>
      </c>
      <c r="Q415" s="262" t="s">
        <v>18</v>
      </c>
      <c r="R415" s="262" t="s">
        <v>19</v>
      </c>
      <c r="S415" s="267" t="s">
        <v>19</v>
      </c>
      <c r="T415" s="268"/>
      <c r="U415" s="269">
        <v>17538200</v>
      </c>
      <c r="V415" s="269">
        <v>0</v>
      </c>
      <c r="W415" s="278">
        <v>0</v>
      </c>
      <c r="X415" s="270"/>
      <c r="Y415" s="262" t="s">
        <v>21</v>
      </c>
      <c r="Z415" s="271" t="s">
        <v>21</v>
      </c>
      <c r="AA415" s="287"/>
      <c r="AB415" s="287"/>
      <c r="AC415" s="272">
        <f t="shared" si="15"/>
        <v>0</v>
      </c>
      <c r="AD415" s="272">
        <v>0</v>
      </c>
      <c r="AE415" s="272">
        <f t="shared" si="16"/>
        <v>0</v>
      </c>
      <c r="AF415" s="273"/>
      <c r="AG415" s="274"/>
      <c r="AH415" s="273"/>
      <c r="AI415" s="273"/>
      <c r="AJ415" s="274"/>
      <c r="AK415" s="273"/>
      <c r="AL415" s="275"/>
      <c r="AM415" s="290"/>
      <c r="AN415" s="275"/>
      <c r="AO415" s="276"/>
      <c r="AP415" s="275"/>
      <c r="AQ415" s="275"/>
      <c r="AR415" s="275"/>
      <c r="AS415" s="275"/>
      <c r="AT415" s="275"/>
      <c r="AU415" s="275"/>
      <c r="AV415" s="275"/>
      <c r="AW415" s="275"/>
      <c r="AX415" s="275"/>
      <c r="AY415" s="275"/>
      <c r="AZ415" s="275"/>
      <c r="BA415" s="275"/>
      <c r="BB415" s="275"/>
      <c r="BC415" s="275"/>
      <c r="BD415" s="275"/>
      <c r="BE415" s="275"/>
      <c r="BF415" s="275"/>
      <c r="BH415" s="277"/>
    </row>
    <row r="416" spans="1:60" ht="16.5" hidden="1" customHeight="1" x14ac:dyDescent="0.3">
      <c r="A416" s="260">
        <v>394</v>
      </c>
      <c r="B416" s="261"/>
      <c r="C416" s="261"/>
      <c r="D416" s="262"/>
      <c r="E416" s="262"/>
      <c r="F416" s="263" t="s">
        <v>15</v>
      </c>
      <c r="G416" s="264" t="s">
        <v>364</v>
      </c>
      <c r="H416" s="281"/>
      <c r="I416" s="265"/>
      <c r="J416" s="266" t="s">
        <v>380</v>
      </c>
      <c r="K416" s="262"/>
      <c r="L416" s="262"/>
      <c r="M416" s="262">
        <v>53292</v>
      </c>
      <c r="N416" s="262"/>
      <c r="O416" s="262"/>
      <c r="P416" s="262"/>
      <c r="Q416" s="262"/>
      <c r="R416" s="262"/>
      <c r="S416" s="267" t="s">
        <v>478</v>
      </c>
      <c r="T416" s="268"/>
      <c r="U416" s="269"/>
      <c r="V416" s="269"/>
      <c r="W416" s="278">
        <v>1700000</v>
      </c>
      <c r="X416" s="270"/>
      <c r="Y416" s="262"/>
      <c r="Z416" s="271" t="s">
        <v>718</v>
      </c>
      <c r="AA416" s="287"/>
      <c r="AB416" s="287"/>
      <c r="AC416" s="272">
        <f t="shared" si="15"/>
        <v>0</v>
      </c>
      <c r="AD416" s="272">
        <v>0</v>
      </c>
      <c r="AE416" s="272">
        <f t="shared" si="16"/>
        <v>0</v>
      </c>
      <c r="AF416" s="273"/>
      <c r="AG416" s="274"/>
      <c r="AH416" s="273"/>
      <c r="AI416" s="273"/>
      <c r="AJ416" s="274"/>
      <c r="AK416" s="273"/>
      <c r="AL416" s="275"/>
      <c r="AM416" s="290"/>
      <c r="AN416" s="275"/>
      <c r="AO416" s="276"/>
      <c r="AP416" s="275"/>
      <c r="AQ416" s="275"/>
      <c r="AR416" s="275"/>
      <c r="AS416" s="275"/>
      <c r="AT416" s="275"/>
      <c r="AU416" s="275"/>
      <c r="AV416" s="275"/>
      <c r="AW416" s="275"/>
      <c r="AX416" s="275"/>
      <c r="AY416" s="275"/>
      <c r="AZ416" s="275"/>
      <c r="BA416" s="275"/>
      <c r="BB416" s="275"/>
      <c r="BC416" s="275"/>
      <c r="BD416" s="275"/>
      <c r="BE416" s="275"/>
      <c r="BF416" s="275"/>
      <c r="BH416" s="277"/>
    </row>
    <row r="417" spans="1:60" ht="16.5" hidden="1" customHeight="1" x14ac:dyDescent="0.3">
      <c r="A417" s="260">
        <v>395</v>
      </c>
      <c r="B417" s="261"/>
      <c r="C417" s="261"/>
      <c r="D417" s="262" t="s">
        <v>15</v>
      </c>
      <c r="E417" s="262" t="s">
        <v>364</v>
      </c>
      <c r="F417" s="263" t="s">
        <v>15</v>
      </c>
      <c r="G417" s="264" t="s">
        <v>364</v>
      </c>
      <c r="H417" s="281"/>
      <c r="I417" s="265"/>
      <c r="J417" s="266" t="s">
        <v>380</v>
      </c>
      <c r="K417" s="262"/>
      <c r="L417" s="262"/>
      <c r="M417" s="262">
        <v>53292</v>
      </c>
      <c r="N417" s="262" t="s">
        <v>22</v>
      </c>
      <c r="O417" s="262" t="s">
        <v>212</v>
      </c>
      <c r="P417" s="262" t="s">
        <v>57</v>
      </c>
      <c r="Q417" s="262"/>
      <c r="R417" s="262"/>
      <c r="S417" s="267" t="s">
        <v>834</v>
      </c>
      <c r="T417" s="268"/>
      <c r="U417" s="269"/>
      <c r="V417" s="269"/>
      <c r="W417" s="278">
        <v>0</v>
      </c>
      <c r="X417" s="270"/>
      <c r="Y417" s="262"/>
      <c r="Z417" s="271" t="s">
        <v>25</v>
      </c>
      <c r="AA417" s="287"/>
      <c r="AB417" s="287"/>
      <c r="AC417" s="272">
        <f t="shared" si="15"/>
        <v>30000000</v>
      </c>
      <c r="AD417" s="272">
        <v>30000000</v>
      </c>
      <c r="AE417" s="272">
        <f t="shared" si="16"/>
        <v>0</v>
      </c>
      <c r="AF417" s="273"/>
      <c r="AG417" s="274"/>
      <c r="AH417" s="273"/>
      <c r="AI417" s="273"/>
      <c r="AJ417" s="274"/>
      <c r="AK417" s="273"/>
      <c r="AL417" s="275"/>
      <c r="AM417" s="290"/>
      <c r="AN417" s="275"/>
      <c r="AO417" s="276"/>
      <c r="AP417" s="275"/>
      <c r="AQ417" s="291">
        <v>30000000</v>
      </c>
      <c r="AR417" s="275"/>
      <c r="AS417" s="275"/>
      <c r="AT417" s="275"/>
      <c r="AU417" s="275"/>
      <c r="AV417" s="275"/>
      <c r="AW417" s="275"/>
      <c r="AX417" s="275"/>
      <c r="AY417" s="275"/>
      <c r="AZ417" s="275"/>
      <c r="BA417" s="275"/>
      <c r="BB417" s="275"/>
      <c r="BC417" s="275"/>
      <c r="BD417" s="275"/>
      <c r="BE417" s="275"/>
      <c r="BF417" s="275"/>
      <c r="BH417" s="277"/>
    </row>
    <row r="418" spans="1:60" ht="16.5" hidden="1" customHeight="1" x14ac:dyDescent="0.3">
      <c r="A418" s="260">
        <v>396</v>
      </c>
      <c r="B418" s="261"/>
      <c r="C418" s="261"/>
      <c r="D418" s="262" t="s">
        <v>15</v>
      </c>
      <c r="E418" s="262" t="s">
        <v>364</v>
      </c>
      <c r="F418" s="263" t="s">
        <v>15</v>
      </c>
      <c r="G418" s="264" t="s">
        <v>364</v>
      </c>
      <c r="H418" s="281"/>
      <c r="I418" s="265"/>
      <c r="J418" s="266" t="s">
        <v>653</v>
      </c>
      <c r="K418" s="262"/>
      <c r="L418" s="262"/>
      <c r="M418" s="262">
        <v>4713</v>
      </c>
      <c r="N418" s="262" t="s">
        <v>42</v>
      </c>
      <c r="O418" s="262" t="s">
        <v>212</v>
      </c>
      <c r="P418" s="262" t="s">
        <v>57</v>
      </c>
      <c r="Q418" s="262" t="s">
        <v>18</v>
      </c>
      <c r="R418" s="262" t="s">
        <v>19</v>
      </c>
      <c r="S418" s="267" t="s">
        <v>19</v>
      </c>
      <c r="T418" s="268"/>
      <c r="U418" s="269">
        <v>7509260</v>
      </c>
      <c r="V418" s="269">
        <v>3480000</v>
      </c>
      <c r="W418" s="278">
        <v>560000</v>
      </c>
      <c r="X418" s="270"/>
      <c r="Y418" s="262" t="s">
        <v>27</v>
      </c>
      <c r="Z418" s="271" t="s">
        <v>24</v>
      </c>
      <c r="AA418" s="287"/>
      <c r="AB418" s="287"/>
      <c r="AC418" s="272">
        <f t="shared" si="15"/>
        <v>7000000</v>
      </c>
      <c r="AD418" s="272">
        <v>7000000</v>
      </c>
      <c r="AE418" s="272">
        <f t="shared" si="16"/>
        <v>0</v>
      </c>
      <c r="AF418" s="273"/>
      <c r="AG418" s="274"/>
      <c r="AH418" s="273"/>
      <c r="AI418" s="273"/>
      <c r="AJ418" s="274"/>
      <c r="AK418" s="273"/>
      <c r="AL418" s="275"/>
      <c r="AM418" s="290"/>
      <c r="AN418" s="275"/>
      <c r="AO418" s="276"/>
      <c r="AP418" s="275"/>
      <c r="AQ418" s="275">
        <v>3500000</v>
      </c>
      <c r="AR418" s="275"/>
      <c r="AS418" s="275"/>
      <c r="AT418" s="275"/>
      <c r="AU418" s="275"/>
      <c r="AV418" s="275"/>
      <c r="AW418" s="275"/>
      <c r="AX418" s="275"/>
      <c r="AY418" s="275">
        <v>3500000</v>
      </c>
      <c r="AZ418" s="275"/>
      <c r="BA418" s="275"/>
      <c r="BB418" s="275"/>
      <c r="BC418" s="275"/>
      <c r="BD418" s="275"/>
      <c r="BE418" s="275"/>
      <c r="BF418" s="275"/>
      <c r="BH418" s="277"/>
    </row>
    <row r="419" spans="1:60" ht="16.5" hidden="1" customHeight="1" x14ac:dyDescent="0.3">
      <c r="A419" s="260">
        <v>397</v>
      </c>
      <c r="B419" s="261"/>
      <c r="C419" s="261"/>
      <c r="D419" s="262" t="s">
        <v>15</v>
      </c>
      <c r="E419" s="262" t="s">
        <v>364</v>
      </c>
      <c r="F419" s="263" t="s">
        <v>15</v>
      </c>
      <c r="G419" s="264" t="s">
        <v>364</v>
      </c>
      <c r="H419" s="281"/>
      <c r="I419" s="265"/>
      <c r="J419" s="266" t="s">
        <v>653</v>
      </c>
      <c r="K419" s="262"/>
      <c r="L419" s="262"/>
      <c r="M419" s="262">
        <v>4713</v>
      </c>
      <c r="N419" s="262" t="s">
        <v>42</v>
      </c>
      <c r="O419" s="262" t="s">
        <v>56</v>
      </c>
      <c r="P419" s="262" t="s">
        <v>57</v>
      </c>
      <c r="Q419" s="262" t="s">
        <v>18</v>
      </c>
      <c r="R419" s="262" t="s">
        <v>19</v>
      </c>
      <c r="S419" s="267" t="s">
        <v>833</v>
      </c>
      <c r="T419" s="268"/>
      <c r="U419" s="269"/>
      <c r="V419" s="269"/>
      <c r="W419" s="278">
        <v>0</v>
      </c>
      <c r="X419" s="270"/>
      <c r="Y419" s="262" t="s">
        <v>25</v>
      </c>
      <c r="Z419" s="271" t="s">
        <v>25</v>
      </c>
      <c r="AA419" s="287"/>
      <c r="AB419" s="287"/>
      <c r="AC419" s="272">
        <f t="shared" si="15"/>
        <v>30000000</v>
      </c>
      <c r="AD419" s="272">
        <v>30000000</v>
      </c>
      <c r="AE419" s="272">
        <f t="shared" si="16"/>
        <v>0</v>
      </c>
      <c r="AF419" s="273"/>
      <c r="AG419" s="274"/>
      <c r="AH419" s="273"/>
      <c r="AI419" s="273"/>
      <c r="AJ419" s="274"/>
      <c r="AK419" s="273"/>
      <c r="AL419" s="275"/>
      <c r="AM419" s="290"/>
      <c r="AN419" s="275"/>
      <c r="AO419" s="276"/>
      <c r="AP419" s="275"/>
      <c r="AQ419" s="291">
        <v>30000000</v>
      </c>
      <c r="AR419" s="275"/>
      <c r="AS419" s="275"/>
      <c r="AT419" s="275"/>
      <c r="AU419" s="275"/>
      <c r="AV419" s="275"/>
      <c r="AW419" s="275"/>
      <c r="AX419" s="275"/>
      <c r="AY419" s="275"/>
      <c r="AZ419" s="275"/>
      <c r="BA419" s="275"/>
      <c r="BB419" s="275"/>
      <c r="BC419" s="275"/>
      <c r="BD419" s="275"/>
      <c r="BE419" s="275"/>
      <c r="BF419" s="275"/>
      <c r="BH419" s="277"/>
    </row>
    <row r="420" spans="1:60" ht="16.5" hidden="1" customHeight="1" x14ac:dyDescent="0.3">
      <c r="A420" s="260">
        <v>398</v>
      </c>
      <c r="B420" s="261"/>
      <c r="C420" s="261"/>
      <c r="D420" s="262" t="s">
        <v>15</v>
      </c>
      <c r="E420" s="262" t="s">
        <v>364</v>
      </c>
      <c r="F420" s="263" t="s">
        <v>15</v>
      </c>
      <c r="G420" s="264" t="s">
        <v>364</v>
      </c>
      <c r="H420" s="281"/>
      <c r="I420" s="265"/>
      <c r="J420" s="266" t="s">
        <v>653</v>
      </c>
      <c r="K420" s="262"/>
      <c r="L420" s="262"/>
      <c r="M420" s="262">
        <v>4713</v>
      </c>
      <c r="N420" s="262" t="s">
        <v>42</v>
      </c>
      <c r="O420" s="262" t="s">
        <v>56</v>
      </c>
      <c r="P420" s="262" t="s">
        <v>57</v>
      </c>
      <c r="Q420" s="262" t="s">
        <v>26</v>
      </c>
      <c r="R420" s="262" t="s">
        <v>468</v>
      </c>
      <c r="S420" s="267" t="s">
        <v>468</v>
      </c>
      <c r="T420" s="268"/>
      <c r="U420" s="269" t="s">
        <v>154</v>
      </c>
      <c r="V420" s="269">
        <v>0</v>
      </c>
      <c r="W420" s="278">
        <v>293020</v>
      </c>
      <c r="X420" s="270"/>
      <c r="Y420" s="262" t="s">
        <v>24</v>
      </c>
      <c r="Z420" s="271" t="s">
        <v>24</v>
      </c>
      <c r="AA420" s="287"/>
      <c r="AB420" s="287"/>
      <c r="AC420" s="272">
        <f t="shared" si="15"/>
        <v>1000000</v>
      </c>
      <c r="AD420" s="272">
        <v>1000000</v>
      </c>
      <c r="AE420" s="272">
        <f t="shared" si="16"/>
        <v>0</v>
      </c>
      <c r="AF420" s="273"/>
      <c r="AG420" s="274"/>
      <c r="AH420" s="273"/>
      <c r="AI420" s="273"/>
      <c r="AJ420" s="274"/>
      <c r="AK420" s="273"/>
      <c r="AL420" s="275"/>
      <c r="AM420" s="290"/>
      <c r="AN420" s="275"/>
      <c r="AO420" s="276"/>
      <c r="AP420" s="275"/>
      <c r="AQ420" s="275"/>
      <c r="AR420" s="275"/>
      <c r="AS420" s="275">
        <v>1000000</v>
      </c>
      <c r="AT420" s="275"/>
      <c r="AU420" s="275"/>
      <c r="AV420" s="275"/>
      <c r="AW420" s="275"/>
      <c r="AX420" s="275"/>
      <c r="AY420" s="275"/>
      <c r="AZ420" s="275"/>
      <c r="BA420" s="275"/>
      <c r="BB420" s="275"/>
      <c r="BC420" s="275"/>
      <c r="BD420" s="275"/>
      <c r="BE420" s="275"/>
      <c r="BF420" s="275"/>
      <c r="BH420" s="277"/>
    </row>
    <row r="421" spans="1:60" ht="16.5" hidden="1" customHeight="1" x14ac:dyDescent="0.3">
      <c r="A421" s="260">
        <v>399</v>
      </c>
      <c r="B421" s="261"/>
      <c r="C421" s="261"/>
      <c r="D421" s="262" t="s">
        <v>15</v>
      </c>
      <c r="E421" s="262" t="s">
        <v>364</v>
      </c>
      <c r="F421" s="263" t="s">
        <v>15</v>
      </c>
      <c r="G421" s="264" t="s">
        <v>364</v>
      </c>
      <c r="H421" s="281"/>
      <c r="I421" s="265"/>
      <c r="J421" s="266" t="s">
        <v>381</v>
      </c>
      <c r="K421" s="262"/>
      <c r="L421" s="262"/>
      <c r="M421" s="262">
        <v>24013</v>
      </c>
      <c r="N421" s="262" t="s">
        <v>22</v>
      </c>
      <c r="O421" s="262" t="s">
        <v>212</v>
      </c>
      <c r="P421" s="262" t="s">
        <v>57</v>
      </c>
      <c r="Q421" s="262" t="s">
        <v>18</v>
      </c>
      <c r="R421" s="262" t="s">
        <v>19</v>
      </c>
      <c r="S421" s="267" t="s">
        <v>19</v>
      </c>
      <c r="T421" s="268"/>
      <c r="U421" s="269">
        <v>20757000</v>
      </c>
      <c r="V421" s="269">
        <v>5870900</v>
      </c>
      <c r="W421" s="278">
        <v>97670</v>
      </c>
      <c r="X421" s="270"/>
      <c r="Y421" s="262" t="s">
        <v>27</v>
      </c>
      <c r="Z421" s="271" t="s">
        <v>24</v>
      </c>
      <c r="AA421" s="287"/>
      <c r="AB421" s="287"/>
      <c r="AC421" s="272">
        <f t="shared" si="15"/>
        <v>5000000</v>
      </c>
      <c r="AD421" s="272">
        <v>5000000</v>
      </c>
      <c r="AE421" s="272">
        <f t="shared" si="16"/>
        <v>0</v>
      </c>
      <c r="AF421" s="273"/>
      <c r="AG421" s="274"/>
      <c r="AH421" s="273"/>
      <c r="AI421" s="273"/>
      <c r="AJ421" s="274"/>
      <c r="AK421" s="273"/>
      <c r="AL421" s="275"/>
      <c r="AM421" s="290"/>
      <c r="AN421" s="275"/>
      <c r="AO421" s="276"/>
      <c r="AP421" s="275"/>
      <c r="AQ421" s="275"/>
      <c r="AR421" s="275"/>
      <c r="AS421" s="275"/>
      <c r="AT421" s="275"/>
      <c r="AU421" s="275"/>
      <c r="AV421" s="275"/>
      <c r="AW421" s="275">
        <v>5000000</v>
      </c>
      <c r="AX421" s="275"/>
      <c r="AY421" s="275"/>
      <c r="AZ421" s="275"/>
      <c r="BA421" s="275"/>
      <c r="BB421" s="275"/>
      <c r="BC421" s="275"/>
      <c r="BD421" s="275"/>
      <c r="BE421" s="275"/>
      <c r="BF421" s="275"/>
      <c r="BH421" s="277"/>
    </row>
    <row r="422" spans="1:60" ht="16.5" hidden="1" customHeight="1" x14ac:dyDescent="0.3">
      <c r="A422" s="260">
        <v>400</v>
      </c>
      <c r="B422" s="261"/>
      <c r="C422" s="261"/>
      <c r="D422" s="262" t="s">
        <v>15</v>
      </c>
      <c r="E422" s="262" t="s">
        <v>364</v>
      </c>
      <c r="F422" s="263" t="s">
        <v>15</v>
      </c>
      <c r="G422" s="264" t="s">
        <v>364</v>
      </c>
      <c r="H422" s="281"/>
      <c r="I422" s="265"/>
      <c r="J422" s="266" t="s">
        <v>381</v>
      </c>
      <c r="K422" s="262"/>
      <c r="L422" s="262"/>
      <c r="M422" s="262">
        <v>24013</v>
      </c>
      <c r="N422" s="262" t="s">
        <v>22</v>
      </c>
      <c r="O422" s="262" t="s">
        <v>212</v>
      </c>
      <c r="P422" s="262" t="s">
        <v>57</v>
      </c>
      <c r="Q422" s="262" t="s">
        <v>30</v>
      </c>
      <c r="R422" s="262" t="s">
        <v>31</v>
      </c>
      <c r="S422" s="267" t="s">
        <v>31</v>
      </c>
      <c r="T422" s="268"/>
      <c r="U422" s="269" t="s">
        <v>154</v>
      </c>
      <c r="V422" s="269">
        <v>13245000</v>
      </c>
      <c r="W422" s="278">
        <v>0</v>
      </c>
      <c r="X422" s="270"/>
      <c r="Y422" s="262" t="s">
        <v>27</v>
      </c>
      <c r="Z422" s="271" t="s">
        <v>24</v>
      </c>
      <c r="AA422" s="287"/>
      <c r="AB422" s="287"/>
      <c r="AC422" s="272">
        <f t="shared" si="15"/>
        <v>15000000</v>
      </c>
      <c r="AD422" s="272">
        <v>15000000</v>
      </c>
      <c r="AE422" s="272">
        <f t="shared" si="16"/>
        <v>0</v>
      </c>
      <c r="AF422" s="273"/>
      <c r="AG422" s="274"/>
      <c r="AH422" s="273"/>
      <c r="AI422" s="273"/>
      <c r="AJ422" s="274"/>
      <c r="AK422" s="273"/>
      <c r="AL422" s="275"/>
      <c r="AM422" s="290"/>
      <c r="AN422" s="275"/>
      <c r="AO422" s="276"/>
      <c r="AP422" s="275"/>
      <c r="AQ422" s="275"/>
      <c r="AR422" s="275"/>
      <c r="AS422" s="275"/>
      <c r="AT422" s="275"/>
      <c r="AU422" s="275"/>
      <c r="AV422" s="275"/>
      <c r="AW422" s="275"/>
      <c r="AX422" s="275"/>
      <c r="AY422" s="275"/>
      <c r="AZ422" s="275"/>
      <c r="BA422" s="275"/>
      <c r="BB422" s="275"/>
      <c r="BC422" s="275">
        <v>15000000</v>
      </c>
      <c r="BD422" s="275"/>
      <c r="BE422" s="275"/>
      <c r="BF422" s="275"/>
      <c r="BH422" s="277"/>
    </row>
    <row r="423" spans="1:60" ht="16.5" hidden="1" customHeight="1" x14ac:dyDescent="0.3">
      <c r="A423" s="260">
        <v>401</v>
      </c>
      <c r="B423" s="261"/>
      <c r="C423" s="261"/>
      <c r="D423" s="262" t="s">
        <v>15</v>
      </c>
      <c r="E423" s="262" t="s">
        <v>364</v>
      </c>
      <c r="F423" s="263" t="s">
        <v>15</v>
      </c>
      <c r="G423" s="264" t="s">
        <v>364</v>
      </c>
      <c r="H423" s="281"/>
      <c r="I423" s="265"/>
      <c r="J423" s="266" t="s">
        <v>381</v>
      </c>
      <c r="K423" s="262"/>
      <c r="L423" s="262"/>
      <c r="M423" s="262">
        <v>24013</v>
      </c>
      <c r="N423" s="262" t="s">
        <v>22</v>
      </c>
      <c r="O423" s="262" t="s">
        <v>56</v>
      </c>
      <c r="P423" s="262" t="s">
        <v>57</v>
      </c>
      <c r="Q423" s="262"/>
      <c r="R423" s="262" t="s">
        <v>478</v>
      </c>
      <c r="S423" s="267" t="s">
        <v>478</v>
      </c>
      <c r="T423" s="268"/>
      <c r="U423" s="269"/>
      <c r="V423" s="269"/>
      <c r="W423" s="278">
        <v>1500000</v>
      </c>
      <c r="X423" s="270"/>
      <c r="Y423" s="262" t="s">
        <v>27</v>
      </c>
      <c r="Z423" s="271" t="s">
        <v>25</v>
      </c>
      <c r="AA423" s="287"/>
      <c r="AB423" s="287"/>
      <c r="AC423" s="272">
        <f t="shared" si="15"/>
        <v>3000000</v>
      </c>
      <c r="AD423" s="272">
        <v>3000000</v>
      </c>
      <c r="AE423" s="272">
        <f t="shared" si="16"/>
        <v>0</v>
      </c>
      <c r="AF423" s="273"/>
      <c r="AG423" s="274"/>
      <c r="AH423" s="273"/>
      <c r="AI423" s="273"/>
      <c r="AJ423" s="274"/>
      <c r="AK423" s="273"/>
      <c r="AL423" s="275"/>
      <c r="AM423" s="290"/>
      <c r="AN423" s="275"/>
      <c r="AO423" s="276"/>
      <c r="AP423" s="275"/>
      <c r="AQ423" s="291">
        <v>3000000</v>
      </c>
      <c r="AR423" s="275"/>
      <c r="AS423" s="275"/>
      <c r="AT423" s="275"/>
      <c r="AU423" s="275"/>
      <c r="AV423" s="275"/>
      <c r="AW423" s="275"/>
      <c r="AX423" s="275"/>
      <c r="AY423" s="275"/>
      <c r="AZ423" s="275"/>
      <c r="BA423" s="275"/>
      <c r="BB423" s="275"/>
      <c r="BC423" s="275"/>
      <c r="BD423" s="275"/>
      <c r="BE423" s="275"/>
      <c r="BF423" s="275"/>
      <c r="BH423" s="277"/>
    </row>
    <row r="424" spans="1:60" ht="16.5" hidden="1" customHeight="1" x14ac:dyDescent="0.3">
      <c r="A424" s="260">
        <v>402</v>
      </c>
      <c r="B424" s="261"/>
      <c r="C424" s="261"/>
      <c r="D424" s="262" t="s">
        <v>15</v>
      </c>
      <c r="E424" s="262" t="s">
        <v>364</v>
      </c>
      <c r="F424" s="263" t="s">
        <v>15</v>
      </c>
      <c r="G424" s="264" t="s">
        <v>364</v>
      </c>
      <c r="H424" s="281"/>
      <c r="I424" s="265"/>
      <c r="J424" s="266" t="s">
        <v>382</v>
      </c>
      <c r="K424" s="262"/>
      <c r="L424" s="262"/>
      <c r="M424" s="262">
        <v>3846</v>
      </c>
      <c r="N424" s="262" t="s">
        <v>22</v>
      </c>
      <c r="O424" s="262" t="s">
        <v>35</v>
      </c>
      <c r="P424" s="262" t="s">
        <v>57</v>
      </c>
      <c r="Q424" s="262"/>
      <c r="R424" s="262"/>
      <c r="S424" s="267" t="s">
        <v>19</v>
      </c>
      <c r="T424" s="268"/>
      <c r="U424" s="269"/>
      <c r="V424" s="269"/>
      <c r="W424" s="278">
        <v>20142000</v>
      </c>
      <c r="X424" s="270"/>
      <c r="Y424" s="262"/>
      <c r="Z424" s="271" t="s">
        <v>25</v>
      </c>
      <c r="AA424" s="287"/>
      <c r="AB424" s="287"/>
      <c r="AC424" s="272">
        <f t="shared" si="15"/>
        <v>9000000</v>
      </c>
      <c r="AD424" s="272">
        <v>9000000</v>
      </c>
      <c r="AE424" s="272">
        <f t="shared" si="16"/>
        <v>0</v>
      </c>
      <c r="AF424" s="273"/>
      <c r="AG424" s="274"/>
      <c r="AH424" s="273"/>
      <c r="AI424" s="273"/>
      <c r="AJ424" s="274"/>
      <c r="AK424" s="273"/>
      <c r="AL424" s="275"/>
      <c r="AM424" s="290"/>
      <c r="AN424" s="275"/>
      <c r="AO424" s="276">
        <v>1000000</v>
      </c>
      <c r="AP424" s="275"/>
      <c r="AQ424" s="275">
        <v>1000000</v>
      </c>
      <c r="AR424" s="275"/>
      <c r="AS424" s="275">
        <v>1000000</v>
      </c>
      <c r="AT424" s="275"/>
      <c r="AU424" s="275">
        <v>1000000</v>
      </c>
      <c r="AV424" s="275"/>
      <c r="AW424" s="275">
        <v>1000000</v>
      </c>
      <c r="AX424" s="275"/>
      <c r="AY424" s="275">
        <v>1000000</v>
      </c>
      <c r="AZ424" s="275"/>
      <c r="BA424" s="275">
        <v>1000000</v>
      </c>
      <c r="BB424" s="275"/>
      <c r="BC424" s="275">
        <v>1000000</v>
      </c>
      <c r="BD424" s="275"/>
      <c r="BE424" s="275">
        <v>1000000</v>
      </c>
      <c r="BF424" s="275"/>
      <c r="BH424" s="277"/>
    </row>
    <row r="425" spans="1:60" ht="16.5" hidden="1" customHeight="1" x14ac:dyDescent="0.3">
      <c r="A425" s="260">
        <v>403</v>
      </c>
      <c r="B425" s="261"/>
      <c r="C425" s="261"/>
      <c r="D425" s="262" t="s">
        <v>15</v>
      </c>
      <c r="E425" s="262" t="s">
        <v>364</v>
      </c>
      <c r="F425" s="263" t="s">
        <v>15</v>
      </c>
      <c r="G425" s="264" t="s">
        <v>364</v>
      </c>
      <c r="H425" s="281"/>
      <c r="I425" s="265"/>
      <c r="J425" s="266" t="s">
        <v>382</v>
      </c>
      <c r="K425" s="262"/>
      <c r="L425" s="262"/>
      <c r="M425" s="262">
        <v>3846</v>
      </c>
      <c r="N425" s="262" t="s">
        <v>22</v>
      </c>
      <c r="O425" s="262" t="s">
        <v>56</v>
      </c>
      <c r="P425" s="262" t="s">
        <v>57</v>
      </c>
      <c r="Q425" s="262" t="s">
        <v>18</v>
      </c>
      <c r="R425" s="262" t="s">
        <v>19</v>
      </c>
      <c r="S425" s="267" t="s">
        <v>31</v>
      </c>
      <c r="T425" s="268"/>
      <c r="U425" s="269">
        <v>15904240</v>
      </c>
      <c r="V425" s="269">
        <v>7720000</v>
      </c>
      <c r="W425" s="278">
        <v>0</v>
      </c>
      <c r="X425" s="270"/>
      <c r="Y425" s="262" t="s">
        <v>27</v>
      </c>
      <c r="Z425" s="271" t="s">
        <v>24</v>
      </c>
      <c r="AA425" s="287"/>
      <c r="AB425" s="287"/>
      <c r="AC425" s="272">
        <f t="shared" si="15"/>
        <v>15000000</v>
      </c>
      <c r="AD425" s="272">
        <v>15000000</v>
      </c>
      <c r="AE425" s="272">
        <f t="shared" si="16"/>
        <v>0</v>
      </c>
      <c r="AF425" s="273"/>
      <c r="AG425" s="274"/>
      <c r="AH425" s="273"/>
      <c r="AI425" s="273"/>
      <c r="AJ425" s="274"/>
      <c r="AK425" s="273"/>
      <c r="AL425" s="275"/>
      <c r="AM425" s="290"/>
      <c r="AN425" s="275"/>
      <c r="AO425" s="276"/>
      <c r="AP425" s="275"/>
      <c r="AQ425" s="275"/>
      <c r="AR425" s="275"/>
      <c r="AS425" s="275"/>
      <c r="AT425" s="275"/>
      <c r="AU425" s="275"/>
      <c r="AV425" s="275"/>
      <c r="AW425" s="275"/>
      <c r="AX425" s="275"/>
      <c r="AY425" s="275"/>
      <c r="AZ425" s="275"/>
      <c r="BA425" s="275"/>
      <c r="BB425" s="275"/>
      <c r="BC425" s="275"/>
      <c r="BD425" s="275"/>
      <c r="BE425" s="275">
        <v>15000000</v>
      </c>
      <c r="BF425" s="275"/>
      <c r="BH425" s="277"/>
    </row>
    <row r="426" spans="1:60" ht="16.5" hidden="1" customHeight="1" x14ac:dyDescent="0.3">
      <c r="A426" s="260">
        <v>404</v>
      </c>
      <c r="B426" s="261"/>
      <c r="C426" s="261"/>
      <c r="D426" s="262" t="s">
        <v>15</v>
      </c>
      <c r="E426" s="262" t="s">
        <v>364</v>
      </c>
      <c r="F426" s="263" t="s">
        <v>15</v>
      </c>
      <c r="G426" s="264" t="s">
        <v>364</v>
      </c>
      <c r="H426" s="281"/>
      <c r="I426" s="265"/>
      <c r="J426" s="266" t="s">
        <v>758</v>
      </c>
      <c r="K426" s="262"/>
      <c r="L426" s="262"/>
      <c r="M426" s="262">
        <v>786</v>
      </c>
      <c r="N426" s="262" t="s">
        <v>22</v>
      </c>
      <c r="O426" s="262" t="s">
        <v>212</v>
      </c>
      <c r="P426" s="262" t="s">
        <v>124</v>
      </c>
      <c r="Q426" s="262" t="s">
        <v>18</v>
      </c>
      <c r="R426" s="262" t="s">
        <v>19</v>
      </c>
      <c r="S426" s="267" t="s">
        <v>28</v>
      </c>
      <c r="T426" s="268" t="s">
        <v>951</v>
      </c>
      <c r="U426" s="269">
        <v>28416440</v>
      </c>
      <c r="V426" s="269">
        <v>25596380</v>
      </c>
      <c r="W426" s="278">
        <v>0</v>
      </c>
      <c r="X426" s="270"/>
      <c r="Y426" s="262" t="s">
        <v>27</v>
      </c>
      <c r="Z426" s="271" t="s">
        <v>27</v>
      </c>
      <c r="AA426" s="287"/>
      <c r="AB426" s="287"/>
      <c r="AC426" s="272">
        <f t="shared" si="15"/>
        <v>21602500</v>
      </c>
      <c r="AD426" s="272">
        <v>21602500</v>
      </c>
      <c r="AE426" s="272">
        <f t="shared" si="16"/>
        <v>0</v>
      </c>
      <c r="AF426" s="273">
        <v>1297000</v>
      </c>
      <c r="AG426" s="274">
        <v>1297000</v>
      </c>
      <c r="AH426" s="273"/>
      <c r="AI426" s="273">
        <v>1261500</v>
      </c>
      <c r="AJ426" s="274">
        <v>1261500</v>
      </c>
      <c r="AK426" s="273"/>
      <c r="AL426" s="275">
        <v>1044000</v>
      </c>
      <c r="AM426" s="290">
        <v>1044000</v>
      </c>
      <c r="AN426" s="275"/>
      <c r="AO426" s="276">
        <v>2000000</v>
      </c>
      <c r="AP426" s="275"/>
      <c r="AQ426" s="275">
        <v>2000000</v>
      </c>
      <c r="AR426" s="275"/>
      <c r="AS426" s="275">
        <v>2000000</v>
      </c>
      <c r="AT426" s="275"/>
      <c r="AU426" s="275">
        <v>2000000</v>
      </c>
      <c r="AV426" s="275"/>
      <c r="AW426" s="275">
        <v>2000000</v>
      </c>
      <c r="AX426" s="275"/>
      <c r="AY426" s="275">
        <v>2000000</v>
      </c>
      <c r="AZ426" s="275"/>
      <c r="BA426" s="275">
        <v>2000000</v>
      </c>
      <c r="BB426" s="275"/>
      <c r="BC426" s="275">
        <v>2000000</v>
      </c>
      <c r="BD426" s="275"/>
      <c r="BE426" s="275">
        <v>2000000</v>
      </c>
      <c r="BF426" s="275"/>
      <c r="BH426" s="277"/>
    </row>
    <row r="427" spans="1:60" ht="16.5" hidden="1" customHeight="1" x14ac:dyDescent="0.3">
      <c r="A427" s="260">
        <v>405</v>
      </c>
      <c r="B427" s="261"/>
      <c r="C427" s="261"/>
      <c r="D427" s="262" t="s">
        <v>15</v>
      </c>
      <c r="E427" s="262" t="s">
        <v>364</v>
      </c>
      <c r="F427" s="263" t="s">
        <v>15</v>
      </c>
      <c r="G427" s="264" t="s">
        <v>364</v>
      </c>
      <c r="H427" s="281"/>
      <c r="I427" s="265"/>
      <c r="J427" s="266" t="s">
        <v>758</v>
      </c>
      <c r="K427" s="262"/>
      <c r="L427" s="262"/>
      <c r="M427" s="262">
        <v>786</v>
      </c>
      <c r="N427" s="262"/>
      <c r="O427" s="262"/>
      <c r="P427" s="262"/>
      <c r="Q427" s="262"/>
      <c r="R427" s="262"/>
      <c r="S427" s="267" t="s">
        <v>19</v>
      </c>
      <c r="T427" s="268"/>
      <c r="U427" s="269"/>
      <c r="V427" s="269"/>
      <c r="W427" s="278">
        <v>22336900</v>
      </c>
      <c r="X427" s="270"/>
      <c r="Y427" s="262"/>
      <c r="Z427" s="271" t="s">
        <v>718</v>
      </c>
      <c r="AA427" s="287"/>
      <c r="AB427" s="287"/>
      <c r="AC427" s="272">
        <f t="shared" si="15"/>
        <v>0</v>
      </c>
      <c r="AD427" s="272">
        <v>0</v>
      </c>
      <c r="AE427" s="272">
        <f t="shared" si="16"/>
        <v>0</v>
      </c>
      <c r="AF427" s="273"/>
      <c r="AG427" s="274"/>
      <c r="AH427" s="273"/>
      <c r="AI427" s="273"/>
      <c r="AJ427" s="274"/>
      <c r="AK427" s="273"/>
      <c r="AL427" s="275"/>
      <c r="AM427" s="290"/>
      <c r="AN427" s="275"/>
      <c r="AO427" s="276"/>
      <c r="AP427" s="275"/>
      <c r="AQ427" s="275"/>
      <c r="AR427" s="275"/>
      <c r="AS427" s="275"/>
      <c r="AT427" s="275"/>
      <c r="AU427" s="275"/>
      <c r="AV427" s="275"/>
      <c r="AW427" s="275"/>
      <c r="AX427" s="275"/>
      <c r="AY427" s="275"/>
      <c r="AZ427" s="275"/>
      <c r="BA427" s="275"/>
      <c r="BB427" s="275"/>
      <c r="BC427" s="275"/>
      <c r="BD427" s="275"/>
      <c r="BE427" s="275"/>
      <c r="BF427" s="275"/>
      <c r="BH427" s="277"/>
    </row>
    <row r="428" spans="1:60" ht="16.5" hidden="1" customHeight="1" x14ac:dyDescent="0.3">
      <c r="A428" s="260">
        <v>406</v>
      </c>
      <c r="B428" s="261"/>
      <c r="C428" s="261"/>
      <c r="D428" s="262" t="s">
        <v>15</v>
      </c>
      <c r="E428" s="262" t="s">
        <v>364</v>
      </c>
      <c r="F428" s="263" t="s">
        <v>15</v>
      </c>
      <c r="G428" s="264" t="s">
        <v>364</v>
      </c>
      <c r="H428" s="281"/>
      <c r="I428" s="265"/>
      <c r="J428" s="266" t="s">
        <v>758</v>
      </c>
      <c r="K428" s="262"/>
      <c r="L428" s="262"/>
      <c r="M428" s="262">
        <v>786</v>
      </c>
      <c r="N428" s="262" t="s">
        <v>22</v>
      </c>
      <c r="O428" s="262" t="s">
        <v>212</v>
      </c>
      <c r="P428" s="262" t="s">
        <v>124</v>
      </c>
      <c r="Q428" s="262" t="s">
        <v>18</v>
      </c>
      <c r="R428" s="262"/>
      <c r="S428" s="267" t="s">
        <v>468</v>
      </c>
      <c r="T428" s="268"/>
      <c r="U428" s="269"/>
      <c r="V428" s="269"/>
      <c r="W428" s="278">
        <v>0</v>
      </c>
      <c r="X428" s="270"/>
      <c r="Y428" s="262"/>
      <c r="Z428" s="271" t="s">
        <v>24</v>
      </c>
      <c r="AA428" s="287"/>
      <c r="AB428" s="287"/>
      <c r="AC428" s="272">
        <f t="shared" si="15"/>
        <v>0</v>
      </c>
      <c r="AD428" s="272">
        <v>0</v>
      </c>
      <c r="AE428" s="272">
        <f t="shared" si="16"/>
        <v>0</v>
      </c>
      <c r="AF428" s="273"/>
      <c r="AG428" s="274"/>
      <c r="AH428" s="273"/>
      <c r="AI428" s="273"/>
      <c r="AJ428" s="274"/>
      <c r="AK428" s="273"/>
      <c r="AL428" s="275"/>
      <c r="AM428" s="290"/>
      <c r="AN428" s="275"/>
      <c r="AO428" s="276"/>
      <c r="AP428" s="275"/>
      <c r="AQ428" s="275"/>
      <c r="AR428" s="275"/>
      <c r="AS428" s="275"/>
      <c r="AT428" s="275"/>
      <c r="AU428" s="275"/>
      <c r="AV428" s="275"/>
      <c r="AW428" s="275"/>
      <c r="AX428" s="275"/>
      <c r="AY428" s="275"/>
      <c r="AZ428" s="275"/>
      <c r="BA428" s="275"/>
      <c r="BB428" s="275"/>
      <c r="BC428" s="275"/>
      <c r="BD428" s="275"/>
      <c r="BE428" s="275"/>
      <c r="BF428" s="275"/>
      <c r="BH428" s="277"/>
    </row>
    <row r="429" spans="1:60" ht="16.5" hidden="1" customHeight="1" x14ac:dyDescent="0.3">
      <c r="A429" s="260">
        <v>407</v>
      </c>
      <c r="B429" s="261"/>
      <c r="C429" s="261"/>
      <c r="D429" s="262" t="s">
        <v>15</v>
      </c>
      <c r="E429" s="262" t="s">
        <v>364</v>
      </c>
      <c r="F429" s="263" t="s">
        <v>15</v>
      </c>
      <c r="G429" s="264" t="s">
        <v>364</v>
      </c>
      <c r="H429" s="281"/>
      <c r="I429" s="265"/>
      <c r="J429" s="266" t="s">
        <v>758</v>
      </c>
      <c r="K429" s="262"/>
      <c r="L429" s="262"/>
      <c r="M429" s="262">
        <v>786</v>
      </c>
      <c r="N429" s="262"/>
      <c r="O429" s="262"/>
      <c r="P429" s="262"/>
      <c r="Q429" s="262"/>
      <c r="R429" s="262"/>
      <c r="S429" s="267" t="s">
        <v>828</v>
      </c>
      <c r="T429" s="268"/>
      <c r="U429" s="269"/>
      <c r="V429" s="269"/>
      <c r="W429" s="278">
        <v>60000</v>
      </c>
      <c r="X429" s="270"/>
      <c r="Y429" s="262"/>
      <c r="Z429" s="271" t="s">
        <v>718</v>
      </c>
      <c r="AA429" s="287"/>
      <c r="AB429" s="287"/>
      <c r="AC429" s="272">
        <f t="shared" si="15"/>
        <v>0</v>
      </c>
      <c r="AD429" s="272">
        <v>0</v>
      </c>
      <c r="AE429" s="272">
        <f t="shared" si="16"/>
        <v>0</v>
      </c>
      <c r="AF429" s="273"/>
      <c r="AG429" s="274"/>
      <c r="AH429" s="273"/>
      <c r="AI429" s="273"/>
      <c r="AJ429" s="274"/>
      <c r="AK429" s="273"/>
      <c r="AL429" s="275"/>
      <c r="AM429" s="290"/>
      <c r="AN429" s="275"/>
      <c r="AO429" s="276"/>
      <c r="AP429" s="275"/>
      <c r="AQ429" s="275"/>
      <c r="AR429" s="275"/>
      <c r="AS429" s="275"/>
      <c r="AT429" s="275"/>
      <c r="AU429" s="275"/>
      <c r="AV429" s="275"/>
      <c r="AW429" s="275"/>
      <c r="AX429" s="275"/>
      <c r="AY429" s="275"/>
      <c r="AZ429" s="275"/>
      <c r="BA429" s="275"/>
      <c r="BB429" s="275"/>
      <c r="BC429" s="275"/>
      <c r="BD429" s="275"/>
      <c r="BE429" s="275"/>
      <c r="BF429" s="275"/>
      <c r="BH429" s="277"/>
    </row>
    <row r="430" spans="1:60" ht="16.5" hidden="1" customHeight="1" x14ac:dyDescent="0.3">
      <c r="A430" s="260">
        <v>408</v>
      </c>
      <c r="B430" s="261"/>
      <c r="C430" s="261"/>
      <c r="D430" s="262" t="s">
        <v>15</v>
      </c>
      <c r="E430" s="262" t="s">
        <v>364</v>
      </c>
      <c r="F430" s="263" t="s">
        <v>15</v>
      </c>
      <c r="G430" s="264" t="s">
        <v>364</v>
      </c>
      <c r="H430" s="281"/>
      <c r="I430" s="265"/>
      <c r="J430" s="266" t="s">
        <v>383</v>
      </c>
      <c r="K430" s="262"/>
      <c r="L430" s="262"/>
      <c r="M430" s="262">
        <v>30428</v>
      </c>
      <c r="N430" s="262" t="s">
        <v>53</v>
      </c>
      <c r="O430" s="262" t="s">
        <v>35</v>
      </c>
      <c r="P430" s="262" t="s">
        <v>57</v>
      </c>
      <c r="Q430" s="262"/>
      <c r="R430" s="262" t="s">
        <v>19</v>
      </c>
      <c r="S430" s="267" t="s">
        <v>19</v>
      </c>
      <c r="T430" s="268"/>
      <c r="U430" s="269"/>
      <c r="V430" s="269">
        <v>0</v>
      </c>
      <c r="W430" s="278">
        <v>0</v>
      </c>
      <c r="X430" s="270"/>
      <c r="Y430" s="262" t="s">
        <v>25</v>
      </c>
      <c r="Z430" s="271" t="s">
        <v>25</v>
      </c>
      <c r="AA430" s="287"/>
      <c r="AB430" s="287"/>
      <c r="AC430" s="272">
        <f t="shared" si="15"/>
        <v>60000000</v>
      </c>
      <c r="AD430" s="272">
        <v>60000000</v>
      </c>
      <c r="AE430" s="272">
        <f t="shared" si="16"/>
        <v>0</v>
      </c>
      <c r="AF430" s="273"/>
      <c r="AG430" s="274"/>
      <c r="AH430" s="273"/>
      <c r="AI430" s="273"/>
      <c r="AJ430" s="274"/>
      <c r="AK430" s="273"/>
      <c r="AL430" s="275"/>
      <c r="AM430" s="290"/>
      <c r="AN430" s="275"/>
      <c r="AO430" s="276"/>
      <c r="AP430" s="275"/>
      <c r="AQ430" s="275"/>
      <c r="AR430" s="275"/>
      <c r="AS430" s="275"/>
      <c r="AT430" s="275"/>
      <c r="AU430" s="275"/>
      <c r="AV430" s="275"/>
      <c r="AW430" s="275"/>
      <c r="AX430" s="275"/>
      <c r="AY430" s="275"/>
      <c r="AZ430" s="275"/>
      <c r="BA430" s="275"/>
      <c r="BB430" s="275"/>
      <c r="BC430" s="275">
        <v>60000000</v>
      </c>
      <c r="BD430" s="275"/>
      <c r="BE430" s="275"/>
      <c r="BF430" s="275"/>
      <c r="BH430" s="277"/>
    </row>
    <row r="431" spans="1:60" ht="16.5" hidden="1" customHeight="1" x14ac:dyDescent="0.3">
      <c r="A431" s="260">
        <v>409</v>
      </c>
      <c r="B431" s="261"/>
      <c r="C431" s="261"/>
      <c r="D431" s="262" t="s">
        <v>15</v>
      </c>
      <c r="E431" s="262" t="s">
        <v>364</v>
      </c>
      <c r="F431" s="263" t="s">
        <v>15</v>
      </c>
      <c r="G431" s="264" t="s">
        <v>364</v>
      </c>
      <c r="H431" s="281"/>
      <c r="I431" s="265"/>
      <c r="J431" s="266" t="s">
        <v>383</v>
      </c>
      <c r="K431" s="262"/>
      <c r="L431" s="262"/>
      <c r="M431" s="262">
        <v>30428</v>
      </c>
      <c r="N431" s="262" t="s">
        <v>53</v>
      </c>
      <c r="O431" s="262" t="s">
        <v>56</v>
      </c>
      <c r="P431" s="262" t="s">
        <v>57</v>
      </c>
      <c r="Q431" s="262" t="s">
        <v>18</v>
      </c>
      <c r="R431" s="262" t="s">
        <v>31</v>
      </c>
      <c r="S431" s="267" t="s">
        <v>31</v>
      </c>
      <c r="T431" s="268"/>
      <c r="U431" s="269"/>
      <c r="V431" s="269"/>
      <c r="W431" s="278">
        <v>0</v>
      </c>
      <c r="X431" s="270"/>
      <c r="Y431" s="262" t="s">
        <v>27</v>
      </c>
      <c r="Z431" s="271" t="s">
        <v>24</v>
      </c>
      <c r="AA431" s="287"/>
      <c r="AB431" s="287"/>
      <c r="AC431" s="272">
        <f t="shared" si="15"/>
        <v>30000000</v>
      </c>
      <c r="AD431" s="272">
        <v>30000000</v>
      </c>
      <c r="AE431" s="272">
        <f t="shared" si="16"/>
        <v>0</v>
      </c>
      <c r="AF431" s="273"/>
      <c r="AG431" s="274"/>
      <c r="AH431" s="273"/>
      <c r="AI431" s="273"/>
      <c r="AJ431" s="274"/>
      <c r="AK431" s="273"/>
      <c r="AL431" s="275"/>
      <c r="AM431" s="290"/>
      <c r="AN431" s="275"/>
      <c r="AO431" s="276"/>
      <c r="AP431" s="275"/>
      <c r="AQ431" s="275"/>
      <c r="AR431" s="275"/>
      <c r="AS431" s="275"/>
      <c r="AT431" s="275"/>
      <c r="AU431" s="275"/>
      <c r="AV431" s="275"/>
      <c r="AW431" s="275"/>
      <c r="AX431" s="275"/>
      <c r="AY431" s="275"/>
      <c r="AZ431" s="275"/>
      <c r="BA431" s="275"/>
      <c r="BB431" s="275"/>
      <c r="BC431" s="275">
        <v>30000000</v>
      </c>
      <c r="BD431" s="275"/>
      <c r="BE431" s="275"/>
      <c r="BF431" s="275"/>
      <c r="BH431" s="277"/>
    </row>
    <row r="432" spans="1:60" ht="16.5" hidden="1" customHeight="1" x14ac:dyDescent="0.3">
      <c r="A432" s="260">
        <v>410</v>
      </c>
      <c r="B432" s="261"/>
      <c r="C432" s="261"/>
      <c r="D432" s="262" t="s">
        <v>15</v>
      </c>
      <c r="E432" s="262" t="s">
        <v>364</v>
      </c>
      <c r="F432" s="263" t="s">
        <v>15</v>
      </c>
      <c r="G432" s="264" t="s">
        <v>364</v>
      </c>
      <c r="H432" s="281"/>
      <c r="I432" s="265"/>
      <c r="J432" s="266" t="s">
        <v>383</v>
      </c>
      <c r="K432" s="262"/>
      <c r="L432" s="262"/>
      <c r="M432" s="262">
        <v>30428</v>
      </c>
      <c r="N432" s="262" t="s">
        <v>53</v>
      </c>
      <c r="O432" s="262" t="s">
        <v>56</v>
      </c>
      <c r="P432" s="262" t="s">
        <v>57</v>
      </c>
      <c r="Q432" s="262" t="s">
        <v>54</v>
      </c>
      <c r="R432" s="262" t="s">
        <v>467</v>
      </c>
      <c r="S432" s="267" t="s">
        <v>826</v>
      </c>
      <c r="T432" s="268"/>
      <c r="U432" s="269">
        <v>38000000</v>
      </c>
      <c r="V432" s="269">
        <v>38000000</v>
      </c>
      <c r="W432" s="278">
        <v>0</v>
      </c>
      <c r="X432" s="270"/>
      <c r="Y432" s="262" t="s">
        <v>24</v>
      </c>
      <c r="Z432" s="271" t="s">
        <v>562</v>
      </c>
      <c r="AA432" s="287"/>
      <c r="AB432" s="287"/>
      <c r="AC432" s="272">
        <f t="shared" si="15"/>
        <v>0</v>
      </c>
      <c r="AD432" s="272">
        <v>0</v>
      </c>
      <c r="AE432" s="272">
        <f t="shared" si="16"/>
        <v>0</v>
      </c>
      <c r="AF432" s="273"/>
      <c r="AG432" s="274"/>
      <c r="AH432" s="273"/>
      <c r="AI432" s="273"/>
      <c r="AJ432" s="274"/>
      <c r="AK432" s="273"/>
      <c r="AL432" s="275"/>
      <c r="AM432" s="290"/>
      <c r="AN432" s="275"/>
      <c r="AO432" s="276"/>
      <c r="AP432" s="275"/>
      <c r="AQ432" s="275"/>
      <c r="AR432" s="275"/>
      <c r="AS432" s="275"/>
      <c r="AT432" s="275"/>
      <c r="AU432" s="275"/>
      <c r="AV432" s="275"/>
      <c r="AW432" s="275"/>
      <c r="AX432" s="275"/>
      <c r="AY432" s="275"/>
      <c r="AZ432" s="275"/>
      <c r="BA432" s="275"/>
      <c r="BB432" s="275"/>
      <c r="BC432" s="275"/>
      <c r="BD432" s="275"/>
      <c r="BE432" s="275"/>
      <c r="BF432" s="275"/>
      <c r="BH432" s="277"/>
    </row>
    <row r="433" spans="1:60" ht="16.5" hidden="1" customHeight="1" x14ac:dyDescent="0.3">
      <c r="A433" s="260">
        <v>411</v>
      </c>
      <c r="B433" s="261"/>
      <c r="C433" s="261"/>
      <c r="D433" s="262" t="s">
        <v>15</v>
      </c>
      <c r="E433" s="262" t="s">
        <v>364</v>
      </c>
      <c r="F433" s="263" t="s">
        <v>15</v>
      </c>
      <c r="G433" s="264" t="s">
        <v>364</v>
      </c>
      <c r="H433" s="281"/>
      <c r="I433" s="265"/>
      <c r="J433" s="266" t="s">
        <v>571</v>
      </c>
      <c r="K433" s="262"/>
      <c r="L433" s="262"/>
      <c r="M433" s="262">
        <v>1210</v>
      </c>
      <c r="N433" s="262" t="s">
        <v>22</v>
      </c>
      <c r="O433" s="262" t="s">
        <v>35</v>
      </c>
      <c r="P433" s="262" t="s">
        <v>156</v>
      </c>
      <c r="Q433" s="262" t="s">
        <v>30</v>
      </c>
      <c r="R433" s="262" t="s">
        <v>31</v>
      </c>
      <c r="S433" s="267" t="s">
        <v>31</v>
      </c>
      <c r="T433" s="268"/>
      <c r="U433" s="269">
        <v>9760000</v>
      </c>
      <c r="V433" s="269">
        <v>0</v>
      </c>
      <c r="W433" s="278">
        <v>0</v>
      </c>
      <c r="X433" s="270"/>
      <c r="Y433" s="262" t="s">
        <v>24</v>
      </c>
      <c r="Z433" s="271" t="s">
        <v>24</v>
      </c>
      <c r="AA433" s="287"/>
      <c r="AB433" s="287"/>
      <c r="AC433" s="272">
        <f t="shared" si="15"/>
        <v>20000000</v>
      </c>
      <c r="AD433" s="272">
        <v>20000000</v>
      </c>
      <c r="AE433" s="272">
        <f t="shared" si="16"/>
        <v>0</v>
      </c>
      <c r="AF433" s="273"/>
      <c r="AG433" s="274"/>
      <c r="AH433" s="273"/>
      <c r="AI433" s="273"/>
      <c r="AJ433" s="274"/>
      <c r="AK433" s="273"/>
      <c r="AL433" s="275"/>
      <c r="AM433" s="290"/>
      <c r="AN433" s="275"/>
      <c r="AO433" s="276"/>
      <c r="AP433" s="275"/>
      <c r="AQ433" s="275"/>
      <c r="AR433" s="275"/>
      <c r="AS433" s="275"/>
      <c r="AT433" s="275"/>
      <c r="AU433" s="275"/>
      <c r="AV433" s="275"/>
      <c r="AW433" s="275"/>
      <c r="AX433" s="275"/>
      <c r="AY433" s="275">
        <v>20000000</v>
      </c>
      <c r="AZ433" s="275"/>
      <c r="BA433" s="275"/>
      <c r="BB433" s="275"/>
      <c r="BC433" s="275"/>
      <c r="BD433" s="275"/>
      <c r="BE433" s="275"/>
      <c r="BF433" s="275"/>
      <c r="BH433" s="277"/>
    </row>
    <row r="434" spans="1:60" ht="16.5" hidden="1" customHeight="1" x14ac:dyDescent="0.3">
      <c r="A434" s="260">
        <v>412</v>
      </c>
      <c r="B434" s="261"/>
      <c r="C434" s="261"/>
      <c r="D434" s="262" t="s">
        <v>15</v>
      </c>
      <c r="E434" s="262" t="s">
        <v>364</v>
      </c>
      <c r="F434" s="263" t="s">
        <v>15</v>
      </c>
      <c r="G434" s="264" t="s">
        <v>364</v>
      </c>
      <c r="H434" s="281"/>
      <c r="I434" s="265"/>
      <c r="J434" s="266" t="s">
        <v>571</v>
      </c>
      <c r="K434" s="262"/>
      <c r="L434" s="262"/>
      <c r="M434" s="262">
        <v>1210</v>
      </c>
      <c r="N434" s="262"/>
      <c r="O434" s="262"/>
      <c r="P434" s="262"/>
      <c r="Q434" s="262"/>
      <c r="R434" s="262"/>
      <c r="S434" s="267" t="s">
        <v>469</v>
      </c>
      <c r="T434" s="268"/>
      <c r="U434" s="269"/>
      <c r="V434" s="269"/>
      <c r="W434" s="278">
        <v>13820000</v>
      </c>
      <c r="X434" s="270"/>
      <c r="Y434" s="262"/>
      <c r="Z434" s="271" t="s">
        <v>718</v>
      </c>
      <c r="AA434" s="287"/>
      <c r="AB434" s="287"/>
      <c r="AC434" s="272">
        <f t="shared" si="15"/>
        <v>0</v>
      </c>
      <c r="AD434" s="272">
        <v>0</v>
      </c>
      <c r="AE434" s="272">
        <f t="shared" si="16"/>
        <v>0</v>
      </c>
      <c r="AF434" s="273"/>
      <c r="AG434" s="274"/>
      <c r="AH434" s="273"/>
      <c r="AI434" s="273"/>
      <c r="AJ434" s="274"/>
      <c r="AK434" s="273"/>
      <c r="AL434" s="275"/>
      <c r="AM434" s="290"/>
      <c r="AN434" s="275"/>
      <c r="AO434" s="276"/>
      <c r="AP434" s="275"/>
      <c r="AQ434" s="275"/>
      <c r="AR434" s="275"/>
      <c r="AS434" s="275"/>
      <c r="AT434" s="275"/>
      <c r="AU434" s="275"/>
      <c r="AV434" s="275"/>
      <c r="AW434" s="275"/>
      <c r="AX434" s="275"/>
      <c r="AY434" s="275"/>
      <c r="AZ434" s="275"/>
      <c r="BA434" s="275"/>
      <c r="BB434" s="275"/>
      <c r="BC434" s="275"/>
      <c r="BD434" s="275"/>
      <c r="BE434" s="275"/>
      <c r="BF434" s="275"/>
      <c r="BH434" s="277"/>
    </row>
    <row r="435" spans="1:60" ht="16.5" hidden="1" customHeight="1" x14ac:dyDescent="0.3">
      <c r="A435" s="260">
        <v>413</v>
      </c>
      <c r="B435" s="261"/>
      <c r="C435" s="261"/>
      <c r="D435" s="262" t="s">
        <v>15</v>
      </c>
      <c r="E435" s="262" t="s">
        <v>364</v>
      </c>
      <c r="F435" s="263" t="s">
        <v>15</v>
      </c>
      <c r="G435" s="264" t="s">
        <v>364</v>
      </c>
      <c r="H435" s="281"/>
      <c r="I435" s="265"/>
      <c r="J435" s="266" t="s">
        <v>571</v>
      </c>
      <c r="K435" s="262"/>
      <c r="L435" s="262"/>
      <c r="M435" s="262">
        <v>1210</v>
      </c>
      <c r="N435" s="262" t="s">
        <v>22</v>
      </c>
      <c r="O435" s="262" t="s">
        <v>35</v>
      </c>
      <c r="P435" s="262" t="s">
        <v>156</v>
      </c>
      <c r="Q435" s="262" t="s">
        <v>23</v>
      </c>
      <c r="R435" s="262" t="s">
        <v>397</v>
      </c>
      <c r="S435" s="267" t="s">
        <v>823</v>
      </c>
      <c r="T435" s="268"/>
      <c r="U435" s="269">
        <v>24000000</v>
      </c>
      <c r="V435" s="269">
        <v>0</v>
      </c>
      <c r="W435" s="278">
        <v>0</v>
      </c>
      <c r="X435" s="270"/>
      <c r="Y435" s="262" t="s">
        <v>25</v>
      </c>
      <c r="Z435" s="271" t="s">
        <v>25</v>
      </c>
      <c r="AA435" s="287"/>
      <c r="AB435" s="287"/>
      <c r="AC435" s="272">
        <f t="shared" si="15"/>
        <v>15000000</v>
      </c>
      <c r="AD435" s="272">
        <v>15000000</v>
      </c>
      <c r="AE435" s="272">
        <f t="shared" si="16"/>
        <v>0</v>
      </c>
      <c r="AF435" s="273"/>
      <c r="AG435" s="274"/>
      <c r="AH435" s="273"/>
      <c r="AI435" s="273"/>
      <c r="AJ435" s="274"/>
      <c r="AK435" s="273"/>
      <c r="AL435" s="275"/>
      <c r="AM435" s="290"/>
      <c r="AN435" s="275"/>
      <c r="AO435" s="276"/>
      <c r="AP435" s="275"/>
      <c r="AQ435" s="275"/>
      <c r="AR435" s="275"/>
      <c r="AS435" s="275"/>
      <c r="AT435" s="275"/>
      <c r="AU435" s="275"/>
      <c r="AV435" s="275"/>
      <c r="AW435" s="275">
        <v>15000000</v>
      </c>
      <c r="AX435" s="275"/>
      <c r="AY435" s="275"/>
      <c r="AZ435" s="275"/>
      <c r="BA435" s="275"/>
      <c r="BB435" s="275"/>
      <c r="BC435" s="275"/>
      <c r="BD435" s="275"/>
      <c r="BE435" s="275"/>
      <c r="BF435" s="275"/>
      <c r="BH435" s="277"/>
    </row>
    <row r="436" spans="1:60" ht="16.5" hidden="1" customHeight="1" x14ac:dyDescent="0.3">
      <c r="A436" s="260">
        <v>414</v>
      </c>
      <c r="B436" s="261"/>
      <c r="C436" s="261"/>
      <c r="D436" s="262" t="s">
        <v>15</v>
      </c>
      <c r="E436" s="262" t="s">
        <v>364</v>
      </c>
      <c r="F436" s="263" t="s">
        <v>15</v>
      </c>
      <c r="G436" s="264" t="s">
        <v>364</v>
      </c>
      <c r="H436" s="281"/>
      <c r="I436" s="265"/>
      <c r="J436" s="266" t="s">
        <v>759</v>
      </c>
      <c r="K436" s="262"/>
      <c r="L436" s="262"/>
      <c r="M436" s="262">
        <v>10740</v>
      </c>
      <c r="N436" s="262" t="s">
        <v>22</v>
      </c>
      <c r="O436" s="262" t="s">
        <v>35</v>
      </c>
      <c r="P436" s="262" t="s">
        <v>57</v>
      </c>
      <c r="Q436" s="262" t="s">
        <v>30</v>
      </c>
      <c r="R436" s="262" t="s">
        <v>31</v>
      </c>
      <c r="S436" s="267" t="s">
        <v>31</v>
      </c>
      <c r="T436" s="268"/>
      <c r="U436" s="269"/>
      <c r="V436" s="269">
        <v>1880000</v>
      </c>
      <c r="W436" s="278">
        <v>0</v>
      </c>
      <c r="X436" s="270"/>
      <c r="Y436" s="262" t="s">
        <v>20</v>
      </c>
      <c r="Z436" s="271" t="s">
        <v>24</v>
      </c>
      <c r="AA436" s="287"/>
      <c r="AB436" s="287"/>
      <c r="AC436" s="272">
        <f t="shared" si="15"/>
        <v>4000000</v>
      </c>
      <c r="AD436" s="272">
        <v>4000000</v>
      </c>
      <c r="AE436" s="272">
        <f t="shared" si="16"/>
        <v>0</v>
      </c>
      <c r="AF436" s="273"/>
      <c r="AG436" s="274"/>
      <c r="AH436" s="273"/>
      <c r="AI436" s="273"/>
      <c r="AJ436" s="274"/>
      <c r="AK436" s="273"/>
      <c r="AL436" s="275"/>
      <c r="AM436" s="290"/>
      <c r="AN436" s="275"/>
      <c r="AO436" s="276"/>
      <c r="AP436" s="275"/>
      <c r="AQ436" s="275"/>
      <c r="AR436" s="275"/>
      <c r="AS436" s="275"/>
      <c r="AT436" s="275"/>
      <c r="AU436" s="275"/>
      <c r="AV436" s="275"/>
      <c r="AW436" s="275"/>
      <c r="AX436" s="275"/>
      <c r="AY436" s="275"/>
      <c r="AZ436" s="275"/>
      <c r="BA436" s="275"/>
      <c r="BB436" s="275"/>
      <c r="BC436" s="275"/>
      <c r="BD436" s="275"/>
      <c r="BE436" s="275">
        <v>4000000</v>
      </c>
      <c r="BF436" s="275"/>
      <c r="BH436" s="277"/>
    </row>
    <row r="437" spans="1:60" ht="16.5" hidden="1" customHeight="1" x14ac:dyDescent="0.3">
      <c r="A437" s="260">
        <v>415</v>
      </c>
      <c r="B437" s="261"/>
      <c r="C437" s="261"/>
      <c r="D437" s="262" t="s">
        <v>15</v>
      </c>
      <c r="E437" s="262" t="s">
        <v>364</v>
      </c>
      <c r="F437" s="263" t="s">
        <v>15</v>
      </c>
      <c r="G437" s="264" t="s">
        <v>364</v>
      </c>
      <c r="H437" s="281"/>
      <c r="I437" s="265"/>
      <c r="J437" s="266" t="s">
        <v>384</v>
      </c>
      <c r="K437" s="262"/>
      <c r="L437" s="262"/>
      <c r="M437" s="262">
        <v>16684</v>
      </c>
      <c r="N437" s="262" t="s">
        <v>22</v>
      </c>
      <c r="O437" s="262" t="s">
        <v>35</v>
      </c>
      <c r="P437" s="262" t="s">
        <v>156</v>
      </c>
      <c r="Q437" s="262" t="s">
        <v>26</v>
      </c>
      <c r="R437" s="262" t="s">
        <v>468</v>
      </c>
      <c r="S437" s="267" t="s">
        <v>468</v>
      </c>
      <c r="T437" s="268"/>
      <c r="U437" s="269">
        <v>1400000</v>
      </c>
      <c r="V437" s="269">
        <v>0</v>
      </c>
      <c r="W437" s="278">
        <v>0</v>
      </c>
      <c r="X437" s="270"/>
      <c r="Y437" s="262" t="s">
        <v>21</v>
      </c>
      <c r="Z437" s="271" t="s">
        <v>25</v>
      </c>
      <c r="AA437" s="287"/>
      <c r="AB437" s="287"/>
      <c r="AC437" s="272">
        <f t="shared" si="15"/>
        <v>40000000</v>
      </c>
      <c r="AD437" s="272">
        <v>40000000</v>
      </c>
      <c r="AE437" s="272">
        <f t="shared" si="16"/>
        <v>0</v>
      </c>
      <c r="AF437" s="273"/>
      <c r="AG437" s="274"/>
      <c r="AH437" s="273"/>
      <c r="AI437" s="273"/>
      <c r="AJ437" s="274"/>
      <c r="AK437" s="273"/>
      <c r="AL437" s="275"/>
      <c r="AM437" s="290"/>
      <c r="AN437" s="275"/>
      <c r="AO437" s="276"/>
      <c r="AP437" s="275"/>
      <c r="AQ437" s="275"/>
      <c r="AR437" s="275"/>
      <c r="AS437" s="275"/>
      <c r="AT437" s="275"/>
      <c r="AU437" s="275"/>
      <c r="AV437" s="275"/>
      <c r="AW437" s="275"/>
      <c r="AX437" s="275"/>
      <c r="AY437" s="275">
        <v>40000000</v>
      </c>
      <c r="AZ437" s="275"/>
      <c r="BA437" s="275"/>
      <c r="BB437" s="275"/>
      <c r="BC437" s="275"/>
      <c r="BD437" s="275"/>
      <c r="BE437" s="275"/>
      <c r="BF437" s="275"/>
      <c r="BH437" s="277"/>
    </row>
    <row r="438" spans="1:60" ht="16.5" hidden="1" customHeight="1" x14ac:dyDescent="0.3">
      <c r="A438" s="260">
        <v>416</v>
      </c>
      <c r="B438" s="261"/>
      <c r="C438" s="261"/>
      <c r="D438" s="262" t="s">
        <v>15</v>
      </c>
      <c r="E438" s="262" t="s">
        <v>364</v>
      </c>
      <c r="F438" s="263" t="s">
        <v>15</v>
      </c>
      <c r="G438" s="264" t="s">
        <v>364</v>
      </c>
      <c r="H438" s="281"/>
      <c r="I438" s="265"/>
      <c r="J438" s="266" t="s">
        <v>385</v>
      </c>
      <c r="K438" s="262"/>
      <c r="L438" s="262"/>
      <c r="M438" s="262">
        <v>5024</v>
      </c>
      <c r="N438" s="262" t="s">
        <v>22</v>
      </c>
      <c r="O438" s="262" t="s">
        <v>212</v>
      </c>
      <c r="P438" s="262" t="s">
        <v>57</v>
      </c>
      <c r="Q438" s="262" t="s">
        <v>63</v>
      </c>
      <c r="R438" s="262" t="s">
        <v>28</v>
      </c>
      <c r="S438" s="267" t="s">
        <v>28</v>
      </c>
      <c r="T438" s="268" t="s">
        <v>951</v>
      </c>
      <c r="U438" s="269">
        <v>32975906</v>
      </c>
      <c r="V438" s="269">
        <v>38394980</v>
      </c>
      <c r="W438" s="278">
        <v>33047300</v>
      </c>
      <c r="X438" s="270"/>
      <c r="Y438" s="262" t="s">
        <v>27</v>
      </c>
      <c r="Z438" s="271" t="s">
        <v>27</v>
      </c>
      <c r="AA438" s="287"/>
      <c r="AB438" s="287"/>
      <c r="AC438" s="272">
        <f t="shared" si="15"/>
        <v>49254880</v>
      </c>
      <c r="AD438" s="272">
        <v>49254880</v>
      </c>
      <c r="AE438" s="272">
        <f t="shared" si="16"/>
        <v>0</v>
      </c>
      <c r="AF438" s="273">
        <v>1686120</v>
      </c>
      <c r="AG438" s="274">
        <v>1885080</v>
      </c>
      <c r="AH438" s="273"/>
      <c r="AI438" s="273">
        <v>985400</v>
      </c>
      <c r="AJ438" s="274">
        <v>985400</v>
      </c>
      <c r="AK438" s="273"/>
      <c r="AL438" s="275">
        <v>5884400</v>
      </c>
      <c r="AM438" s="290">
        <v>5884400</v>
      </c>
      <c r="AN438" s="275"/>
      <c r="AO438" s="276">
        <v>4500000</v>
      </c>
      <c r="AP438" s="275"/>
      <c r="AQ438" s="275">
        <v>4500000</v>
      </c>
      <c r="AR438" s="275"/>
      <c r="AS438" s="275">
        <v>4500000</v>
      </c>
      <c r="AT438" s="275"/>
      <c r="AU438" s="275">
        <v>4500000</v>
      </c>
      <c r="AV438" s="275"/>
      <c r="AW438" s="275">
        <v>4500000</v>
      </c>
      <c r="AX438" s="275"/>
      <c r="AY438" s="275">
        <v>4500000</v>
      </c>
      <c r="AZ438" s="275"/>
      <c r="BA438" s="275">
        <v>4500000</v>
      </c>
      <c r="BB438" s="275"/>
      <c r="BC438" s="275">
        <v>4500000</v>
      </c>
      <c r="BD438" s="275"/>
      <c r="BE438" s="275">
        <v>4500000</v>
      </c>
      <c r="BF438" s="275"/>
      <c r="BH438" s="277"/>
    </row>
    <row r="439" spans="1:60" ht="16.5" hidden="1" customHeight="1" x14ac:dyDescent="0.3">
      <c r="A439" s="260">
        <v>417</v>
      </c>
      <c r="B439" s="261"/>
      <c r="C439" s="261"/>
      <c r="D439" s="262" t="s">
        <v>15</v>
      </c>
      <c r="E439" s="262" t="s">
        <v>364</v>
      </c>
      <c r="F439" s="263" t="s">
        <v>15</v>
      </c>
      <c r="G439" s="264" t="s">
        <v>364</v>
      </c>
      <c r="H439" s="281"/>
      <c r="I439" s="265"/>
      <c r="J439" s="266" t="s">
        <v>385</v>
      </c>
      <c r="K439" s="262"/>
      <c r="L439" s="262"/>
      <c r="M439" s="262">
        <v>5024</v>
      </c>
      <c r="N439" s="262" t="s">
        <v>22</v>
      </c>
      <c r="O439" s="262" t="s">
        <v>212</v>
      </c>
      <c r="P439" s="262" t="s">
        <v>57</v>
      </c>
      <c r="Q439" s="262" t="s">
        <v>30</v>
      </c>
      <c r="R439" s="262" t="s">
        <v>31</v>
      </c>
      <c r="S439" s="267" t="s">
        <v>31</v>
      </c>
      <c r="T439" s="268"/>
      <c r="U439" s="269">
        <v>10000000</v>
      </c>
      <c r="V439" s="269">
        <v>10000000</v>
      </c>
      <c r="W439" s="278">
        <v>10000000</v>
      </c>
      <c r="X439" s="270"/>
      <c r="Y439" s="262" t="s">
        <v>27</v>
      </c>
      <c r="Z439" s="271" t="s">
        <v>27</v>
      </c>
      <c r="AA439" s="287"/>
      <c r="AB439" s="287"/>
      <c r="AC439" s="272">
        <f t="shared" si="15"/>
        <v>10000000</v>
      </c>
      <c r="AD439" s="272">
        <v>10000000</v>
      </c>
      <c r="AE439" s="272">
        <f t="shared" si="16"/>
        <v>0</v>
      </c>
      <c r="AF439" s="273"/>
      <c r="AG439" s="274"/>
      <c r="AH439" s="273"/>
      <c r="AI439" s="273"/>
      <c r="AJ439" s="274"/>
      <c r="AK439" s="273"/>
      <c r="AL439" s="275"/>
      <c r="AM439" s="290"/>
      <c r="AN439" s="275"/>
      <c r="AO439" s="276"/>
      <c r="AP439" s="275"/>
      <c r="AQ439" s="275"/>
      <c r="AR439" s="275"/>
      <c r="AS439" s="275"/>
      <c r="AT439" s="275"/>
      <c r="AU439" s="275"/>
      <c r="AV439" s="275"/>
      <c r="AW439" s="275"/>
      <c r="AX439" s="275"/>
      <c r="AY439" s="275"/>
      <c r="AZ439" s="275"/>
      <c r="BA439" s="275"/>
      <c r="BB439" s="275"/>
      <c r="BC439" s="275"/>
      <c r="BD439" s="275"/>
      <c r="BE439" s="275">
        <v>10000000</v>
      </c>
      <c r="BF439" s="275"/>
      <c r="BH439" s="277"/>
    </row>
    <row r="440" spans="1:60" ht="16.5" hidden="1" customHeight="1" x14ac:dyDescent="0.3">
      <c r="A440" s="260">
        <v>418</v>
      </c>
      <c r="B440" s="261"/>
      <c r="C440" s="261"/>
      <c r="D440" s="262" t="s">
        <v>15</v>
      </c>
      <c r="E440" s="262" t="s">
        <v>364</v>
      </c>
      <c r="F440" s="263" t="s">
        <v>15</v>
      </c>
      <c r="G440" s="264" t="s">
        <v>364</v>
      </c>
      <c r="H440" s="281"/>
      <c r="I440" s="265"/>
      <c r="J440" s="266" t="s">
        <v>385</v>
      </c>
      <c r="K440" s="262"/>
      <c r="L440" s="262"/>
      <c r="M440" s="262">
        <v>5024</v>
      </c>
      <c r="N440" s="262" t="s">
        <v>22</v>
      </c>
      <c r="O440" s="262" t="s">
        <v>212</v>
      </c>
      <c r="P440" s="262" t="s">
        <v>57</v>
      </c>
      <c r="Q440" s="262" t="s">
        <v>46</v>
      </c>
      <c r="R440" s="262" t="s">
        <v>47</v>
      </c>
      <c r="S440" s="267" t="s">
        <v>47</v>
      </c>
      <c r="T440" s="268"/>
      <c r="U440" s="269">
        <v>10000000</v>
      </c>
      <c r="V440" s="269">
        <v>13000000</v>
      </c>
      <c r="W440" s="278">
        <v>10000000</v>
      </c>
      <c r="X440" s="270"/>
      <c r="Y440" s="262" t="s">
        <v>27</v>
      </c>
      <c r="Z440" s="271" t="s">
        <v>27</v>
      </c>
      <c r="AA440" s="287"/>
      <c r="AB440" s="287"/>
      <c r="AC440" s="272">
        <f t="shared" si="15"/>
        <v>10000000</v>
      </c>
      <c r="AD440" s="272">
        <v>10000000</v>
      </c>
      <c r="AE440" s="272">
        <f t="shared" si="16"/>
        <v>0</v>
      </c>
      <c r="AF440" s="273"/>
      <c r="AG440" s="274"/>
      <c r="AH440" s="273"/>
      <c r="AI440" s="273"/>
      <c r="AJ440" s="274"/>
      <c r="AK440" s="273"/>
      <c r="AL440" s="275"/>
      <c r="AM440" s="290"/>
      <c r="AN440" s="275"/>
      <c r="AO440" s="276"/>
      <c r="AP440" s="275"/>
      <c r="AQ440" s="275"/>
      <c r="AR440" s="275"/>
      <c r="AS440" s="275"/>
      <c r="AT440" s="275"/>
      <c r="AU440" s="275"/>
      <c r="AV440" s="275"/>
      <c r="AW440" s="275"/>
      <c r="AX440" s="275"/>
      <c r="AY440" s="275"/>
      <c r="AZ440" s="275"/>
      <c r="BA440" s="275"/>
      <c r="BB440" s="275"/>
      <c r="BC440" s="275"/>
      <c r="BD440" s="275"/>
      <c r="BE440" s="275">
        <v>10000000</v>
      </c>
      <c r="BF440" s="275"/>
      <c r="BH440" s="277"/>
    </row>
    <row r="441" spans="1:60" ht="16.5" hidden="1" customHeight="1" x14ac:dyDescent="0.3">
      <c r="A441" s="260">
        <v>419</v>
      </c>
      <c r="B441" s="261"/>
      <c r="C441" s="261"/>
      <c r="D441" s="262" t="s">
        <v>15</v>
      </c>
      <c r="E441" s="262" t="s">
        <v>364</v>
      </c>
      <c r="F441" s="263" t="s">
        <v>15</v>
      </c>
      <c r="G441" s="264" t="s">
        <v>364</v>
      </c>
      <c r="H441" s="281"/>
      <c r="I441" s="265"/>
      <c r="J441" s="266" t="s">
        <v>385</v>
      </c>
      <c r="K441" s="262"/>
      <c r="L441" s="262"/>
      <c r="M441" s="262">
        <v>5024</v>
      </c>
      <c r="N441" s="262" t="s">
        <v>22</v>
      </c>
      <c r="O441" s="262" t="s">
        <v>212</v>
      </c>
      <c r="P441" s="262" t="s">
        <v>57</v>
      </c>
      <c r="Q441" s="262" t="s">
        <v>46</v>
      </c>
      <c r="R441" s="262" t="s">
        <v>47</v>
      </c>
      <c r="S441" s="267" t="s">
        <v>47</v>
      </c>
      <c r="T441" s="268"/>
      <c r="U441" s="269"/>
      <c r="V441" s="269">
        <v>0</v>
      </c>
      <c r="W441" s="278">
        <v>0</v>
      </c>
      <c r="X441" s="270"/>
      <c r="Y441" s="262" t="s">
        <v>25</v>
      </c>
      <c r="Z441" s="271" t="s">
        <v>25</v>
      </c>
      <c r="AA441" s="287"/>
      <c r="AB441" s="287"/>
      <c r="AC441" s="272">
        <f t="shared" si="15"/>
        <v>15000000</v>
      </c>
      <c r="AD441" s="272">
        <v>15000000</v>
      </c>
      <c r="AE441" s="272">
        <f t="shared" si="16"/>
        <v>0</v>
      </c>
      <c r="AF441" s="273"/>
      <c r="AG441" s="274"/>
      <c r="AH441" s="273"/>
      <c r="AI441" s="273"/>
      <c r="AJ441" s="274"/>
      <c r="AK441" s="273"/>
      <c r="AL441" s="275"/>
      <c r="AM441" s="290"/>
      <c r="AN441" s="275"/>
      <c r="AO441" s="276"/>
      <c r="AP441" s="275"/>
      <c r="AQ441" s="275"/>
      <c r="AR441" s="275"/>
      <c r="AS441" s="275"/>
      <c r="AT441" s="275"/>
      <c r="AU441" s="275"/>
      <c r="AV441" s="275"/>
      <c r="AW441" s="275"/>
      <c r="AX441" s="275"/>
      <c r="AY441" s="275">
        <v>15000000</v>
      </c>
      <c r="AZ441" s="275"/>
      <c r="BA441" s="275"/>
      <c r="BB441" s="275"/>
      <c r="BC441" s="275"/>
      <c r="BD441" s="275"/>
      <c r="BE441" s="275"/>
      <c r="BF441" s="275"/>
      <c r="BH441" s="277"/>
    </row>
    <row r="442" spans="1:60" ht="16.5" hidden="1" customHeight="1" x14ac:dyDescent="0.3">
      <c r="A442" s="260">
        <v>420</v>
      </c>
      <c r="B442" s="261"/>
      <c r="C442" s="261"/>
      <c r="D442" s="262"/>
      <c r="E442" s="262"/>
      <c r="F442" s="263" t="s">
        <v>15</v>
      </c>
      <c r="G442" s="264" t="s">
        <v>364</v>
      </c>
      <c r="H442" s="281"/>
      <c r="I442" s="265"/>
      <c r="J442" s="266" t="s">
        <v>385</v>
      </c>
      <c r="K442" s="262"/>
      <c r="L442" s="262"/>
      <c r="M442" s="262">
        <v>5024</v>
      </c>
      <c r="N442" s="262"/>
      <c r="O442" s="262"/>
      <c r="P442" s="262"/>
      <c r="Q442" s="262"/>
      <c r="R442" s="262"/>
      <c r="S442" s="267" t="s">
        <v>831</v>
      </c>
      <c r="T442" s="268"/>
      <c r="U442" s="269"/>
      <c r="V442" s="269"/>
      <c r="W442" s="278">
        <v>22746194</v>
      </c>
      <c r="X442" s="270"/>
      <c r="Y442" s="262"/>
      <c r="Z442" s="271" t="s">
        <v>718</v>
      </c>
      <c r="AA442" s="287"/>
      <c r="AB442" s="287"/>
      <c r="AC442" s="272">
        <f t="shared" si="15"/>
        <v>0</v>
      </c>
      <c r="AD442" s="272">
        <v>0</v>
      </c>
      <c r="AE442" s="272">
        <f t="shared" si="16"/>
        <v>0</v>
      </c>
      <c r="AF442" s="273"/>
      <c r="AG442" s="274"/>
      <c r="AH442" s="273"/>
      <c r="AI442" s="273"/>
      <c r="AJ442" s="274"/>
      <c r="AK442" s="273"/>
      <c r="AL442" s="275"/>
      <c r="AM442" s="290"/>
      <c r="AN442" s="275"/>
      <c r="AO442" s="276"/>
      <c r="AP442" s="275"/>
      <c r="AQ442" s="275"/>
      <c r="AR442" s="275"/>
      <c r="AS442" s="275"/>
      <c r="AT442" s="275"/>
      <c r="AU442" s="275"/>
      <c r="AV442" s="275"/>
      <c r="AW442" s="275"/>
      <c r="AX442" s="275"/>
      <c r="AY442" s="275"/>
      <c r="AZ442" s="275"/>
      <c r="BA442" s="275"/>
      <c r="BB442" s="275"/>
      <c r="BC442" s="275"/>
      <c r="BD442" s="275"/>
      <c r="BE442" s="275"/>
      <c r="BF442" s="275"/>
      <c r="BH442" s="277"/>
    </row>
    <row r="443" spans="1:60" ht="16.5" hidden="1" customHeight="1" x14ac:dyDescent="0.3">
      <c r="A443" s="260">
        <v>421</v>
      </c>
      <c r="B443" s="261"/>
      <c r="C443" s="261"/>
      <c r="D443" s="262" t="s">
        <v>15</v>
      </c>
      <c r="E443" s="262" t="s">
        <v>364</v>
      </c>
      <c r="F443" s="263" t="s">
        <v>15</v>
      </c>
      <c r="G443" s="264" t="s">
        <v>364</v>
      </c>
      <c r="H443" s="281"/>
      <c r="I443" s="265"/>
      <c r="J443" s="266" t="s">
        <v>385</v>
      </c>
      <c r="K443" s="262"/>
      <c r="L443" s="262"/>
      <c r="M443" s="262">
        <v>5024</v>
      </c>
      <c r="N443" s="262" t="s">
        <v>22</v>
      </c>
      <c r="O443" s="262" t="s">
        <v>35</v>
      </c>
      <c r="P443" s="262" t="s">
        <v>57</v>
      </c>
      <c r="Q443" s="262"/>
      <c r="R443" s="262"/>
      <c r="S443" s="267" t="s">
        <v>830</v>
      </c>
      <c r="T443" s="268"/>
      <c r="U443" s="269"/>
      <c r="V443" s="269"/>
      <c r="W443" s="278">
        <v>0</v>
      </c>
      <c r="X443" s="270"/>
      <c r="Y443" s="262"/>
      <c r="Z443" s="271" t="s">
        <v>25</v>
      </c>
      <c r="AA443" s="287"/>
      <c r="AB443" s="287"/>
      <c r="AC443" s="272">
        <f t="shared" si="15"/>
        <v>10000000</v>
      </c>
      <c r="AD443" s="272">
        <v>10000000</v>
      </c>
      <c r="AE443" s="272">
        <f t="shared" si="16"/>
        <v>0</v>
      </c>
      <c r="AF443" s="273"/>
      <c r="AG443" s="274"/>
      <c r="AH443" s="273"/>
      <c r="AI443" s="273"/>
      <c r="AJ443" s="274"/>
      <c r="AK443" s="273"/>
      <c r="AL443" s="275"/>
      <c r="AM443" s="290"/>
      <c r="AN443" s="275"/>
      <c r="AO443" s="276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>
        <v>10000000</v>
      </c>
      <c r="AZ443" s="275"/>
      <c r="BA443" s="275"/>
      <c r="BB443" s="275"/>
      <c r="BC443" s="275"/>
      <c r="BD443" s="275"/>
      <c r="BE443" s="275"/>
      <c r="BF443" s="275"/>
      <c r="BH443" s="277"/>
    </row>
    <row r="444" spans="1:60" ht="16.5" hidden="1" customHeight="1" x14ac:dyDescent="0.3">
      <c r="A444" s="260">
        <v>422</v>
      </c>
      <c r="B444" s="261"/>
      <c r="C444" s="261"/>
      <c r="D444" s="262"/>
      <c r="E444" s="262"/>
      <c r="F444" s="263" t="s">
        <v>15</v>
      </c>
      <c r="G444" s="264" t="s">
        <v>364</v>
      </c>
      <c r="H444" s="281"/>
      <c r="I444" s="265"/>
      <c r="J444" s="266" t="s">
        <v>921</v>
      </c>
      <c r="K444" s="262"/>
      <c r="L444" s="262"/>
      <c r="M444" s="262">
        <v>60969</v>
      </c>
      <c r="N444" s="262"/>
      <c r="O444" s="262"/>
      <c r="P444" s="262"/>
      <c r="Q444" s="262"/>
      <c r="R444" s="262"/>
      <c r="S444" s="267" t="s">
        <v>19</v>
      </c>
      <c r="T444" s="268"/>
      <c r="U444" s="269"/>
      <c r="V444" s="269"/>
      <c r="W444" s="278">
        <v>555000</v>
      </c>
      <c r="X444" s="270"/>
      <c r="Y444" s="262"/>
      <c r="Z444" s="271" t="s">
        <v>718</v>
      </c>
      <c r="AA444" s="287"/>
      <c r="AB444" s="287"/>
      <c r="AC444" s="272">
        <f t="shared" si="15"/>
        <v>0</v>
      </c>
      <c r="AD444" s="272">
        <v>0</v>
      </c>
      <c r="AE444" s="272">
        <f t="shared" si="16"/>
        <v>0</v>
      </c>
      <c r="AF444" s="273"/>
      <c r="AG444" s="274"/>
      <c r="AH444" s="273"/>
      <c r="AI444" s="273"/>
      <c r="AJ444" s="274"/>
      <c r="AK444" s="273"/>
      <c r="AL444" s="275"/>
      <c r="AM444" s="290"/>
      <c r="AN444" s="275"/>
      <c r="AO444" s="276"/>
      <c r="AP444" s="275"/>
      <c r="AQ444" s="275"/>
      <c r="AR444" s="275"/>
      <c r="AS444" s="275"/>
      <c r="AT444" s="275"/>
      <c r="AU444" s="275"/>
      <c r="AV444" s="275"/>
      <c r="AW444" s="275"/>
      <c r="AX444" s="275"/>
      <c r="AY444" s="275"/>
      <c r="AZ444" s="275"/>
      <c r="BA444" s="275"/>
      <c r="BB444" s="275"/>
      <c r="BC444" s="275"/>
      <c r="BD444" s="275"/>
      <c r="BE444" s="275"/>
      <c r="BF444" s="275"/>
      <c r="BH444" s="277"/>
    </row>
    <row r="445" spans="1:60" ht="16.5" hidden="1" customHeight="1" x14ac:dyDescent="0.3">
      <c r="A445" s="260">
        <v>423</v>
      </c>
      <c r="B445" s="261"/>
      <c r="C445" s="261"/>
      <c r="D445" s="262" t="s">
        <v>15</v>
      </c>
      <c r="E445" s="262" t="s">
        <v>364</v>
      </c>
      <c r="F445" s="263" t="s">
        <v>15</v>
      </c>
      <c r="G445" s="264" t="s">
        <v>364</v>
      </c>
      <c r="H445" s="281"/>
      <c r="I445" s="265"/>
      <c r="J445" s="266" t="s">
        <v>218</v>
      </c>
      <c r="K445" s="262"/>
      <c r="L445" s="262"/>
      <c r="M445" s="262">
        <v>3835</v>
      </c>
      <c r="N445" s="262" t="s">
        <v>32</v>
      </c>
      <c r="O445" s="262" t="s">
        <v>56</v>
      </c>
      <c r="P445" s="262" t="s">
        <v>57</v>
      </c>
      <c r="Q445" s="262"/>
      <c r="R445" s="262" t="s">
        <v>28</v>
      </c>
      <c r="S445" s="267" t="s">
        <v>28</v>
      </c>
      <c r="T445" s="268"/>
      <c r="U445" s="269"/>
      <c r="V445" s="269"/>
      <c r="W445" s="278">
        <v>0</v>
      </c>
      <c r="X445" s="270"/>
      <c r="Y445" s="262" t="s">
        <v>27</v>
      </c>
      <c r="Z445" s="271" t="s">
        <v>27</v>
      </c>
      <c r="AA445" s="287"/>
      <c r="AB445" s="287"/>
      <c r="AC445" s="272">
        <f t="shared" si="15"/>
        <v>60000000</v>
      </c>
      <c r="AD445" s="272">
        <v>60000000</v>
      </c>
      <c r="AE445" s="272">
        <f t="shared" si="16"/>
        <v>0</v>
      </c>
      <c r="AF445" s="273"/>
      <c r="AG445" s="274"/>
      <c r="AH445" s="273"/>
      <c r="AI445" s="273"/>
      <c r="AJ445" s="274"/>
      <c r="AK445" s="273"/>
      <c r="AL445" s="275"/>
      <c r="AM445" s="290"/>
      <c r="AN445" s="275"/>
      <c r="AO445" s="276"/>
      <c r="AP445" s="275"/>
      <c r="AQ445" s="275">
        <v>60000000</v>
      </c>
      <c r="AR445" s="275"/>
      <c r="AS445" s="275"/>
      <c r="AT445" s="275"/>
      <c r="AU445" s="275"/>
      <c r="AV445" s="275"/>
      <c r="AW445" s="275"/>
      <c r="AX445" s="275"/>
      <c r="AY445" s="275"/>
      <c r="AZ445" s="275"/>
      <c r="BA445" s="275"/>
      <c r="BB445" s="275"/>
      <c r="BC445" s="275"/>
      <c r="BD445" s="275"/>
      <c r="BE445" s="275"/>
      <c r="BF445" s="275"/>
      <c r="BH445" s="277"/>
    </row>
    <row r="446" spans="1:60" ht="16.5" hidden="1" customHeight="1" x14ac:dyDescent="0.3">
      <c r="A446" s="260">
        <v>424</v>
      </c>
      <c r="B446" s="261"/>
      <c r="C446" s="261"/>
      <c r="D446" s="262" t="s">
        <v>15</v>
      </c>
      <c r="E446" s="262" t="s">
        <v>364</v>
      </c>
      <c r="F446" s="263" t="s">
        <v>15</v>
      </c>
      <c r="G446" s="264" t="s">
        <v>364</v>
      </c>
      <c r="H446" s="281"/>
      <c r="I446" s="265"/>
      <c r="J446" s="266" t="s">
        <v>218</v>
      </c>
      <c r="K446" s="262"/>
      <c r="L446" s="262"/>
      <c r="M446" s="262">
        <v>3835</v>
      </c>
      <c r="N446" s="262" t="s">
        <v>32</v>
      </c>
      <c r="O446" s="262" t="s">
        <v>56</v>
      </c>
      <c r="P446" s="262" t="s">
        <v>57</v>
      </c>
      <c r="Q446" s="262" t="s">
        <v>26</v>
      </c>
      <c r="R446" s="262" t="s">
        <v>468</v>
      </c>
      <c r="S446" s="267" t="s">
        <v>468</v>
      </c>
      <c r="T446" s="268"/>
      <c r="U446" s="269">
        <v>17636364</v>
      </c>
      <c r="V446" s="269">
        <v>0</v>
      </c>
      <c r="W446" s="278">
        <v>0</v>
      </c>
      <c r="X446" s="270"/>
      <c r="Y446" s="262" t="s">
        <v>27</v>
      </c>
      <c r="Z446" s="271" t="s">
        <v>562</v>
      </c>
      <c r="AA446" s="287"/>
      <c r="AB446" s="287"/>
      <c r="AC446" s="272">
        <f t="shared" si="15"/>
        <v>0</v>
      </c>
      <c r="AD446" s="272">
        <v>0</v>
      </c>
      <c r="AE446" s="272">
        <f t="shared" si="16"/>
        <v>0</v>
      </c>
      <c r="AF446" s="273"/>
      <c r="AG446" s="274"/>
      <c r="AH446" s="273"/>
      <c r="AI446" s="273"/>
      <c r="AJ446" s="274"/>
      <c r="AK446" s="273"/>
      <c r="AL446" s="275"/>
      <c r="AM446" s="290"/>
      <c r="AN446" s="275"/>
      <c r="AO446" s="276"/>
      <c r="AP446" s="275"/>
      <c r="AQ446" s="275"/>
      <c r="AR446" s="275"/>
      <c r="AS446" s="275"/>
      <c r="AT446" s="275"/>
      <c r="AU446" s="275"/>
      <c r="AV446" s="275"/>
      <c r="AW446" s="275"/>
      <c r="AX446" s="275"/>
      <c r="AY446" s="275"/>
      <c r="AZ446" s="275"/>
      <c r="BA446" s="275"/>
      <c r="BB446" s="275"/>
      <c r="BC446" s="275"/>
      <c r="BD446" s="275"/>
      <c r="BE446" s="275"/>
      <c r="BF446" s="275"/>
      <c r="BH446" s="277"/>
    </row>
    <row r="447" spans="1:60" ht="16.5" hidden="1" customHeight="1" x14ac:dyDescent="0.3">
      <c r="A447" s="260">
        <v>425</v>
      </c>
      <c r="B447" s="261"/>
      <c r="C447" s="261"/>
      <c r="D447" s="262" t="s">
        <v>15</v>
      </c>
      <c r="E447" s="262" t="s">
        <v>364</v>
      </c>
      <c r="F447" s="263" t="s">
        <v>15</v>
      </c>
      <c r="G447" s="264" t="s">
        <v>364</v>
      </c>
      <c r="H447" s="281"/>
      <c r="I447" s="265"/>
      <c r="J447" s="266" t="s">
        <v>760</v>
      </c>
      <c r="K447" s="262"/>
      <c r="L447" s="262"/>
      <c r="M447" s="262">
        <v>3835</v>
      </c>
      <c r="N447" s="262" t="s">
        <v>32</v>
      </c>
      <c r="O447" s="262" t="s">
        <v>56</v>
      </c>
      <c r="P447" s="262" t="s">
        <v>57</v>
      </c>
      <c r="Q447" s="262" t="s">
        <v>63</v>
      </c>
      <c r="R447" s="262" t="s">
        <v>28</v>
      </c>
      <c r="S447" s="267" t="s">
        <v>28</v>
      </c>
      <c r="T447" s="268"/>
      <c r="U447" s="269">
        <v>123636364</v>
      </c>
      <c r="V447" s="269">
        <v>0</v>
      </c>
      <c r="W447" s="278">
        <v>81363637</v>
      </c>
      <c r="X447" s="270"/>
      <c r="Y447" s="262" t="s">
        <v>27</v>
      </c>
      <c r="Z447" s="271" t="s">
        <v>718</v>
      </c>
      <c r="AA447" s="287"/>
      <c r="AB447" s="287"/>
      <c r="AC447" s="272">
        <f t="shared" si="15"/>
        <v>0</v>
      </c>
      <c r="AD447" s="272">
        <v>0</v>
      </c>
      <c r="AE447" s="272">
        <f t="shared" si="16"/>
        <v>0</v>
      </c>
      <c r="AF447" s="273"/>
      <c r="AG447" s="274"/>
      <c r="AH447" s="273"/>
      <c r="AI447" s="273"/>
      <c r="AJ447" s="274"/>
      <c r="AK447" s="273"/>
      <c r="AL447" s="275"/>
      <c r="AM447" s="290"/>
      <c r="AN447" s="275"/>
      <c r="AO447" s="276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H447" s="277"/>
    </row>
    <row r="448" spans="1:60" ht="16.5" hidden="1" customHeight="1" x14ac:dyDescent="0.3">
      <c r="A448" s="260">
        <v>426</v>
      </c>
      <c r="B448" s="261"/>
      <c r="C448" s="261"/>
      <c r="D448" s="262" t="s">
        <v>15</v>
      </c>
      <c r="E448" s="262" t="s">
        <v>364</v>
      </c>
      <c r="F448" s="263" t="s">
        <v>15</v>
      </c>
      <c r="G448" s="264" t="s">
        <v>364</v>
      </c>
      <c r="H448" s="281"/>
      <c r="I448" s="265"/>
      <c r="J448" s="266" t="s">
        <v>563</v>
      </c>
      <c r="K448" s="262"/>
      <c r="L448" s="262"/>
      <c r="M448" s="262">
        <v>12169</v>
      </c>
      <c r="N448" s="262" t="s">
        <v>32</v>
      </c>
      <c r="O448" s="262" t="s">
        <v>56</v>
      </c>
      <c r="P448" s="262" t="s">
        <v>57</v>
      </c>
      <c r="Q448" s="262"/>
      <c r="R448" s="262" t="s">
        <v>19</v>
      </c>
      <c r="S448" s="267" t="s">
        <v>19</v>
      </c>
      <c r="T448" s="268"/>
      <c r="U448" s="269"/>
      <c r="V448" s="269">
        <v>0</v>
      </c>
      <c r="W448" s="278">
        <v>925000</v>
      </c>
      <c r="X448" s="270"/>
      <c r="Y448" s="262" t="s">
        <v>27</v>
      </c>
      <c r="Z448" s="271" t="s">
        <v>27</v>
      </c>
      <c r="AA448" s="287"/>
      <c r="AB448" s="287"/>
      <c r="AC448" s="272">
        <f t="shared" si="15"/>
        <v>19405500</v>
      </c>
      <c r="AD448" s="272">
        <v>19405500</v>
      </c>
      <c r="AE448" s="272">
        <f t="shared" si="16"/>
        <v>0</v>
      </c>
      <c r="AF448" s="273"/>
      <c r="AG448" s="274"/>
      <c r="AH448" s="273"/>
      <c r="AI448" s="273">
        <v>1085000</v>
      </c>
      <c r="AJ448" s="274">
        <v>1085000</v>
      </c>
      <c r="AK448" s="273"/>
      <c r="AL448" s="275">
        <v>320500</v>
      </c>
      <c r="AM448" s="290">
        <v>320500</v>
      </c>
      <c r="AN448" s="275"/>
      <c r="AO448" s="276">
        <v>2000000</v>
      </c>
      <c r="AP448" s="275"/>
      <c r="AQ448" s="275">
        <v>2000000</v>
      </c>
      <c r="AR448" s="275"/>
      <c r="AS448" s="275">
        <v>2000000</v>
      </c>
      <c r="AT448" s="275"/>
      <c r="AU448" s="275">
        <v>2000000</v>
      </c>
      <c r="AV448" s="275"/>
      <c r="AW448" s="275">
        <v>2000000</v>
      </c>
      <c r="AX448" s="275"/>
      <c r="AY448" s="275">
        <v>2000000</v>
      </c>
      <c r="AZ448" s="275"/>
      <c r="BA448" s="275">
        <v>2000000</v>
      </c>
      <c r="BB448" s="275"/>
      <c r="BC448" s="275">
        <v>2000000</v>
      </c>
      <c r="BD448" s="275"/>
      <c r="BE448" s="275">
        <v>2000000</v>
      </c>
      <c r="BF448" s="275"/>
      <c r="BH448" s="277"/>
    </row>
    <row r="449" spans="1:60" ht="16.5" hidden="1" customHeight="1" x14ac:dyDescent="0.3">
      <c r="A449" s="260">
        <v>427</v>
      </c>
      <c r="B449" s="261"/>
      <c r="C449" s="261"/>
      <c r="D449" s="262" t="s">
        <v>15</v>
      </c>
      <c r="E449" s="262" t="s">
        <v>364</v>
      </c>
      <c r="F449" s="263" t="s">
        <v>15</v>
      </c>
      <c r="G449" s="264" t="s">
        <v>364</v>
      </c>
      <c r="H449" s="281"/>
      <c r="I449" s="265"/>
      <c r="J449" s="266" t="s">
        <v>670</v>
      </c>
      <c r="K449" s="262"/>
      <c r="L449" s="262"/>
      <c r="M449" s="262">
        <v>10239</v>
      </c>
      <c r="N449" s="262" t="s">
        <v>32</v>
      </c>
      <c r="O449" s="262" t="s">
        <v>35</v>
      </c>
      <c r="P449" s="262" t="s">
        <v>57</v>
      </c>
      <c r="Q449" s="262"/>
      <c r="R449" s="262" t="s">
        <v>19</v>
      </c>
      <c r="S449" s="267" t="s">
        <v>19</v>
      </c>
      <c r="T449" s="268"/>
      <c r="U449" s="269"/>
      <c r="V449" s="269"/>
      <c r="W449" s="278">
        <v>9856400</v>
      </c>
      <c r="X449" s="270"/>
      <c r="Y449" s="262" t="s">
        <v>27</v>
      </c>
      <c r="Z449" s="271" t="s">
        <v>24</v>
      </c>
      <c r="AA449" s="287"/>
      <c r="AB449" s="287"/>
      <c r="AC449" s="272">
        <f t="shared" si="15"/>
        <v>6000000</v>
      </c>
      <c r="AD449" s="272">
        <v>6000000</v>
      </c>
      <c r="AE449" s="272">
        <f t="shared" si="16"/>
        <v>0</v>
      </c>
      <c r="AF449" s="273"/>
      <c r="AG449" s="274"/>
      <c r="AH449" s="273"/>
      <c r="AI449" s="273"/>
      <c r="AJ449" s="274"/>
      <c r="AK449" s="273"/>
      <c r="AL449" s="275"/>
      <c r="AM449" s="290"/>
      <c r="AN449" s="275"/>
      <c r="AO449" s="276"/>
      <c r="AP449" s="275"/>
      <c r="AQ449" s="275"/>
      <c r="AR449" s="275"/>
      <c r="AS449" s="275">
        <v>3000000</v>
      </c>
      <c r="AT449" s="275"/>
      <c r="AU449" s="275"/>
      <c r="AV449" s="275"/>
      <c r="AW449" s="275"/>
      <c r="AX449" s="275"/>
      <c r="AY449" s="275">
        <v>3000000</v>
      </c>
      <c r="AZ449" s="275"/>
      <c r="BA449" s="275"/>
      <c r="BB449" s="275"/>
      <c r="BC449" s="275"/>
      <c r="BD449" s="275"/>
      <c r="BE449" s="275"/>
      <c r="BF449" s="275"/>
      <c r="BH449" s="277"/>
    </row>
    <row r="450" spans="1:60" ht="16.5" hidden="1" customHeight="1" x14ac:dyDescent="0.3">
      <c r="A450" s="260">
        <v>428</v>
      </c>
      <c r="B450" s="261"/>
      <c r="C450" s="261"/>
      <c r="D450" s="262" t="s">
        <v>15</v>
      </c>
      <c r="E450" s="262" t="s">
        <v>364</v>
      </c>
      <c r="F450" s="263" t="s">
        <v>15</v>
      </c>
      <c r="G450" s="264" t="s">
        <v>364</v>
      </c>
      <c r="H450" s="281"/>
      <c r="I450" s="265"/>
      <c r="J450" s="266" t="s">
        <v>386</v>
      </c>
      <c r="K450" s="262"/>
      <c r="L450" s="262"/>
      <c r="M450" s="262">
        <v>16603</v>
      </c>
      <c r="N450" s="262" t="s">
        <v>32</v>
      </c>
      <c r="O450" s="262" t="s">
        <v>212</v>
      </c>
      <c r="P450" s="262" t="s">
        <v>57</v>
      </c>
      <c r="Q450" s="262" t="s">
        <v>18</v>
      </c>
      <c r="R450" s="262" t="s">
        <v>19</v>
      </c>
      <c r="S450" s="267" t="s">
        <v>19</v>
      </c>
      <c r="T450" s="268"/>
      <c r="U450" s="269" t="s">
        <v>154</v>
      </c>
      <c r="V450" s="269">
        <v>35836440</v>
      </c>
      <c r="W450" s="278">
        <v>20952300</v>
      </c>
      <c r="X450" s="270"/>
      <c r="Y450" s="262" t="s">
        <v>27</v>
      </c>
      <c r="Z450" s="271" t="s">
        <v>27</v>
      </c>
      <c r="AA450" s="287"/>
      <c r="AB450" s="287"/>
      <c r="AC450" s="272">
        <f t="shared" si="15"/>
        <v>2300000</v>
      </c>
      <c r="AD450" s="272">
        <v>2300000</v>
      </c>
      <c r="AE450" s="272">
        <f t="shared" si="16"/>
        <v>0</v>
      </c>
      <c r="AF450" s="273"/>
      <c r="AG450" s="274"/>
      <c r="AH450" s="273"/>
      <c r="AI450" s="273"/>
      <c r="AJ450" s="274"/>
      <c r="AK450" s="273"/>
      <c r="AL450" s="275">
        <v>0</v>
      </c>
      <c r="AM450" s="290"/>
      <c r="AN450" s="275"/>
      <c r="AO450" s="276"/>
      <c r="AP450" s="275"/>
      <c r="AQ450" s="275">
        <v>2300000</v>
      </c>
      <c r="AR450" s="275"/>
      <c r="AS450" s="275"/>
      <c r="AT450" s="275"/>
      <c r="AU450" s="275"/>
      <c r="AV450" s="275"/>
      <c r="AW450" s="275"/>
      <c r="AX450" s="275"/>
      <c r="AY450" s="275"/>
      <c r="AZ450" s="275"/>
      <c r="BA450" s="275"/>
      <c r="BB450" s="275"/>
      <c r="BC450" s="275"/>
      <c r="BD450" s="275"/>
      <c r="BE450" s="275"/>
      <c r="BF450" s="275"/>
      <c r="BH450" s="277"/>
    </row>
    <row r="451" spans="1:60" ht="16.5" hidden="1" customHeight="1" x14ac:dyDescent="0.3">
      <c r="A451" s="260">
        <v>429</v>
      </c>
      <c r="B451" s="261"/>
      <c r="C451" s="261"/>
      <c r="D451" s="262"/>
      <c r="E451" s="262"/>
      <c r="F451" s="263" t="s">
        <v>15</v>
      </c>
      <c r="G451" s="264" t="s">
        <v>364</v>
      </c>
      <c r="H451" s="281"/>
      <c r="I451" s="265"/>
      <c r="J451" s="266" t="s">
        <v>917</v>
      </c>
      <c r="K451" s="262"/>
      <c r="L451" s="262"/>
      <c r="M451" s="262">
        <v>54158</v>
      </c>
      <c r="N451" s="262"/>
      <c r="O451" s="262"/>
      <c r="P451" s="262"/>
      <c r="Q451" s="262"/>
      <c r="R451" s="262"/>
      <c r="S451" s="267" t="s">
        <v>468</v>
      </c>
      <c r="T451" s="268"/>
      <c r="U451" s="269"/>
      <c r="V451" s="269"/>
      <c r="W451" s="278">
        <v>97670</v>
      </c>
      <c r="X451" s="270"/>
      <c r="Y451" s="262"/>
      <c r="Z451" s="271" t="s">
        <v>718</v>
      </c>
      <c r="AA451" s="287"/>
      <c r="AB451" s="287"/>
      <c r="AC451" s="272">
        <f t="shared" si="15"/>
        <v>0</v>
      </c>
      <c r="AD451" s="272">
        <v>0</v>
      </c>
      <c r="AE451" s="272">
        <f t="shared" si="16"/>
        <v>0</v>
      </c>
      <c r="AF451" s="273"/>
      <c r="AG451" s="274"/>
      <c r="AH451" s="273"/>
      <c r="AI451" s="273"/>
      <c r="AJ451" s="274"/>
      <c r="AK451" s="273"/>
      <c r="AL451" s="275"/>
      <c r="AM451" s="290"/>
      <c r="AN451" s="275"/>
      <c r="AO451" s="276"/>
      <c r="AP451" s="275"/>
      <c r="AQ451" s="275"/>
      <c r="AR451" s="275"/>
      <c r="AS451" s="275"/>
      <c r="AT451" s="275"/>
      <c r="AU451" s="275"/>
      <c r="AV451" s="275"/>
      <c r="AW451" s="275"/>
      <c r="AX451" s="275"/>
      <c r="AY451" s="275"/>
      <c r="AZ451" s="275"/>
      <c r="BA451" s="275"/>
      <c r="BB451" s="275"/>
      <c r="BC451" s="275"/>
      <c r="BD451" s="275"/>
      <c r="BE451" s="275"/>
      <c r="BF451" s="275"/>
      <c r="BH451" s="277"/>
    </row>
    <row r="452" spans="1:60" ht="16.5" hidden="1" customHeight="1" x14ac:dyDescent="0.3">
      <c r="A452" s="260">
        <v>430</v>
      </c>
      <c r="B452" s="261"/>
      <c r="C452" s="261"/>
      <c r="D452" s="262"/>
      <c r="E452" s="262"/>
      <c r="F452" s="263" t="s">
        <v>15</v>
      </c>
      <c r="G452" s="264" t="s">
        <v>364</v>
      </c>
      <c r="H452" s="281"/>
      <c r="I452" s="265"/>
      <c r="J452" s="266" t="s">
        <v>922</v>
      </c>
      <c r="K452" s="262"/>
      <c r="L452" s="262"/>
      <c r="M452" s="262">
        <v>62138</v>
      </c>
      <c r="N452" s="262"/>
      <c r="O452" s="262"/>
      <c r="P452" s="262"/>
      <c r="Q452" s="262"/>
      <c r="R452" s="262"/>
      <c r="S452" s="267" t="s">
        <v>19</v>
      </c>
      <c r="T452" s="268"/>
      <c r="U452" s="269"/>
      <c r="V452" s="269"/>
      <c r="W452" s="278">
        <v>615000</v>
      </c>
      <c r="X452" s="270"/>
      <c r="Y452" s="262"/>
      <c r="Z452" s="271" t="s">
        <v>718</v>
      </c>
      <c r="AA452" s="287"/>
      <c r="AB452" s="287"/>
      <c r="AC452" s="272">
        <f t="shared" si="15"/>
        <v>0</v>
      </c>
      <c r="AD452" s="272">
        <v>0</v>
      </c>
      <c r="AE452" s="272">
        <f t="shared" si="16"/>
        <v>0</v>
      </c>
      <c r="AF452" s="273"/>
      <c r="AG452" s="274"/>
      <c r="AH452" s="273"/>
      <c r="AI452" s="273"/>
      <c r="AJ452" s="274"/>
      <c r="AK452" s="273"/>
      <c r="AL452" s="275"/>
      <c r="AM452" s="290"/>
      <c r="AN452" s="275"/>
      <c r="AO452" s="276"/>
      <c r="AP452" s="275"/>
      <c r="AQ452" s="275"/>
      <c r="AR452" s="275"/>
      <c r="AS452" s="275"/>
      <c r="AT452" s="275"/>
      <c r="AU452" s="275"/>
      <c r="AV452" s="275"/>
      <c r="AW452" s="275"/>
      <c r="AX452" s="275"/>
      <c r="AY452" s="275"/>
      <c r="AZ452" s="275"/>
      <c r="BA452" s="275"/>
      <c r="BB452" s="275"/>
      <c r="BC452" s="275"/>
      <c r="BD452" s="275"/>
      <c r="BE452" s="275"/>
      <c r="BF452" s="275"/>
      <c r="BH452" s="277"/>
    </row>
    <row r="453" spans="1:60" ht="16.5" hidden="1" customHeight="1" x14ac:dyDescent="0.3">
      <c r="A453" s="260">
        <v>431</v>
      </c>
      <c r="B453" s="261"/>
      <c r="C453" s="261"/>
      <c r="D453" s="262" t="s">
        <v>15</v>
      </c>
      <c r="E453" s="262" t="s">
        <v>364</v>
      </c>
      <c r="F453" s="263" t="s">
        <v>15</v>
      </c>
      <c r="G453" s="264" t="s">
        <v>364</v>
      </c>
      <c r="H453" s="281"/>
      <c r="I453" s="265"/>
      <c r="J453" s="266" t="s">
        <v>631</v>
      </c>
      <c r="K453" s="262"/>
      <c r="L453" s="262"/>
      <c r="M453" s="262">
        <v>62261</v>
      </c>
      <c r="N453" s="262" t="s">
        <v>22</v>
      </c>
      <c r="O453" s="262" t="s">
        <v>35</v>
      </c>
      <c r="P453" s="262" t="s">
        <v>57</v>
      </c>
      <c r="Q453" s="262" t="s">
        <v>30</v>
      </c>
      <c r="R453" s="262" t="s">
        <v>31</v>
      </c>
      <c r="S453" s="267" t="s">
        <v>31</v>
      </c>
      <c r="T453" s="268"/>
      <c r="U453" s="269"/>
      <c r="V453" s="269">
        <v>2675000</v>
      </c>
      <c r="W453" s="278">
        <v>3020000</v>
      </c>
      <c r="X453" s="270"/>
      <c r="Y453" s="262" t="s">
        <v>20</v>
      </c>
      <c r="Z453" s="271" t="s">
        <v>24</v>
      </c>
      <c r="AA453" s="287"/>
      <c r="AB453" s="287"/>
      <c r="AC453" s="272">
        <f t="shared" si="15"/>
        <v>10000000</v>
      </c>
      <c r="AD453" s="272">
        <v>10000000</v>
      </c>
      <c r="AE453" s="272">
        <f t="shared" si="16"/>
        <v>0</v>
      </c>
      <c r="AF453" s="273"/>
      <c r="AG453" s="274"/>
      <c r="AH453" s="273"/>
      <c r="AI453" s="273"/>
      <c r="AJ453" s="274"/>
      <c r="AK453" s="273"/>
      <c r="AL453" s="275"/>
      <c r="AM453" s="290"/>
      <c r="AN453" s="275"/>
      <c r="AO453" s="276"/>
      <c r="AP453" s="275"/>
      <c r="AQ453" s="275"/>
      <c r="AR453" s="275"/>
      <c r="AS453" s="275">
        <v>5000000</v>
      </c>
      <c r="AT453" s="275"/>
      <c r="AU453" s="275"/>
      <c r="AV453" s="275"/>
      <c r="AW453" s="275"/>
      <c r="AX453" s="275"/>
      <c r="AY453" s="275"/>
      <c r="AZ453" s="275"/>
      <c r="BA453" s="275"/>
      <c r="BB453" s="275"/>
      <c r="BC453" s="275">
        <v>5000000</v>
      </c>
      <c r="BD453" s="275"/>
      <c r="BE453" s="275"/>
      <c r="BF453" s="275"/>
      <c r="BH453" s="277"/>
    </row>
    <row r="454" spans="1:60" ht="16.5" hidden="1" customHeight="1" x14ac:dyDescent="0.3">
      <c r="A454" s="260">
        <v>432</v>
      </c>
      <c r="B454" s="261"/>
      <c r="C454" s="261"/>
      <c r="D454" s="262" t="s">
        <v>15</v>
      </c>
      <c r="E454" s="262" t="s">
        <v>364</v>
      </c>
      <c r="F454" s="263" t="s">
        <v>15</v>
      </c>
      <c r="G454" s="264" t="s">
        <v>364</v>
      </c>
      <c r="H454" s="281"/>
      <c r="I454" s="265"/>
      <c r="J454" s="266" t="s">
        <v>387</v>
      </c>
      <c r="K454" s="262"/>
      <c r="L454" s="262"/>
      <c r="M454" s="262">
        <v>4325</v>
      </c>
      <c r="N454" s="262" t="s">
        <v>22</v>
      </c>
      <c r="O454" s="262" t="s">
        <v>56</v>
      </c>
      <c r="P454" s="262" t="s">
        <v>57</v>
      </c>
      <c r="Q454" s="262" t="s">
        <v>18</v>
      </c>
      <c r="R454" s="262" t="s">
        <v>19</v>
      </c>
      <c r="S454" s="267" t="s">
        <v>19</v>
      </c>
      <c r="T454" s="268"/>
      <c r="U454" s="269"/>
      <c r="V454" s="269"/>
      <c r="W454" s="278">
        <v>9700000</v>
      </c>
      <c r="X454" s="270"/>
      <c r="Y454" s="262"/>
      <c r="Z454" s="271" t="s">
        <v>27</v>
      </c>
      <c r="AA454" s="287"/>
      <c r="AB454" s="287"/>
      <c r="AC454" s="272">
        <f t="shared" si="15"/>
        <v>15008000</v>
      </c>
      <c r="AD454" s="272">
        <v>15008000</v>
      </c>
      <c r="AE454" s="272">
        <f t="shared" si="16"/>
        <v>0</v>
      </c>
      <c r="AF454" s="273"/>
      <c r="AG454" s="274">
        <v>8000</v>
      </c>
      <c r="AH454" s="273"/>
      <c r="AI454" s="273"/>
      <c r="AJ454" s="274"/>
      <c r="AK454" s="273"/>
      <c r="AL454" s="275"/>
      <c r="AM454" s="290"/>
      <c r="AN454" s="275"/>
      <c r="AO454" s="276"/>
      <c r="AP454" s="275"/>
      <c r="AQ454" s="275"/>
      <c r="AR454" s="275"/>
      <c r="AS454" s="275">
        <v>7500000</v>
      </c>
      <c r="AT454" s="275"/>
      <c r="AU454" s="275"/>
      <c r="AV454" s="275"/>
      <c r="AW454" s="275"/>
      <c r="AX454" s="275"/>
      <c r="AY454" s="275"/>
      <c r="AZ454" s="275"/>
      <c r="BA454" s="275"/>
      <c r="BB454" s="275"/>
      <c r="BC454" s="275">
        <v>7500000</v>
      </c>
      <c r="BD454" s="275"/>
      <c r="BE454" s="275"/>
      <c r="BF454" s="275"/>
      <c r="BH454" s="277"/>
    </row>
    <row r="455" spans="1:60" ht="16.5" hidden="1" customHeight="1" x14ac:dyDescent="0.3">
      <c r="A455" s="260">
        <v>433</v>
      </c>
      <c r="B455" s="261"/>
      <c r="C455" s="261"/>
      <c r="D455" s="262" t="s">
        <v>15</v>
      </c>
      <c r="E455" s="262" t="s">
        <v>364</v>
      </c>
      <c r="F455" s="263" t="s">
        <v>15</v>
      </c>
      <c r="G455" s="264" t="s">
        <v>364</v>
      </c>
      <c r="H455" s="281"/>
      <c r="I455" s="265"/>
      <c r="J455" s="266" t="s">
        <v>387</v>
      </c>
      <c r="K455" s="262"/>
      <c r="L455" s="262"/>
      <c r="M455" s="262">
        <v>4325</v>
      </c>
      <c r="N455" s="262" t="s">
        <v>22</v>
      </c>
      <c r="O455" s="262" t="s">
        <v>56</v>
      </c>
      <c r="P455" s="262" t="s">
        <v>57</v>
      </c>
      <c r="Q455" s="262" t="s">
        <v>30</v>
      </c>
      <c r="R455" s="262" t="s">
        <v>31</v>
      </c>
      <c r="S455" s="267" t="s">
        <v>31</v>
      </c>
      <c r="T455" s="268"/>
      <c r="U455" s="269">
        <v>10070000</v>
      </c>
      <c r="V455" s="269">
        <v>23318000</v>
      </c>
      <c r="W455" s="278">
        <v>0</v>
      </c>
      <c r="X455" s="270"/>
      <c r="Y455" s="262" t="s">
        <v>27</v>
      </c>
      <c r="Z455" s="271" t="s">
        <v>24</v>
      </c>
      <c r="AA455" s="287"/>
      <c r="AB455" s="287"/>
      <c r="AC455" s="272">
        <f t="shared" si="15"/>
        <v>7500000</v>
      </c>
      <c r="AD455" s="272">
        <v>7500000</v>
      </c>
      <c r="AE455" s="272">
        <f t="shared" si="16"/>
        <v>0</v>
      </c>
      <c r="AF455" s="273"/>
      <c r="AG455" s="274"/>
      <c r="AH455" s="273"/>
      <c r="AI455" s="273"/>
      <c r="AJ455" s="274"/>
      <c r="AK455" s="273"/>
      <c r="AL455" s="275"/>
      <c r="AM455" s="290"/>
      <c r="AN455" s="275"/>
      <c r="AO455" s="276"/>
      <c r="AP455" s="275"/>
      <c r="AQ455" s="275"/>
      <c r="AR455" s="275"/>
      <c r="AS455" s="275"/>
      <c r="AT455" s="275"/>
      <c r="AU455" s="275">
        <v>7500000</v>
      </c>
      <c r="AV455" s="275"/>
      <c r="AW455" s="275"/>
      <c r="AX455" s="275"/>
      <c r="AY455" s="275"/>
      <c r="AZ455" s="275"/>
      <c r="BA455" s="275"/>
      <c r="BB455" s="275"/>
      <c r="BC455" s="275">
        <v>0</v>
      </c>
      <c r="BD455" s="275"/>
      <c r="BE455" s="275"/>
      <c r="BF455" s="275"/>
      <c r="BH455" s="277"/>
    </row>
    <row r="456" spans="1:60" ht="16.5" hidden="1" customHeight="1" x14ac:dyDescent="0.3">
      <c r="A456" s="260">
        <v>434</v>
      </c>
      <c r="B456" s="261"/>
      <c r="C456" s="261"/>
      <c r="D456" s="262" t="s">
        <v>15</v>
      </c>
      <c r="E456" s="262" t="s">
        <v>364</v>
      </c>
      <c r="F456" s="263" t="s">
        <v>15</v>
      </c>
      <c r="G456" s="264" t="s">
        <v>364</v>
      </c>
      <c r="H456" s="281"/>
      <c r="I456" s="265"/>
      <c r="J456" s="266" t="s">
        <v>761</v>
      </c>
      <c r="K456" s="262"/>
      <c r="L456" s="262"/>
      <c r="M456" s="262">
        <v>19468</v>
      </c>
      <c r="N456" s="262" t="s">
        <v>22</v>
      </c>
      <c r="O456" s="262" t="s">
        <v>56</v>
      </c>
      <c r="P456" s="262" t="s">
        <v>57</v>
      </c>
      <c r="Q456" s="262" t="s">
        <v>63</v>
      </c>
      <c r="R456" s="262" t="s">
        <v>28</v>
      </c>
      <c r="S456" s="267" t="s">
        <v>28</v>
      </c>
      <c r="T456" s="268"/>
      <c r="U456" s="269" t="s">
        <v>154</v>
      </c>
      <c r="V456" s="269">
        <v>3000000</v>
      </c>
      <c r="W456" s="278">
        <v>0</v>
      </c>
      <c r="X456" s="270"/>
      <c r="Y456" s="262" t="s">
        <v>20</v>
      </c>
      <c r="Z456" s="271" t="s">
        <v>20</v>
      </c>
      <c r="AA456" s="287"/>
      <c r="AB456" s="287"/>
      <c r="AC456" s="272">
        <f t="shared" si="15"/>
        <v>0</v>
      </c>
      <c r="AD456" s="272">
        <v>0</v>
      </c>
      <c r="AE456" s="272">
        <f t="shared" si="16"/>
        <v>0</v>
      </c>
      <c r="AF456" s="273"/>
      <c r="AG456" s="274"/>
      <c r="AH456" s="273"/>
      <c r="AI456" s="273"/>
      <c r="AJ456" s="274"/>
      <c r="AK456" s="273"/>
      <c r="AL456" s="275"/>
      <c r="AM456" s="290"/>
      <c r="AN456" s="275"/>
      <c r="AO456" s="276"/>
      <c r="AP456" s="275"/>
      <c r="AQ456" s="275"/>
      <c r="AR456" s="275"/>
      <c r="AS456" s="275"/>
      <c r="AT456" s="275"/>
      <c r="AU456" s="275"/>
      <c r="AV456" s="275"/>
      <c r="AW456" s="275"/>
      <c r="AX456" s="275"/>
      <c r="AY456" s="275"/>
      <c r="AZ456" s="275"/>
      <c r="BA456" s="275"/>
      <c r="BB456" s="275"/>
      <c r="BC456" s="275"/>
      <c r="BD456" s="275"/>
      <c r="BE456" s="275"/>
      <c r="BF456" s="275"/>
      <c r="BH456" s="277"/>
    </row>
    <row r="457" spans="1:60" ht="16.5" hidden="1" customHeight="1" x14ac:dyDescent="0.3">
      <c r="A457" s="260">
        <v>435</v>
      </c>
      <c r="B457" s="261"/>
      <c r="C457" s="261"/>
      <c r="D457" s="262" t="s">
        <v>15</v>
      </c>
      <c r="E457" s="262" t="s">
        <v>364</v>
      </c>
      <c r="F457" s="263" t="s">
        <v>15</v>
      </c>
      <c r="G457" s="264" t="s">
        <v>364</v>
      </c>
      <c r="H457" s="281"/>
      <c r="I457" s="265"/>
      <c r="J457" s="266" t="s">
        <v>761</v>
      </c>
      <c r="K457" s="262"/>
      <c r="L457" s="262"/>
      <c r="M457" s="262">
        <v>19468</v>
      </c>
      <c r="N457" s="262" t="s">
        <v>22</v>
      </c>
      <c r="O457" s="262" t="s">
        <v>56</v>
      </c>
      <c r="P457" s="262" t="s">
        <v>57</v>
      </c>
      <c r="Q457" s="262" t="s">
        <v>30</v>
      </c>
      <c r="R457" s="262" t="s">
        <v>31</v>
      </c>
      <c r="S457" s="267" t="s">
        <v>31</v>
      </c>
      <c r="T457" s="268"/>
      <c r="U457" s="269">
        <v>3000000</v>
      </c>
      <c r="V457" s="269">
        <v>0</v>
      </c>
      <c r="W457" s="278">
        <v>3000000</v>
      </c>
      <c r="X457" s="270"/>
      <c r="Y457" s="262" t="s">
        <v>27</v>
      </c>
      <c r="Z457" s="271" t="s">
        <v>27</v>
      </c>
      <c r="AA457" s="287"/>
      <c r="AB457" s="287"/>
      <c r="AC457" s="272">
        <f t="shared" si="15"/>
        <v>5000000</v>
      </c>
      <c r="AD457" s="272">
        <v>5000000</v>
      </c>
      <c r="AE457" s="272">
        <f t="shared" si="16"/>
        <v>0</v>
      </c>
      <c r="AF457" s="273"/>
      <c r="AG457" s="274"/>
      <c r="AH457" s="273"/>
      <c r="AI457" s="273"/>
      <c r="AJ457" s="274"/>
      <c r="AK457" s="273"/>
      <c r="AL457" s="275"/>
      <c r="AM457" s="290"/>
      <c r="AN457" s="275"/>
      <c r="AO457" s="276"/>
      <c r="AP457" s="275"/>
      <c r="AQ457" s="275"/>
      <c r="AR457" s="275"/>
      <c r="AS457" s="275"/>
      <c r="AT457" s="275"/>
      <c r="AU457" s="275"/>
      <c r="AV457" s="275"/>
      <c r="AW457" s="275"/>
      <c r="AX457" s="275"/>
      <c r="AY457" s="275"/>
      <c r="AZ457" s="275"/>
      <c r="BA457" s="275">
        <v>5000000</v>
      </c>
      <c r="BB457" s="275"/>
      <c r="BC457" s="275"/>
      <c r="BD457" s="275"/>
      <c r="BE457" s="275"/>
      <c r="BF457" s="275"/>
      <c r="BH457" s="277"/>
    </row>
    <row r="458" spans="1:60" ht="16.5" hidden="1" customHeight="1" x14ac:dyDescent="0.3">
      <c r="A458" s="260">
        <v>436</v>
      </c>
      <c r="B458" s="261"/>
      <c r="C458" s="261"/>
      <c r="D458" s="262" t="s">
        <v>15</v>
      </c>
      <c r="E458" s="262" t="s">
        <v>364</v>
      </c>
      <c r="F458" s="263" t="s">
        <v>15</v>
      </c>
      <c r="G458" s="264" t="s">
        <v>364</v>
      </c>
      <c r="H458" s="281"/>
      <c r="I458" s="265"/>
      <c r="J458" s="266" t="s">
        <v>761</v>
      </c>
      <c r="K458" s="262"/>
      <c r="L458" s="262"/>
      <c r="M458" s="262">
        <v>19468</v>
      </c>
      <c r="N458" s="262" t="s">
        <v>22</v>
      </c>
      <c r="O458" s="262" t="s">
        <v>56</v>
      </c>
      <c r="P458" s="262" t="s">
        <v>57</v>
      </c>
      <c r="Q458" s="262" t="s">
        <v>46</v>
      </c>
      <c r="R458" s="262" t="s">
        <v>47</v>
      </c>
      <c r="S458" s="267" t="s">
        <v>47</v>
      </c>
      <c r="T458" s="268"/>
      <c r="U458" s="269">
        <v>21869200</v>
      </c>
      <c r="V458" s="269">
        <v>0</v>
      </c>
      <c r="W458" s="278">
        <v>0</v>
      </c>
      <c r="X458" s="270"/>
      <c r="Y458" s="262" t="s">
        <v>20</v>
      </c>
      <c r="Z458" s="271" t="s">
        <v>20</v>
      </c>
      <c r="AA458" s="287"/>
      <c r="AB458" s="287"/>
      <c r="AC458" s="272">
        <f t="shared" si="15"/>
        <v>0</v>
      </c>
      <c r="AD458" s="272">
        <v>0</v>
      </c>
      <c r="AE458" s="272">
        <f t="shared" si="16"/>
        <v>0</v>
      </c>
      <c r="AF458" s="273"/>
      <c r="AG458" s="274"/>
      <c r="AH458" s="273"/>
      <c r="AI458" s="273"/>
      <c r="AJ458" s="274"/>
      <c r="AK458" s="273"/>
      <c r="AL458" s="275"/>
      <c r="AM458" s="290"/>
      <c r="AN458" s="275"/>
      <c r="AO458" s="276"/>
      <c r="AP458" s="275"/>
      <c r="AQ458" s="275"/>
      <c r="AR458" s="275"/>
      <c r="AS458" s="275"/>
      <c r="AT458" s="275"/>
      <c r="AU458" s="275"/>
      <c r="AV458" s="275"/>
      <c r="AW458" s="275"/>
      <c r="AX458" s="275"/>
      <c r="AY458" s="275"/>
      <c r="AZ458" s="275"/>
      <c r="BA458" s="275"/>
      <c r="BB458" s="275"/>
      <c r="BC458" s="275"/>
      <c r="BD458" s="275"/>
      <c r="BE458" s="275"/>
      <c r="BF458" s="275"/>
      <c r="BH458" s="277"/>
    </row>
    <row r="459" spans="1:60" ht="16.5" hidden="1" customHeight="1" x14ac:dyDescent="0.3">
      <c r="A459" s="260">
        <v>437</v>
      </c>
      <c r="B459" s="261"/>
      <c r="C459" s="261"/>
      <c r="D459" s="262" t="s">
        <v>15</v>
      </c>
      <c r="E459" s="262" t="s">
        <v>364</v>
      </c>
      <c r="F459" s="263" t="s">
        <v>15</v>
      </c>
      <c r="G459" s="264" t="s">
        <v>364</v>
      </c>
      <c r="H459" s="281"/>
      <c r="I459" s="265"/>
      <c r="J459" s="266" t="s">
        <v>761</v>
      </c>
      <c r="K459" s="262"/>
      <c r="L459" s="262"/>
      <c r="M459" s="262">
        <v>19468</v>
      </c>
      <c r="N459" s="262" t="s">
        <v>22</v>
      </c>
      <c r="O459" s="262" t="s">
        <v>56</v>
      </c>
      <c r="P459" s="262" t="s">
        <v>57</v>
      </c>
      <c r="Q459" s="262" t="s">
        <v>61</v>
      </c>
      <c r="R459" s="262" t="s">
        <v>468</v>
      </c>
      <c r="S459" s="267" t="s">
        <v>468</v>
      </c>
      <c r="T459" s="268"/>
      <c r="U459" s="269" t="s">
        <v>154</v>
      </c>
      <c r="V459" s="269">
        <v>0</v>
      </c>
      <c r="W459" s="278">
        <v>0</v>
      </c>
      <c r="X459" s="270"/>
      <c r="Y459" s="262" t="s">
        <v>24</v>
      </c>
      <c r="Z459" s="271" t="s">
        <v>25</v>
      </c>
      <c r="AA459" s="287"/>
      <c r="AB459" s="287"/>
      <c r="AC459" s="272">
        <f t="shared" si="15"/>
        <v>20000000</v>
      </c>
      <c r="AD459" s="272">
        <v>20000000</v>
      </c>
      <c r="AE459" s="272">
        <f t="shared" si="16"/>
        <v>0</v>
      </c>
      <c r="AF459" s="273"/>
      <c r="AG459" s="274"/>
      <c r="AH459" s="273"/>
      <c r="AI459" s="273"/>
      <c r="AJ459" s="274"/>
      <c r="AK459" s="273"/>
      <c r="AL459" s="275"/>
      <c r="AM459" s="290"/>
      <c r="AN459" s="275"/>
      <c r="AO459" s="276"/>
      <c r="AP459" s="275"/>
      <c r="AQ459" s="275"/>
      <c r="AR459" s="275"/>
      <c r="AS459" s="275"/>
      <c r="AT459" s="275"/>
      <c r="AU459" s="275"/>
      <c r="AV459" s="275"/>
      <c r="AW459" s="275"/>
      <c r="AX459" s="275"/>
      <c r="AY459" s="275">
        <v>20000000</v>
      </c>
      <c r="AZ459" s="275"/>
      <c r="BA459" s="275"/>
      <c r="BB459" s="275"/>
      <c r="BC459" s="275"/>
      <c r="BD459" s="275"/>
      <c r="BE459" s="275"/>
      <c r="BF459" s="275"/>
      <c r="BH459" s="277"/>
    </row>
    <row r="460" spans="1:60" ht="16.5" hidden="1" customHeight="1" x14ac:dyDescent="0.3">
      <c r="A460" s="260">
        <v>438</v>
      </c>
      <c r="B460" s="261"/>
      <c r="C460" s="261"/>
      <c r="D460" s="262" t="s">
        <v>15</v>
      </c>
      <c r="E460" s="262" t="s">
        <v>364</v>
      </c>
      <c r="F460" s="263" t="s">
        <v>15</v>
      </c>
      <c r="G460" s="264" t="s">
        <v>364</v>
      </c>
      <c r="H460" s="281"/>
      <c r="I460" s="265"/>
      <c r="J460" s="266" t="s">
        <v>761</v>
      </c>
      <c r="K460" s="262"/>
      <c r="L460" s="262"/>
      <c r="M460" s="262">
        <v>19468</v>
      </c>
      <c r="N460" s="262" t="s">
        <v>22</v>
      </c>
      <c r="O460" s="262" t="s">
        <v>56</v>
      </c>
      <c r="P460" s="262" t="s">
        <v>57</v>
      </c>
      <c r="Q460" s="262" t="s">
        <v>62</v>
      </c>
      <c r="R460" s="262" t="s">
        <v>678</v>
      </c>
      <c r="S460" s="267" t="s">
        <v>832</v>
      </c>
      <c r="T460" s="268"/>
      <c r="U460" s="269" t="s">
        <v>154</v>
      </c>
      <c r="V460" s="269">
        <v>4340000</v>
      </c>
      <c r="W460" s="278">
        <v>0</v>
      </c>
      <c r="X460" s="270"/>
      <c r="Y460" s="262" t="s">
        <v>24</v>
      </c>
      <c r="Z460" s="271" t="s">
        <v>25</v>
      </c>
      <c r="AA460" s="287"/>
      <c r="AB460" s="287"/>
      <c r="AC460" s="272">
        <f t="shared" si="15"/>
        <v>30000000</v>
      </c>
      <c r="AD460" s="272">
        <v>30000000</v>
      </c>
      <c r="AE460" s="272">
        <f t="shared" si="16"/>
        <v>0</v>
      </c>
      <c r="AF460" s="273"/>
      <c r="AG460" s="274"/>
      <c r="AH460" s="273"/>
      <c r="AI460" s="273"/>
      <c r="AJ460" s="274"/>
      <c r="AK460" s="273"/>
      <c r="AL460" s="275"/>
      <c r="AM460" s="290"/>
      <c r="AN460" s="275"/>
      <c r="AO460" s="276"/>
      <c r="AP460" s="275"/>
      <c r="AQ460" s="275"/>
      <c r="AR460" s="275"/>
      <c r="AS460" s="275"/>
      <c r="AT460" s="275"/>
      <c r="AU460" s="275"/>
      <c r="AV460" s="275"/>
      <c r="AW460" s="275"/>
      <c r="AX460" s="275"/>
      <c r="AY460" s="275"/>
      <c r="AZ460" s="275"/>
      <c r="BA460" s="275"/>
      <c r="BB460" s="275"/>
      <c r="BC460" s="275"/>
      <c r="BD460" s="275"/>
      <c r="BE460" s="275">
        <v>30000000</v>
      </c>
      <c r="BF460" s="275"/>
      <c r="BH460" s="277"/>
    </row>
    <row r="461" spans="1:60" ht="16.5" hidden="1" customHeight="1" x14ac:dyDescent="0.3">
      <c r="A461" s="260">
        <v>439</v>
      </c>
      <c r="B461" s="261"/>
      <c r="C461" s="261"/>
      <c r="D461" s="262" t="s">
        <v>15</v>
      </c>
      <c r="E461" s="262" t="s">
        <v>364</v>
      </c>
      <c r="F461" s="263" t="s">
        <v>15</v>
      </c>
      <c r="G461" s="264" t="s">
        <v>364</v>
      </c>
      <c r="H461" s="281"/>
      <c r="I461" s="265"/>
      <c r="J461" s="266" t="s">
        <v>761</v>
      </c>
      <c r="K461" s="262"/>
      <c r="L461" s="262"/>
      <c r="M461" s="262">
        <v>19468</v>
      </c>
      <c r="N461" s="262" t="s">
        <v>22</v>
      </c>
      <c r="O461" s="262" t="s">
        <v>56</v>
      </c>
      <c r="P461" s="262" t="s">
        <v>57</v>
      </c>
      <c r="Q461" s="262" t="s">
        <v>46</v>
      </c>
      <c r="R461" s="262" t="s">
        <v>477</v>
      </c>
      <c r="S461" s="267" t="s">
        <v>834</v>
      </c>
      <c r="T461" s="268"/>
      <c r="U461" s="269"/>
      <c r="V461" s="269">
        <v>0</v>
      </c>
      <c r="W461" s="278">
        <v>0</v>
      </c>
      <c r="X461" s="270"/>
      <c r="Y461" s="262" t="s">
        <v>24</v>
      </c>
      <c r="Z461" s="271" t="s">
        <v>25</v>
      </c>
      <c r="AA461" s="287"/>
      <c r="AB461" s="287"/>
      <c r="AC461" s="272">
        <f t="shared" si="15"/>
        <v>10000000</v>
      </c>
      <c r="AD461" s="272">
        <v>10000000</v>
      </c>
      <c r="AE461" s="272">
        <f t="shared" si="16"/>
        <v>0</v>
      </c>
      <c r="AF461" s="273"/>
      <c r="AG461" s="274"/>
      <c r="AH461" s="273"/>
      <c r="AI461" s="273"/>
      <c r="AJ461" s="274"/>
      <c r="AK461" s="273"/>
      <c r="AL461" s="275"/>
      <c r="AM461" s="290"/>
      <c r="AN461" s="275"/>
      <c r="AO461" s="276"/>
      <c r="AP461" s="275"/>
      <c r="AQ461" s="275"/>
      <c r="AR461" s="275"/>
      <c r="AS461" s="275"/>
      <c r="AT461" s="275"/>
      <c r="AU461" s="275"/>
      <c r="AV461" s="275"/>
      <c r="AW461" s="275"/>
      <c r="AX461" s="275"/>
      <c r="AY461" s="275"/>
      <c r="AZ461" s="275"/>
      <c r="BA461" s="275"/>
      <c r="BB461" s="275"/>
      <c r="BC461" s="275"/>
      <c r="BD461" s="275"/>
      <c r="BE461" s="275">
        <v>10000000</v>
      </c>
      <c r="BF461" s="275"/>
      <c r="BH461" s="277"/>
    </row>
    <row r="462" spans="1:60" ht="16.5" hidden="1" customHeight="1" x14ac:dyDescent="0.3">
      <c r="A462" s="260">
        <v>440</v>
      </c>
      <c r="B462" s="261"/>
      <c r="C462" s="261"/>
      <c r="D462" s="262" t="s">
        <v>15</v>
      </c>
      <c r="E462" s="262" t="s">
        <v>364</v>
      </c>
      <c r="F462" s="263" t="s">
        <v>15</v>
      </c>
      <c r="G462" s="264" t="s">
        <v>364</v>
      </c>
      <c r="H462" s="281"/>
      <c r="I462" s="265"/>
      <c r="J462" s="266" t="s">
        <v>761</v>
      </c>
      <c r="K462" s="262"/>
      <c r="L462" s="262"/>
      <c r="M462" s="262">
        <v>19468</v>
      </c>
      <c r="N462" s="262" t="s">
        <v>22</v>
      </c>
      <c r="O462" s="262" t="s">
        <v>56</v>
      </c>
      <c r="P462" s="262" t="s">
        <v>57</v>
      </c>
      <c r="Q462" s="262" t="s">
        <v>372</v>
      </c>
      <c r="R462" s="262" t="s">
        <v>476</v>
      </c>
      <c r="S462" s="267" t="s">
        <v>825</v>
      </c>
      <c r="T462" s="268"/>
      <c r="U462" s="269">
        <v>280000</v>
      </c>
      <c r="V462" s="269">
        <v>0</v>
      </c>
      <c r="W462" s="278">
        <v>0</v>
      </c>
      <c r="X462" s="270"/>
      <c r="Y462" s="262" t="s">
        <v>20</v>
      </c>
      <c r="Z462" s="271" t="s">
        <v>20</v>
      </c>
      <c r="AA462" s="287"/>
      <c r="AB462" s="287"/>
      <c r="AC462" s="272">
        <f t="shared" si="15"/>
        <v>0</v>
      </c>
      <c r="AD462" s="272">
        <v>0</v>
      </c>
      <c r="AE462" s="272">
        <f t="shared" si="16"/>
        <v>0</v>
      </c>
      <c r="AF462" s="273"/>
      <c r="AG462" s="274"/>
      <c r="AH462" s="273"/>
      <c r="AI462" s="273"/>
      <c r="AJ462" s="274"/>
      <c r="AK462" s="273"/>
      <c r="AL462" s="275"/>
      <c r="AM462" s="290"/>
      <c r="AN462" s="275"/>
      <c r="AO462" s="276"/>
      <c r="AP462" s="275"/>
      <c r="AQ462" s="275"/>
      <c r="AR462" s="275"/>
      <c r="AS462" s="275"/>
      <c r="AT462" s="275"/>
      <c r="AU462" s="275"/>
      <c r="AV462" s="275"/>
      <c r="AW462" s="275"/>
      <c r="AX462" s="275"/>
      <c r="AY462" s="275"/>
      <c r="AZ462" s="275"/>
      <c r="BA462" s="275"/>
      <c r="BB462" s="275"/>
      <c r="BC462" s="275"/>
      <c r="BD462" s="275"/>
      <c r="BE462" s="275"/>
      <c r="BF462" s="275"/>
      <c r="BH462" s="277"/>
    </row>
    <row r="463" spans="1:60" ht="16.5" hidden="1" customHeight="1" x14ac:dyDescent="0.3">
      <c r="A463" s="260">
        <v>441</v>
      </c>
      <c r="B463" s="261"/>
      <c r="C463" s="261"/>
      <c r="D463" s="262"/>
      <c r="E463" s="262"/>
      <c r="F463" s="263" t="s">
        <v>15</v>
      </c>
      <c r="G463" s="264" t="s">
        <v>364</v>
      </c>
      <c r="H463" s="281"/>
      <c r="I463" s="265"/>
      <c r="J463" s="266" t="s">
        <v>949</v>
      </c>
      <c r="K463" s="262"/>
      <c r="L463" s="262"/>
      <c r="M463" s="262">
        <v>14023</v>
      </c>
      <c r="N463" s="262" t="s">
        <v>22</v>
      </c>
      <c r="O463" s="262" t="s">
        <v>35</v>
      </c>
      <c r="P463" s="262"/>
      <c r="Q463" s="262"/>
      <c r="R463" s="262"/>
      <c r="S463" s="267" t="s">
        <v>478</v>
      </c>
      <c r="T463" s="268"/>
      <c r="U463" s="269"/>
      <c r="V463" s="269"/>
      <c r="W463" s="278">
        <v>0</v>
      </c>
      <c r="X463" s="270"/>
      <c r="Y463" s="262"/>
      <c r="Z463" s="271" t="s">
        <v>25</v>
      </c>
      <c r="AA463" s="287"/>
      <c r="AB463" s="287"/>
      <c r="AC463" s="272">
        <f t="shared" si="15"/>
        <v>30000000</v>
      </c>
      <c r="AD463" s="272">
        <v>30000000</v>
      </c>
      <c r="AE463" s="272">
        <f t="shared" si="16"/>
        <v>0</v>
      </c>
      <c r="AF463" s="273"/>
      <c r="AG463" s="274"/>
      <c r="AH463" s="273"/>
      <c r="AI463" s="273"/>
      <c r="AJ463" s="274"/>
      <c r="AK463" s="273"/>
      <c r="AL463" s="275"/>
      <c r="AM463" s="290"/>
      <c r="AN463" s="275"/>
      <c r="AO463" s="276"/>
      <c r="AP463" s="275"/>
      <c r="AQ463" s="275">
        <v>30000000</v>
      </c>
      <c r="AR463" s="275"/>
      <c r="AS463" s="275"/>
      <c r="AT463" s="275"/>
      <c r="AU463" s="275"/>
      <c r="AV463" s="275"/>
      <c r="AW463" s="275"/>
      <c r="AX463" s="275"/>
      <c r="AY463" s="275"/>
      <c r="AZ463" s="275"/>
      <c r="BA463" s="275"/>
      <c r="BB463" s="275"/>
      <c r="BC463" s="275"/>
      <c r="BD463" s="275"/>
      <c r="BE463" s="275"/>
      <c r="BF463" s="275"/>
      <c r="BH463" s="277"/>
    </row>
    <row r="464" spans="1:60" ht="16.5" hidden="1" customHeight="1" x14ac:dyDescent="0.3">
      <c r="A464" s="260">
        <v>442</v>
      </c>
      <c r="B464" s="261"/>
      <c r="C464" s="261"/>
      <c r="D464" s="262" t="s">
        <v>15</v>
      </c>
      <c r="E464" s="262" t="s">
        <v>364</v>
      </c>
      <c r="F464" s="263" t="s">
        <v>15</v>
      </c>
      <c r="G464" s="264" t="s">
        <v>364</v>
      </c>
      <c r="H464" s="281"/>
      <c r="I464" s="265"/>
      <c r="J464" s="266" t="s">
        <v>564</v>
      </c>
      <c r="K464" s="262"/>
      <c r="L464" s="262"/>
      <c r="M464" s="262">
        <v>21595</v>
      </c>
      <c r="N464" s="262"/>
      <c r="O464" s="262"/>
      <c r="P464" s="262"/>
      <c r="Q464" s="262"/>
      <c r="R464" s="262"/>
      <c r="S464" s="267" t="s">
        <v>28</v>
      </c>
      <c r="T464" s="268"/>
      <c r="U464" s="269"/>
      <c r="V464" s="269"/>
      <c r="W464" s="278">
        <v>2471000</v>
      </c>
      <c r="X464" s="270"/>
      <c r="Y464" s="262"/>
      <c r="Z464" s="271" t="s">
        <v>718</v>
      </c>
      <c r="AA464" s="287"/>
      <c r="AB464" s="287"/>
      <c r="AC464" s="272">
        <f t="shared" si="15"/>
        <v>0</v>
      </c>
      <c r="AD464" s="272">
        <v>0</v>
      </c>
      <c r="AE464" s="272">
        <f t="shared" si="16"/>
        <v>0</v>
      </c>
      <c r="AF464" s="273"/>
      <c r="AG464" s="274"/>
      <c r="AH464" s="273"/>
      <c r="AI464" s="273"/>
      <c r="AJ464" s="274"/>
      <c r="AK464" s="273"/>
      <c r="AL464" s="275"/>
      <c r="AM464" s="290"/>
      <c r="AN464" s="275"/>
      <c r="AO464" s="276"/>
      <c r="AP464" s="275"/>
      <c r="AQ464" s="275"/>
      <c r="AR464" s="275"/>
      <c r="AS464" s="275"/>
      <c r="AT464" s="275"/>
      <c r="AU464" s="275"/>
      <c r="AV464" s="275"/>
      <c r="AW464" s="275"/>
      <c r="AX464" s="275"/>
      <c r="AY464" s="275"/>
      <c r="AZ464" s="275"/>
      <c r="BA464" s="275"/>
      <c r="BB464" s="275"/>
      <c r="BC464" s="275"/>
      <c r="BD464" s="275"/>
      <c r="BE464" s="275"/>
      <c r="BF464" s="275"/>
      <c r="BH464" s="277"/>
    </row>
    <row r="465" spans="1:60" ht="16.5" hidden="1" customHeight="1" x14ac:dyDescent="0.3">
      <c r="A465" s="260">
        <v>443</v>
      </c>
      <c r="B465" s="261"/>
      <c r="C465" s="261"/>
      <c r="D465" s="262" t="s">
        <v>15</v>
      </c>
      <c r="E465" s="262" t="s">
        <v>364</v>
      </c>
      <c r="F465" s="263" t="s">
        <v>15</v>
      </c>
      <c r="G465" s="264" t="s">
        <v>364</v>
      </c>
      <c r="H465" s="281"/>
      <c r="I465" s="265"/>
      <c r="J465" s="266" t="s">
        <v>564</v>
      </c>
      <c r="K465" s="262"/>
      <c r="L465" s="262"/>
      <c r="M465" s="262">
        <v>21595</v>
      </c>
      <c r="N465" s="262" t="s">
        <v>22</v>
      </c>
      <c r="O465" s="262" t="s">
        <v>35</v>
      </c>
      <c r="P465" s="262" t="s">
        <v>57</v>
      </c>
      <c r="Q465" s="262" t="s">
        <v>30</v>
      </c>
      <c r="R465" s="262" t="s">
        <v>478</v>
      </c>
      <c r="S465" s="267" t="s">
        <v>478</v>
      </c>
      <c r="T465" s="268"/>
      <c r="U465" s="269" t="s">
        <v>154</v>
      </c>
      <c r="V465" s="269">
        <v>29022000</v>
      </c>
      <c r="W465" s="278">
        <v>22070000</v>
      </c>
      <c r="X465" s="270"/>
      <c r="Y465" s="262" t="s">
        <v>27</v>
      </c>
      <c r="Z465" s="271" t="s">
        <v>25</v>
      </c>
      <c r="AA465" s="287"/>
      <c r="AB465" s="287"/>
      <c r="AC465" s="272">
        <f t="shared" si="15"/>
        <v>10000000</v>
      </c>
      <c r="AD465" s="272">
        <v>10000000</v>
      </c>
      <c r="AE465" s="272">
        <f t="shared" si="16"/>
        <v>0</v>
      </c>
      <c r="AF465" s="273"/>
      <c r="AG465" s="274"/>
      <c r="AH465" s="273"/>
      <c r="AI465" s="273"/>
      <c r="AJ465" s="274"/>
      <c r="AK465" s="273"/>
      <c r="AL465" s="275"/>
      <c r="AM465" s="290"/>
      <c r="AN465" s="275"/>
      <c r="AO465" s="276"/>
      <c r="AP465" s="275"/>
      <c r="AQ465" s="291">
        <v>10000000</v>
      </c>
      <c r="AR465" s="275"/>
      <c r="AS465" s="275"/>
      <c r="AT465" s="275"/>
      <c r="AU465" s="275"/>
      <c r="AV465" s="275"/>
      <c r="AW465" s="275"/>
      <c r="AX465" s="275"/>
      <c r="AY465" s="275"/>
      <c r="AZ465" s="275"/>
      <c r="BA465" s="275"/>
      <c r="BB465" s="275"/>
      <c r="BC465" s="275"/>
      <c r="BD465" s="275"/>
      <c r="BE465" s="275"/>
      <c r="BF465" s="275"/>
      <c r="BH465" s="277"/>
    </row>
    <row r="466" spans="1:60" ht="16.5" hidden="1" customHeight="1" x14ac:dyDescent="0.3">
      <c r="A466" s="260">
        <v>444</v>
      </c>
      <c r="B466" s="261"/>
      <c r="C466" s="261"/>
      <c r="D466" s="262" t="s">
        <v>15</v>
      </c>
      <c r="E466" s="262" t="s">
        <v>364</v>
      </c>
      <c r="F466" s="263" t="s">
        <v>15</v>
      </c>
      <c r="G466" s="264" t="s">
        <v>364</v>
      </c>
      <c r="H466" s="281"/>
      <c r="I466" s="265"/>
      <c r="J466" s="266" t="s">
        <v>564</v>
      </c>
      <c r="K466" s="262"/>
      <c r="L466" s="262"/>
      <c r="M466" s="262">
        <v>21595</v>
      </c>
      <c r="N466" s="262" t="s">
        <v>22</v>
      </c>
      <c r="O466" s="262" t="s">
        <v>35</v>
      </c>
      <c r="P466" s="262" t="s">
        <v>57</v>
      </c>
      <c r="Q466" s="262"/>
      <c r="R466" s="262" t="s">
        <v>478</v>
      </c>
      <c r="S466" s="267" t="s">
        <v>478</v>
      </c>
      <c r="T466" s="268"/>
      <c r="U466" s="269"/>
      <c r="V466" s="269">
        <v>0</v>
      </c>
      <c r="W466" s="278">
        <v>0</v>
      </c>
      <c r="X466" s="270"/>
      <c r="Y466" s="262" t="s">
        <v>27</v>
      </c>
      <c r="Z466" s="271" t="s">
        <v>25</v>
      </c>
      <c r="AA466" s="287"/>
      <c r="AB466" s="287"/>
      <c r="AC466" s="272">
        <f t="shared" si="15"/>
        <v>20000000</v>
      </c>
      <c r="AD466" s="272">
        <v>20000000</v>
      </c>
      <c r="AE466" s="272">
        <f t="shared" si="16"/>
        <v>0</v>
      </c>
      <c r="AF466" s="273"/>
      <c r="AG466" s="274"/>
      <c r="AH466" s="273"/>
      <c r="AI466" s="273"/>
      <c r="AJ466" s="274"/>
      <c r="AK466" s="273"/>
      <c r="AL466" s="275"/>
      <c r="AM466" s="290"/>
      <c r="AN466" s="275"/>
      <c r="AO466" s="276"/>
      <c r="AP466" s="275"/>
      <c r="AQ466" s="275"/>
      <c r="AR466" s="275"/>
      <c r="AS466" s="275"/>
      <c r="AT466" s="275"/>
      <c r="AU466" s="275"/>
      <c r="AV466" s="275"/>
      <c r="AW466" s="275"/>
      <c r="AX466" s="275"/>
      <c r="AY466" s="275"/>
      <c r="AZ466" s="275"/>
      <c r="BA466" s="275">
        <v>20000000</v>
      </c>
      <c r="BB466" s="275"/>
      <c r="BC466" s="275"/>
      <c r="BD466" s="275"/>
      <c r="BE466" s="275"/>
      <c r="BF466" s="275"/>
      <c r="BH466" s="277"/>
    </row>
    <row r="467" spans="1:60" ht="16.5" hidden="1" customHeight="1" x14ac:dyDescent="0.3">
      <c r="A467" s="260">
        <v>445</v>
      </c>
      <c r="B467" s="261"/>
      <c r="C467" s="261"/>
      <c r="D467" s="262" t="s">
        <v>15</v>
      </c>
      <c r="E467" s="262" t="s">
        <v>364</v>
      </c>
      <c r="F467" s="263" t="s">
        <v>15</v>
      </c>
      <c r="G467" s="264" t="s">
        <v>364</v>
      </c>
      <c r="H467" s="281"/>
      <c r="I467" s="265"/>
      <c r="J467" s="266" t="s">
        <v>564</v>
      </c>
      <c r="K467" s="262"/>
      <c r="L467" s="262"/>
      <c r="M467" s="262">
        <v>21595</v>
      </c>
      <c r="N467" s="262" t="s">
        <v>22</v>
      </c>
      <c r="O467" s="262" t="s">
        <v>56</v>
      </c>
      <c r="P467" s="262" t="s">
        <v>57</v>
      </c>
      <c r="Q467" s="262" t="s">
        <v>30</v>
      </c>
      <c r="R467" s="262" t="s">
        <v>397</v>
      </c>
      <c r="S467" s="267" t="s">
        <v>823</v>
      </c>
      <c r="T467" s="268"/>
      <c r="U467" s="269" t="s">
        <v>154</v>
      </c>
      <c r="V467" s="269">
        <v>0</v>
      </c>
      <c r="W467" s="278">
        <v>0</v>
      </c>
      <c r="X467" s="270"/>
      <c r="Y467" s="262" t="s">
        <v>24</v>
      </c>
      <c r="Z467" s="271" t="s">
        <v>25</v>
      </c>
      <c r="AA467" s="287"/>
      <c r="AB467" s="287"/>
      <c r="AC467" s="272">
        <f t="shared" si="15"/>
        <v>20000000</v>
      </c>
      <c r="AD467" s="272">
        <v>20000000</v>
      </c>
      <c r="AE467" s="272">
        <f t="shared" si="16"/>
        <v>0</v>
      </c>
      <c r="AF467" s="273"/>
      <c r="AG467" s="274"/>
      <c r="AH467" s="273"/>
      <c r="AI467" s="273"/>
      <c r="AJ467" s="274"/>
      <c r="AK467" s="273"/>
      <c r="AL467" s="275"/>
      <c r="AM467" s="290"/>
      <c r="AN467" s="275"/>
      <c r="AO467" s="276"/>
      <c r="AP467" s="275"/>
      <c r="AQ467" s="275">
        <v>20000000</v>
      </c>
      <c r="AR467" s="275"/>
      <c r="AS467" s="275"/>
      <c r="AT467" s="275"/>
      <c r="AU467" s="275"/>
      <c r="AV467" s="275"/>
      <c r="AW467" s="275"/>
      <c r="AX467" s="275"/>
      <c r="AY467" s="275"/>
      <c r="AZ467" s="275"/>
      <c r="BA467" s="275"/>
      <c r="BB467" s="275"/>
      <c r="BC467" s="275"/>
      <c r="BD467" s="275"/>
      <c r="BE467" s="275"/>
      <c r="BF467" s="275"/>
      <c r="BH467" s="277"/>
    </row>
    <row r="468" spans="1:60" ht="16.5" hidden="1" customHeight="1" x14ac:dyDescent="0.3">
      <c r="A468" s="260">
        <v>446</v>
      </c>
      <c r="B468" s="261"/>
      <c r="C468" s="261"/>
      <c r="D468" s="262" t="s">
        <v>15</v>
      </c>
      <c r="E468" s="262" t="s">
        <v>364</v>
      </c>
      <c r="F468" s="263" t="s">
        <v>15</v>
      </c>
      <c r="G468" s="264" t="s">
        <v>364</v>
      </c>
      <c r="H468" s="281"/>
      <c r="I468" s="265"/>
      <c r="J468" s="266" t="s">
        <v>69</v>
      </c>
      <c r="K468" s="262"/>
      <c r="L468" s="262"/>
      <c r="M468" s="262">
        <v>4081</v>
      </c>
      <c r="N468" s="262" t="s">
        <v>22</v>
      </c>
      <c r="O468" s="262" t="s">
        <v>35</v>
      </c>
      <c r="P468" s="262" t="s">
        <v>156</v>
      </c>
      <c r="Q468" s="262" t="s">
        <v>26</v>
      </c>
      <c r="R468" s="262" t="s">
        <v>468</v>
      </c>
      <c r="S468" s="267" t="s">
        <v>468</v>
      </c>
      <c r="T468" s="268"/>
      <c r="U468" s="269">
        <v>15520000</v>
      </c>
      <c r="V468" s="269">
        <v>0</v>
      </c>
      <c r="W468" s="278">
        <v>0</v>
      </c>
      <c r="X468" s="270"/>
      <c r="Y468" s="262" t="s">
        <v>21</v>
      </c>
      <c r="Z468" s="271" t="s">
        <v>25</v>
      </c>
      <c r="AA468" s="287"/>
      <c r="AB468" s="287"/>
      <c r="AC468" s="272">
        <f t="shared" si="15"/>
        <v>10000000</v>
      </c>
      <c r="AD468" s="272">
        <v>10000000</v>
      </c>
      <c r="AE468" s="272">
        <f t="shared" si="16"/>
        <v>0</v>
      </c>
      <c r="AF468" s="273"/>
      <c r="AG468" s="274"/>
      <c r="AH468" s="273"/>
      <c r="AI468" s="273"/>
      <c r="AJ468" s="274"/>
      <c r="AK468" s="273"/>
      <c r="AL468" s="275"/>
      <c r="AM468" s="290"/>
      <c r="AN468" s="275"/>
      <c r="AO468" s="276"/>
      <c r="AP468" s="275"/>
      <c r="AQ468" s="275"/>
      <c r="AR468" s="275"/>
      <c r="AS468" s="275">
        <v>5000000</v>
      </c>
      <c r="AT468" s="275"/>
      <c r="AU468" s="275"/>
      <c r="AV468" s="275"/>
      <c r="AW468" s="275"/>
      <c r="AX468" s="275"/>
      <c r="AY468" s="275">
        <v>5000000</v>
      </c>
      <c r="AZ468" s="275"/>
      <c r="BA468" s="275"/>
      <c r="BB468" s="275"/>
      <c r="BC468" s="275"/>
      <c r="BD468" s="275"/>
      <c r="BE468" s="275"/>
      <c r="BF468" s="275"/>
      <c r="BH468" s="277"/>
    </row>
    <row r="469" spans="1:60" ht="16.5" hidden="1" customHeight="1" x14ac:dyDescent="0.3">
      <c r="A469" s="260">
        <v>447</v>
      </c>
      <c r="B469" s="261"/>
      <c r="C469" s="261"/>
      <c r="D469" s="262" t="s">
        <v>15</v>
      </c>
      <c r="E469" s="262" t="s">
        <v>364</v>
      </c>
      <c r="F469" s="263" t="s">
        <v>15</v>
      </c>
      <c r="G469" s="264" t="s">
        <v>364</v>
      </c>
      <c r="H469" s="281"/>
      <c r="I469" s="265"/>
      <c r="J469" s="266" t="s">
        <v>69</v>
      </c>
      <c r="K469" s="262"/>
      <c r="L469" s="262"/>
      <c r="M469" s="262">
        <v>4081</v>
      </c>
      <c r="N469" s="262" t="s">
        <v>22</v>
      </c>
      <c r="O469" s="262" t="s">
        <v>35</v>
      </c>
      <c r="P469" s="262" t="s">
        <v>57</v>
      </c>
      <c r="Q469" s="262"/>
      <c r="R469" s="262"/>
      <c r="S469" s="267" t="s">
        <v>828</v>
      </c>
      <c r="T469" s="268"/>
      <c r="U469" s="269"/>
      <c r="V469" s="269"/>
      <c r="W469" s="278">
        <v>0</v>
      </c>
      <c r="X469" s="270"/>
      <c r="Y469" s="262"/>
      <c r="Z469" s="271" t="s">
        <v>25</v>
      </c>
      <c r="AA469" s="287"/>
      <c r="AB469" s="287"/>
      <c r="AC469" s="272">
        <f t="shared" si="15"/>
        <v>0</v>
      </c>
      <c r="AD469" s="272">
        <v>0</v>
      </c>
      <c r="AE469" s="272">
        <f t="shared" si="16"/>
        <v>0</v>
      </c>
      <c r="AF469" s="273"/>
      <c r="AG469" s="274"/>
      <c r="AH469" s="273"/>
      <c r="AI469" s="273"/>
      <c r="AJ469" s="274"/>
      <c r="AK469" s="273"/>
      <c r="AL469" s="275"/>
      <c r="AM469" s="290"/>
      <c r="AN469" s="275"/>
      <c r="AO469" s="276"/>
      <c r="AP469" s="275"/>
      <c r="AQ469" s="275"/>
      <c r="AR469" s="275"/>
      <c r="AS469" s="275"/>
      <c r="AT469" s="275"/>
      <c r="AU469" s="275"/>
      <c r="AV469" s="275"/>
      <c r="AW469" s="275"/>
      <c r="AX469" s="275"/>
      <c r="AY469" s="275"/>
      <c r="AZ469" s="275"/>
      <c r="BA469" s="275"/>
      <c r="BB469" s="275"/>
      <c r="BC469" s="275"/>
      <c r="BD469" s="275"/>
      <c r="BE469" s="275"/>
      <c r="BF469" s="275"/>
      <c r="BH469" s="277"/>
    </row>
    <row r="470" spans="1:60" ht="16.5" hidden="1" customHeight="1" x14ac:dyDescent="0.3">
      <c r="A470" s="260">
        <v>448</v>
      </c>
      <c r="B470" s="261"/>
      <c r="C470" s="261"/>
      <c r="D470" s="262" t="s">
        <v>15</v>
      </c>
      <c r="E470" s="262" t="s">
        <v>364</v>
      </c>
      <c r="F470" s="263" t="s">
        <v>15</v>
      </c>
      <c r="G470" s="264" t="s">
        <v>364</v>
      </c>
      <c r="H470" s="281"/>
      <c r="I470" s="265"/>
      <c r="J470" s="266" t="s">
        <v>388</v>
      </c>
      <c r="K470" s="262"/>
      <c r="L470" s="262"/>
      <c r="M470" s="262">
        <v>12659</v>
      </c>
      <c r="N470" s="262" t="s">
        <v>22</v>
      </c>
      <c r="O470" s="262" t="s">
        <v>178</v>
      </c>
      <c r="P470" s="262" t="s">
        <v>156</v>
      </c>
      <c r="Q470" s="262" t="s">
        <v>63</v>
      </c>
      <c r="R470" s="262" t="s">
        <v>28</v>
      </c>
      <c r="S470" s="267" t="s">
        <v>28</v>
      </c>
      <c r="T470" s="268"/>
      <c r="U470" s="269">
        <v>675000</v>
      </c>
      <c r="V470" s="269">
        <v>0</v>
      </c>
      <c r="W470" s="278">
        <v>0</v>
      </c>
      <c r="X470" s="270"/>
      <c r="Y470" s="262" t="s">
        <v>21</v>
      </c>
      <c r="Z470" s="271" t="s">
        <v>21</v>
      </c>
      <c r="AA470" s="287"/>
      <c r="AB470" s="287"/>
      <c r="AC470" s="272">
        <f t="shared" si="15"/>
        <v>0</v>
      </c>
      <c r="AD470" s="272">
        <v>0</v>
      </c>
      <c r="AE470" s="272">
        <f t="shared" si="16"/>
        <v>0</v>
      </c>
      <c r="AF470" s="273"/>
      <c r="AG470" s="274"/>
      <c r="AH470" s="273"/>
      <c r="AI470" s="273"/>
      <c r="AJ470" s="274"/>
      <c r="AK470" s="273"/>
      <c r="AL470" s="275"/>
      <c r="AM470" s="290"/>
      <c r="AN470" s="275"/>
      <c r="AO470" s="276"/>
      <c r="AP470" s="275"/>
      <c r="AQ470" s="275"/>
      <c r="AR470" s="275"/>
      <c r="AS470" s="275"/>
      <c r="AT470" s="275"/>
      <c r="AU470" s="275"/>
      <c r="AV470" s="275"/>
      <c r="AW470" s="275"/>
      <c r="AX470" s="275"/>
      <c r="AY470" s="275"/>
      <c r="AZ470" s="275"/>
      <c r="BA470" s="275"/>
      <c r="BB470" s="275"/>
      <c r="BC470" s="275"/>
      <c r="BD470" s="275"/>
      <c r="BE470" s="275"/>
      <c r="BF470" s="275"/>
      <c r="BH470" s="277"/>
    </row>
    <row r="471" spans="1:60" ht="16.5" hidden="1" customHeight="1" x14ac:dyDescent="0.3">
      <c r="A471" s="260">
        <v>449</v>
      </c>
      <c r="B471" s="261"/>
      <c r="C471" s="261"/>
      <c r="D471" s="262" t="s">
        <v>15</v>
      </c>
      <c r="E471" s="262" t="s">
        <v>364</v>
      </c>
      <c r="F471" s="263" t="s">
        <v>15</v>
      </c>
      <c r="G471" s="264" t="s">
        <v>364</v>
      </c>
      <c r="H471" s="281"/>
      <c r="I471" s="265"/>
      <c r="J471" s="266" t="s">
        <v>388</v>
      </c>
      <c r="K471" s="262"/>
      <c r="L471" s="262"/>
      <c r="M471" s="262">
        <v>12659</v>
      </c>
      <c r="N471" s="262" t="s">
        <v>22</v>
      </c>
      <c r="O471" s="262" t="s">
        <v>178</v>
      </c>
      <c r="P471" s="262" t="s">
        <v>156</v>
      </c>
      <c r="Q471" s="262" t="s">
        <v>46</v>
      </c>
      <c r="R471" s="262" t="s">
        <v>47</v>
      </c>
      <c r="S471" s="267" t="s">
        <v>47</v>
      </c>
      <c r="T471" s="268"/>
      <c r="U471" s="269">
        <v>8250000</v>
      </c>
      <c r="V471" s="269">
        <v>0</v>
      </c>
      <c r="W471" s="278">
        <v>0</v>
      </c>
      <c r="X471" s="270"/>
      <c r="Y471" s="262" t="s">
        <v>21</v>
      </c>
      <c r="Z471" s="271" t="s">
        <v>21</v>
      </c>
      <c r="AA471" s="287"/>
      <c r="AB471" s="287"/>
      <c r="AC471" s="272">
        <f t="shared" ref="AC471:AC534" si="17">AG471+AJ471+AM471+AO471+AQ471+AS471+AU471+AW471+AY471+BA471+BC471+BE471</f>
        <v>0</v>
      </c>
      <c r="AD471" s="272">
        <v>0</v>
      </c>
      <c r="AE471" s="272">
        <f t="shared" ref="AE471:AE534" si="18">AC471-AD471</f>
        <v>0</v>
      </c>
      <c r="AF471" s="273"/>
      <c r="AG471" s="274"/>
      <c r="AH471" s="273"/>
      <c r="AI471" s="273"/>
      <c r="AJ471" s="274"/>
      <c r="AK471" s="273"/>
      <c r="AL471" s="275"/>
      <c r="AM471" s="290"/>
      <c r="AN471" s="275"/>
      <c r="AO471" s="276"/>
      <c r="AP471" s="275"/>
      <c r="AQ471" s="275"/>
      <c r="AR471" s="275"/>
      <c r="AS471" s="275"/>
      <c r="AT471" s="275"/>
      <c r="AU471" s="275"/>
      <c r="AV471" s="275"/>
      <c r="AW471" s="275"/>
      <c r="AX471" s="275"/>
      <c r="AY471" s="275"/>
      <c r="AZ471" s="275"/>
      <c r="BA471" s="275"/>
      <c r="BB471" s="275"/>
      <c r="BC471" s="275"/>
      <c r="BD471" s="275"/>
      <c r="BE471" s="275"/>
      <c r="BF471" s="275"/>
      <c r="BH471" s="277"/>
    </row>
    <row r="472" spans="1:60" ht="16.5" hidden="1" customHeight="1" x14ac:dyDescent="0.3">
      <c r="A472" s="260">
        <v>450</v>
      </c>
      <c r="B472" s="261"/>
      <c r="C472" s="261"/>
      <c r="D472" s="262" t="s">
        <v>15</v>
      </c>
      <c r="E472" s="262" t="s">
        <v>364</v>
      </c>
      <c r="F472" s="263" t="s">
        <v>15</v>
      </c>
      <c r="G472" s="264" t="s">
        <v>364</v>
      </c>
      <c r="H472" s="281"/>
      <c r="I472" s="265"/>
      <c r="J472" s="266" t="s">
        <v>388</v>
      </c>
      <c r="K472" s="262"/>
      <c r="L472" s="262"/>
      <c r="M472" s="262">
        <v>12659</v>
      </c>
      <c r="N472" s="262" t="s">
        <v>22</v>
      </c>
      <c r="O472" s="262" t="s">
        <v>35</v>
      </c>
      <c r="P472" s="262" t="s">
        <v>57</v>
      </c>
      <c r="Q472" s="262"/>
      <c r="R472" s="262"/>
      <c r="S472" s="267" t="s">
        <v>822</v>
      </c>
      <c r="T472" s="268"/>
      <c r="U472" s="269"/>
      <c r="V472" s="269"/>
      <c r="W472" s="278">
        <v>0</v>
      </c>
      <c r="X472" s="270"/>
      <c r="Y472" s="262"/>
      <c r="Z472" s="271" t="s">
        <v>25</v>
      </c>
      <c r="AA472" s="287"/>
      <c r="AB472" s="287"/>
      <c r="AC472" s="272">
        <f t="shared" si="17"/>
        <v>0</v>
      </c>
      <c r="AD472" s="272">
        <v>0</v>
      </c>
      <c r="AE472" s="272">
        <f t="shared" si="18"/>
        <v>0</v>
      </c>
      <c r="AF472" s="273"/>
      <c r="AG472" s="274"/>
      <c r="AH472" s="273"/>
      <c r="AI472" s="273"/>
      <c r="AJ472" s="274"/>
      <c r="AK472" s="273"/>
      <c r="AL472" s="275"/>
      <c r="AM472" s="290"/>
      <c r="AN472" s="275"/>
      <c r="AO472" s="276"/>
      <c r="AP472" s="275"/>
      <c r="AQ472" s="275"/>
      <c r="AR472" s="275"/>
      <c r="AS472" s="275"/>
      <c r="AT472" s="275"/>
      <c r="AU472" s="275"/>
      <c r="AV472" s="275"/>
      <c r="AW472" s="275"/>
      <c r="AX472" s="275"/>
      <c r="AY472" s="275"/>
      <c r="AZ472" s="275"/>
      <c r="BA472" s="275"/>
      <c r="BB472" s="275"/>
      <c r="BC472" s="275"/>
      <c r="BD472" s="275"/>
      <c r="BE472" s="275"/>
      <c r="BF472" s="275"/>
      <c r="BH472" s="277"/>
    </row>
    <row r="473" spans="1:60" ht="16.5" hidden="1" customHeight="1" x14ac:dyDescent="0.3">
      <c r="A473" s="260">
        <v>451</v>
      </c>
      <c r="B473" s="261"/>
      <c r="C473" s="261"/>
      <c r="D473" s="262" t="s">
        <v>15</v>
      </c>
      <c r="E473" s="262" t="s">
        <v>364</v>
      </c>
      <c r="F473" s="263" t="s">
        <v>15</v>
      </c>
      <c r="G473" s="264" t="s">
        <v>364</v>
      </c>
      <c r="H473" s="281"/>
      <c r="I473" s="265"/>
      <c r="J473" s="266" t="s">
        <v>72</v>
      </c>
      <c r="K473" s="262"/>
      <c r="L473" s="262"/>
      <c r="M473" s="262">
        <v>42841</v>
      </c>
      <c r="N473" s="262" t="s">
        <v>22</v>
      </c>
      <c r="O473" s="262" t="s">
        <v>178</v>
      </c>
      <c r="P473" s="262" t="s">
        <v>156</v>
      </c>
      <c r="Q473" s="262" t="s">
        <v>18</v>
      </c>
      <c r="R473" s="262" t="s">
        <v>19</v>
      </c>
      <c r="S473" s="267" t="s">
        <v>19</v>
      </c>
      <c r="T473" s="268"/>
      <c r="U473" s="269">
        <v>280000</v>
      </c>
      <c r="V473" s="269">
        <v>0</v>
      </c>
      <c r="W473" s="278">
        <v>0</v>
      </c>
      <c r="X473" s="270"/>
      <c r="Y473" s="262" t="s">
        <v>21</v>
      </c>
      <c r="Z473" s="271" t="s">
        <v>21</v>
      </c>
      <c r="AA473" s="287"/>
      <c r="AB473" s="287"/>
      <c r="AC473" s="272">
        <f t="shared" si="17"/>
        <v>0</v>
      </c>
      <c r="AD473" s="272">
        <v>0</v>
      </c>
      <c r="AE473" s="272">
        <f t="shared" si="18"/>
        <v>0</v>
      </c>
      <c r="AF473" s="273"/>
      <c r="AG473" s="274"/>
      <c r="AH473" s="273"/>
      <c r="AI473" s="273"/>
      <c r="AJ473" s="274"/>
      <c r="AK473" s="273"/>
      <c r="AL473" s="275"/>
      <c r="AM473" s="290"/>
      <c r="AN473" s="275"/>
      <c r="AO473" s="276"/>
      <c r="AP473" s="275"/>
      <c r="AQ473" s="275"/>
      <c r="AR473" s="275"/>
      <c r="AS473" s="275"/>
      <c r="AT473" s="275"/>
      <c r="AU473" s="275"/>
      <c r="AV473" s="275"/>
      <c r="AW473" s="275"/>
      <c r="AX473" s="275"/>
      <c r="AY473" s="275"/>
      <c r="AZ473" s="275"/>
      <c r="BA473" s="275"/>
      <c r="BB473" s="275"/>
      <c r="BC473" s="275"/>
      <c r="BD473" s="275"/>
      <c r="BE473" s="275"/>
      <c r="BF473" s="275"/>
      <c r="BH473" s="277"/>
    </row>
    <row r="474" spans="1:60" ht="16.5" hidden="1" customHeight="1" x14ac:dyDescent="0.3">
      <c r="A474" s="260">
        <v>452</v>
      </c>
      <c r="B474" s="261"/>
      <c r="C474" s="261"/>
      <c r="D474" s="262" t="s">
        <v>15</v>
      </c>
      <c r="E474" s="262" t="s">
        <v>364</v>
      </c>
      <c r="F474" s="263" t="s">
        <v>15</v>
      </c>
      <c r="G474" s="264" t="s">
        <v>364</v>
      </c>
      <c r="H474" s="281"/>
      <c r="I474" s="265"/>
      <c r="J474" s="266" t="s">
        <v>72</v>
      </c>
      <c r="K474" s="262"/>
      <c r="L474" s="262"/>
      <c r="M474" s="262">
        <v>42841</v>
      </c>
      <c r="N474" s="262" t="s">
        <v>22</v>
      </c>
      <c r="O474" s="262" t="s">
        <v>35</v>
      </c>
      <c r="P474" s="262" t="s">
        <v>156</v>
      </c>
      <c r="Q474" s="262"/>
      <c r="R474" s="262" t="s">
        <v>31</v>
      </c>
      <c r="S474" s="267" t="s">
        <v>31</v>
      </c>
      <c r="T474" s="268"/>
      <c r="U474" s="269"/>
      <c r="V474" s="269">
        <v>0</v>
      </c>
      <c r="W474" s="278">
        <v>1368000</v>
      </c>
      <c r="X474" s="270"/>
      <c r="Y474" s="262" t="s">
        <v>27</v>
      </c>
      <c r="Z474" s="271" t="s">
        <v>24</v>
      </c>
      <c r="AA474" s="287"/>
      <c r="AB474" s="287"/>
      <c r="AC474" s="272">
        <f t="shared" si="17"/>
        <v>0</v>
      </c>
      <c r="AD474" s="272">
        <v>0</v>
      </c>
      <c r="AE474" s="272">
        <f t="shared" si="18"/>
        <v>0</v>
      </c>
      <c r="AF474" s="273"/>
      <c r="AG474" s="274"/>
      <c r="AH474" s="273"/>
      <c r="AI474" s="273"/>
      <c r="AJ474" s="274"/>
      <c r="AK474" s="273"/>
      <c r="AL474" s="275"/>
      <c r="AM474" s="290"/>
      <c r="AN474" s="275"/>
      <c r="AO474" s="276"/>
      <c r="AP474" s="275"/>
      <c r="AQ474" s="275"/>
      <c r="AR474" s="275"/>
      <c r="AS474" s="275"/>
      <c r="AT474" s="275"/>
      <c r="AU474" s="275"/>
      <c r="AV474" s="275"/>
      <c r="AW474" s="275"/>
      <c r="AX474" s="275"/>
      <c r="AY474" s="275"/>
      <c r="AZ474" s="275"/>
      <c r="BA474" s="275"/>
      <c r="BB474" s="275"/>
      <c r="BC474" s="275"/>
      <c r="BD474" s="275"/>
      <c r="BE474" s="275"/>
      <c r="BF474" s="275"/>
      <c r="BH474" s="277"/>
    </row>
    <row r="475" spans="1:60" ht="16.5" hidden="1" customHeight="1" x14ac:dyDescent="0.3">
      <c r="A475" s="260">
        <v>453</v>
      </c>
      <c r="B475" s="261"/>
      <c r="C475" s="261"/>
      <c r="D475" s="262" t="s">
        <v>15</v>
      </c>
      <c r="E475" s="262" t="s">
        <v>364</v>
      </c>
      <c r="F475" s="263" t="s">
        <v>15</v>
      </c>
      <c r="G475" s="264" t="s">
        <v>364</v>
      </c>
      <c r="H475" s="281"/>
      <c r="I475" s="265"/>
      <c r="J475" s="266" t="s">
        <v>72</v>
      </c>
      <c r="K475" s="262"/>
      <c r="L475" s="262"/>
      <c r="M475" s="262">
        <v>42841</v>
      </c>
      <c r="N475" s="262" t="s">
        <v>22</v>
      </c>
      <c r="O475" s="262" t="s">
        <v>35</v>
      </c>
      <c r="P475" s="262" t="s">
        <v>156</v>
      </c>
      <c r="Q475" s="262" t="s">
        <v>26</v>
      </c>
      <c r="R475" s="262" t="s">
        <v>468</v>
      </c>
      <c r="S475" s="267" t="s">
        <v>468</v>
      </c>
      <c r="T475" s="268"/>
      <c r="U475" s="269"/>
      <c r="V475" s="269">
        <v>0</v>
      </c>
      <c r="W475" s="278">
        <v>0</v>
      </c>
      <c r="X475" s="270"/>
      <c r="Y475" s="262" t="s">
        <v>25</v>
      </c>
      <c r="Z475" s="271" t="s">
        <v>25</v>
      </c>
      <c r="AA475" s="287"/>
      <c r="AB475" s="287"/>
      <c r="AC475" s="272">
        <f t="shared" si="17"/>
        <v>20000000</v>
      </c>
      <c r="AD475" s="272">
        <v>20000000</v>
      </c>
      <c r="AE475" s="272">
        <f t="shared" si="18"/>
        <v>0</v>
      </c>
      <c r="AF475" s="273"/>
      <c r="AG475" s="274"/>
      <c r="AH475" s="273"/>
      <c r="AI475" s="273"/>
      <c r="AJ475" s="274"/>
      <c r="AK475" s="273"/>
      <c r="AL475" s="275"/>
      <c r="AM475" s="290"/>
      <c r="AN475" s="275"/>
      <c r="AO475" s="276"/>
      <c r="AP475" s="275"/>
      <c r="AQ475" s="275"/>
      <c r="AR475" s="275"/>
      <c r="AS475" s="275"/>
      <c r="AT475" s="275"/>
      <c r="AU475" s="275"/>
      <c r="AV475" s="275"/>
      <c r="AW475" s="275"/>
      <c r="AX475" s="275"/>
      <c r="AY475" s="275">
        <v>20000000</v>
      </c>
      <c r="AZ475" s="275"/>
      <c r="BA475" s="275"/>
      <c r="BB475" s="275"/>
      <c r="BC475" s="275"/>
      <c r="BD475" s="275"/>
      <c r="BE475" s="275"/>
      <c r="BF475" s="275"/>
      <c r="BH475" s="277"/>
    </row>
    <row r="476" spans="1:60" ht="16.5" hidden="1" customHeight="1" x14ac:dyDescent="0.3">
      <c r="A476" s="260">
        <v>454</v>
      </c>
      <c r="B476" s="261"/>
      <c r="C476" s="261"/>
      <c r="D476" s="262" t="s">
        <v>15</v>
      </c>
      <c r="E476" s="262" t="s">
        <v>364</v>
      </c>
      <c r="F476" s="263" t="s">
        <v>15</v>
      </c>
      <c r="G476" s="264" t="s">
        <v>364</v>
      </c>
      <c r="H476" s="281"/>
      <c r="I476" s="265"/>
      <c r="J476" s="266" t="s">
        <v>72</v>
      </c>
      <c r="K476" s="262"/>
      <c r="L476" s="262"/>
      <c r="M476" s="262">
        <v>42841</v>
      </c>
      <c r="N476" s="262" t="s">
        <v>22</v>
      </c>
      <c r="O476" s="262" t="s">
        <v>35</v>
      </c>
      <c r="P476" s="262" t="s">
        <v>156</v>
      </c>
      <c r="Q476" s="262"/>
      <c r="R476" s="262"/>
      <c r="S476" s="267" t="s">
        <v>822</v>
      </c>
      <c r="T476" s="268"/>
      <c r="U476" s="269"/>
      <c r="V476" s="269"/>
      <c r="W476" s="278">
        <v>0</v>
      </c>
      <c r="X476" s="270"/>
      <c r="Y476" s="262"/>
      <c r="Z476" s="271" t="s">
        <v>25</v>
      </c>
      <c r="AA476" s="287"/>
      <c r="AB476" s="287"/>
      <c r="AC476" s="272">
        <f t="shared" si="17"/>
        <v>20000000</v>
      </c>
      <c r="AD476" s="272">
        <v>20000000</v>
      </c>
      <c r="AE476" s="272">
        <f t="shared" si="18"/>
        <v>0</v>
      </c>
      <c r="AF476" s="273"/>
      <c r="AG476" s="274"/>
      <c r="AH476" s="273"/>
      <c r="AI476" s="273"/>
      <c r="AJ476" s="274"/>
      <c r="AK476" s="273"/>
      <c r="AL476" s="275"/>
      <c r="AM476" s="290"/>
      <c r="AN476" s="275"/>
      <c r="AO476" s="276"/>
      <c r="AP476" s="275"/>
      <c r="AQ476" s="291">
        <v>20000000</v>
      </c>
      <c r="AR476" s="275"/>
      <c r="AS476" s="275"/>
      <c r="AT476" s="275"/>
      <c r="AU476" s="275"/>
      <c r="AV476" s="275"/>
      <c r="AW476" s="275"/>
      <c r="AX476" s="275"/>
      <c r="AY476" s="275"/>
      <c r="AZ476" s="275"/>
      <c r="BA476" s="275"/>
      <c r="BB476" s="275"/>
      <c r="BC476" s="275"/>
      <c r="BD476" s="275"/>
      <c r="BE476" s="275"/>
      <c r="BF476" s="275"/>
      <c r="BH476" s="277"/>
    </row>
    <row r="477" spans="1:60" ht="16.5" hidden="1" customHeight="1" x14ac:dyDescent="0.3">
      <c r="A477" s="260">
        <v>455</v>
      </c>
      <c r="B477" s="261"/>
      <c r="C477" s="261"/>
      <c r="D477" s="262" t="s">
        <v>15</v>
      </c>
      <c r="E477" s="262" t="s">
        <v>364</v>
      </c>
      <c r="F477" s="263" t="s">
        <v>15</v>
      </c>
      <c r="G477" s="264" t="s">
        <v>364</v>
      </c>
      <c r="H477" s="281"/>
      <c r="I477" s="265"/>
      <c r="J477" s="266" t="s">
        <v>72</v>
      </c>
      <c r="K477" s="262"/>
      <c r="L477" s="262"/>
      <c r="M477" s="262">
        <v>42841</v>
      </c>
      <c r="N477" s="262" t="s">
        <v>22</v>
      </c>
      <c r="O477" s="262" t="s">
        <v>35</v>
      </c>
      <c r="P477" s="262" t="s">
        <v>156</v>
      </c>
      <c r="Q477" s="262"/>
      <c r="R477" s="262"/>
      <c r="S477" s="267" t="s">
        <v>835</v>
      </c>
      <c r="T477" s="268"/>
      <c r="U477" s="269"/>
      <c r="V477" s="269"/>
      <c r="W477" s="278">
        <v>0</v>
      </c>
      <c r="X477" s="270"/>
      <c r="Y477" s="262"/>
      <c r="Z477" s="271" t="s">
        <v>25</v>
      </c>
      <c r="AA477" s="287"/>
      <c r="AB477" s="287"/>
      <c r="AC477" s="272">
        <f t="shared" si="17"/>
        <v>30000000</v>
      </c>
      <c r="AD477" s="272">
        <v>30000000</v>
      </c>
      <c r="AE477" s="272">
        <f t="shared" si="18"/>
        <v>0</v>
      </c>
      <c r="AF477" s="273"/>
      <c r="AG477" s="274"/>
      <c r="AH477" s="273"/>
      <c r="AI477" s="273"/>
      <c r="AJ477" s="274"/>
      <c r="AK477" s="273"/>
      <c r="AL477" s="275"/>
      <c r="AM477" s="290"/>
      <c r="AN477" s="275"/>
      <c r="AO477" s="276"/>
      <c r="AP477" s="275"/>
      <c r="AQ477" s="291">
        <v>30000000</v>
      </c>
      <c r="AR477" s="275"/>
      <c r="AS477" s="275"/>
      <c r="AT477" s="275"/>
      <c r="AU477" s="275"/>
      <c r="AV477" s="275"/>
      <c r="AW477" s="275"/>
      <c r="AX477" s="275"/>
      <c r="AY477" s="275"/>
      <c r="AZ477" s="275"/>
      <c r="BA477" s="275"/>
      <c r="BB477" s="275"/>
      <c r="BC477" s="275"/>
      <c r="BD477" s="275"/>
      <c r="BE477" s="275"/>
      <c r="BF477" s="275"/>
      <c r="BH477" s="277"/>
    </row>
    <row r="478" spans="1:60" ht="16.5" hidden="1" customHeight="1" x14ac:dyDescent="0.3">
      <c r="A478" s="260">
        <v>456</v>
      </c>
      <c r="B478" s="261"/>
      <c r="C478" s="261"/>
      <c r="D478" s="262" t="s">
        <v>15</v>
      </c>
      <c r="E478" s="262" t="s">
        <v>364</v>
      </c>
      <c r="F478" s="263" t="s">
        <v>15</v>
      </c>
      <c r="G478" s="264" t="s">
        <v>364</v>
      </c>
      <c r="H478" s="281"/>
      <c r="I478" s="265"/>
      <c r="J478" s="266" t="s">
        <v>389</v>
      </c>
      <c r="K478" s="262"/>
      <c r="L478" s="262"/>
      <c r="M478" s="262">
        <v>13756</v>
      </c>
      <c r="N478" s="262" t="s">
        <v>42</v>
      </c>
      <c r="O478" s="262" t="s">
        <v>212</v>
      </c>
      <c r="P478" s="262" t="s">
        <v>57</v>
      </c>
      <c r="Q478" s="262" t="s">
        <v>63</v>
      </c>
      <c r="R478" s="262" t="s">
        <v>28</v>
      </c>
      <c r="S478" s="267" t="s">
        <v>28</v>
      </c>
      <c r="T478" s="268" t="s">
        <v>951</v>
      </c>
      <c r="U478" s="269">
        <v>40245500</v>
      </c>
      <c r="V478" s="269">
        <v>38256100</v>
      </c>
      <c r="W478" s="278">
        <v>30992900</v>
      </c>
      <c r="X478" s="270"/>
      <c r="Y478" s="262" t="s">
        <v>27</v>
      </c>
      <c r="Z478" s="271" t="s">
        <v>27</v>
      </c>
      <c r="AA478" s="287"/>
      <c r="AB478" s="287"/>
      <c r="AC478" s="272">
        <f t="shared" si="17"/>
        <v>35509900</v>
      </c>
      <c r="AD478" s="272">
        <v>35509900</v>
      </c>
      <c r="AE478" s="272">
        <f t="shared" si="18"/>
        <v>0</v>
      </c>
      <c r="AF478" s="273">
        <v>2525000</v>
      </c>
      <c r="AG478" s="274">
        <v>2525000</v>
      </c>
      <c r="AH478" s="273"/>
      <c r="AI478" s="273">
        <v>3089400</v>
      </c>
      <c r="AJ478" s="274">
        <v>3089400</v>
      </c>
      <c r="AK478" s="273"/>
      <c r="AL478" s="275">
        <v>2895500</v>
      </c>
      <c r="AM478" s="290">
        <v>2895500</v>
      </c>
      <c r="AN478" s="275"/>
      <c r="AO478" s="276">
        <v>3000000</v>
      </c>
      <c r="AP478" s="275"/>
      <c r="AQ478" s="275">
        <v>3000000</v>
      </c>
      <c r="AR478" s="275"/>
      <c r="AS478" s="275">
        <v>3000000</v>
      </c>
      <c r="AT478" s="275"/>
      <c r="AU478" s="275">
        <v>3000000</v>
      </c>
      <c r="AV478" s="275"/>
      <c r="AW478" s="275">
        <v>3000000</v>
      </c>
      <c r="AX478" s="275"/>
      <c r="AY478" s="275">
        <v>3000000</v>
      </c>
      <c r="AZ478" s="275"/>
      <c r="BA478" s="275">
        <v>3000000</v>
      </c>
      <c r="BB478" s="275"/>
      <c r="BC478" s="275">
        <v>3000000</v>
      </c>
      <c r="BD478" s="275"/>
      <c r="BE478" s="275">
        <v>3000000</v>
      </c>
      <c r="BF478" s="275"/>
      <c r="BH478" s="277"/>
    </row>
    <row r="479" spans="1:60" ht="16.5" hidden="1" customHeight="1" x14ac:dyDescent="0.3">
      <c r="A479" s="260">
        <v>457</v>
      </c>
      <c r="B479" s="261"/>
      <c r="C479" s="261"/>
      <c r="D479" s="262" t="s">
        <v>15</v>
      </c>
      <c r="E479" s="262" t="s">
        <v>364</v>
      </c>
      <c r="F479" s="263" t="s">
        <v>15</v>
      </c>
      <c r="G479" s="264" t="s">
        <v>364</v>
      </c>
      <c r="H479" s="281"/>
      <c r="I479" s="265"/>
      <c r="J479" s="266" t="s">
        <v>389</v>
      </c>
      <c r="K479" s="262"/>
      <c r="L479" s="262"/>
      <c r="M479" s="262">
        <v>13756</v>
      </c>
      <c r="N479" s="262" t="s">
        <v>42</v>
      </c>
      <c r="O479" s="262" t="s">
        <v>35</v>
      </c>
      <c r="P479" s="262" t="s">
        <v>57</v>
      </c>
      <c r="Q479" s="262"/>
      <c r="R479" s="262"/>
      <c r="S479" s="267" t="s">
        <v>828</v>
      </c>
      <c r="T479" s="268"/>
      <c r="U479" s="269"/>
      <c r="V479" s="269"/>
      <c r="W479" s="278">
        <v>0</v>
      </c>
      <c r="X479" s="270"/>
      <c r="Y479" s="262"/>
      <c r="Z479" s="271" t="s">
        <v>25</v>
      </c>
      <c r="AA479" s="287"/>
      <c r="AB479" s="287"/>
      <c r="AC479" s="272">
        <f t="shared" si="17"/>
        <v>20000000</v>
      </c>
      <c r="AD479" s="272">
        <v>20000000</v>
      </c>
      <c r="AE479" s="272">
        <f t="shared" si="18"/>
        <v>0</v>
      </c>
      <c r="AF479" s="273"/>
      <c r="AG479" s="274"/>
      <c r="AH479" s="273"/>
      <c r="AI479" s="273"/>
      <c r="AJ479" s="274"/>
      <c r="AK479" s="273"/>
      <c r="AL479" s="275"/>
      <c r="AM479" s="290"/>
      <c r="AN479" s="275"/>
      <c r="AO479" s="276"/>
      <c r="AP479" s="275"/>
      <c r="AQ479" s="275">
        <v>20000000</v>
      </c>
      <c r="AR479" s="275"/>
      <c r="AS479" s="275"/>
      <c r="AT479" s="275"/>
      <c r="AU479" s="275"/>
      <c r="AV479" s="275"/>
      <c r="AW479" s="275"/>
      <c r="AX479" s="275"/>
      <c r="AY479" s="275"/>
      <c r="AZ479" s="275"/>
      <c r="BA479" s="275"/>
      <c r="BB479" s="275"/>
      <c r="BC479" s="275"/>
      <c r="BD479" s="275"/>
      <c r="BE479" s="275"/>
      <c r="BF479" s="275"/>
      <c r="BH479" s="277"/>
    </row>
    <row r="480" spans="1:60" ht="16.5" hidden="1" customHeight="1" x14ac:dyDescent="0.3">
      <c r="A480" s="260">
        <v>458</v>
      </c>
      <c r="B480" s="261"/>
      <c r="C480" s="261"/>
      <c r="D480" s="262" t="s">
        <v>15</v>
      </c>
      <c r="E480" s="262" t="s">
        <v>364</v>
      </c>
      <c r="F480" s="263" t="s">
        <v>15</v>
      </c>
      <c r="G480" s="264" t="s">
        <v>364</v>
      </c>
      <c r="H480" s="281"/>
      <c r="I480" s="265"/>
      <c r="J480" s="266" t="s">
        <v>390</v>
      </c>
      <c r="K480" s="262"/>
      <c r="L480" s="262"/>
      <c r="M480" s="262">
        <v>49808</v>
      </c>
      <c r="N480" s="262" t="s">
        <v>53</v>
      </c>
      <c r="O480" s="262" t="s">
        <v>56</v>
      </c>
      <c r="P480" s="262" t="s">
        <v>57</v>
      </c>
      <c r="Q480" s="262" t="s">
        <v>63</v>
      </c>
      <c r="R480" s="262" t="s">
        <v>28</v>
      </c>
      <c r="S480" s="267" t="s">
        <v>28</v>
      </c>
      <c r="T480" s="268"/>
      <c r="U480" s="269">
        <v>82600000</v>
      </c>
      <c r="V480" s="269">
        <v>0</v>
      </c>
      <c r="W480" s="278">
        <v>0</v>
      </c>
      <c r="X480" s="270"/>
      <c r="Y480" s="262" t="s">
        <v>21</v>
      </c>
      <c r="Z480" s="271" t="s">
        <v>21</v>
      </c>
      <c r="AA480" s="287"/>
      <c r="AB480" s="287"/>
      <c r="AC480" s="272">
        <f t="shared" si="17"/>
        <v>0</v>
      </c>
      <c r="AD480" s="272">
        <v>0</v>
      </c>
      <c r="AE480" s="272">
        <f t="shared" si="18"/>
        <v>0</v>
      </c>
      <c r="AF480" s="273"/>
      <c r="AG480" s="274"/>
      <c r="AH480" s="273"/>
      <c r="AI480" s="273"/>
      <c r="AJ480" s="274"/>
      <c r="AK480" s="273"/>
      <c r="AL480" s="275"/>
      <c r="AM480" s="290"/>
      <c r="AN480" s="275"/>
      <c r="AO480" s="276"/>
      <c r="AP480" s="275"/>
      <c r="AQ480" s="275"/>
      <c r="AR480" s="275"/>
      <c r="AS480" s="275"/>
      <c r="AT480" s="275"/>
      <c r="AU480" s="275"/>
      <c r="AV480" s="275"/>
      <c r="AW480" s="275"/>
      <c r="AX480" s="275"/>
      <c r="AY480" s="275"/>
      <c r="AZ480" s="275"/>
      <c r="BA480" s="275"/>
      <c r="BB480" s="275"/>
      <c r="BC480" s="275"/>
      <c r="BD480" s="275"/>
      <c r="BE480" s="275"/>
      <c r="BF480" s="275"/>
      <c r="BH480" s="277"/>
    </row>
    <row r="481" spans="1:60" ht="16.5" hidden="1" customHeight="1" x14ac:dyDescent="0.3">
      <c r="A481" s="260">
        <v>459</v>
      </c>
      <c r="B481" s="261"/>
      <c r="C481" s="261"/>
      <c r="D481" s="262" t="s">
        <v>15</v>
      </c>
      <c r="E481" s="262" t="s">
        <v>364</v>
      </c>
      <c r="F481" s="263" t="s">
        <v>15</v>
      </c>
      <c r="G481" s="264" t="s">
        <v>364</v>
      </c>
      <c r="H481" s="281"/>
      <c r="I481" s="265"/>
      <c r="J481" s="266" t="s">
        <v>149</v>
      </c>
      <c r="K481" s="262"/>
      <c r="L481" s="262"/>
      <c r="M481" s="262">
        <v>3829</v>
      </c>
      <c r="N481" s="262" t="s">
        <v>32</v>
      </c>
      <c r="O481" s="262" t="s">
        <v>56</v>
      </c>
      <c r="P481" s="262" t="s">
        <v>124</v>
      </c>
      <c r="Q481" s="262" t="s">
        <v>63</v>
      </c>
      <c r="R481" s="262" t="s">
        <v>28</v>
      </c>
      <c r="S481" s="267" t="s">
        <v>28</v>
      </c>
      <c r="T481" s="268"/>
      <c r="U481" s="269">
        <v>292000000</v>
      </c>
      <c r="V481" s="269">
        <v>185000000</v>
      </c>
      <c r="W481" s="278">
        <v>171705150</v>
      </c>
      <c r="X481" s="270"/>
      <c r="Y481" s="262" t="s">
        <v>27</v>
      </c>
      <c r="Z481" s="271" t="s">
        <v>24</v>
      </c>
      <c r="AA481" s="287"/>
      <c r="AB481" s="287"/>
      <c r="AC481" s="272">
        <f t="shared" si="17"/>
        <v>190000000</v>
      </c>
      <c r="AD481" s="272">
        <v>190000000</v>
      </c>
      <c r="AE481" s="272">
        <f t="shared" si="18"/>
        <v>0</v>
      </c>
      <c r="AF481" s="273"/>
      <c r="AG481" s="274"/>
      <c r="AH481" s="273"/>
      <c r="AI481" s="273"/>
      <c r="AJ481" s="274"/>
      <c r="AK481" s="273"/>
      <c r="AL481" s="275"/>
      <c r="AM481" s="290"/>
      <c r="AN481" s="275"/>
      <c r="AO481" s="276"/>
      <c r="AP481" s="275"/>
      <c r="AQ481" s="275"/>
      <c r="AR481" s="275"/>
      <c r="AS481" s="275">
        <v>10000000</v>
      </c>
      <c r="AT481" s="275"/>
      <c r="AU481" s="275">
        <v>30000000</v>
      </c>
      <c r="AV481" s="275"/>
      <c r="AW481" s="275">
        <v>30000000</v>
      </c>
      <c r="AX481" s="275"/>
      <c r="AY481" s="275">
        <v>30000000</v>
      </c>
      <c r="AZ481" s="275"/>
      <c r="BA481" s="275">
        <v>30000000</v>
      </c>
      <c r="BB481" s="275"/>
      <c r="BC481" s="275">
        <v>30000000</v>
      </c>
      <c r="BD481" s="275"/>
      <c r="BE481" s="275">
        <v>30000000</v>
      </c>
      <c r="BF481" s="275"/>
      <c r="BH481" s="277"/>
    </row>
    <row r="482" spans="1:60" ht="16.5" hidden="1" customHeight="1" x14ac:dyDescent="0.3">
      <c r="A482" s="260">
        <v>460</v>
      </c>
      <c r="B482" s="261"/>
      <c r="C482" s="261"/>
      <c r="D482" s="262" t="s">
        <v>15</v>
      </c>
      <c r="E482" s="262" t="s">
        <v>364</v>
      </c>
      <c r="F482" s="263" t="s">
        <v>15</v>
      </c>
      <c r="G482" s="264" t="s">
        <v>364</v>
      </c>
      <c r="H482" s="281"/>
      <c r="I482" s="265"/>
      <c r="J482" s="266" t="s">
        <v>762</v>
      </c>
      <c r="K482" s="262"/>
      <c r="L482" s="262"/>
      <c r="M482" s="262">
        <v>50222</v>
      </c>
      <c r="N482" s="262" t="s">
        <v>32</v>
      </c>
      <c r="O482" s="262" t="s">
        <v>56</v>
      </c>
      <c r="P482" s="262" t="s">
        <v>57</v>
      </c>
      <c r="Q482" s="262" t="s">
        <v>18</v>
      </c>
      <c r="R482" s="262" t="s">
        <v>468</v>
      </c>
      <c r="S482" s="267" t="s">
        <v>468</v>
      </c>
      <c r="T482" s="268"/>
      <c r="U482" s="269"/>
      <c r="V482" s="269">
        <v>0</v>
      </c>
      <c r="W482" s="278">
        <v>0</v>
      </c>
      <c r="X482" s="270"/>
      <c r="Y482" s="262" t="s">
        <v>25</v>
      </c>
      <c r="Z482" s="271" t="s">
        <v>25</v>
      </c>
      <c r="AA482" s="287"/>
      <c r="AB482" s="287"/>
      <c r="AC482" s="272">
        <f t="shared" si="17"/>
        <v>10000000</v>
      </c>
      <c r="AD482" s="272">
        <v>10000000</v>
      </c>
      <c r="AE482" s="272">
        <f t="shared" si="18"/>
        <v>0</v>
      </c>
      <c r="AF482" s="273"/>
      <c r="AG482" s="274"/>
      <c r="AH482" s="273"/>
      <c r="AI482" s="273"/>
      <c r="AJ482" s="274"/>
      <c r="AK482" s="273"/>
      <c r="AL482" s="275"/>
      <c r="AM482" s="290"/>
      <c r="AN482" s="275"/>
      <c r="AO482" s="276"/>
      <c r="AP482" s="275"/>
      <c r="AQ482" s="275"/>
      <c r="AR482" s="275"/>
      <c r="AS482" s="275">
        <v>10000000</v>
      </c>
      <c r="AT482" s="275"/>
      <c r="AU482" s="275"/>
      <c r="AV482" s="275"/>
      <c r="AW482" s="275"/>
      <c r="AX482" s="275"/>
      <c r="AY482" s="275"/>
      <c r="AZ482" s="275"/>
      <c r="BA482" s="275"/>
      <c r="BB482" s="275"/>
      <c r="BC482" s="275"/>
      <c r="BD482" s="275"/>
      <c r="BE482" s="275"/>
      <c r="BF482" s="275"/>
      <c r="BH482" s="277"/>
    </row>
    <row r="483" spans="1:60" ht="16.5" hidden="1" customHeight="1" x14ac:dyDescent="0.3">
      <c r="A483" s="260">
        <v>461</v>
      </c>
      <c r="B483" s="261"/>
      <c r="C483" s="261"/>
      <c r="D483" s="262" t="s">
        <v>15</v>
      </c>
      <c r="E483" s="262" t="s">
        <v>364</v>
      </c>
      <c r="F483" s="263" t="s">
        <v>15</v>
      </c>
      <c r="G483" s="264" t="s">
        <v>364</v>
      </c>
      <c r="H483" s="281"/>
      <c r="I483" s="265"/>
      <c r="J483" s="266" t="s">
        <v>964</v>
      </c>
      <c r="K483" s="262"/>
      <c r="L483" s="262"/>
      <c r="M483" s="262">
        <v>22869</v>
      </c>
      <c r="N483" s="262" t="s">
        <v>32</v>
      </c>
      <c r="O483" s="262" t="s">
        <v>35</v>
      </c>
      <c r="P483" s="262"/>
      <c r="Q483" s="262"/>
      <c r="R483" s="262"/>
      <c r="S483" s="267" t="s">
        <v>31</v>
      </c>
      <c r="T483" s="268"/>
      <c r="U483" s="269"/>
      <c r="V483" s="269"/>
      <c r="W483" s="278">
        <v>0</v>
      </c>
      <c r="X483" s="270"/>
      <c r="Y483" s="262"/>
      <c r="Z483" s="271" t="s">
        <v>25</v>
      </c>
      <c r="AA483" s="287"/>
      <c r="AB483" s="287"/>
      <c r="AC483" s="272">
        <f t="shared" si="17"/>
        <v>20000000</v>
      </c>
      <c r="AD483" s="272">
        <v>20000000</v>
      </c>
      <c r="AE483" s="272">
        <f t="shared" si="18"/>
        <v>0</v>
      </c>
      <c r="AF483" s="273"/>
      <c r="AG483" s="274"/>
      <c r="AH483" s="273"/>
      <c r="AI483" s="273"/>
      <c r="AJ483" s="274"/>
      <c r="AK483" s="273"/>
      <c r="AL483" s="275"/>
      <c r="AM483" s="290"/>
      <c r="AN483" s="275"/>
      <c r="AO483" s="276"/>
      <c r="AP483" s="275"/>
      <c r="AQ483" s="291">
        <v>20000000</v>
      </c>
      <c r="AR483" s="275"/>
      <c r="AS483" s="275"/>
      <c r="AT483" s="275"/>
      <c r="AU483" s="275"/>
      <c r="AV483" s="275"/>
      <c r="AW483" s="275"/>
      <c r="AX483" s="275"/>
      <c r="AY483" s="275"/>
      <c r="AZ483" s="275"/>
      <c r="BA483" s="275"/>
      <c r="BB483" s="275"/>
      <c r="BC483" s="275"/>
      <c r="BD483" s="275"/>
      <c r="BE483" s="275"/>
      <c r="BF483" s="275"/>
      <c r="BH483" s="277"/>
    </row>
    <row r="484" spans="1:60" ht="16.5" hidden="1" customHeight="1" x14ac:dyDescent="0.3">
      <c r="A484" s="260">
        <v>462</v>
      </c>
      <c r="B484" s="261"/>
      <c r="C484" s="261"/>
      <c r="D484" s="262" t="s">
        <v>15</v>
      </c>
      <c r="E484" s="262" t="s">
        <v>364</v>
      </c>
      <c r="F484" s="263" t="s">
        <v>15</v>
      </c>
      <c r="G484" s="264" t="s">
        <v>364</v>
      </c>
      <c r="H484" s="281"/>
      <c r="I484" s="265"/>
      <c r="J484" s="266" t="s">
        <v>391</v>
      </c>
      <c r="K484" s="262"/>
      <c r="L484" s="262"/>
      <c r="M484" s="262">
        <v>1104</v>
      </c>
      <c r="N484" s="262" t="s">
        <v>42</v>
      </c>
      <c r="O484" s="262" t="s">
        <v>35</v>
      </c>
      <c r="P484" s="262" t="s">
        <v>57</v>
      </c>
      <c r="Q484" s="262" t="s">
        <v>18</v>
      </c>
      <c r="R484" s="262" t="s">
        <v>19</v>
      </c>
      <c r="S484" s="267" t="s">
        <v>19</v>
      </c>
      <c r="T484" s="268"/>
      <c r="U484" s="269">
        <v>12479000</v>
      </c>
      <c r="V484" s="269">
        <v>0</v>
      </c>
      <c r="W484" s="278">
        <v>0</v>
      </c>
      <c r="X484" s="270"/>
      <c r="Y484" s="262" t="s">
        <v>24</v>
      </c>
      <c r="Z484" s="271" t="s">
        <v>25</v>
      </c>
      <c r="AA484" s="287"/>
      <c r="AB484" s="287"/>
      <c r="AC484" s="272">
        <f t="shared" si="17"/>
        <v>12000000</v>
      </c>
      <c r="AD484" s="272">
        <v>12000000</v>
      </c>
      <c r="AE484" s="272">
        <f t="shared" si="18"/>
        <v>0</v>
      </c>
      <c r="AF484" s="273"/>
      <c r="AG484" s="274"/>
      <c r="AH484" s="273"/>
      <c r="AI484" s="273"/>
      <c r="AJ484" s="274"/>
      <c r="AK484" s="273"/>
      <c r="AL484" s="275"/>
      <c r="AM484" s="290"/>
      <c r="AN484" s="275"/>
      <c r="AO484" s="276"/>
      <c r="AP484" s="275"/>
      <c r="AQ484" s="275"/>
      <c r="AR484" s="275"/>
      <c r="AS484" s="275"/>
      <c r="AT484" s="275"/>
      <c r="AU484" s="275"/>
      <c r="AV484" s="275"/>
      <c r="AW484" s="275">
        <v>12000000</v>
      </c>
      <c r="AX484" s="275"/>
      <c r="AY484" s="275"/>
      <c r="AZ484" s="275"/>
      <c r="BA484" s="275"/>
      <c r="BB484" s="275"/>
      <c r="BC484" s="275"/>
      <c r="BD484" s="275"/>
      <c r="BE484" s="275"/>
      <c r="BF484" s="275"/>
      <c r="BH484" s="277"/>
    </row>
    <row r="485" spans="1:60" ht="16.5" hidden="1" customHeight="1" x14ac:dyDescent="0.3">
      <c r="A485" s="260">
        <v>463</v>
      </c>
      <c r="B485" s="261"/>
      <c r="C485" s="261"/>
      <c r="D485" s="262" t="s">
        <v>15</v>
      </c>
      <c r="E485" s="262" t="s">
        <v>364</v>
      </c>
      <c r="F485" s="263" t="s">
        <v>15</v>
      </c>
      <c r="G485" s="264" t="s">
        <v>364</v>
      </c>
      <c r="H485" s="281"/>
      <c r="I485" s="265"/>
      <c r="J485" s="266" t="s">
        <v>391</v>
      </c>
      <c r="K485" s="262"/>
      <c r="L485" s="262"/>
      <c r="M485" s="262">
        <v>1104</v>
      </c>
      <c r="N485" s="262" t="s">
        <v>42</v>
      </c>
      <c r="O485" s="262" t="s">
        <v>35</v>
      </c>
      <c r="P485" s="262" t="s">
        <v>57</v>
      </c>
      <c r="Q485" s="262" t="s">
        <v>26</v>
      </c>
      <c r="R485" s="262" t="s">
        <v>468</v>
      </c>
      <c r="S485" s="267" t="s">
        <v>468</v>
      </c>
      <c r="T485" s="268"/>
      <c r="U485" s="269"/>
      <c r="V485" s="269"/>
      <c r="W485" s="278">
        <v>0</v>
      </c>
      <c r="X485" s="270"/>
      <c r="Y485" s="262" t="s">
        <v>25</v>
      </c>
      <c r="Z485" s="271" t="s">
        <v>27</v>
      </c>
      <c r="AA485" s="287"/>
      <c r="AB485" s="287"/>
      <c r="AC485" s="272">
        <f t="shared" si="17"/>
        <v>56000000</v>
      </c>
      <c r="AD485" s="272">
        <v>56000000</v>
      </c>
      <c r="AE485" s="272">
        <f t="shared" si="18"/>
        <v>0</v>
      </c>
      <c r="AF485" s="273"/>
      <c r="AG485" s="274"/>
      <c r="AH485" s="273"/>
      <c r="AI485" s="273"/>
      <c r="AJ485" s="274"/>
      <c r="AK485" s="273"/>
      <c r="AL485" s="275">
        <v>6000000</v>
      </c>
      <c r="AM485" s="290">
        <v>6000000</v>
      </c>
      <c r="AN485" s="275"/>
      <c r="AO485" s="276"/>
      <c r="AP485" s="275"/>
      <c r="AQ485" s="275"/>
      <c r="AR485" s="275"/>
      <c r="AS485" s="275"/>
      <c r="AT485" s="275"/>
      <c r="AU485" s="275"/>
      <c r="AV485" s="275"/>
      <c r="AW485" s="275">
        <v>50000000</v>
      </c>
      <c r="AX485" s="275"/>
      <c r="AY485" s="275"/>
      <c r="AZ485" s="275"/>
      <c r="BA485" s="275"/>
      <c r="BB485" s="275"/>
      <c r="BC485" s="275"/>
      <c r="BD485" s="275"/>
      <c r="BE485" s="275"/>
      <c r="BF485" s="275"/>
      <c r="BH485" s="277"/>
    </row>
    <row r="486" spans="1:60" ht="16.5" hidden="1" customHeight="1" x14ac:dyDescent="0.3">
      <c r="A486" s="260">
        <v>464</v>
      </c>
      <c r="B486" s="261"/>
      <c r="C486" s="261"/>
      <c r="D486" s="262" t="s">
        <v>15</v>
      </c>
      <c r="E486" s="262" t="s">
        <v>175</v>
      </c>
      <c r="F486" s="263" t="s">
        <v>15</v>
      </c>
      <c r="G486" s="264" t="s">
        <v>364</v>
      </c>
      <c r="H486" s="281"/>
      <c r="I486" s="265"/>
      <c r="J486" s="266" t="s">
        <v>634</v>
      </c>
      <c r="K486" s="262"/>
      <c r="L486" s="262"/>
      <c r="M486" s="262">
        <v>1429</v>
      </c>
      <c r="N486" s="262" t="s">
        <v>22</v>
      </c>
      <c r="O486" s="262" t="s">
        <v>56</v>
      </c>
      <c r="P486" s="262" t="s">
        <v>124</v>
      </c>
      <c r="Q486" s="262" t="s">
        <v>26</v>
      </c>
      <c r="R486" s="262" t="s">
        <v>19</v>
      </c>
      <c r="S486" s="267" t="s">
        <v>19</v>
      </c>
      <c r="T486" s="268"/>
      <c r="U486" s="269"/>
      <c r="V486" s="269"/>
      <c r="W486" s="278">
        <v>78300000</v>
      </c>
      <c r="X486" s="270"/>
      <c r="Y486" s="262" t="s">
        <v>27</v>
      </c>
      <c r="Z486" s="271" t="s">
        <v>24</v>
      </c>
      <c r="AA486" s="287"/>
      <c r="AB486" s="287"/>
      <c r="AC486" s="272">
        <f t="shared" si="17"/>
        <v>50000000</v>
      </c>
      <c r="AD486" s="272">
        <v>50000000</v>
      </c>
      <c r="AE486" s="272">
        <f t="shared" si="18"/>
        <v>0</v>
      </c>
      <c r="AF486" s="273"/>
      <c r="AG486" s="274"/>
      <c r="AH486" s="273"/>
      <c r="AI486" s="273"/>
      <c r="AJ486" s="274"/>
      <c r="AK486" s="273"/>
      <c r="AL486" s="275"/>
      <c r="AM486" s="290"/>
      <c r="AN486" s="275"/>
      <c r="AO486" s="276"/>
      <c r="AP486" s="275"/>
      <c r="AQ486" s="275">
        <v>15000000</v>
      </c>
      <c r="AR486" s="275"/>
      <c r="AS486" s="275">
        <v>35000000</v>
      </c>
      <c r="AT486" s="275"/>
      <c r="AU486" s="275"/>
      <c r="AV486" s="275"/>
      <c r="AW486" s="275"/>
      <c r="AX486" s="275"/>
      <c r="AY486" s="275"/>
      <c r="AZ486" s="275"/>
      <c r="BA486" s="275"/>
      <c r="BB486" s="275"/>
      <c r="BC486" s="275"/>
      <c r="BD486" s="275"/>
      <c r="BE486" s="275"/>
      <c r="BF486" s="275"/>
      <c r="BH486" s="277"/>
    </row>
    <row r="487" spans="1:60" ht="16.5" hidden="1" customHeight="1" x14ac:dyDescent="0.3">
      <c r="A487" s="260">
        <v>465</v>
      </c>
      <c r="B487" s="261"/>
      <c r="C487" s="261"/>
      <c r="D487" s="262" t="s">
        <v>15</v>
      </c>
      <c r="E487" s="262" t="s">
        <v>364</v>
      </c>
      <c r="F487" s="263" t="s">
        <v>15</v>
      </c>
      <c r="G487" s="264" t="s">
        <v>364</v>
      </c>
      <c r="H487" s="281"/>
      <c r="I487" s="265"/>
      <c r="J487" s="266" t="s">
        <v>634</v>
      </c>
      <c r="K487" s="262"/>
      <c r="L487" s="262"/>
      <c r="M487" s="262">
        <v>1429</v>
      </c>
      <c r="N487" s="262" t="s">
        <v>22</v>
      </c>
      <c r="O487" s="262" t="s">
        <v>35</v>
      </c>
      <c r="P487" s="262" t="s">
        <v>124</v>
      </c>
      <c r="Q487" s="262" t="s">
        <v>26</v>
      </c>
      <c r="R487" s="262" t="s">
        <v>19</v>
      </c>
      <c r="S487" s="267" t="s">
        <v>19</v>
      </c>
      <c r="T487" s="268"/>
      <c r="U487" s="269"/>
      <c r="V487" s="269"/>
      <c r="W487" s="278">
        <v>0</v>
      </c>
      <c r="X487" s="270"/>
      <c r="Y487" s="262" t="s">
        <v>27</v>
      </c>
      <c r="Z487" s="271" t="s">
        <v>718</v>
      </c>
      <c r="AA487" s="287"/>
      <c r="AB487" s="287"/>
      <c r="AC487" s="272">
        <f t="shared" si="17"/>
        <v>0</v>
      </c>
      <c r="AD487" s="272">
        <v>0</v>
      </c>
      <c r="AE487" s="272">
        <f t="shared" si="18"/>
        <v>0</v>
      </c>
      <c r="AF487" s="273"/>
      <c r="AG487" s="274"/>
      <c r="AH487" s="273"/>
      <c r="AI487" s="273"/>
      <c r="AJ487" s="274"/>
      <c r="AK487" s="273"/>
      <c r="AL487" s="275"/>
      <c r="AM487" s="290"/>
      <c r="AN487" s="275"/>
      <c r="AO487" s="276"/>
      <c r="AP487" s="275"/>
      <c r="AQ487" s="275"/>
      <c r="AR487" s="275"/>
      <c r="AS487" s="275"/>
      <c r="AT487" s="275"/>
      <c r="AU487" s="275"/>
      <c r="AV487" s="275"/>
      <c r="AW487" s="275"/>
      <c r="AX487" s="275"/>
      <c r="AY487" s="275"/>
      <c r="AZ487" s="275"/>
      <c r="BA487" s="275"/>
      <c r="BB487" s="275"/>
      <c r="BC487" s="275"/>
      <c r="BD487" s="275"/>
      <c r="BE487" s="275"/>
      <c r="BF487" s="275"/>
      <c r="BH487" s="277"/>
    </row>
    <row r="488" spans="1:60" ht="16.5" hidden="1" customHeight="1" x14ac:dyDescent="0.3">
      <c r="A488" s="260">
        <v>466</v>
      </c>
      <c r="B488" s="261"/>
      <c r="C488" s="261"/>
      <c r="D488" s="262" t="s">
        <v>15</v>
      </c>
      <c r="E488" s="262" t="s">
        <v>364</v>
      </c>
      <c r="F488" s="263" t="s">
        <v>15</v>
      </c>
      <c r="G488" s="264" t="s">
        <v>364</v>
      </c>
      <c r="H488" s="281"/>
      <c r="I488" s="265"/>
      <c r="J488" s="266" t="s">
        <v>634</v>
      </c>
      <c r="K488" s="262"/>
      <c r="L488" s="262"/>
      <c r="M488" s="262">
        <v>1429</v>
      </c>
      <c r="N488" s="262" t="s">
        <v>22</v>
      </c>
      <c r="O488" s="262" t="s">
        <v>35</v>
      </c>
      <c r="P488" s="262" t="s">
        <v>124</v>
      </c>
      <c r="Q488" s="262" t="s">
        <v>26</v>
      </c>
      <c r="R488" s="262" t="s">
        <v>468</v>
      </c>
      <c r="S488" s="267" t="s">
        <v>468</v>
      </c>
      <c r="T488" s="268"/>
      <c r="U488" s="269"/>
      <c r="V488" s="269">
        <v>18527273</v>
      </c>
      <c r="W488" s="278">
        <v>0</v>
      </c>
      <c r="X488" s="270"/>
      <c r="Y488" s="262" t="s">
        <v>24</v>
      </c>
      <c r="Z488" s="271" t="s">
        <v>27</v>
      </c>
      <c r="AA488" s="287"/>
      <c r="AB488" s="287"/>
      <c r="AC488" s="272">
        <f t="shared" si="17"/>
        <v>4411896</v>
      </c>
      <c r="AD488" s="272">
        <v>4411896</v>
      </c>
      <c r="AE488" s="272">
        <f t="shared" si="18"/>
        <v>0</v>
      </c>
      <c r="AF488" s="273">
        <v>4411896</v>
      </c>
      <c r="AG488" s="274">
        <v>4411896</v>
      </c>
      <c r="AH488" s="273"/>
      <c r="AI488" s="273"/>
      <c r="AJ488" s="274"/>
      <c r="AK488" s="273"/>
      <c r="AL488" s="275"/>
      <c r="AM488" s="290"/>
      <c r="AN488" s="275"/>
      <c r="AO488" s="276"/>
      <c r="AP488" s="275"/>
      <c r="AQ488" s="275"/>
      <c r="AR488" s="275"/>
      <c r="AS488" s="275"/>
      <c r="AT488" s="275"/>
      <c r="AU488" s="275"/>
      <c r="AV488" s="275"/>
      <c r="AW488" s="275"/>
      <c r="AX488" s="275"/>
      <c r="AY488" s="275">
        <v>0</v>
      </c>
      <c r="AZ488" s="275"/>
      <c r="BA488" s="275"/>
      <c r="BB488" s="275"/>
      <c r="BC488" s="275"/>
      <c r="BD488" s="275"/>
      <c r="BE488" s="275"/>
      <c r="BF488" s="275"/>
      <c r="BH488" s="277"/>
    </row>
    <row r="489" spans="1:60" ht="16.5" hidden="1" customHeight="1" x14ac:dyDescent="0.3">
      <c r="A489" s="260">
        <v>467</v>
      </c>
      <c r="B489" s="261"/>
      <c r="C489" s="261"/>
      <c r="D489" s="262" t="s">
        <v>15</v>
      </c>
      <c r="E489" s="262" t="s">
        <v>364</v>
      </c>
      <c r="F489" s="263" t="s">
        <v>15</v>
      </c>
      <c r="G489" s="264" t="s">
        <v>364</v>
      </c>
      <c r="H489" s="281"/>
      <c r="I489" s="265"/>
      <c r="J489" s="266" t="s">
        <v>634</v>
      </c>
      <c r="K489" s="262"/>
      <c r="L489" s="262"/>
      <c r="M489" s="262">
        <v>1429</v>
      </c>
      <c r="N489" s="262" t="s">
        <v>22</v>
      </c>
      <c r="O489" s="262" t="s">
        <v>35</v>
      </c>
      <c r="P489" s="262" t="s">
        <v>57</v>
      </c>
      <c r="Q489" s="262"/>
      <c r="R489" s="262"/>
      <c r="S489" s="267" t="s">
        <v>822</v>
      </c>
      <c r="T489" s="268"/>
      <c r="U489" s="269"/>
      <c r="V489" s="269"/>
      <c r="W489" s="278">
        <v>0</v>
      </c>
      <c r="X489" s="270"/>
      <c r="Y489" s="262"/>
      <c r="Z489" s="271" t="s">
        <v>25</v>
      </c>
      <c r="AA489" s="287"/>
      <c r="AB489" s="287"/>
      <c r="AC489" s="272">
        <f t="shared" si="17"/>
        <v>20000000</v>
      </c>
      <c r="AD489" s="272">
        <v>20000000</v>
      </c>
      <c r="AE489" s="272">
        <f t="shared" si="18"/>
        <v>0</v>
      </c>
      <c r="AF489" s="273"/>
      <c r="AG489" s="274"/>
      <c r="AH489" s="273"/>
      <c r="AI489" s="273"/>
      <c r="AJ489" s="274"/>
      <c r="AK489" s="273"/>
      <c r="AL489" s="275"/>
      <c r="AM489" s="290"/>
      <c r="AN489" s="275"/>
      <c r="AO489" s="276"/>
      <c r="AP489" s="275"/>
      <c r="AQ489" s="275"/>
      <c r="AR489" s="275"/>
      <c r="AS489" s="275"/>
      <c r="AT489" s="275"/>
      <c r="AU489" s="275">
        <v>20000000</v>
      </c>
      <c r="AV489" s="275"/>
      <c r="AW489" s="275"/>
      <c r="AX489" s="275"/>
      <c r="AY489" s="275"/>
      <c r="AZ489" s="275"/>
      <c r="BA489" s="275"/>
      <c r="BB489" s="275"/>
      <c r="BC489" s="275"/>
      <c r="BD489" s="275"/>
      <c r="BE489" s="275"/>
      <c r="BF489" s="275"/>
      <c r="BH489" s="277"/>
    </row>
    <row r="490" spans="1:60" ht="16.5" hidden="1" customHeight="1" x14ac:dyDescent="0.3">
      <c r="A490" s="260">
        <v>468</v>
      </c>
      <c r="B490" s="261"/>
      <c r="C490" s="261"/>
      <c r="D490" s="262" t="s">
        <v>15</v>
      </c>
      <c r="E490" s="262" t="s">
        <v>364</v>
      </c>
      <c r="F490" s="263" t="s">
        <v>15</v>
      </c>
      <c r="G490" s="264" t="s">
        <v>364</v>
      </c>
      <c r="H490" s="281"/>
      <c r="I490" s="265"/>
      <c r="J490" s="266" t="s">
        <v>634</v>
      </c>
      <c r="K490" s="262"/>
      <c r="L490" s="262"/>
      <c r="M490" s="262">
        <v>1429</v>
      </c>
      <c r="N490" s="262" t="s">
        <v>22</v>
      </c>
      <c r="O490" s="262" t="s">
        <v>35</v>
      </c>
      <c r="P490" s="262" t="s">
        <v>57</v>
      </c>
      <c r="Q490" s="262"/>
      <c r="R490" s="262"/>
      <c r="S490" s="267" t="s">
        <v>828</v>
      </c>
      <c r="T490" s="268"/>
      <c r="U490" s="269"/>
      <c r="V490" s="269"/>
      <c r="W490" s="278">
        <v>0</v>
      </c>
      <c r="X490" s="270"/>
      <c r="Y490" s="262"/>
      <c r="Z490" s="271" t="s">
        <v>25</v>
      </c>
      <c r="AA490" s="287"/>
      <c r="AB490" s="287"/>
      <c r="AC490" s="272">
        <f t="shared" si="17"/>
        <v>20000000</v>
      </c>
      <c r="AD490" s="272">
        <v>20000000</v>
      </c>
      <c r="AE490" s="272">
        <f t="shared" si="18"/>
        <v>0</v>
      </c>
      <c r="AF490" s="273"/>
      <c r="AG490" s="274"/>
      <c r="AH490" s="273"/>
      <c r="AI490" s="273"/>
      <c r="AJ490" s="274"/>
      <c r="AK490" s="273"/>
      <c r="AL490" s="275"/>
      <c r="AM490" s="290"/>
      <c r="AN490" s="275"/>
      <c r="AO490" s="276"/>
      <c r="AP490" s="275"/>
      <c r="AQ490" s="291">
        <v>20000000</v>
      </c>
      <c r="AR490" s="275"/>
      <c r="AS490" s="275"/>
      <c r="AT490" s="275"/>
      <c r="AU490" s="275"/>
      <c r="AV490" s="275"/>
      <c r="AW490" s="275"/>
      <c r="AX490" s="275"/>
      <c r="AY490" s="275"/>
      <c r="AZ490" s="275"/>
      <c r="BA490" s="275"/>
      <c r="BB490" s="275"/>
      <c r="BC490" s="275"/>
      <c r="BD490" s="275"/>
      <c r="BE490" s="275"/>
      <c r="BF490" s="275"/>
      <c r="BH490" s="277"/>
    </row>
    <row r="491" spans="1:60" ht="16.5" hidden="1" customHeight="1" x14ac:dyDescent="0.3">
      <c r="A491" s="260">
        <v>469</v>
      </c>
      <c r="B491" s="261"/>
      <c r="C491" s="261"/>
      <c r="D491" s="262" t="s">
        <v>15</v>
      </c>
      <c r="E491" s="262" t="s">
        <v>364</v>
      </c>
      <c r="F491" s="263" t="s">
        <v>15</v>
      </c>
      <c r="G491" s="264" t="s">
        <v>364</v>
      </c>
      <c r="H491" s="281"/>
      <c r="I491" s="265"/>
      <c r="J491" s="266" t="s">
        <v>392</v>
      </c>
      <c r="K491" s="262"/>
      <c r="L491" s="262"/>
      <c r="M491" s="262">
        <v>8229</v>
      </c>
      <c r="N491" s="262" t="s">
        <v>22</v>
      </c>
      <c r="O491" s="262" t="s">
        <v>56</v>
      </c>
      <c r="P491" s="262" t="s">
        <v>57</v>
      </c>
      <c r="Q491" s="262"/>
      <c r="R491" s="262" t="s">
        <v>19</v>
      </c>
      <c r="S491" s="267" t="s">
        <v>19</v>
      </c>
      <c r="T491" s="268"/>
      <c r="U491" s="269"/>
      <c r="V491" s="269"/>
      <c r="W491" s="278">
        <v>49665000</v>
      </c>
      <c r="X491" s="270"/>
      <c r="Y491" s="262" t="s">
        <v>27</v>
      </c>
      <c r="Z491" s="271" t="s">
        <v>24</v>
      </c>
      <c r="AA491" s="287"/>
      <c r="AB491" s="287"/>
      <c r="AC491" s="272">
        <f t="shared" si="17"/>
        <v>0</v>
      </c>
      <c r="AD491" s="272">
        <v>0</v>
      </c>
      <c r="AE491" s="272">
        <f t="shared" si="18"/>
        <v>0</v>
      </c>
      <c r="AF491" s="273"/>
      <c r="AG491" s="274"/>
      <c r="AH491" s="273"/>
      <c r="AI491" s="273"/>
      <c r="AJ491" s="274"/>
      <c r="AK491" s="273"/>
      <c r="AL491" s="275"/>
      <c r="AM491" s="290"/>
      <c r="AN491" s="275"/>
      <c r="AO491" s="276"/>
      <c r="AP491" s="275"/>
      <c r="AQ491" s="275"/>
      <c r="AR491" s="275"/>
      <c r="AS491" s="275"/>
      <c r="AT491" s="275"/>
      <c r="AU491" s="275"/>
      <c r="AV491" s="275"/>
      <c r="AW491" s="275"/>
      <c r="AX491" s="275"/>
      <c r="AY491" s="275"/>
      <c r="AZ491" s="275"/>
      <c r="BA491" s="275"/>
      <c r="BB491" s="275"/>
      <c r="BC491" s="275"/>
      <c r="BD491" s="275"/>
      <c r="BE491" s="275"/>
      <c r="BF491" s="275"/>
      <c r="BH491" s="277"/>
    </row>
    <row r="492" spans="1:60" ht="16.5" hidden="1" customHeight="1" x14ac:dyDescent="0.3">
      <c r="A492" s="260">
        <v>470</v>
      </c>
      <c r="B492" s="261"/>
      <c r="C492" s="261"/>
      <c r="D492" s="262"/>
      <c r="E492" s="262"/>
      <c r="F492" s="263" t="s">
        <v>15</v>
      </c>
      <c r="G492" s="264" t="s">
        <v>364</v>
      </c>
      <c r="H492" s="281"/>
      <c r="I492" s="265"/>
      <c r="J492" s="266" t="s">
        <v>392</v>
      </c>
      <c r="K492" s="262"/>
      <c r="L492" s="262"/>
      <c r="M492" s="262">
        <v>8229</v>
      </c>
      <c r="N492" s="262" t="s">
        <v>22</v>
      </c>
      <c r="O492" s="262" t="s">
        <v>56</v>
      </c>
      <c r="P492" s="262" t="s">
        <v>57</v>
      </c>
      <c r="Q492" s="262" t="s">
        <v>30</v>
      </c>
      <c r="R492" s="262" t="s">
        <v>31</v>
      </c>
      <c r="S492" s="267" t="s">
        <v>31</v>
      </c>
      <c r="T492" s="268"/>
      <c r="U492" s="269">
        <v>42054000</v>
      </c>
      <c r="V492" s="269">
        <v>51772000</v>
      </c>
      <c r="W492" s="278">
        <v>0</v>
      </c>
      <c r="X492" s="270"/>
      <c r="Y492" s="262" t="s">
        <v>24</v>
      </c>
      <c r="Z492" s="271" t="s">
        <v>24</v>
      </c>
      <c r="AA492" s="287"/>
      <c r="AB492" s="287"/>
      <c r="AC492" s="272">
        <f t="shared" si="17"/>
        <v>50000000</v>
      </c>
      <c r="AD492" s="272">
        <v>50000000</v>
      </c>
      <c r="AE492" s="272">
        <f t="shared" si="18"/>
        <v>0</v>
      </c>
      <c r="AF492" s="273"/>
      <c r="AG492" s="274"/>
      <c r="AH492" s="273"/>
      <c r="AI492" s="273"/>
      <c r="AJ492" s="274"/>
      <c r="AK492" s="273"/>
      <c r="AL492" s="275"/>
      <c r="AM492" s="290"/>
      <c r="AN492" s="275"/>
      <c r="AO492" s="276"/>
      <c r="AP492" s="275"/>
      <c r="AQ492" s="275"/>
      <c r="AR492" s="275"/>
      <c r="AS492" s="275">
        <v>15000000</v>
      </c>
      <c r="AT492" s="275"/>
      <c r="AU492" s="275"/>
      <c r="AV492" s="275"/>
      <c r="AW492" s="275"/>
      <c r="AX492" s="275"/>
      <c r="AY492" s="275"/>
      <c r="AZ492" s="275"/>
      <c r="BA492" s="275"/>
      <c r="BB492" s="275"/>
      <c r="BC492" s="275">
        <v>35000000</v>
      </c>
      <c r="BD492" s="275"/>
      <c r="BE492" s="275"/>
      <c r="BF492" s="275"/>
      <c r="BH492" s="277"/>
    </row>
    <row r="493" spans="1:60" ht="16.5" hidden="1" customHeight="1" x14ac:dyDescent="0.3">
      <c r="A493" s="260">
        <v>471</v>
      </c>
      <c r="B493" s="261"/>
      <c r="C493" s="261"/>
      <c r="D493" s="262" t="s">
        <v>15</v>
      </c>
      <c r="E493" s="262" t="s">
        <v>364</v>
      </c>
      <c r="F493" s="263" t="s">
        <v>15</v>
      </c>
      <c r="G493" s="264" t="s">
        <v>364</v>
      </c>
      <c r="H493" s="281"/>
      <c r="I493" s="265"/>
      <c r="J493" s="266" t="s">
        <v>392</v>
      </c>
      <c r="K493" s="262"/>
      <c r="L493" s="262"/>
      <c r="M493" s="262">
        <v>8229</v>
      </c>
      <c r="N493" s="262"/>
      <c r="O493" s="262"/>
      <c r="P493" s="262"/>
      <c r="Q493" s="262"/>
      <c r="R493" s="262"/>
      <c r="S493" s="267" t="s">
        <v>478</v>
      </c>
      <c r="T493" s="268"/>
      <c r="U493" s="269"/>
      <c r="V493" s="269"/>
      <c r="W493" s="278">
        <v>3100000</v>
      </c>
      <c r="X493" s="270"/>
      <c r="Y493" s="262"/>
      <c r="Z493" s="271" t="s">
        <v>718</v>
      </c>
      <c r="AA493" s="287"/>
      <c r="AB493" s="287"/>
      <c r="AC493" s="272">
        <f t="shared" si="17"/>
        <v>0</v>
      </c>
      <c r="AD493" s="272">
        <v>0</v>
      </c>
      <c r="AE493" s="272">
        <f t="shared" si="18"/>
        <v>0</v>
      </c>
      <c r="AF493" s="273"/>
      <c r="AG493" s="274"/>
      <c r="AH493" s="273"/>
      <c r="AI493" s="273"/>
      <c r="AJ493" s="274"/>
      <c r="AK493" s="273"/>
      <c r="AL493" s="275"/>
      <c r="AM493" s="290"/>
      <c r="AN493" s="275"/>
      <c r="AO493" s="276"/>
      <c r="AP493" s="275"/>
      <c r="AQ493" s="275"/>
      <c r="AR493" s="275"/>
      <c r="AS493" s="275"/>
      <c r="AT493" s="275"/>
      <c r="AU493" s="275"/>
      <c r="AV493" s="275"/>
      <c r="AW493" s="275"/>
      <c r="AX493" s="275"/>
      <c r="AY493" s="275"/>
      <c r="AZ493" s="275"/>
      <c r="BA493" s="275"/>
      <c r="BB493" s="275"/>
      <c r="BC493" s="275"/>
      <c r="BD493" s="275"/>
      <c r="BE493" s="275"/>
      <c r="BF493" s="275"/>
      <c r="BH493" s="277"/>
    </row>
    <row r="494" spans="1:60" ht="16.5" hidden="1" customHeight="1" x14ac:dyDescent="0.3">
      <c r="A494" s="260">
        <v>472</v>
      </c>
      <c r="B494" s="261"/>
      <c r="C494" s="261"/>
      <c r="D494" s="262" t="s">
        <v>15</v>
      </c>
      <c r="E494" s="262" t="s">
        <v>364</v>
      </c>
      <c r="F494" s="263" t="s">
        <v>15</v>
      </c>
      <c r="G494" s="264" t="s">
        <v>364</v>
      </c>
      <c r="H494" s="281"/>
      <c r="I494" s="265"/>
      <c r="J494" s="266" t="s">
        <v>392</v>
      </c>
      <c r="K494" s="262"/>
      <c r="L494" s="262"/>
      <c r="M494" s="262">
        <v>8229</v>
      </c>
      <c r="N494" s="262" t="s">
        <v>22</v>
      </c>
      <c r="O494" s="262" t="s">
        <v>35</v>
      </c>
      <c r="P494" s="262" t="s">
        <v>57</v>
      </c>
      <c r="Q494" s="262"/>
      <c r="R494" s="262"/>
      <c r="S494" s="267" t="s">
        <v>828</v>
      </c>
      <c r="T494" s="268"/>
      <c r="U494" s="269"/>
      <c r="V494" s="269"/>
      <c r="W494" s="278">
        <v>0</v>
      </c>
      <c r="X494" s="270"/>
      <c r="Y494" s="262"/>
      <c r="Z494" s="271" t="s">
        <v>25</v>
      </c>
      <c r="AA494" s="287"/>
      <c r="AB494" s="287"/>
      <c r="AC494" s="272">
        <f t="shared" si="17"/>
        <v>15000000</v>
      </c>
      <c r="AD494" s="272">
        <v>15000000</v>
      </c>
      <c r="AE494" s="272">
        <f t="shared" si="18"/>
        <v>0</v>
      </c>
      <c r="AF494" s="273"/>
      <c r="AG494" s="274"/>
      <c r="AH494" s="273"/>
      <c r="AI494" s="273"/>
      <c r="AJ494" s="274"/>
      <c r="AK494" s="273"/>
      <c r="AL494" s="275"/>
      <c r="AM494" s="290"/>
      <c r="AN494" s="275"/>
      <c r="AO494" s="276">
        <v>3000000</v>
      </c>
      <c r="AP494" s="275"/>
      <c r="AQ494" s="275">
        <v>3000000</v>
      </c>
      <c r="AR494" s="275"/>
      <c r="AS494" s="275"/>
      <c r="AT494" s="275"/>
      <c r="AU494" s="275">
        <v>3000000</v>
      </c>
      <c r="AV494" s="275"/>
      <c r="AW494" s="275"/>
      <c r="AX494" s="275"/>
      <c r="AY494" s="275">
        <v>3000000</v>
      </c>
      <c r="AZ494" s="275"/>
      <c r="BA494" s="275">
        <v>3000000</v>
      </c>
      <c r="BB494" s="275"/>
      <c r="BC494" s="275"/>
      <c r="BD494" s="275"/>
      <c r="BE494" s="275"/>
      <c r="BF494" s="275"/>
      <c r="BH494" s="277"/>
    </row>
    <row r="495" spans="1:60" ht="16.5" hidden="1" customHeight="1" x14ac:dyDescent="0.3">
      <c r="A495" s="260">
        <v>473</v>
      </c>
      <c r="B495" s="261"/>
      <c r="C495" s="261"/>
      <c r="D495" s="262"/>
      <c r="E495" s="262"/>
      <c r="F495" s="263" t="s">
        <v>15</v>
      </c>
      <c r="G495" s="264" t="s">
        <v>364</v>
      </c>
      <c r="H495" s="281"/>
      <c r="I495" s="265"/>
      <c r="J495" s="266" t="s">
        <v>393</v>
      </c>
      <c r="K495" s="262"/>
      <c r="L495" s="262"/>
      <c r="M495" s="262">
        <v>28670</v>
      </c>
      <c r="N495" s="262" t="s">
        <v>42</v>
      </c>
      <c r="O495" s="262" t="s">
        <v>35</v>
      </c>
      <c r="P495" s="262" t="s">
        <v>57</v>
      </c>
      <c r="Q495" s="262" t="s">
        <v>30</v>
      </c>
      <c r="R495" s="262" t="s">
        <v>31</v>
      </c>
      <c r="S495" s="267" t="s">
        <v>31</v>
      </c>
      <c r="T495" s="268"/>
      <c r="U495" s="269">
        <v>2970000</v>
      </c>
      <c r="V495" s="269">
        <v>0</v>
      </c>
      <c r="W495" s="278">
        <v>0</v>
      </c>
      <c r="X495" s="270"/>
      <c r="Y495" s="262" t="s">
        <v>24</v>
      </c>
      <c r="Z495" s="271" t="s">
        <v>24</v>
      </c>
      <c r="AA495" s="287"/>
      <c r="AB495" s="287"/>
      <c r="AC495" s="272">
        <f t="shared" si="17"/>
        <v>3000000</v>
      </c>
      <c r="AD495" s="272">
        <v>3000000</v>
      </c>
      <c r="AE495" s="272">
        <f t="shared" si="18"/>
        <v>0</v>
      </c>
      <c r="AF495" s="273"/>
      <c r="AG495" s="274"/>
      <c r="AH495" s="273"/>
      <c r="AI495" s="273"/>
      <c r="AJ495" s="274"/>
      <c r="AK495" s="273"/>
      <c r="AL495" s="275"/>
      <c r="AM495" s="290"/>
      <c r="AN495" s="275"/>
      <c r="AO495" s="276"/>
      <c r="AP495" s="275"/>
      <c r="AQ495" s="275"/>
      <c r="AR495" s="275"/>
      <c r="AS495" s="275"/>
      <c r="AT495" s="275"/>
      <c r="AU495" s="275"/>
      <c r="AV495" s="275"/>
      <c r="AW495" s="275"/>
      <c r="AX495" s="275"/>
      <c r="AY495" s="275"/>
      <c r="AZ495" s="275"/>
      <c r="BA495" s="275"/>
      <c r="BB495" s="275"/>
      <c r="BC495" s="275"/>
      <c r="BD495" s="275"/>
      <c r="BE495" s="275">
        <v>3000000</v>
      </c>
      <c r="BF495" s="275"/>
      <c r="BH495" s="277"/>
    </row>
    <row r="496" spans="1:60" ht="16.5" hidden="1" customHeight="1" x14ac:dyDescent="0.3">
      <c r="A496" s="260">
        <v>474</v>
      </c>
      <c r="B496" s="261"/>
      <c r="C496" s="261"/>
      <c r="D496" s="262" t="s">
        <v>15</v>
      </c>
      <c r="E496" s="262" t="s">
        <v>364</v>
      </c>
      <c r="F496" s="263" t="s">
        <v>15</v>
      </c>
      <c r="G496" s="264" t="s">
        <v>364</v>
      </c>
      <c r="H496" s="281"/>
      <c r="I496" s="265"/>
      <c r="J496" s="266" t="s">
        <v>963</v>
      </c>
      <c r="K496" s="262"/>
      <c r="L496" s="262"/>
      <c r="M496" s="262">
        <v>16169</v>
      </c>
      <c r="N496" s="262"/>
      <c r="O496" s="262"/>
      <c r="P496" s="262"/>
      <c r="Q496" s="262"/>
      <c r="R496" s="262" t="s">
        <v>31</v>
      </c>
      <c r="S496" s="267" t="s">
        <v>31</v>
      </c>
      <c r="T496" s="268"/>
      <c r="U496" s="269"/>
      <c r="V496" s="269"/>
      <c r="W496" s="278">
        <v>0</v>
      </c>
      <c r="X496" s="270"/>
      <c r="Y496" s="262" t="s">
        <v>718</v>
      </c>
      <c r="Z496" s="271" t="s">
        <v>27</v>
      </c>
      <c r="AA496" s="287"/>
      <c r="AB496" s="287"/>
      <c r="AC496" s="272">
        <f t="shared" si="17"/>
        <v>3278000</v>
      </c>
      <c r="AD496" s="272">
        <v>3278000</v>
      </c>
      <c r="AE496" s="272">
        <f t="shared" si="18"/>
        <v>0</v>
      </c>
      <c r="AF496" s="273">
        <v>2282000</v>
      </c>
      <c r="AG496" s="274">
        <v>3278000</v>
      </c>
      <c r="AH496" s="273"/>
      <c r="AI496" s="273"/>
      <c r="AJ496" s="274"/>
      <c r="AK496" s="273"/>
      <c r="AL496" s="275"/>
      <c r="AM496" s="290"/>
      <c r="AN496" s="275"/>
      <c r="AO496" s="276"/>
      <c r="AP496" s="275"/>
      <c r="AQ496" s="275"/>
      <c r="AR496" s="275"/>
      <c r="AS496" s="275"/>
      <c r="AT496" s="275"/>
      <c r="AU496" s="275"/>
      <c r="AV496" s="275"/>
      <c r="AW496" s="275"/>
      <c r="AX496" s="275"/>
      <c r="AY496" s="275"/>
      <c r="AZ496" s="275"/>
      <c r="BA496" s="275"/>
      <c r="BB496" s="275"/>
      <c r="BC496" s="275"/>
      <c r="BD496" s="275"/>
      <c r="BE496" s="275"/>
      <c r="BF496" s="275"/>
      <c r="BH496" s="277"/>
    </row>
    <row r="497" spans="1:60" ht="16.5" hidden="1" customHeight="1" x14ac:dyDescent="0.3">
      <c r="A497" s="260">
        <v>475</v>
      </c>
      <c r="B497" s="261"/>
      <c r="C497" s="261"/>
      <c r="D497" s="262" t="s">
        <v>15</v>
      </c>
      <c r="E497" s="262" t="s">
        <v>364</v>
      </c>
      <c r="F497" s="263" t="s">
        <v>15</v>
      </c>
      <c r="G497" s="264" t="s">
        <v>364</v>
      </c>
      <c r="H497" s="281"/>
      <c r="I497" s="265"/>
      <c r="J497" s="266" t="s">
        <v>632</v>
      </c>
      <c r="K497" s="262"/>
      <c r="L497" s="262"/>
      <c r="M497" s="262">
        <v>43110</v>
      </c>
      <c r="N497" s="262" t="s">
        <v>22</v>
      </c>
      <c r="O497" s="262" t="s">
        <v>56</v>
      </c>
      <c r="P497" s="262" t="s">
        <v>57</v>
      </c>
      <c r="Q497" s="262" t="s">
        <v>30</v>
      </c>
      <c r="R497" s="262" t="s">
        <v>31</v>
      </c>
      <c r="S497" s="267" t="s">
        <v>31</v>
      </c>
      <c r="T497" s="268"/>
      <c r="U497" s="269"/>
      <c r="V497" s="269">
        <v>896000</v>
      </c>
      <c r="W497" s="278">
        <v>0</v>
      </c>
      <c r="X497" s="270"/>
      <c r="Y497" s="262" t="s">
        <v>20</v>
      </c>
      <c r="Z497" s="271" t="s">
        <v>20</v>
      </c>
      <c r="AA497" s="287"/>
      <c r="AB497" s="287"/>
      <c r="AC497" s="272">
        <f t="shared" si="17"/>
        <v>0</v>
      </c>
      <c r="AD497" s="272">
        <v>0</v>
      </c>
      <c r="AE497" s="272">
        <f t="shared" si="18"/>
        <v>0</v>
      </c>
      <c r="AF497" s="273"/>
      <c r="AG497" s="274"/>
      <c r="AH497" s="273"/>
      <c r="AI497" s="273"/>
      <c r="AJ497" s="274"/>
      <c r="AK497" s="273"/>
      <c r="AL497" s="275"/>
      <c r="AM497" s="290"/>
      <c r="AN497" s="275"/>
      <c r="AO497" s="276"/>
      <c r="AP497" s="275"/>
      <c r="AQ497" s="275"/>
      <c r="AR497" s="275"/>
      <c r="AS497" s="275"/>
      <c r="AT497" s="275"/>
      <c r="AU497" s="275"/>
      <c r="AV497" s="275"/>
      <c r="AW497" s="275"/>
      <c r="AX497" s="275"/>
      <c r="AY497" s="275"/>
      <c r="AZ497" s="275"/>
      <c r="BA497" s="275"/>
      <c r="BB497" s="275"/>
      <c r="BC497" s="275"/>
      <c r="BD497" s="275"/>
      <c r="BE497" s="275"/>
      <c r="BF497" s="275"/>
      <c r="BH497" s="277"/>
    </row>
    <row r="498" spans="1:60" ht="16.5" hidden="1" customHeight="1" x14ac:dyDescent="0.3">
      <c r="A498" s="260">
        <v>476</v>
      </c>
      <c r="B498" s="261"/>
      <c r="C498" s="261"/>
      <c r="D498" s="262"/>
      <c r="E498" s="262"/>
      <c r="F498" s="263" t="s">
        <v>15</v>
      </c>
      <c r="G498" s="264" t="s">
        <v>364</v>
      </c>
      <c r="H498" s="281"/>
      <c r="I498" s="265"/>
      <c r="J498" s="266" t="s">
        <v>394</v>
      </c>
      <c r="K498" s="262"/>
      <c r="L498" s="262"/>
      <c r="M498" s="262">
        <v>16703</v>
      </c>
      <c r="N498" s="262" t="s">
        <v>22</v>
      </c>
      <c r="O498" s="262" t="s">
        <v>56</v>
      </c>
      <c r="P498" s="262" t="s">
        <v>57</v>
      </c>
      <c r="Q498" s="262" t="s">
        <v>30</v>
      </c>
      <c r="R498" s="262" t="s">
        <v>31</v>
      </c>
      <c r="S498" s="267" t="s">
        <v>31</v>
      </c>
      <c r="T498" s="268"/>
      <c r="U498" s="269">
        <v>14967000</v>
      </c>
      <c r="V498" s="269">
        <v>13598000</v>
      </c>
      <c r="W498" s="278">
        <v>13951000</v>
      </c>
      <c r="X498" s="270"/>
      <c r="Y498" s="262" t="s">
        <v>24</v>
      </c>
      <c r="Z498" s="271" t="s">
        <v>24</v>
      </c>
      <c r="AA498" s="287"/>
      <c r="AB498" s="287"/>
      <c r="AC498" s="272">
        <f t="shared" si="17"/>
        <v>10000000</v>
      </c>
      <c r="AD498" s="272">
        <v>10000000</v>
      </c>
      <c r="AE498" s="272">
        <f t="shared" si="18"/>
        <v>0</v>
      </c>
      <c r="AF498" s="273"/>
      <c r="AG498" s="274"/>
      <c r="AH498" s="273"/>
      <c r="AI498" s="273"/>
      <c r="AJ498" s="274"/>
      <c r="AK498" s="273"/>
      <c r="AL498" s="275"/>
      <c r="AM498" s="290"/>
      <c r="AN498" s="275"/>
      <c r="AO498" s="276"/>
      <c r="AP498" s="275"/>
      <c r="AQ498" s="275"/>
      <c r="AR498" s="275"/>
      <c r="AS498" s="275"/>
      <c r="AT498" s="275"/>
      <c r="AU498" s="275"/>
      <c r="AV498" s="275"/>
      <c r="AW498" s="275"/>
      <c r="AX498" s="275"/>
      <c r="AY498" s="275"/>
      <c r="AZ498" s="275"/>
      <c r="BA498" s="275"/>
      <c r="BB498" s="275"/>
      <c r="BC498" s="275"/>
      <c r="BD498" s="275"/>
      <c r="BE498" s="275">
        <v>10000000</v>
      </c>
      <c r="BF498" s="275"/>
      <c r="BH498" s="277"/>
    </row>
    <row r="499" spans="1:60" ht="16.5" hidden="1" customHeight="1" x14ac:dyDescent="0.3">
      <c r="A499" s="260">
        <v>477</v>
      </c>
      <c r="B499" s="261"/>
      <c r="C499" s="261"/>
      <c r="D499" s="262" t="s">
        <v>15</v>
      </c>
      <c r="E499" s="262" t="s">
        <v>364</v>
      </c>
      <c r="F499" s="263" t="s">
        <v>15</v>
      </c>
      <c r="G499" s="264" t="s">
        <v>364</v>
      </c>
      <c r="H499" s="281"/>
      <c r="I499" s="265"/>
      <c r="J499" s="266" t="s">
        <v>394</v>
      </c>
      <c r="K499" s="262"/>
      <c r="L499" s="262"/>
      <c r="M499" s="262">
        <v>16703</v>
      </c>
      <c r="N499" s="262"/>
      <c r="O499" s="262"/>
      <c r="P499" s="262"/>
      <c r="Q499" s="262"/>
      <c r="R499" s="262"/>
      <c r="S499" s="267" t="s">
        <v>478</v>
      </c>
      <c r="T499" s="268"/>
      <c r="U499" s="269"/>
      <c r="V499" s="269"/>
      <c r="W499" s="278">
        <v>4950000</v>
      </c>
      <c r="X499" s="270"/>
      <c r="Y499" s="262"/>
      <c r="Z499" s="271" t="s">
        <v>718</v>
      </c>
      <c r="AA499" s="287"/>
      <c r="AB499" s="287"/>
      <c r="AC499" s="272">
        <f t="shared" si="17"/>
        <v>0</v>
      </c>
      <c r="AD499" s="272">
        <v>0</v>
      </c>
      <c r="AE499" s="272">
        <f t="shared" si="18"/>
        <v>0</v>
      </c>
      <c r="AF499" s="273"/>
      <c r="AG499" s="274"/>
      <c r="AH499" s="273"/>
      <c r="AI499" s="273"/>
      <c r="AJ499" s="274"/>
      <c r="AK499" s="273"/>
      <c r="AL499" s="275"/>
      <c r="AM499" s="290"/>
      <c r="AN499" s="275"/>
      <c r="AO499" s="276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H499" s="277"/>
    </row>
    <row r="500" spans="1:60" ht="16.5" hidden="1" customHeight="1" x14ac:dyDescent="0.3">
      <c r="A500" s="260">
        <v>478</v>
      </c>
      <c r="B500" s="261"/>
      <c r="C500" s="261"/>
      <c r="D500" s="262" t="s">
        <v>15</v>
      </c>
      <c r="E500" s="262" t="s">
        <v>364</v>
      </c>
      <c r="F500" s="263" t="s">
        <v>15</v>
      </c>
      <c r="G500" s="264" t="s">
        <v>364</v>
      </c>
      <c r="H500" s="281"/>
      <c r="I500" s="265"/>
      <c r="J500" s="266" t="s">
        <v>395</v>
      </c>
      <c r="K500" s="262"/>
      <c r="L500" s="262"/>
      <c r="M500" s="262">
        <v>14630</v>
      </c>
      <c r="N500" s="262" t="s">
        <v>22</v>
      </c>
      <c r="O500" s="262" t="s">
        <v>56</v>
      </c>
      <c r="P500" s="262" t="s">
        <v>57</v>
      </c>
      <c r="Q500" s="262" t="s">
        <v>63</v>
      </c>
      <c r="R500" s="262" t="s">
        <v>28</v>
      </c>
      <c r="S500" s="267" t="s">
        <v>28</v>
      </c>
      <c r="T500" s="268"/>
      <c r="U500" s="269"/>
      <c r="V500" s="269">
        <v>16182000</v>
      </c>
      <c r="W500" s="278">
        <v>0</v>
      </c>
      <c r="X500" s="270"/>
      <c r="Y500" s="262" t="s">
        <v>20</v>
      </c>
      <c r="Z500" s="271" t="s">
        <v>20</v>
      </c>
      <c r="AA500" s="287"/>
      <c r="AB500" s="287"/>
      <c r="AC500" s="272">
        <f t="shared" si="17"/>
        <v>0</v>
      </c>
      <c r="AD500" s="272">
        <v>0</v>
      </c>
      <c r="AE500" s="272">
        <f t="shared" si="18"/>
        <v>0</v>
      </c>
      <c r="AF500" s="273"/>
      <c r="AG500" s="274"/>
      <c r="AH500" s="273"/>
      <c r="AI500" s="273"/>
      <c r="AJ500" s="274"/>
      <c r="AK500" s="273"/>
      <c r="AL500" s="275"/>
      <c r="AM500" s="290"/>
      <c r="AN500" s="275"/>
      <c r="AO500" s="276"/>
      <c r="AP500" s="275"/>
      <c r="AQ500" s="275"/>
      <c r="AR500" s="275"/>
      <c r="AS500" s="275"/>
      <c r="AT500" s="275"/>
      <c r="AU500" s="275"/>
      <c r="AV500" s="275"/>
      <c r="AW500" s="275"/>
      <c r="AX500" s="275"/>
      <c r="AY500" s="275"/>
      <c r="AZ500" s="275"/>
      <c r="BA500" s="275"/>
      <c r="BB500" s="275"/>
      <c r="BC500" s="275"/>
      <c r="BD500" s="275"/>
      <c r="BE500" s="275"/>
      <c r="BF500" s="275"/>
      <c r="BH500" s="277"/>
    </row>
    <row r="501" spans="1:60" ht="16.5" hidden="1" customHeight="1" x14ac:dyDescent="0.3">
      <c r="A501" s="260">
        <v>479</v>
      </c>
      <c r="B501" s="261"/>
      <c r="C501" s="261"/>
      <c r="D501" s="262" t="s">
        <v>15</v>
      </c>
      <c r="E501" s="262" t="s">
        <v>364</v>
      </c>
      <c r="F501" s="263" t="s">
        <v>15</v>
      </c>
      <c r="G501" s="264" t="s">
        <v>364</v>
      </c>
      <c r="H501" s="281"/>
      <c r="I501" s="265"/>
      <c r="J501" s="266" t="s">
        <v>395</v>
      </c>
      <c r="K501" s="262"/>
      <c r="L501" s="262"/>
      <c r="M501" s="262">
        <v>14630</v>
      </c>
      <c r="N501" s="262" t="s">
        <v>53</v>
      </c>
      <c r="O501" s="262" t="s">
        <v>56</v>
      </c>
      <c r="P501" s="262" t="s">
        <v>57</v>
      </c>
      <c r="Q501" s="262" t="s">
        <v>30</v>
      </c>
      <c r="R501" s="262" t="s">
        <v>31</v>
      </c>
      <c r="S501" s="267" t="s">
        <v>31</v>
      </c>
      <c r="T501" s="268"/>
      <c r="U501" s="269">
        <v>15497500</v>
      </c>
      <c r="V501" s="269">
        <v>0</v>
      </c>
      <c r="W501" s="278">
        <v>5363000</v>
      </c>
      <c r="X501" s="270"/>
      <c r="Y501" s="262" t="s">
        <v>27</v>
      </c>
      <c r="Z501" s="271" t="s">
        <v>24</v>
      </c>
      <c r="AA501" s="287"/>
      <c r="AB501" s="287"/>
      <c r="AC501" s="272">
        <f t="shared" si="17"/>
        <v>15000000</v>
      </c>
      <c r="AD501" s="272">
        <v>15000000</v>
      </c>
      <c r="AE501" s="272">
        <f t="shared" si="18"/>
        <v>0</v>
      </c>
      <c r="AF501" s="273"/>
      <c r="AG501" s="274"/>
      <c r="AH501" s="273"/>
      <c r="AI501" s="273"/>
      <c r="AJ501" s="274"/>
      <c r="AK501" s="273"/>
      <c r="AL501" s="275"/>
      <c r="AM501" s="290"/>
      <c r="AN501" s="275"/>
      <c r="AO501" s="276"/>
      <c r="AP501" s="275"/>
      <c r="AQ501" s="275"/>
      <c r="AR501" s="275"/>
      <c r="AS501" s="275"/>
      <c r="AT501" s="275"/>
      <c r="AU501" s="275"/>
      <c r="AV501" s="275"/>
      <c r="AW501" s="275"/>
      <c r="AX501" s="275"/>
      <c r="AY501" s="275"/>
      <c r="AZ501" s="275"/>
      <c r="BA501" s="275"/>
      <c r="BB501" s="275"/>
      <c r="BC501" s="275"/>
      <c r="BD501" s="275"/>
      <c r="BE501" s="275">
        <v>15000000</v>
      </c>
      <c r="BF501" s="275"/>
      <c r="BH501" s="277"/>
    </row>
    <row r="502" spans="1:60" ht="16.5" hidden="1" customHeight="1" x14ac:dyDescent="0.3">
      <c r="A502" s="260">
        <v>480</v>
      </c>
      <c r="B502" s="261"/>
      <c r="C502" s="261"/>
      <c r="D502" s="262"/>
      <c r="E502" s="262"/>
      <c r="F502" s="263" t="s">
        <v>15</v>
      </c>
      <c r="G502" s="264" t="s">
        <v>364</v>
      </c>
      <c r="H502" s="281"/>
      <c r="I502" s="265"/>
      <c r="J502" s="266" t="s">
        <v>395</v>
      </c>
      <c r="K502" s="262"/>
      <c r="L502" s="262"/>
      <c r="M502" s="262">
        <v>14630</v>
      </c>
      <c r="N502" s="262" t="s">
        <v>22</v>
      </c>
      <c r="O502" s="262" t="s">
        <v>35</v>
      </c>
      <c r="P502" s="262" t="s">
        <v>57</v>
      </c>
      <c r="Q502" s="262"/>
      <c r="R502" s="262"/>
      <c r="S502" s="267" t="s">
        <v>834</v>
      </c>
      <c r="T502" s="268"/>
      <c r="U502" s="269"/>
      <c r="V502" s="269"/>
      <c r="W502" s="278">
        <v>0</v>
      </c>
      <c r="X502" s="270"/>
      <c r="Y502" s="262"/>
      <c r="Z502" s="271" t="s">
        <v>25</v>
      </c>
      <c r="AA502" s="287"/>
      <c r="AB502" s="287"/>
      <c r="AC502" s="272">
        <f t="shared" si="17"/>
        <v>0</v>
      </c>
      <c r="AD502" s="272">
        <v>0</v>
      </c>
      <c r="AE502" s="272">
        <f t="shared" si="18"/>
        <v>0</v>
      </c>
      <c r="AF502" s="273"/>
      <c r="AG502" s="274"/>
      <c r="AH502" s="273"/>
      <c r="AI502" s="273"/>
      <c r="AJ502" s="274"/>
      <c r="AK502" s="273"/>
      <c r="AL502" s="275"/>
      <c r="AM502" s="290"/>
      <c r="AN502" s="275"/>
      <c r="AO502" s="276"/>
      <c r="AP502" s="275"/>
      <c r="AQ502" s="275"/>
      <c r="AR502" s="275"/>
      <c r="AS502" s="275"/>
      <c r="AT502" s="275"/>
      <c r="AU502" s="275"/>
      <c r="AV502" s="275"/>
      <c r="AW502" s="275"/>
      <c r="AX502" s="275"/>
      <c r="AY502" s="275"/>
      <c r="AZ502" s="275"/>
      <c r="BA502" s="275"/>
      <c r="BB502" s="275"/>
      <c r="BC502" s="275"/>
      <c r="BD502" s="275"/>
      <c r="BE502" s="275"/>
      <c r="BF502" s="275"/>
      <c r="BH502" s="277"/>
    </row>
    <row r="503" spans="1:60" ht="16.5" hidden="1" customHeight="1" x14ac:dyDescent="0.3">
      <c r="A503" s="260">
        <v>481</v>
      </c>
      <c r="B503" s="261"/>
      <c r="C503" s="261"/>
      <c r="D503" s="262" t="s">
        <v>15</v>
      </c>
      <c r="E503" s="262" t="s">
        <v>364</v>
      </c>
      <c r="F503" s="263" t="s">
        <v>15</v>
      </c>
      <c r="G503" s="264" t="s">
        <v>364</v>
      </c>
      <c r="H503" s="281"/>
      <c r="I503" s="265"/>
      <c r="J503" s="266" t="s">
        <v>203</v>
      </c>
      <c r="K503" s="262"/>
      <c r="L503" s="262"/>
      <c r="M503" s="262">
        <v>13066</v>
      </c>
      <c r="N503" s="262" t="s">
        <v>53</v>
      </c>
      <c r="O503" s="262" t="s">
        <v>35</v>
      </c>
      <c r="P503" s="262" t="s">
        <v>156</v>
      </c>
      <c r="Q503" s="262" t="s">
        <v>30</v>
      </c>
      <c r="R503" s="262" t="s">
        <v>31</v>
      </c>
      <c r="S503" s="267" t="s">
        <v>28</v>
      </c>
      <c r="T503" s="268"/>
      <c r="U503" s="269">
        <v>5240000</v>
      </c>
      <c r="V503" s="269">
        <v>0</v>
      </c>
      <c r="W503" s="278">
        <v>0</v>
      </c>
      <c r="X503" s="270"/>
      <c r="Y503" s="262" t="s">
        <v>21</v>
      </c>
      <c r="Z503" s="271" t="s">
        <v>21</v>
      </c>
      <c r="AA503" s="287"/>
      <c r="AB503" s="287"/>
      <c r="AC503" s="272">
        <f t="shared" si="17"/>
        <v>0</v>
      </c>
      <c r="AD503" s="272">
        <v>0</v>
      </c>
      <c r="AE503" s="272">
        <f t="shared" si="18"/>
        <v>0</v>
      </c>
      <c r="AF503" s="273"/>
      <c r="AG503" s="274"/>
      <c r="AH503" s="273"/>
      <c r="AI503" s="273"/>
      <c r="AJ503" s="274"/>
      <c r="AK503" s="273"/>
      <c r="AL503" s="275"/>
      <c r="AM503" s="290"/>
      <c r="AN503" s="275"/>
      <c r="AO503" s="276"/>
      <c r="AP503" s="275"/>
      <c r="AQ503" s="275"/>
      <c r="AR503" s="275"/>
      <c r="AS503" s="275"/>
      <c r="AT503" s="275"/>
      <c r="AU503" s="275"/>
      <c r="AV503" s="275"/>
      <c r="AW503" s="275"/>
      <c r="AX503" s="275"/>
      <c r="AY503" s="275"/>
      <c r="AZ503" s="275"/>
      <c r="BA503" s="275"/>
      <c r="BB503" s="275"/>
      <c r="BC503" s="275"/>
      <c r="BD503" s="275"/>
      <c r="BE503" s="275"/>
      <c r="BF503" s="275"/>
      <c r="BH503" s="277"/>
    </row>
    <row r="504" spans="1:60" ht="16.5" hidden="1" customHeight="1" x14ac:dyDescent="0.3">
      <c r="A504" s="260">
        <v>482</v>
      </c>
      <c r="B504" s="261"/>
      <c r="C504" s="261"/>
      <c r="D504" s="262" t="s">
        <v>15</v>
      </c>
      <c r="E504" s="262" t="s">
        <v>364</v>
      </c>
      <c r="F504" s="263" t="s">
        <v>15</v>
      </c>
      <c r="G504" s="264" t="s">
        <v>364</v>
      </c>
      <c r="H504" s="281"/>
      <c r="I504" s="265"/>
      <c r="J504" s="266" t="s">
        <v>203</v>
      </c>
      <c r="K504" s="262"/>
      <c r="L504" s="262"/>
      <c r="M504" s="262">
        <v>13066</v>
      </c>
      <c r="N504" s="262" t="s">
        <v>53</v>
      </c>
      <c r="O504" s="262" t="s">
        <v>35</v>
      </c>
      <c r="P504" s="262" t="s">
        <v>156</v>
      </c>
      <c r="Q504" s="262"/>
      <c r="R504" s="262" t="s">
        <v>28</v>
      </c>
      <c r="S504" s="267" t="s">
        <v>31</v>
      </c>
      <c r="T504" s="268"/>
      <c r="U504" s="269"/>
      <c r="V504" s="269">
        <v>0</v>
      </c>
      <c r="W504" s="278">
        <v>0</v>
      </c>
      <c r="X504" s="270"/>
      <c r="Y504" s="262" t="s">
        <v>25</v>
      </c>
      <c r="Z504" s="271" t="s">
        <v>27</v>
      </c>
      <c r="AA504" s="287"/>
      <c r="AB504" s="287"/>
      <c r="AC504" s="272">
        <f t="shared" si="17"/>
        <v>19005000</v>
      </c>
      <c r="AD504" s="272">
        <v>19005000</v>
      </c>
      <c r="AE504" s="272">
        <f t="shared" si="18"/>
        <v>0</v>
      </c>
      <c r="AF504" s="273"/>
      <c r="AG504" s="274"/>
      <c r="AH504" s="273"/>
      <c r="AI504" s="273"/>
      <c r="AJ504" s="274"/>
      <c r="AK504" s="273"/>
      <c r="AL504" s="275">
        <v>5000</v>
      </c>
      <c r="AM504" s="290">
        <v>5000</v>
      </c>
      <c r="AN504" s="275"/>
      <c r="AO504" s="276">
        <v>0</v>
      </c>
      <c r="AP504" s="275"/>
      <c r="AQ504" s="275">
        <v>0</v>
      </c>
      <c r="AR504" s="275"/>
      <c r="AS504" s="275">
        <v>0</v>
      </c>
      <c r="AT504" s="275"/>
      <c r="AU504" s="275">
        <v>0</v>
      </c>
      <c r="AV504" s="275"/>
      <c r="AW504" s="275">
        <v>0</v>
      </c>
      <c r="AX504" s="275"/>
      <c r="AY504" s="275">
        <v>0</v>
      </c>
      <c r="AZ504" s="275"/>
      <c r="BA504" s="275">
        <v>19000000</v>
      </c>
      <c r="BB504" s="275"/>
      <c r="BC504" s="275">
        <v>0</v>
      </c>
      <c r="BD504" s="275"/>
      <c r="BE504" s="275">
        <v>0</v>
      </c>
      <c r="BF504" s="275"/>
      <c r="BH504" s="277"/>
    </row>
    <row r="505" spans="1:60" ht="16.5" hidden="1" customHeight="1" x14ac:dyDescent="0.3">
      <c r="A505" s="260">
        <v>483</v>
      </c>
      <c r="B505" s="261"/>
      <c r="C505" s="261"/>
      <c r="D505" s="262" t="s">
        <v>15</v>
      </c>
      <c r="E505" s="262" t="s">
        <v>364</v>
      </c>
      <c r="F505" s="263" t="s">
        <v>15</v>
      </c>
      <c r="G505" s="264" t="s">
        <v>364</v>
      </c>
      <c r="H505" s="281"/>
      <c r="I505" s="265"/>
      <c r="J505" s="266" t="s">
        <v>203</v>
      </c>
      <c r="K505" s="262"/>
      <c r="L505" s="262"/>
      <c r="M505" s="262">
        <v>13066</v>
      </c>
      <c r="N505" s="262" t="s">
        <v>53</v>
      </c>
      <c r="O505" s="262" t="s">
        <v>35</v>
      </c>
      <c r="P505" s="262" t="s">
        <v>156</v>
      </c>
      <c r="Q505" s="262"/>
      <c r="R505" s="262" t="s">
        <v>468</v>
      </c>
      <c r="S505" s="267" t="s">
        <v>468</v>
      </c>
      <c r="T505" s="268"/>
      <c r="U505" s="269"/>
      <c r="V505" s="269">
        <v>0</v>
      </c>
      <c r="W505" s="278">
        <v>0</v>
      </c>
      <c r="X505" s="270"/>
      <c r="Y505" s="262" t="s">
        <v>25</v>
      </c>
      <c r="Z505" s="271" t="s">
        <v>25</v>
      </c>
      <c r="AA505" s="287"/>
      <c r="AB505" s="287"/>
      <c r="AC505" s="272">
        <f t="shared" si="17"/>
        <v>3000000</v>
      </c>
      <c r="AD505" s="272">
        <v>3000000</v>
      </c>
      <c r="AE505" s="272">
        <f t="shared" si="18"/>
        <v>0</v>
      </c>
      <c r="AF505" s="273"/>
      <c r="AG505" s="274"/>
      <c r="AH505" s="273"/>
      <c r="AI505" s="273"/>
      <c r="AJ505" s="274"/>
      <c r="AK505" s="273"/>
      <c r="AL505" s="275"/>
      <c r="AM505" s="290"/>
      <c r="AN505" s="275"/>
      <c r="AO505" s="276"/>
      <c r="AP505" s="275"/>
      <c r="AQ505" s="291">
        <v>3000000</v>
      </c>
      <c r="AR505" s="275"/>
      <c r="AS505" s="275"/>
      <c r="AT505" s="275"/>
      <c r="AU505" s="275"/>
      <c r="AV505" s="275"/>
      <c r="AW505" s="275"/>
      <c r="AX505" s="275"/>
      <c r="AY505" s="275"/>
      <c r="AZ505" s="275"/>
      <c r="BA505" s="275"/>
      <c r="BB505" s="275"/>
      <c r="BC505" s="275"/>
      <c r="BD505" s="275"/>
      <c r="BE505" s="275"/>
      <c r="BF505" s="275"/>
      <c r="BH505" s="277"/>
    </row>
    <row r="506" spans="1:60" ht="16.5" hidden="1" customHeight="1" x14ac:dyDescent="0.3">
      <c r="A506" s="260">
        <v>484</v>
      </c>
      <c r="B506" s="261"/>
      <c r="C506" s="261"/>
      <c r="D506" s="262" t="s">
        <v>15</v>
      </c>
      <c r="E506" s="262" t="s">
        <v>2</v>
      </c>
      <c r="F506" s="263" t="s">
        <v>15</v>
      </c>
      <c r="G506" s="264" t="s">
        <v>2</v>
      </c>
      <c r="H506" s="281"/>
      <c r="I506" s="265"/>
      <c r="J506" s="266" t="s">
        <v>78</v>
      </c>
      <c r="K506" s="262"/>
      <c r="L506" s="262"/>
      <c r="M506" s="262">
        <v>4372</v>
      </c>
      <c r="N506" s="262"/>
      <c r="O506" s="262"/>
      <c r="P506" s="262"/>
      <c r="Q506" s="262"/>
      <c r="R506" s="262"/>
      <c r="S506" s="267" t="s">
        <v>19</v>
      </c>
      <c r="T506" s="268"/>
      <c r="U506" s="269"/>
      <c r="V506" s="269"/>
      <c r="W506" s="278">
        <v>2878000</v>
      </c>
      <c r="X506" s="270"/>
      <c r="Y506" s="262"/>
      <c r="Z506" s="271" t="s">
        <v>718</v>
      </c>
      <c r="AA506" s="287"/>
      <c r="AB506" s="287"/>
      <c r="AC506" s="272">
        <f t="shared" si="17"/>
        <v>0</v>
      </c>
      <c r="AD506" s="272">
        <v>0</v>
      </c>
      <c r="AE506" s="272">
        <f t="shared" si="18"/>
        <v>0</v>
      </c>
      <c r="AF506" s="273"/>
      <c r="AG506" s="274"/>
      <c r="AH506" s="273"/>
      <c r="AI506" s="273"/>
      <c r="AJ506" s="274"/>
      <c r="AK506" s="273"/>
      <c r="AL506" s="275"/>
      <c r="AM506" s="290"/>
      <c r="AN506" s="275"/>
      <c r="AO506" s="276"/>
      <c r="AP506" s="275"/>
      <c r="AQ506" s="275"/>
      <c r="AR506" s="275"/>
      <c r="AS506" s="275"/>
      <c r="AT506" s="275"/>
      <c r="AU506" s="275"/>
      <c r="AV506" s="275"/>
      <c r="AW506" s="275"/>
      <c r="AX506" s="275"/>
      <c r="AY506" s="275"/>
      <c r="AZ506" s="275"/>
      <c r="BA506" s="275"/>
      <c r="BB506" s="275"/>
      <c r="BC506" s="275"/>
      <c r="BD506" s="275"/>
      <c r="BE506" s="275"/>
      <c r="BF506" s="275"/>
      <c r="BH506" s="277"/>
    </row>
    <row r="507" spans="1:60" ht="16.5" hidden="1" customHeight="1" x14ac:dyDescent="0.3">
      <c r="A507" s="260">
        <v>485</v>
      </c>
      <c r="B507" s="261"/>
      <c r="C507" s="261"/>
      <c r="D507" s="262" t="s">
        <v>15</v>
      </c>
      <c r="E507" s="262" t="s">
        <v>2</v>
      </c>
      <c r="F507" s="263" t="s">
        <v>15</v>
      </c>
      <c r="G507" s="264" t="s">
        <v>2</v>
      </c>
      <c r="H507" s="281"/>
      <c r="I507" s="265"/>
      <c r="J507" s="266" t="s">
        <v>78</v>
      </c>
      <c r="K507" s="262"/>
      <c r="L507" s="262"/>
      <c r="M507" s="262">
        <v>4372</v>
      </c>
      <c r="N507" s="262" t="s">
        <v>53</v>
      </c>
      <c r="O507" s="262" t="s">
        <v>56</v>
      </c>
      <c r="P507" s="262" t="s">
        <v>124</v>
      </c>
      <c r="Q507" s="262" t="s">
        <v>30</v>
      </c>
      <c r="R507" s="262" t="s">
        <v>31</v>
      </c>
      <c r="S507" s="267" t="s">
        <v>31</v>
      </c>
      <c r="T507" s="268"/>
      <c r="U507" s="269">
        <v>23914000</v>
      </c>
      <c r="V507" s="269">
        <v>33039000</v>
      </c>
      <c r="W507" s="278">
        <v>31007000</v>
      </c>
      <c r="X507" s="270"/>
      <c r="Y507" s="262" t="s">
        <v>27</v>
      </c>
      <c r="Z507" s="271" t="s">
        <v>27</v>
      </c>
      <c r="AA507" s="287"/>
      <c r="AB507" s="287"/>
      <c r="AC507" s="272">
        <f t="shared" si="17"/>
        <v>30000000</v>
      </c>
      <c r="AD507" s="272">
        <v>30000000</v>
      </c>
      <c r="AE507" s="272">
        <f t="shared" si="18"/>
        <v>0</v>
      </c>
      <c r="AF507" s="273"/>
      <c r="AG507" s="274"/>
      <c r="AH507" s="273"/>
      <c r="AI507" s="273"/>
      <c r="AJ507" s="274"/>
      <c r="AK507" s="273"/>
      <c r="AL507" s="275"/>
      <c r="AM507" s="290"/>
      <c r="AN507" s="275"/>
      <c r="AO507" s="276"/>
      <c r="AP507" s="275"/>
      <c r="AQ507" s="275">
        <v>6000000</v>
      </c>
      <c r="AR507" s="275"/>
      <c r="AS507" s="275">
        <v>4000000</v>
      </c>
      <c r="AT507" s="275"/>
      <c r="AU507" s="275">
        <v>12000000</v>
      </c>
      <c r="AV507" s="275"/>
      <c r="AW507" s="275"/>
      <c r="AX507" s="275"/>
      <c r="AY507" s="275">
        <v>2000000</v>
      </c>
      <c r="AZ507" s="275"/>
      <c r="BA507" s="275"/>
      <c r="BB507" s="275"/>
      <c r="BC507" s="275"/>
      <c r="BD507" s="275"/>
      <c r="BE507" s="275">
        <v>6000000</v>
      </c>
      <c r="BF507" s="275"/>
      <c r="BH507" s="277"/>
    </row>
    <row r="508" spans="1:60" ht="16.5" hidden="1" customHeight="1" x14ac:dyDescent="0.3">
      <c r="A508" s="260">
        <v>486</v>
      </c>
      <c r="B508" s="261"/>
      <c r="C508" s="261"/>
      <c r="D508" s="262" t="s">
        <v>15</v>
      </c>
      <c r="E508" s="262" t="s">
        <v>2</v>
      </c>
      <c r="F508" s="263" t="s">
        <v>15</v>
      </c>
      <c r="G508" s="264" t="s">
        <v>2</v>
      </c>
      <c r="H508" s="281"/>
      <c r="I508" s="265"/>
      <c r="J508" s="266" t="s">
        <v>1004</v>
      </c>
      <c r="K508" s="262"/>
      <c r="L508" s="262"/>
      <c r="M508" s="262">
        <v>4372</v>
      </c>
      <c r="N508" s="262" t="s">
        <v>53</v>
      </c>
      <c r="O508" s="262" t="s">
        <v>56</v>
      </c>
      <c r="P508" s="262" t="s">
        <v>124</v>
      </c>
      <c r="Q508" s="262"/>
      <c r="R508" s="262" t="s">
        <v>633</v>
      </c>
      <c r="S508" s="267" t="s">
        <v>833</v>
      </c>
      <c r="T508" s="268"/>
      <c r="U508" s="269"/>
      <c r="V508" s="269"/>
      <c r="W508" s="278">
        <v>0</v>
      </c>
      <c r="X508" s="270"/>
      <c r="Y508" s="262" t="s">
        <v>27</v>
      </c>
      <c r="Z508" s="271" t="s">
        <v>27</v>
      </c>
      <c r="AA508" s="287"/>
      <c r="AB508" s="287"/>
      <c r="AC508" s="272">
        <f t="shared" si="17"/>
        <v>7420000</v>
      </c>
      <c r="AD508" s="272">
        <v>7420000</v>
      </c>
      <c r="AE508" s="272">
        <f t="shared" si="18"/>
        <v>0</v>
      </c>
      <c r="AF508" s="273"/>
      <c r="AG508" s="274"/>
      <c r="AH508" s="273"/>
      <c r="AI508" s="273"/>
      <c r="AJ508" s="274"/>
      <c r="AK508" s="273"/>
      <c r="AL508" s="275"/>
      <c r="AM508" s="290"/>
      <c r="AN508" s="275"/>
      <c r="AO508" s="276"/>
      <c r="AP508" s="275"/>
      <c r="AQ508" s="275">
        <v>5194000</v>
      </c>
      <c r="AR508" s="275"/>
      <c r="AS508" s="275"/>
      <c r="AT508" s="275"/>
      <c r="AU508" s="275"/>
      <c r="AV508" s="275"/>
      <c r="AW508" s="275"/>
      <c r="AX508" s="275"/>
      <c r="AY508" s="275"/>
      <c r="AZ508" s="275"/>
      <c r="BA508" s="275"/>
      <c r="BB508" s="275"/>
      <c r="BC508" s="275">
        <v>2226000</v>
      </c>
      <c r="BD508" s="275"/>
      <c r="BE508" s="275"/>
      <c r="BF508" s="275"/>
      <c r="BH508" s="277"/>
    </row>
    <row r="509" spans="1:60" ht="16.5" hidden="1" customHeight="1" x14ac:dyDescent="0.3">
      <c r="A509" s="260">
        <v>487</v>
      </c>
      <c r="B509" s="261"/>
      <c r="C509" s="261"/>
      <c r="D509" s="262" t="s">
        <v>15</v>
      </c>
      <c r="E509" s="262" t="s">
        <v>2</v>
      </c>
      <c r="F509" s="263" t="s">
        <v>15</v>
      </c>
      <c r="G509" s="264" t="s">
        <v>2</v>
      </c>
      <c r="H509" s="281"/>
      <c r="I509" s="265"/>
      <c r="J509" s="266" t="s">
        <v>78</v>
      </c>
      <c r="K509" s="262"/>
      <c r="L509" s="262"/>
      <c r="M509" s="262">
        <v>4372</v>
      </c>
      <c r="N509" s="262"/>
      <c r="O509" s="262" t="s">
        <v>35</v>
      </c>
      <c r="P509" s="262"/>
      <c r="Q509" s="262"/>
      <c r="R509" s="262"/>
      <c r="S509" s="267" t="s">
        <v>468</v>
      </c>
      <c r="T509" s="268"/>
      <c r="U509" s="269"/>
      <c r="V509" s="269"/>
      <c r="W509" s="278">
        <v>0</v>
      </c>
      <c r="X509" s="270"/>
      <c r="Y509" s="262"/>
      <c r="Z509" s="271" t="s">
        <v>25</v>
      </c>
      <c r="AA509" s="287"/>
      <c r="AB509" s="287"/>
      <c r="AC509" s="272">
        <f t="shared" si="17"/>
        <v>10000000</v>
      </c>
      <c r="AD509" s="272">
        <v>10000000</v>
      </c>
      <c r="AE509" s="272">
        <f t="shared" si="18"/>
        <v>0</v>
      </c>
      <c r="AF509" s="273"/>
      <c r="AG509" s="274"/>
      <c r="AH509" s="273"/>
      <c r="AI509" s="273"/>
      <c r="AJ509" s="274"/>
      <c r="AK509" s="273"/>
      <c r="AL509" s="275"/>
      <c r="AM509" s="290"/>
      <c r="AN509" s="275"/>
      <c r="AO509" s="276"/>
      <c r="AP509" s="275"/>
      <c r="AQ509" s="291">
        <v>10000000</v>
      </c>
      <c r="AR509" s="275"/>
      <c r="AS509" s="275"/>
      <c r="AT509" s="275"/>
      <c r="AU509" s="275"/>
      <c r="AV509" s="275"/>
      <c r="AW509" s="275"/>
      <c r="AX509" s="275"/>
      <c r="AY509" s="275"/>
      <c r="AZ509" s="275"/>
      <c r="BA509" s="275"/>
      <c r="BB509" s="275"/>
      <c r="BC509" s="275"/>
      <c r="BD509" s="275"/>
      <c r="BE509" s="275"/>
      <c r="BF509" s="275"/>
      <c r="BH509" s="277"/>
    </row>
    <row r="510" spans="1:60" ht="16.5" hidden="1" customHeight="1" x14ac:dyDescent="0.3">
      <c r="A510" s="260">
        <v>488</v>
      </c>
      <c r="B510" s="261"/>
      <c r="C510" s="261"/>
      <c r="D510" s="262" t="s">
        <v>15</v>
      </c>
      <c r="E510" s="262" t="s">
        <v>2</v>
      </c>
      <c r="F510" s="263" t="s">
        <v>15</v>
      </c>
      <c r="G510" s="264" t="s">
        <v>2</v>
      </c>
      <c r="H510" s="281"/>
      <c r="I510" s="265"/>
      <c r="J510" s="266" t="s">
        <v>596</v>
      </c>
      <c r="K510" s="262"/>
      <c r="L510" s="262"/>
      <c r="M510" s="262">
        <v>517</v>
      </c>
      <c r="N510" s="262" t="s">
        <v>22</v>
      </c>
      <c r="O510" s="262" t="s">
        <v>35</v>
      </c>
      <c r="P510" s="262"/>
      <c r="Q510" s="262" t="s">
        <v>30</v>
      </c>
      <c r="R510" s="262" t="s">
        <v>31</v>
      </c>
      <c r="S510" s="267" t="s">
        <v>31</v>
      </c>
      <c r="T510" s="268"/>
      <c r="U510" s="269">
        <v>420000</v>
      </c>
      <c r="V510" s="269">
        <v>300000</v>
      </c>
      <c r="W510" s="278">
        <v>0</v>
      </c>
      <c r="X510" s="270"/>
      <c r="Y510" s="262" t="s">
        <v>21</v>
      </c>
      <c r="Z510" s="271" t="s">
        <v>21</v>
      </c>
      <c r="AA510" s="287"/>
      <c r="AB510" s="287"/>
      <c r="AC510" s="272">
        <f t="shared" si="17"/>
        <v>0</v>
      </c>
      <c r="AD510" s="272">
        <v>0</v>
      </c>
      <c r="AE510" s="272">
        <f t="shared" si="18"/>
        <v>0</v>
      </c>
      <c r="AF510" s="273"/>
      <c r="AG510" s="274"/>
      <c r="AH510" s="273"/>
      <c r="AI510" s="273"/>
      <c r="AJ510" s="274"/>
      <c r="AK510" s="273"/>
      <c r="AL510" s="275"/>
      <c r="AM510" s="290"/>
      <c r="AN510" s="275"/>
      <c r="AO510" s="276"/>
      <c r="AP510" s="275"/>
      <c r="AQ510" s="275"/>
      <c r="AR510" s="275"/>
      <c r="AS510" s="275"/>
      <c r="AT510" s="275"/>
      <c r="AU510" s="275"/>
      <c r="AV510" s="275"/>
      <c r="AW510" s="275"/>
      <c r="AX510" s="275"/>
      <c r="AY510" s="275"/>
      <c r="AZ510" s="275"/>
      <c r="BA510" s="275"/>
      <c r="BB510" s="275"/>
      <c r="BC510" s="275"/>
      <c r="BD510" s="275"/>
      <c r="BE510" s="275"/>
      <c r="BF510" s="275"/>
      <c r="BH510" s="277"/>
    </row>
    <row r="511" spans="1:60" ht="16.5" hidden="1" customHeight="1" x14ac:dyDescent="0.3">
      <c r="A511" s="260">
        <v>489</v>
      </c>
      <c r="B511" s="261" t="s">
        <v>331</v>
      </c>
      <c r="C511" s="261" t="s">
        <v>364</v>
      </c>
      <c r="D511" s="262" t="s">
        <v>15</v>
      </c>
      <c r="E511" s="262" t="s">
        <v>2</v>
      </c>
      <c r="F511" s="263" t="s">
        <v>15</v>
      </c>
      <c r="G511" s="264" t="s">
        <v>2</v>
      </c>
      <c r="H511" s="281"/>
      <c r="I511" s="265"/>
      <c r="J511" s="266" t="s">
        <v>651</v>
      </c>
      <c r="K511" s="262"/>
      <c r="L511" s="262"/>
      <c r="M511" s="262">
        <v>4062</v>
      </c>
      <c r="N511" s="262" t="s">
        <v>22</v>
      </c>
      <c r="O511" s="262" t="s">
        <v>35</v>
      </c>
      <c r="P511" s="262"/>
      <c r="Q511" s="262"/>
      <c r="R511" s="262" t="s">
        <v>468</v>
      </c>
      <c r="S511" s="267" t="s">
        <v>468</v>
      </c>
      <c r="T511" s="268"/>
      <c r="U511" s="269"/>
      <c r="V511" s="269">
        <v>0</v>
      </c>
      <c r="W511" s="278">
        <v>0</v>
      </c>
      <c r="X511" s="270"/>
      <c r="Y511" s="262" t="s">
        <v>25</v>
      </c>
      <c r="Z511" s="271" t="s">
        <v>25</v>
      </c>
      <c r="AA511" s="287"/>
      <c r="AB511" s="287"/>
      <c r="AC511" s="272">
        <f t="shared" si="17"/>
        <v>20000000</v>
      </c>
      <c r="AD511" s="272">
        <v>20000000</v>
      </c>
      <c r="AE511" s="272">
        <f t="shared" si="18"/>
        <v>0</v>
      </c>
      <c r="AF511" s="273"/>
      <c r="AG511" s="274"/>
      <c r="AH511" s="273"/>
      <c r="AI511" s="273"/>
      <c r="AJ511" s="274"/>
      <c r="AK511" s="273"/>
      <c r="AL511" s="275"/>
      <c r="AM511" s="290"/>
      <c r="AN511" s="275"/>
      <c r="AO511" s="276"/>
      <c r="AP511" s="275"/>
      <c r="AQ511" s="275"/>
      <c r="AR511" s="275"/>
      <c r="AS511" s="275"/>
      <c r="AT511" s="275"/>
      <c r="AU511" s="275"/>
      <c r="AV511" s="275"/>
      <c r="AW511" s="275"/>
      <c r="AX511" s="275"/>
      <c r="AY511" s="275">
        <v>20000000</v>
      </c>
      <c r="AZ511" s="275"/>
      <c r="BA511" s="275"/>
      <c r="BB511" s="275"/>
      <c r="BC511" s="275"/>
      <c r="BD511" s="275"/>
      <c r="BE511" s="275"/>
      <c r="BF511" s="275"/>
      <c r="BH511" s="277"/>
    </row>
    <row r="512" spans="1:60" ht="16.5" hidden="1" customHeight="1" x14ac:dyDescent="0.3">
      <c r="A512" s="260">
        <v>490</v>
      </c>
      <c r="B512" s="261"/>
      <c r="C512" s="261"/>
      <c r="D512" s="262" t="s">
        <v>15</v>
      </c>
      <c r="E512" s="262" t="s">
        <v>2</v>
      </c>
      <c r="F512" s="263" t="s">
        <v>15</v>
      </c>
      <c r="G512" s="264" t="s">
        <v>2</v>
      </c>
      <c r="H512" s="281"/>
      <c r="I512" s="265"/>
      <c r="J512" s="266" t="s">
        <v>64</v>
      </c>
      <c r="K512" s="262"/>
      <c r="L512" s="262"/>
      <c r="M512" s="262">
        <v>42824</v>
      </c>
      <c r="N512" s="262" t="s">
        <v>22</v>
      </c>
      <c r="O512" s="262" t="s">
        <v>56</v>
      </c>
      <c r="P512" s="262" t="s">
        <v>156</v>
      </c>
      <c r="Q512" s="262"/>
      <c r="R512" s="262" t="s">
        <v>467</v>
      </c>
      <c r="S512" s="267" t="s">
        <v>31</v>
      </c>
      <c r="T512" s="268"/>
      <c r="U512" s="269"/>
      <c r="V512" s="269"/>
      <c r="W512" s="278">
        <v>0</v>
      </c>
      <c r="X512" s="270"/>
      <c r="Y512" s="262" t="s">
        <v>27</v>
      </c>
      <c r="Z512" s="271" t="s">
        <v>27</v>
      </c>
      <c r="AA512" s="287"/>
      <c r="AB512" s="287"/>
      <c r="AC512" s="272">
        <f t="shared" si="17"/>
        <v>20000000</v>
      </c>
      <c r="AD512" s="272">
        <v>20000000</v>
      </c>
      <c r="AE512" s="272">
        <f t="shared" si="18"/>
        <v>0</v>
      </c>
      <c r="AF512" s="273"/>
      <c r="AG512" s="274"/>
      <c r="AH512" s="273"/>
      <c r="AI512" s="273"/>
      <c r="AJ512" s="274"/>
      <c r="AK512" s="273"/>
      <c r="AL512" s="275"/>
      <c r="AM512" s="290"/>
      <c r="AN512" s="275"/>
      <c r="AO512" s="276"/>
      <c r="AP512" s="275"/>
      <c r="AQ512" s="275"/>
      <c r="AR512" s="275"/>
      <c r="AS512" s="275"/>
      <c r="AT512" s="275"/>
      <c r="AU512" s="275">
        <v>20000000</v>
      </c>
      <c r="AV512" s="275"/>
      <c r="AW512" s="275"/>
      <c r="AX512" s="275"/>
      <c r="AY512" s="275"/>
      <c r="AZ512" s="275"/>
      <c r="BA512" s="275"/>
      <c r="BB512" s="275"/>
      <c r="BC512" s="275"/>
      <c r="BD512" s="275"/>
      <c r="BE512" s="275"/>
      <c r="BF512" s="275"/>
      <c r="BH512" s="277"/>
    </row>
    <row r="513" spans="1:60" ht="16.5" hidden="1" customHeight="1" x14ac:dyDescent="0.3">
      <c r="A513" s="260">
        <v>491</v>
      </c>
      <c r="B513" s="261"/>
      <c r="C513" s="261"/>
      <c r="D513" s="262" t="s">
        <v>15</v>
      </c>
      <c r="E513" s="262" t="s">
        <v>2</v>
      </c>
      <c r="F513" s="263" t="s">
        <v>15</v>
      </c>
      <c r="G513" s="264" t="s">
        <v>2</v>
      </c>
      <c r="H513" s="281"/>
      <c r="I513" s="265"/>
      <c r="J513" s="266" t="s">
        <v>64</v>
      </c>
      <c r="K513" s="262"/>
      <c r="L513" s="262"/>
      <c r="M513" s="262">
        <v>42824</v>
      </c>
      <c r="N513" s="262" t="s">
        <v>22</v>
      </c>
      <c r="O513" s="262" t="s">
        <v>35</v>
      </c>
      <c r="P513" s="262"/>
      <c r="Q513" s="262" t="s">
        <v>54</v>
      </c>
      <c r="R513" s="262" t="s">
        <v>467</v>
      </c>
      <c r="S513" s="267" t="s">
        <v>826</v>
      </c>
      <c r="T513" s="268"/>
      <c r="U513" s="269">
        <v>12568000</v>
      </c>
      <c r="V513" s="269">
        <v>0</v>
      </c>
      <c r="W513" s="278">
        <v>11892500</v>
      </c>
      <c r="X513" s="270"/>
      <c r="Y513" s="262" t="s">
        <v>562</v>
      </c>
      <c r="Z513" s="271" t="s">
        <v>562</v>
      </c>
      <c r="AA513" s="287"/>
      <c r="AB513" s="287"/>
      <c r="AC513" s="272">
        <f t="shared" si="17"/>
        <v>0</v>
      </c>
      <c r="AD513" s="272">
        <v>0</v>
      </c>
      <c r="AE513" s="272">
        <f t="shared" si="18"/>
        <v>0</v>
      </c>
      <c r="AF513" s="273"/>
      <c r="AG513" s="274"/>
      <c r="AH513" s="273"/>
      <c r="AI513" s="273"/>
      <c r="AJ513" s="274"/>
      <c r="AK513" s="273"/>
      <c r="AL513" s="275"/>
      <c r="AM513" s="290"/>
      <c r="AN513" s="275"/>
      <c r="AO513" s="276"/>
      <c r="AP513" s="275"/>
      <c r="AQ513" s="275"/>
      <c r="AR513" s="275"/>
      <c r="AS513" s="275"/>
      <c r="AT513" s="275"/>
      <c r="AU513" s="275"/>
      <c r="AV513" s="275"/>
      <c r="AW513" s="275"/>
      <c r="AX513" s="275"/>
      <c r="AY513" s="275"/>
      <c r="AZ513" s="275"/>
      <c r="BA513" s="275"/>
      <c r="BB513" s="275"/>
      <c r="BC513" s="275"/>
      <c r="BD513" s="275"/>
      <c r="BE513" s="275"/>
      <c r="BF513" s="275"/>
      <c r="BH513" s="277"/>
    </row>
    <row r="514" spans="1:60" ht="16.5" hidden="1" customHeight="1" x14ac:dyDescent="0.3">
      <c r="A514" s="260">
        <v>492</v>
      </c>
      <c r="B514" s="261"/>
      <c r="C514" s="261"/>
      <c r="D514" s="262"/>
      <c r="E514" s="262"/>
      <c r="F514" s="263" t="s">
        <v>15</v>
      </c>
      <c r="G514" s="264" t="s">
        <v>2</v>
      </c>
      <c r="H514" s="281"/>
      <c r="I514" s="265"/>
      <c r="J514" s="266" t="s">
        <v>966</v>
      </c>
      <c r="K514" s="262"/>
      <c r="L514" s="262"/>
      <c r="M514" s="262">
        <v>52268</v>
      </c>
      <c r="N514" s="262"/>
      <c r="O514" s="262" t="s">
        <v>35</v>
      </c>
      <c r="P514" s="262"/>
      <c r="Q514" s="262"/>
      <c r="R514" s="262"/>
      <c r="S514" s="267" t="s">
        <v>468</v>
      </c>
      <c r="T514" s="268"/>
      <c r="U514" s="269"/>
      <c r="V514" s="269"/>
      <c r="W514" s="278">
        <v>0</v>
      </c>
      <c r="X514" s="270"/>
      <c r="Y514" s="262"/>
      <c r="Z514" s="271" t="s">
        <v>74</v>
      </c>
      <c r="AA514" s="287"/>
      <c r="AB514" s="287"/>
      <c r="AC514" s="272">
        <f t="shared" si="17"/>
        <v>0</v>
      </c>
      <c r="AD514" s="272">
        <v>0</v>
      </c>
      <c r="AE514" s="272">
        <f t="shared" si="18"/>
        <v>0</v>
      </c>
      <c r="AF514" s="273"/>
      <c r="AG514" s="274"/>
      <c r="AH514" s="273"/>
      <c r="AI514" s="273"/>
      <c r="AJ514" s="274"/>
      <c r="AK514" s="273"/>
      <c r="AL514" s="275">
        <v>99000000</v>
      </c>
      <c r="AM514" s="290">
        <v>0</v>
      </c>
      <c r="AN514" s="275"/>
      <c r="AO514" s="276"/>
      <c r="AP514" s="275"/>
      <c r="AQ514" s="275"/>
      <c r="AR514" s="275"/>
      <c r="AS514" s="275"/>
      <c r="AT514" s="275"/>
      <c r="AU514" s="275"/>
      <c r="AV514" s="275"/>
      <c r="AW514" s="275"/>
      <c r="AX514" s="275"/>
      <c r="AY514" s="275"/>
      <c r="AZ514" s="275"/>
      <c r="BA514" s="275"/>
      <c r="BB514" s="275"/>
      <c r="BC514" s="275"/>
      <c r="BD514" s="275"/>
      <c r="BE514" s="275"/>
      <c r="BF514" s="275"/>
      <c r="BH514" s="277"/>
    </row>
    <row r="515" spans="1:60" ht="16.5" hidden="1" customHeight="1" x14ac:dyDescent="0.3">
      <c r="A515" s="260">
        <v>493</v>
      </c>
      <c r="B515" s="261"/>
      <c r="C515" s="261"/>
      <c r="D515" s="262" t="s">
        <v>15</v>
      </c>
      <c r="E515" s="262" t="s">
        <v>2</v>
      </c>
      <c r="F515" s="263" t="s">
        <v>15</v>
      </c>
      <c r="G515" s="264" t="s">
        <v>2</v>
      </c>
      <c r="H515" s="281"/>
      <c r="I515" s="265"/>
      <c r="J515" s="266" t="s">
        <v>65</v>
      </c>
      <c r="K515" s="262"/>
      <c r="L515" s="262"/>
      <c r="M515" s="262">
        <v>393</v>
      </c>
      <c r="N515" s="262"/>
      <c r="O515" s="262" t="s">
        <v>35</v>
      </c>
      <c r="P515" s="262"/>
      <c r="Q515" s="262"/>
      <c r="R515" s="262"/>
      <c r="S515" s="267" t="s">
        <v>19</v>
      </c>
      <c r="T515" s="268"/>
      <c r="U515" s="269"/>
      <c r="V515" s="269"/>
      <c r="W515" s="278">
        <v>0</v>
      </c>
      <c r="X515" s="270"/>
      <c r="Y515" s="262"/>
      <c r="Z515" s="271" t="s">
        <v>25</v>
      </c>
      <c r="AA515" s="287"/>
      <c r="AB515" s="287"/>
      <c r="AC515" s="272">
        <f t="shared" si="17"/>
        <v>10000000</v>
      </c>
      <c r="AD515" s="272">
        <v>10000000</v>
      </c>
      <c r="AE515" s="272">
        <f t="shared" si="18"/>
        <v>0</v>
      </c>
      <c r="AF515" s="273"/>
      <c r="AG515" s="274"/>
      <c r="AH515" s="273"/>
      <c r="AI515" s="273"/>
      <c r="AJ515" s="274"/>
      <c r="AK515" s="273"/>
      <c r="AL515" s="275"/>
      <c r="AM515" s="290"/>
      <c r="AN515" s="275"/>
      <c r="AO515" s="276"/>
      <c r="AP515" s="275"/>
      <c r="AQ515" s="275"/>
      <c r="AR515" s="275"/>
      <c r="AS515" s="275">
        <v>10000000</v>
      </c>
      <c r="AT515" s="275"/>
      <c r="AU515" s="275"/>
      <c r="AV515" s="275"/>
      <c r="AW515" s="275"/>
      <c r="AX515" s="275"/>
      <c r="AY515" s="275"/>
      <c r="AZ515" s="275"/>
      <c r="BA515" s="275"/>
      <c r="BB515" s="275"/>
      <c r="BC515" s="275"/>
      <c r="BD515" s="275"/>
      <c r="BE515" s="275"/>
      <c r="BF515" s="275"/>
      <c r="BH515" s="277"/>
    </row>
    <row r="516" spans="1:60" ht="16.5" hidden="1" customHeight="1" x14ac:dyDescent="0.3">
      <c r="A516" s="260">
        <v>494</v>
      </c>
      <c r="B516" s="261"/>
      <c r="C516" s="261"/>
      <c r="D516" s="262" t="s">
        <v>15</v>
      </c>
      <c r="E516" s="262" t="s">
        <v>2</v>
      </c>
      <c r="F516" s="263" t="s">
        <v>15</v>
      </c>
      <c r="G516" s="264" t="s">
        <v>2</v>
      </c>
      <c r="H516" s="281"/>
      <c r="I516" s="265"/>
      <c r="J516" s="266" t="s">
        <v>65</v>
      </c>
      <c r="K516" s="262"/>
      <c r="L516" s="262"/>
      <c r="M516" s="262">
        <v>393</v>
      </c>
      <c r="N516" s="262" t="s">
        <v>22</v>
      </c>
      <c r="O516" s="262" t="s">
        <v>35</v>
      </c>
      <c r="P516" s="262"/>
      <c r="Q516" s="262" t="s">
        <v>26</v>
      </c>
      <c r="R516" s="262" t="s">
        <v>468</v>
      </c>
      <c r="S516" s="267" t="s">
        <v>468</v>
      </c>
      <c r="T516" s="268"/>
      <c r="U516" s="269">
        <v>15000000</v>
      </c>
      <c r="V516" s="269">
        <v>0</v>
      </c>
      <c r="W516" s="278">
        <v>0</v>
      </c>
      <c r="X516" s="270"/>
      <c r="Y516" s="262" t="s">
        <v>21</v>
      </c>
      <c r="Z516" s="271" t="s">
        <v>25</v>
      </c>
      <c r="AA516" s="287"/>
      <c r="AB516" s="287"/>
      <c r="AC516" s="272">
        <f t="shared" si="17"/>
        <v>20000000</v>
      </c>
      <c r="AD516" s="272">
        <v>20000000</v>
      </c>
      <c r="AE516" s="272">
        <f t="shared" si="18"/>
        <v>0</v>
      </c>
      <c r="AF516" s="273"/>
      <c r="AG516" s="274"/>
      <c r="AH516" s="273"/>
      <c r="AI516" s="273"/>
      <c r="AJ516" s="274"/>
      <c r="AK516" s="273"/>
      <c r="AL516" s="275"/>
      <c r="AM516" s="290"/>
      <c r="AN516" s="275"/>
      <c r="AO516" s="276"/>
      <c r="AP516" s="275"/>
      <c r="AQ516" s="275"/>
      <c r="AR516" s="275"/>
      <c r="AS516" s="275">
        <v>20000000</v>
      </c>
      <c r="AT516" s="275"/>
      <c r="AU516" s="275"/>
      <c r="AV516" s="275"/>
      <c r="AW516" s="275"/>
      <c r="AX516" s="275"/>
      <c r="AY516" s="275"/>
      <c r="AZ516" s="275"/>
      <c r="BA516" s="275"/>
      <c r="BB516" s="275"/>
      <c r="BC516" s="275"/>
      <c r="BD516" s="275"/>
      <c r="BE516" s="275"/>
      <c r="BF516" s="275"/>
      <c r="BH516" s="277"/>
    </row>
    <row r="517" spans="1:60" ht="16.5" hidden="1" customHeight="1" x14ac:dyDescent="0.3">
      <c r="A517" s="260">
        <v>495</v>
      </c>
      <c r="B517" s="261"/>
      <c r="C517" s="261"/>
      <c r="D517" s="262" t="s">
        <v>15</v>
      </c>
      <c r="E517" s="262" t="s">
        <v>2</v>
      </c>
      <c r="F517" s="263" t="s">
        <v>15</v>
      </c>
      <c r="G517" s="264" t="s">
        <v>2</v>
      </c>
      <c r="H517" s="281"/>
      <c r="I517" s="265"/>
      <c r="J517" s="266" t="s">
        <v>65</v>
      </c>
      <c r="K517" s="262"/>
      <c r="L517" s="262"/>
      <c r="M517" s="262">
        <v>393</v>
      </c>
      <c r="N517" s="262" t="s">
        <v>22</v>
      </c>
      <c r="O517" s="262" t="s">
        <v>56</v>
      </c>
      <c r="P517" s="262" t="s">
        <v>124</v>
      </c>
      <c r="Q517" s="262"/>
      <c r="R517" s="262" t="s">
        <v>397</v>
      </c>
      <c r="S517" s="267" t="s">
        <v>823</v>
      </c>
      <c r="T517" s="268"/>
      <c r="U517" s="269"/>
      <c r="V517" s="269"/>
      <c r="W517" s="278">
        <v>120000000</v>
      </c>
      <c r="X517" s="270"/>
      <c r="Y517" s="262" t="s">
        <v>27</v>
      </c>
      <c r="Z517" s="271" t="s">
        <v>27</v>
      </c>
      <c r="AA517" s="287"/>
      <c r="AB517" s="287"/>
      <c r="AC517" s="272">
        <f t="shared" si="17"/>
        <v>22000000</v>
      </c>
      <c r="AD517" s="272">
        <v>22000000</v>
      </c>
      <c r="AE517" s="272">
        <f t="shared" si="18"/>
        <v>0</v>
      </c>
      <c r="AF517" s="273"/>
      <c r="AG517" s="274"/>
      <c r="AH517" s="273"/>
      <c r="AI517" s="273"/>
      <c r="AJ517" s="274"/>
      <c r="AK517" s="273"/>
      <c r="AL517" s="275">
        <v>22000000</v>
      </c>
      <c r="AM517" s="290">
        <v>0</v>
      </c>
      <c r="AN517" s="275" t="s">
        <v>1023</v>
      </c>
      <c r="AO517" s="276"/>
      <c r="AP517" s="275"/>
      <c r="AQ517" s="275"/>
      <c r="AR517" s="275"/>
      <c r="AS517" s="275"/>
      <c r="AT517" s="275"/>
      <c r="AU517" s="275"/>
      <c r="AV517" s="275"/>
      <c r="AW517" s="275"/>
      <c r="AX517" s="275"/>
      <c r="AY517" s="275"/>
      <c r="AZ517" s="275"/>
      <c r="BA517" s="275">
        <v>22000000</v>
      </c>
      <c r="BB517" s="275"/>
      <c r="BC517" s="275"/>
      <c r="BD517" s="275"/>
      <c r="BE517" s="275"/>
      <c r="BF517" s="275"/>
      <c r="BH517" s="277"/>
    </row>
    <row r="518" spans="1:60" ht="16.5" hidden="1" customHeight="1" x14ac:dyDescent="0.3">
      <c r="A518" s="260">
        <v>496</v>
      </c>
      <c r="B518" s="261"/>
      <c r="C518" s="261"/>
      <c r="D518" s="262"/>
      <c r="E518" s="262"/>
      <c r="F518" s="263" t="s">
        <v>15</v>
      </c>
      <c r="G518" s="264" t="s">
        <v>2</v>
      </c>
      <c r="H518" s="281"/>
      <c r="I518" s="265"/>
      <c r="J518" s="266" t="s">
        <v>65</v>
      </c>
      <c r="K518" s="262"/>
      <c r="L518" s="262"/>
      <c r="M518" s="262">
        <v>393</v>
      </c>
      <c r="N518" s="262" t="s">
        <v>22</v>
      </c>
      <c r="O518" s="262" t="s">
        <v>56</v>
      </c>
      <c r="P518" s="262" t="s">
        <v>124</v>
      </c>
      <c r="Q518" s="262"/>
      <c r="R518" s="262"/>
      <c r="S518" s="267" t="s">
        <v>823</v>
      </c>
      <c r="T518" s="268"/>
      <c r="U518" s="269"/>
      <c r="V518" s="269"/>
      <c r="W518" s="278">
        <v>0</v>
      </c>
      <c r="X518" s="270"/>
      <c r="Y518" s="262"/>
      <c r="Z518" s="271" t="s">
        <v>25</v>
      </c>
      <c r="AA518" s="287"/>
      <c r="AB518" s="287"/>
      <c r="AC518" s="272">
        <f t="shared" si="17"/>
        <v>120000000</v>
      </c>
      <c r="AD518" s="272">
        <v>120000000</v>
      </c>
      <c r="AE518" s="272">
        <f t="shared" si="18"/>
        <v>0</v>
      </c>
      <c r="AF518" s="273"/>
      <c r="AG518" s="274"/>
      <c r="AH518" s="273"/>
      <c r="AI518" s="273"/>
      <c r="AJ518" s="274"/>
      <c r="AK518" s="273"/>
      <c r="AL518" s="275"/>
      <c r="AM518" s="290"/>
      <c r="AN518" s="275"/>
      <c r="AO518" s="276"/>
      <c r="AP518" s="275"/>
      <c r="AQ518" s="275"/>
      <c r="AR518" s="275"/>
      <c r="AS518" s="275"/>
      <c r="AT518" s="275"/>
      <c r="AU518" s="275"/>
      <c r="AV518" s="275"/>
      <c r="AW518" s="275"/>
      <c r="AX518" s="275"/>
      <c r="AY518" s="275">
        <v>60000000</v>
      </c>
      <c r="AZ518" s="275"/>
      <c r="BA518" s="275"/>
      <c r="BB518" s="275"/>
      <c r="BC518" s="275">
        <v>60000000</v>
      </c>
      <c r="BD518" s="275"/>
      <c r="BE518" s="275"/>
      <c r="BF518" s="275"/>
      <c r="BH518" s="277"/>
    </row>
    <row r="519" spans="1:60" ht="16.5" hidden="1" customHeight="1" x14ac:dyDescent="0.3">
      <c r="A519" s="260">
        <v>497</v>
      </c>
      <c r="B519" s="261"/>
      <c r="C519" s="261"/>
      <c r="D519" s="262" t="s">
        <v>15</v>
      </c>
      <c r="E519" s="262" t="s">
        <v>2</v>
      </c>
      <c r="F519" s="263" t="s">
        <v>15</v>
      </c>
      <c r="G519" s="264" t="s">
        <v>2</v>
      </c>
      <c r="H519" s="281"/>
      <c r="I519" s="265"/>
      <c r="J519" s="266" t="s">
        <v>65</v>
      </c>
      <c r="K519" s="262"/>
      <c r="L519" s="262"/>
      <c r="M519" s="262">
        <v>393</v>
      </c>
      <c r="N519" s="262"/>
      <c r="O519" s="262" t="s">
        <v>35</v>
      </c>
      <c r="P519" s="262"/>
      <c r="Q519" s="262"/>
      <c r="R519" s="262"/>
      <c r="S519" s="267" t="s">
        <v>835</v>
      </c>
      <c r="T519" s="268"/>
      <c r="U519" s="269"/>
      <c r="V519" s="269"/>
      <c r="W519" s="278">
        <v>0</v>
      </c>
      <c r="X519" s="270"/>
      <c r="Y519" s="262"/>
      <c r="Z519" s="271" t="s">
        <v>25</v>
      </c>
      <c r="AA519" s="287"/>
      <c r="AB519" s="287"/>
      <c r="AC519" s="272">
        <f t="shared" si="17"/>
        <v>10000000</v>
      </c>
      <c r="AD519" s="272">
        <v>10000000</v>
      </c>
      <c r="AE519" s="272">
        <f t="shared" si="18"/>
        <v>0</v>
      </c>
      <c r="AF519" s="273"/>
      <c r="AG519" s="274"/>
      <c r="AH519" s="273"/>
      <c r="AI519" s="273"/>
      <c r="AJ519" s="274"/>
      <c r="AK519" s="273"/>
      <c r="AL519" s="275"/>
      <c r="AM519" s="290"/>
      <c r="AN519" s="275"/>
      <c r="AO519" s="276"/>
      <c r="AP519" s="275"/>
      <c r="AQ519" s="291">
        <v>10000000</v>
      </c>
      <c r="AR519" s="275"/>
      <c r="AS519" s="275"/>
      <c r="AT519" s="275"/>
      <c r="AU519" s="275"/>
      <c r="AV519" s="275"/>
      <c r="AW519" s="275"/>
      <c r="AX519" s="275"/>
      <c r="AY519" s="275"/>
      <c r="AZ519" s="275"/>
      <c r="BA519" s="275"/>
      <c r="BB519" s="275"/>
      <c r="BC519" s="275"/>
      <c r="BD519" s="275"/>
      <c r="BE519" s="275"/>
      <c r="BF519" s="275"/>
      <c r="BH519" s="277"/>
    </row>
    <row r="520" spans="1:60" ht="16.5" hidden="1" customHeight="1" x14ac:dyDescent="0.3">
      <c r="A520" s="260">
        <v>498</v>
      </c>
      <c r="B520" s="261"/>
      <c r="C520" s="261"/>
      <c r="D520" s="262" t="s">
        <v>15</v>
      </c>
      <c r="E520" s="262" t="s">
        <v>2</v>
      </c>
      <c r="F520" s="263" t="s">
        <v>15</v>
      </c>
      <c r="G520" s="264" t="s">
        <v>2</v>
      </c>
      <c r="H520" s="281"/>
      <c r="I520" s="265"/>
      <c r="J520" s="266" t="s">
        <v>79</v>
      </c>
      <c r="K520" s="262"/>
      <c r="L520" s="262"/>
      <c r="M520" s="262">
        <v>18447</v>
      </c>
      <c r="N520" s="262" t="s">
        <v>32</v>
      </c>
      <c r="O520" s="262" t="s">
        <v>212</v>
      </c>
      <c r="P520" s="262" t="s">
        <v>57</v>
      </c>
      <c r="Q520" s="262" t="s">
        <v>63</v>
      </c>
      <c r="R520" s="262" t="s">
        <v>28</v>
      </c>
      <c r="S520" s="267" t="s">
        <v>28</v>
      </c>
      <c r="T520" s="268"/>
      <c r="U520" s="269"/>
      <c r="V520" s="269">
        <v>83131580</v>
      </c>
      <c r="W520" s="278">
        <v>119819900</v>
      </c>
      <c r="X520" s="270"/>
      <c r="Y520" s="262" t="s">
        <v>27</v>
      </c>
      <c r="Z520" s="271" t="s">
        <v>27</v>
      </c>
      <c r="AA520" s="287"/>
      <c r="AB520" s="287"/>
      <c r="AC520" s="272">
        <f t="shared" si="17"/>
        <v>18871710</v>
      </c>
      <c r="AD520" s="272">
        <v>18871710</v>
      </c>
      <c r="AE520" s="272">
        <f t="shared" si="18"/>
        <v>0</v>
      </c>
      <c r="AF520" s="273">
        <v>10000000</v>
      </c>
      <c r="AG520" s="274">
        <v>4326760</v>
      </c>
      <c r="AH520" s="273"/>
      <c r="AI520" s="273">
        <v>10000000</v>
      </c>
      <c r="AJ520" s="274">
        <v>7970950</v>
      </c>
      <c r="AK520" s="273"/>
      <c r="AL520" s="275">
        <v>10000000</v>
      </c>
      <c r="AM520" s="290">
        <v>6574000</v>
      </c>
      <c r="AN520" s="275"/>
      <c r="AO520" s="276"/>
      <c r="AP520" s="275"/>
      <c r="AQ520" s="275"/>
      <c r="AR520" s="275"/>
      <c r="AS520" s="275"/>
      <c r="AT520" s="275"/>
      <c r="AU520" s="275"/>
      <c r="AV520" s="275"/>
      <c r="AW520" s="275"/>
      <c r="AX520" s="275"/>
      <c r="AY520" s="275"/>
      <c r="AZ520" s="275"/>
      <c r="BA520" s="275"/>
      <c r="BB520" s="275"/>
      <c r="BC520" s="275"/>
      <c r="BD520" s="275"/>
      <c r="BE520" s="275"/>
      <c r="BF520" s="275"/>
      <c r="BH520" s="277"/>
    </row>
    <row r="521" spans="1:60" ht="16.5" hidden="1" customHeight="1" x14ac:dyDescent="0.3">
      <c r="A521" s="260">
        <v>499</v>
      </c>
      <c r="B521" s="261"/>
      <c r="C521" s="261"/>
      <c r="D521" s="262" t="s">
        <v>15</v>
      </c>
      <c r="E521" s="262" t="s">
        <v>2</v>
      </c>
      <c r="F521" s="263" t="s">
        <v>15</v>
      </c>
      <c r="G521" s="264" t="s">
        <v>2</v>
      </c>
      <c r="H521" s="281"/>
      <c r="I521" s="265"/>
      <c r="J521" s="266" t="s">
        <v>79</v>
      </c>
      <c r="K521" s="262"/>
      <c r="L521" s="262"/>
      <c r="M521" s="262">
        <v>18447</v>
      </c>
      <c r="N521" s="262" t="s">
        <v>32</v>
      </c>
      <c r="O521" s="262" t="s">
        <v>212</v>
      </c>
      <c r="P521" s="262" t="s">
        <v>57</v>
      </c>
      <c r="Q521" s="262" t="s">
        <v>26</v>
      </c>
      <c r="R521" s="262" t="s">
        <v>468</v>
      </c>
      <c r="S521" s="267" t="s">
        <v>28</v>
      </c>
      <c r="T521" s="268"/>
      <c r="U521" s="269"/>
      <c r="V521" s="269">
        <v>28110000</v>
      </c>
      <c r="W521" s="278">
        <v>0</v>
      </c>
      <c r="X521" s="270"/>
      <c r="Y521" s="262" t="s">
        <v>27</v>
      </c>
      <c r="Z521" s="271" t="s">
        <v>74</v>
      </c>
      <c r="AA521" s="287"/>
      <c r="AB521" s="287"/>
      <c r="AC521" s="272">
        <f t="shared" si="17"/>
        <v>99000000</v>
      </c>
      <c r="AD521" s="272">
        <v>99000000</v>
      </c>
      <c r="AE521" s="272">
        <f t="shared" si="18"/>
        <v>0</v>
      </c>
      <c r="AF521" s="273"/>
      <c r="AG521" s="274"/>
      <c r="AH521" s="273"/>
      <c r="AI521" s="273"/>
      <c r="AJ521" s="274"/>
      <c r="AK521" s="273"/>
      <c r="AL521" s="275"/>
      <c r="AM521" s="290"/>
      <c r="AN521" s="275"/>
      <c r="AO521" s="276">
        <v>11000000</v>
      </c>
      <c r="AP521" s="275"/>
      <c r="AQ521" s="275">
        <v>11000000</v>
      </c>
      <c r="AR521" s="275"/>
      <c r="AS521" s="275">
        <v>11000000</v>
      </c>
      <c r="AT521" s="275"/>
      <c r="AU521" s="275">
        <v>11000000</v>
      </c>
      <c r="AV521" s="275"/>
      <c r="AW521" s="275">
        <v>11000000</v>
      </c>
      <c r="AX521" s="275"/>
      <c r="AY521" s="275">
        <v>11000000</v>
      </c>
      <c r="AZ521" s="275"/>
      <c r="BA521" s="275">
        <v>11000000</v>
      </c>
      <c r="BB521" s="275"/>
      <c r="BC521" s="275">
        <v>11000000</v>
      </c>
      <c r="BD521" s="275"/>
      <c r="BE521" s="275">
        <v>11000000</v>
      </c>
      <c r="BF521" s="275"/>
      <c r="BH521" s="277"/>
    </row>
    <row r="522" spans="1:60" ht="16.5" hidden="1" customHeight="1" x14ac:dyDescent="0.3">
      <c r="A522" s="260">
        <v>500</v>
      </c>
      <c r="B522" s="261"/>
      <c r="C522" s="261"/>
      <c r="D522" s="262"/>
      <c r="E522" s="262"/>
      <c r="F522" s="263" t="s">
        <v>15</v>
      </c>
      <c r="G522" s="264" t="s">
        <v>2</v>
      </c>
      <c r="H522" s="281"/>
      <c r="I522" s="265"/>
      <c r="J522" s="266" t="s">
        <v>79</v>
      </c>
      <c r="K522" s="262"/>
      <c r="L522" s="262"/>
      <c r="M522" s="262">
        <v>18447</v>
      </c>
      <c r="N522" s="262"/>
      <c r="O522" s="262"/>
      <c r="P522" s="262"/>
      <c r="Q522" s="262"/>
      <c r="R522" s="262"/>
      <c r="S522" s="267" t="s">
        <v>468</v>
      </c>
      <c r="T522" s="268"/>
      <c r="U522" s="269"/>
      <c r="V522" s="269"/>
      <c r="W522" s="278">
        <v>32553728</v>
      </c>
      <c r="X522" s="270"/>
      <c r="Y522" s="262"/>
      <c r="Z522" s="271" t="s">
        <v>27</v>
      </c>
      <c r="AA522" s="287"/>
      <c r="AB522" s="287"/>
      <c r="AC522" s="272">
        <f t="shared" si="17"/>
        <v>6000000</v>
      </c>
      <c r="AD522" s="272">
        <v>6000000</v>
      </c>
      <c r="AE522" s="272">
        <f t="shared" si="18"/>
        <v>0</v>
      </c>
      <c r="AF522" s="273"/>
      <c r="AG522" s="274"/>
      <c r="AH522" s="273"/>
      <c r="AI522" s="273"/>
      <c r="AJ522" s="274">
        <v>6000000</v>
      </c>
      <c r="AK522" s="273"/>
      <c r="AL522" s="275"/>
      <c r="AM522" s="290"/>
      <c r="AN522" s="275"/>
      <c r="AO522" s="276"/>
      <c r="AP522" s="275"/>
      <c r="AQ522" s="275"/>
      <c r="AR522" s="275"/>
      <c r="AS522" s="275"/>
      <c r="AT522" s="275"/>
      <c r="AU522" s="275"/>
      <c r="AV522" s="275"/>
      <c r="AW522" s="275"/>
      <c r="AX522" s="275"/>
      <c r="AY522" s="275"/>
      <c r="AZ522" s="275"/>
      <c r="BA522" s="275"/>
      <c r="BB522" s="275"/>
      <c r="BC522" s="275"/>
      <c r="BD522" s="275"/>
      <c r="BE522" s="275"/>
      <c r="BF522" s="275"/>
      <c r="BH522" s="277"/>
    </row>
    <row r="523" spans="1:60" ht="16.5" hidden="1" customHeight="1" x14ac:dyDescent="0.3">
      <c r="A523" s="260">
        <v>501</v>
      </c>
      <c r="B523" s="261"/>
      <c r="C523" s="261"/>
      <c r="D523" s="262" t="s">
        <v>15</v>
      </c>
      <c r="E523" s="262" t="s">
        <v>2</v>
      </c>
      <c r="F523" s="263" t="s">
        <v>15</v>
      </c>
      <c r="G523" s="264" t="s">
        <v>2</v>
      </c>
      <c r="H523" s="281"/>
      <c r="I523" s="265"/>
      <c r="J523" s="266" t="s">
        <v>79</v>
      </c>
      <c r="K523" s="262"/>
      <c r="L523" s="262"/>
      <c r="M523" s="262">
        <v>18447</v>
      </c>
      <c r="N523" s="262" t="s">
        <v>32</v>
      </c>
      <c r="O523" s="262" t="s">
        <v>35</v>
      </c>
      <c r="P523" s="262"/>
      <c r="Q523" s="262"/>
      <c r="R523" s="262" t="s">
        <v>478</v>
      </c>
      <c r="S523" s="267" t="s">
        <v>478</v>
      </c>
      <c r="T523" s="268"/>
      <c r="U523" s="269"/>
      <c r="V523" s="269"/>
      <c r="W523" s="278">
        <v>0</v>
      </c>
      <c r="X523" s="270"/>
      <c r="Y523" s="262" t="s">
        <v>24</v>
      </c>
      <c r="Z523" s="271" t="s">
        <v>74</v>
      </c>
      <c r="AA523" s="287"/>
      <c r="AB523" s="287"/>
      <c r="AC523" s="272">
        <f t="shared" si="17"/>
        <v>60000000</v>
      </c>
      <c r="AD523" s="272">
        <v>60000000</v>
      </c>
      <c r="AE523" s="272">
        <f t="shared" si="18"/>
        <v>0</v>
      </c>
      <c r="AF523" s="273"/>
      <c r="AG523" s="274"/>
      <c r="AH523" s="273"/>
      <c r="AI523" s="273"/>
      <c r="AJ523" s="274"/>
      <c r="AK523" s="273"/>
      <c r="AL523" s="275"/>
      <c r="AM523" s="290"/>
      <c r="AN523" s="275"/>
      <c r="AO523" s="276"/>
      <c r="AP523" s="275"/>
      <c r="AQ523" s="275">
        <v>30000000</v>
      </c>
      <c r="AR523" s="275"/>
      <c r="AS523" s="275"/>
      <c r="AT523" s="275"/>
      <c r="AU523" s="275"/>
      <c r="AV523" s="275"/>
      <c r="AW523" s="275"/>
      <c r="AX523" s="275"/>
      <c r="AY523" s="275">
        <v>30000000</v>
      </c>
      <c r="AZ523" s="275"/>
      <c r="BA523" s="275"/>
      <c r="BB523" s="275"/>
      <c r="BC523" s="275"/>
      <c r="BD523" s="275"/>
      <c r="BE523" s="275"/>
      <c r="BF523" s="275"/>
      <c r="BH523" s="277"/>
    </row>
    <row r="524" spans="1:60" ht="16.5" hidden="1" customHeight="1" x14ac:dyDescent="0.3">
      <c r="A524" s="260">
        <v>502</v>
      </c>
      <c r="B524" s="261"/>
      <c r="C524" s="261"/>
      <c r="D524" s="262" t="s">
        <v>15</v>
      </c>
      <c r="E524" s="262" t="s">
        <v>2</v>
      </c>
      <c r="F524" s="263" t="s">
        <v>15</v>
      </c>
      <c r="G524" s="264" t="s">
        <v>2</v>
      </c>
      <c r="H524" s="281"/>
      <c r="I524" s="265"/>
      <c r="J524" s="266" t="s">
        <v>79</v>
      </c>
      <c r="K524" s="262"/>
      <c r="L524" s="262"/>
      <c r="M524" s="262">
        <v>18447</v>
      </c>
      <c r="N524" s="262" t="s">
        <v>32</v>
      </c>
      <c r="O524" s="262" t="s">
        <v>35</v>
      </c>
      <c r="P524" s="262"/>
      <c r="Q524" s="262"/>
      <c r="R524" s="262"/>
      <c r="S524" s="267" t="s">
        <v>828</v>
      </c>
      <c r="T524" s="268"/>
      <c r="U524" s="269"/>
      <c r="V524" s="269"/>
      <c r="W524" s="278">
        <v>0</v>
      </c>
      <c r="X524" s="270"/>
      <c r="Y524" s="262"/>
      <c r="Z524" s="271" t="s">
        <v>74</v>
      </c>
      <c r="AA524" s="287"/>
      <c r="AB524" s="287"/>
      <c r="AC524" s="272">
        <f t="shared" si="17"/>
        <v>12000000</v>
      </c>
      <c r="AD524" s="272">
        <v>12000000</v>
      </c>
      <c r="AE524" s="272">
        <f t="shared" si="18"/>
        <v>0</v>
      </c>
      <c r="AF524" s="273"/>
      <c r="AG524" s="274"/>
      <c r="AH524" s="273"/>
      <c r="AI524" s="273"/>
      <c r="AJ524" s="274"/>
      <c r="AK524" s="273"/>
      <c r="AL524" s="275"/>
      <c r="AM524" s="290"/>
      <c r="AN524" s="275"/>
      <c r="AO524" s="276">
        <v>12000000</v>
      </c>
      <c r="AP524" s="275"/>
      <c r="AQ524" s="275"/>
      <c r="AR524" s="275"/>
      <c r="AS524" s="275"/>
      <c r="AT524" s="275"/>
      <c r="AU524" s="275"/>
      <c r="AV524" s="275"/>
      <c r="AW524" s="275"/>
      <c r="AX524" s="275"/>
      <c r="AY524" s="275"/>
      <c r="AZ524" s="275"/>
      <c r="BA524" s="275"/>
      <c r="BB524" s="275"/>
      <c r="BC524" s="275"/>
      <c r="BD524" s="275"/>
      <c r="BE524" s="275"/>
      <c r="BF524" s="275"/>
      <c r="BH524" s="277"/>
    </row>
    <row r="525" spans="1:60" ht="16.5" hidden="1" customHeight="1" x14ac:dyDescent="0.3">
      <c r="A525" s="260">
        <v>503</v>
      </c>
      <c r="B525" s="261"/>
      <c r="C525" s="261"/>
      <c r="D525" s="262" t="s">
        <v>15</v>
      </c>
      <c r="E525" s="262" t="s">
        <v>2</v>
      </c>
      <c r="F525" s="263" t="s">
        <v>15</v>
      </c>
      <c r="G525" s="264" t="s">
        <v>2</v>
      </c>
      <c r="H525" s="281"/>
      <c r="I525" s="265"/>
      <c r="J525" s="266" t="s">
        <v>79</v>
      </c>
      <c r="K525" s="262"/>
      <c r="L525" s="262"/>
      <c r="M525" s="262">
        <v>18447</v>
      </c>
      <c r="N525" s="262" t="s">
        <v>32</v>
      </c>
      <c r="O525" s="262" t="s">
        <v>35</v>
      </c>
      <c r="P525" s="262"/>
      <c r="Q525" s="262"/>
      <c r="R525" s="262"/>
      <c r="S525" s="267" t="s">
        <v>834</v>
      </c>
      <c r="T525" s="268"/>
      <c r="U525" s="269"/>
      <c r="V525" s="269"/>
      <c r="W525" s="278">
        <v>0</v>
      </c>
      <c r="X525" s="270"/>
      <c r="Y525" s="262"/>
      <c r="Z525" s="271" t="s">
        <v>74</v>
      </c>
      <c r="AA525" s="287"/>
      <c r="AB525" s="287"/>
      <c r="AC525" s="272">
        <f t="shared" si="17"/>
        <v>10000000</v>
      </c>
      <c r="AD525" s="272">
        <v>10000000</v>
      </c>
      <c r="AE525" s="272">
        <f t="shared" si="18"/>
        <v>0</v>
      </c>
      <c r="AF525" s="273"/>
      <c r="AG525" s="274"/>
      <c r="AH525" s="273"/>
      <c r="AI525" s="273"/>
      <c r="AJ525" s="274"/>
      <c r="AK525" s="273"/>
      <c r="AL525" s="275"/>
      <c r="AM525" s="290"/>
      <c r="AN525" s="275"/>
      <c r="AO525" s="276">
        <v>10000000</v>
      </c>
      <c r="AP525" s="275"/>
      <c r="AQ525" s="275"/>
      <c r="AR525" s="275"/>
      <c r="AS525" s="275"/>
      <c r="AT525" s="275"/>
      <c r="AU525" s="275"/>
      <c r="AV525" s="275"/>
      <c r="AW525" s="275"/>
      <c r="AX525" s="275"/>
      <c r="AY525" s="275"/>
      <c r="AZ525" s="275"/>
      <c r="BA525" s="275"/>
      <c r="BB525" s="275"/>
      <c r="BC525" s="275"/>
      <c r="BD525" s="275"/>
      <c r="BE525" s="275"/>
      <c r="BF525" s="275"/>
      <c r="BH525" s="277"/>
    </row>
    <row r="526" spans="1:60" ht="16.5" hidden="1" customHeight="1" x14ac:dyDescent="0.3">
      <c r="A526" s="260">
        <v>504</v>
      </c>
      <c r="B526" s="261"/>
      <c r="C526" s="261"/>
      <c r="D526" s="262" t="s">
        <v>15</v>
      </c>
      <c r="E526" s="262" t="s">
        <v>2</v>
      </c>
      <c r="F526" s="263" t="s">
        <v>15</v>
      </c>
      <c r="G526" s="264" t="s">
        <v>2</v>
      </c>
      <c r="H526" s="281"/>
      <c r="I526" s="265"/>
      <c r="J526" s="266" t="s">
        <v>210</v>
      </c>
      <c r="K526" s="262"/>
      <c r="L526" s="262"/>
      <c r="M526" s="262">
        <v>54322</v>
      </c>
      <c r="N526" s="262" t="s">
        <v>32</v>
      </c>
      <c r="O526" s="262" t="s">
        <v>35</v>
      </c>
      <c r="P526" s="262" t="s">
        <v>124</v>
      </c>
      <c r="Q526" s="262" t="s">
        <v>18</v>
      </c>
      <c r="R526" s="262" t="s">
        <v>19</v>
      </c>
      <c r="S526" s="267" t="s">
        <v>19</v>
      </c>
      <c r="T526" s="268"/>
      <c r="U526" s="269">
        <v>490000</v>
      </c>
      <c r="V526" s="269">
        <v>0</v>
      </c>
      <c r="W526" s="278">
        <v>0</v>
      </c>
      <c r="X526" s="270"/>
      <c r="Y526" s="262" t="s">
        <v>25</v>
      </c>
      <c r="Z526" s="271" t="s">
        <v>562</v>
      </c>
      <c r="AA526" s="287"/>
      <c r="AB526" s="287"/>
      <c r="AC526" s="272">
        <f t="shared" si="17"/>
        <v>0</v>
      </c>
      <c r="AD526" s="272">
        <v>0</v>
      </c>
      <c r="AE526" s="272">
        <f t="shared" si="18"/>
        <v>0</v>
      </c>
      <c r="AF526" s="273"/>
      <c r="AG526" s="274"/>
      <c r="AH526" s="273"/>
      <c r="AI526" s="273"/>
      <c r="AJ526" s="274"/>
      <c r="AK526" s="273"/>
      <c r="AL526" s="275"/>
      <c r="AM526" s="290"/>
      <c r="AN526" s="275"/>
      <c r="AO526" s="276"/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H526" s="277"/>
    </row>
    <row r="527" spans="1:60" ht="16.5" hidden="1" customHeight="1" x14ac:dyDescent="0.3">
      <c r="A527" s="260">
        <v>505</v>
      </c>
      <c r="B527" s="261"/>
      <c r="C527" s="261"/>
      <c r="D527" s="262" t="s">
        <v>15</v>
      </c>
      <c r="E527" s="262" t="s">
        <v>2</v>
      </c>
      <c r="F527" s="263" t="s">
        <v>15</v>
      </c>
      <c r="G527" s="264" t="s">
        <v>2</v>
      </c>
      <c r="H527" s="281"/>
      <c r="I527" s="265"/>
      <c r="J527" s="266" t="s">
        <v>66</v>
      </c>
      <c r="K527" s="262"/>
      <c r="L527" s="262"/>
      <c r="M527" s="262">
        <v>3827</v>
      </c>
      <c r="N527" s="262" t="s">
        <v>32</v>
      </c>
      <c r="O527" s="262" t="s">
        <v>212</v>
      </c>
      <c r="P527" s="262" t="s">
        <v>57</v>
      </c>
      <c r="Q527" s="262" t="s">
        <v>63</v>
      </c>
      <c r="R527" s="262" t="s">
        <v>28</v>
      </c>
      <c r="S527" s="267" t="s">
        <v>28</v>
      </c>
      <c r="T527" s="268"/>
      <c r="U527" s="269">
        <v>95316364</v>
      </c>
      <c r="V527" s="269">
        <v>138037455</v>
      </c>
      <c r="W527" s="278">
        <v>71660000</v>
      </c>
      <c r="X527" s="270"/>
      <c r="Y527" s="262" t="s">
        <v>27</v>
      </c>
      <c r="Z527" s="271" t="s">
        <v>27</v>
      </c>
      <c r="AA527" s="287"/>
      <c r="AB527" s="287"/>
      <c r="AC527" s="272">
        <f t="shared" si="17"/>
        <v>118000000</v>
      </c>
      <c r="AD527" s="272">
        <v>118000000</v>
      </c>
      <c r="AE527" s="272">
        <f t="shared" si="18"/>
        <v>0</v>
      </c>
      <c r="AF527" s="273"/>
      <c r="AG527" s="274"/>
      <c r="AH527" s="273"/>
      <c r="AI527" s="273"/>
      <c r="AJ527" s="274"/>
      <c r="AK527" s="273"/>
      <c r="AL527" s="275"/>
      <c r="AM527" s="290"/>
      <c r="AN527" s="275"/>
      <c r="AO527" s="276">
        <v>59000000</v>
      </c>
      <c r="AP527" s="275"/>
      <c r="AQ527" s="275"/>
      <c r="AR527" s="275"/>
      <c r="AS527" s="275"/>
      <c r="AT527" s="275"/>
      <c r="AU527" s="275"/>
      <c r="AV527" s="275"/>
      <c r="AW527" s="275"/>
      <c r="AX527" s="275"/>
      <c r="AY527" s="275"/>
      <c r="AZ527" s="275"/>
      <c r="BA527" s="275"/>
      <c r="BB527" s="275"/>
      <c r="BC527" s="275"/>
      <c r="BD527" s="275"/>
      <c r="BE527" s="275">
        <v>59000000</v>
      </c>
      <c r="BF527" s="275"/>
      <c r="BH527" s="277"/>
    </row>
    <row r="528" spans="1:60" ht="16.5" hidden="1" customHeight="1" x14ac:dyDescent="0.3">
      <c r="A528" s="260">
        <v>506</v>
      </c>
      <c r="B528" s="261"/>
      <c r="C528" s="261"/>
      <c r="D528" s="262" t="s">
        <v>15</v>
      </c>
      <c r="E528" s="262" t="s">
        <v>2</v>
      </c>
      <c r="F528" s="263" t="s">
        <v>15</v>
      </c>
      <c r="G528" s="264" t="s">
        <v>2</v>
      </c>
      <c r="H528" s="281"/>
      <c r="I528" s="265"/>
      <c r="J528" s="266" t="s">
        <v>109</v>
      </c>
      <c r="K528" s="262"/>
      <c r="L528" s="262"/>
      <c r="M528" s="262">
        <v>18850</v>
      </c>
      <c r="N528" s="262" t="s">
        <v>32</v>
      </c>
      <c r="O528" s="262" t="s">
        <v>35</v>
      </c>
      <c r="P528" s="262"/>
      <c r="Q528" s="262"/>
      <c r="R528" s="262"/>
      <c r="S528" s="267" t="s">
        <v>28</v>
      </c>
      <c r="T528" s="268"/>
      <c r="U528" s="269"/>
      <c r="V528" s="269"/>
      <c r="W528" s="278">
        <v>0</v>
      </c>
      <c r="X528" s="270"/>
      <c r="Y528" s="262"/>
      <c r="Z528" s="271" t="s">
        <v>74</v>
      </c>
      <c r="AA528" s="287"/>
      <c r="AB528" s="287"/>
      <c r="AC528" s="272">
        <f t="shared" si="17"/>
        <v>0</v>
      </c>
      <c r="AD528" s="272">
        <v>0</v>
      </c>
      <c r="AE528" s="272">
        <f t="shared" si="18"/>
        <v>0</v>
      </c>
      <c r="AF528" s="273"/>
      <c r="AG528" s="274"/>
      <c r="AH528" s="273"/>
      <c r="AI528" s="273">
        <v>400000000</v>
      </c>
      <c r="AJ528" s="274"/>
      <c r="AK528" s="273"/>
      <c r="AL528" s="275">
        <v>400000000</v>
      </c>
      <c r="AM528" s="290">
        <v>0</v>
      </c>
      <c r="AN528" s="275" t="s">
        <v>948</v>
      </c>
      <c r="AO528" s="276"/>
      <c r="AP528" s="275"/>
      <c r="AQ528" s="275"/>
      <c r="AR528" s="275"/>
      <c r="AS528" s="275"/>
      <c r="AT528" s="275"/>
      <c r="AU528" s="275"/>
      <c r="AV528" s="275"/>
      <c r="AW528" s="275"/>
      <c r="AX528" s="275"/>
      <c r="AY528" s="275"/>
      <c r="AZ528" s="275"/>
      <c r="BA528" s="275"/>
      <c r="BB528" s="275"/>
      <c r="BC528" s="275"/>
      <c r="BD528" s="275"/>
      <c r="BE528" s="275"/>
      <c r="BF528" s="275"/>
      <c r="BH528" s="277"/>
    </row>
    <row r="529" spans="1:60" ht="16.5" hidden="1" customHeight="1" x14ac:dyDescent="0.3">
      <c r="A529" s="260">
        <v>507</v>
      </c>
      <c r="B529" s="261"/>
      <c r="C529" s="261"/>
      <c r="D529" s="262"/>
      <c r="E529" s="262"/>
      <c r="F529" s="263" t="s">
        <v>15</v>
      </c>
      <c r="G529" s="264" t="s">
        <v>2</v>
      </c>
      <c r="H529" s="281"/>
      <c r="I529" s="265"/>
      <c r="J529" s="266" t="s">
        <v>109</v>
      </c>
      <c r="K529" s="262"/>
      <c r="L529" s="262"/>
      <c r="M529" s="262">
        <v>18850</v>
      </c>
      <c r="N529" s="262" t="s">
        <v>32</v>
      </c>
      <c r="O529" s="262" t="s">
        <v>35</v>
      </c>
      <c r="P529" s="262"/>
      <c r="Q529" s="262"/>
      <c r="R529" s="262"/>
      <c r="S529" s="267" t="s">
        <v>469</v>
      </c>
      <c r="T529" s="268"/>
      <c r="U529" s="269"/>
      <c r="V529" s="269"/>
      <c r="W529" s="278">
        <v>0</v>
      </c>
      <c r="X529" s="270"/>
      <c r="Y529" s="262"/>
      <c r="Z529" s="271" t="s">
        <v>24</v>
      </c>
      <c r="AA529" s="287"/>
      <c r="AB529" s="287"/>
      <c r="AC529" s="272">
        <f t="shared" si="17"/>
        <v>5000000</v>
      </c>
      <c r="AD529" s="272">
        <v>5000000</v>
      </c>
      <c r="AE529" s="272">
        <f t="shared" si="18"/>
        <v>0</v>
      </c>
      <c r="AF529" s="273"/>
      <c r="AG529" s="274"/>
      <c r="AH529" s="273"/>
      <c r="AI529" s="273"/>
      <c r="AJ529" s="274"/>
      <c r="AK529" s="273"/>
      <c r="AL529" s="275"/>
      <c r="AM529" s="290"/>
      <c r="AN529" s="275"/>
      <c r="AO529" s="276"/>
      <c r="AP529" s="275"/>
      <c r="AQ529" s="291">
        <v>5000000</v>
      </c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/>
      <c r="BF529" s="275"/>
      <c r="BH529" s="277"/>
    </row>
    <row r="530" spans="1:60" ht="16.5" hidden="1" customHeight="1" x14ac:dyDescent="0.3">
      <c r="A530" s="260">
        <v>508</v>
      </c>
      <c r="B530" s="261"/>
      <c r="C530" s="261"/>
      <c r="D530" s="262" t="s">
        <v>15</v>
      </c>
      <c r="E530" s="262" t="s">
        <v>2</v>
      </c>
      <c r="F530" s="263" t="s">
        <v>15</v>
      </c>
      <c r="G530" s="264" t="s">
        <v>2</v>
      </c>
      <c r="H530" s="281"/>
      <c r="I530" s="265"/>
      <c r="J530" s="266" t="s">
        <v>109</v>
      </c>
      <c r="K530" s="262"/>
      <c r="L530" s="262"/>
      <c r="M530" s="262">
        <v>18850</v>
      </c>
      <c r="N530" s="262" t="s">
        <v>32</v>
      </c>
      <c r="O530" s="262" t="s">
        <v>35</v>
      </c>
      <c r="P530" s="262"/>
      <c r="Q530" s="262"/>
      <c r="R530" s="262" t="s">
        <v>397</v>
      </c>
      <c r="S530" s="267" t="s">
        <v>823</v>
      </c>
      <c r="T530" s="268"/>
      <c r="U530" s="269">
        <v>0</v>
      </c>
      <c r="V530" s="269">
        <v>0</v>
      </c>
      <c r="W530" s="278">
        <v>0</v>
      </c>
      <c r="X530" s="270"/>
      <c r="Y530" s="262" t="s">
        <v>74</v>
      </c>
      <c r="Z530" s="271" t="s">
        <v>25</v>
      </c>
      <c r="AA530" s="287"/>
      <c r="AB530" s="287"/>
      <c r="AC530" s="272">
        <f t="shared" si="17"/>
        <v>0</v>
      </c>
      <c r="AD530" s="272">
        <v>0</v>
      </c>
      <c r="AE530" s="272">
        <f t="shared" si="18"/>
        <v>0</v>
      </c>
      <c r="AF530" s="273"/>
      <c r="AG530" s="274"/>
      <c r="AH530" s="273"/>
      <c r="AI530" s="273"/>
      <c r="AJ530" s="274"/>
      <c r="AK530" s="273"/>
      <c r="AL530" s="275"/>
      <c r="AM530" s="290"/>
      <c r="AN530" s="275"/>
      <c r="AO530" s="276"/>
      <c r="AP530" s="275"/>
      <c r="AQ530" s="275"/>
      <c r="AR530" s="275"/>
      <c r="AS530" s="275"/>
      <c r="AT530" s="275"/>
      <c r="AU530" s="275"/>
      <c r="AV530" s="275"/>
      <c r="AW530" s="275"/>
      <c r="AX530" s="275"/>
      <c r="AY530" s="275"/>
      <c r="AZ530" s="275"/>
      <c r="BA530" s="275"/>
      <c r="BB530" s="275"/>
      <c r="BC530" s="275"/>
      <c r="BD530" s="275"/>
      <c r="BE530" s="275"/>
      <c r="BF530" s="275"/>
      <c r="BH530" s="277"/>
    </row>
    <row r="531" spans="1:60" ht="16.5" hidden="1" customHeight="1" x14ac:dyDescent="0.3">
      <c r="A531" s="260">
        <v>509</v>
      </c>
      <c r="B531" s="261"/>
      <c r="C531" s="261"/>
      <c r="D531" s="262" t="s">
        <v>15</v>
      </c>
      <c r="E531" s="262" t="s">
        <v>2</v>
      </c>
      <c r="F531" s="263" t="s">
        <v>15</v>
      </c>
      <c r="G531" s="264" t="s">
        <v>2</v>
      </c>
      <c r="H531" s="281"/>
      <c r="I531" s="265"/>
      <c r="J531" s="266" t="s">
        <v>573</v>
      </c>
      <c r="K531" s="262"/>
      <c r="L531" s="262"/>
      <c r="M531" s="262">
        <v>384</v>
      </c>
      <c r="N531" s="262" t="s">
        <v>22</v>
      </c>
      <c r="O531" s="262" t="s">
        <v>212</v>
      </c>
      <c r="P531" s="262"/>
      <c r="Q531" s="262" t="s">
        <v>63</v>
      </c>
      <c r="R531" s="262" t="s">
        <v>28</v>
      </c>
      <c r="S531" s="267" t="s">
        <v>28</v>
      </c>
      <c r="T531" s="268" t="s">
        <v>951</v>
      </c>
      <c r="U531" s="269">
        <v>85644990</v>
      </c>
      <c r="V531" s="269">
        <v>69075150</v>
      </c>
      <c r="W531" s="278">
        <v>125439680</v>
      </c>
      <c r="X531" s="270"/>
      <c r="Y531" s="262" t="s">
        <v>27</v>
      </c>
      <c r="Z531" s="271" t="s">
        <v>27</v>
      </c>
      <c r="AA531" s="287"/>
      <c r="AB531" s="287"/>
      <c r="AC531" s="272">
        <f t="shared" si="17"/>
        <v>119353490</v>
      </c>
      <c r="AD531" s="272">
        <v>119353490</v>
      </c>
      <c r="AE531" s="272">
        <f t="shared" si="18"/>
        <v>0</v>
      </c>
      <c r="AF531" s="273">
        <v>10000000</v>
      </c>
      <c r="AG531" s="274">
        <v>5624000</v>
      </c>
      <c r="AH531" s="273"/>
      <c r="AI531" s="273">
        <v>10000000</v>
      </c>
      <c r="AJ531" s="274">
        <v>8885740</v>
      </c>
      <c r="AK531" s="273"/>
      <c r="AL531" s="275">
        <v>8343750</v>
      </c>
      <c r="AM531" s="290">
        <v>8343750</v>
      </c>
      <c r="AN531" s="275"/>
      <c r="AO531" s="276">
        <v>14500000</v>
      </c>
      <c r="AP531" s="275"/>
      <c r="AQ531" s="275">
        <v>10000000</v>
      </c>
      <c r="AR531" s="275"/>
      <c r="AS531" s="275">
        <v>11000000</v>
      </c>
      <c r="AT531" s="275"/>
      <c r="AU531" s="275">
        <v>11000000</v>
      </c>
      <c r="AV531" s="275"/>
      <c r="AW531" s="275">
        <v>10000000</v>
      </c>
      <c r="AX531" s="275"/>
      <c r="AY531" s="275">
        <v>10000000</v>
      </c>
      <c r="AZ531" s="275"/>
      <c r="BA531" s="275">
        <v>10000000</v>
      </c>
      <c r="BB531" s="275"/>
      <c r="BC531" s="275">
        <v>10000000</v>
      </c>
      <c r="BD531" s="275"/>
      <c r="BE531" s="275">
        <v>10000000</v>
      </c>
      <c r="BF531" s="275"/>
      <c r="BH531" s="277"/>
    </row>
    <row r="532" spans="1:60" ht="16.5" hidden="1" customHeight="1" x14ac:dyDescent="0.3">
      <c r="A532" s="260">
        <v>510</v>
      </c>
      <c r="B532" s="261"/>
      <c r="C532" s="261"/>
      <c r="D532" s="262" t="s">
        <v>15</v>
      </c>
      <c r="E532" s="262" t="s">
        <v>2</v>
      </c>
      <c r="F532" s="263" t="s">
        <v>15</v>
      </c>
      <c r="G532" s="264" t="s">
        <v>2</v>
      </c>
      <c r="H532" s="281"/>
      <c r="I532" s="265"/>
      <c r="J532" s="266" t="s">
        <v>573</v>
      </c>
      <c r="K532" s="262"/>
      <c r="L532" s="262"/>
      <c r="M532" s="262">
        <v>384</v>
      </c>
      <c r="N532" s="262" t="s">
        <v>22</v>
      </c>
      <c r="O532" s="262" t="s">
        <v>212</v>
      </c>
      <c r="P532" s="262"/>
      <c r="Q532" s="262" t="s">
        <v>30</v>
      </c>
      <c r="R532" s="262" t="s">
        <v>31</v>
      </c>
      <c r="S532" s="267" t="s">
        <v>31</v>
      </c>
      <c r="T532" s="268"/>
      <c r="U532" s="269"/>
      <c r="V532" s="269">
        <v>915000</v>
      </c>
      <c r="W532" s="278">
        <v>0</v>
      </c>
      <c r="X532" s="270"/>
      <c r="Y532" s="262" t="s">
        <v>20</v>
      </c>
      <c r="Z532" s="271" t="s">
        <v>562</v>
      </c>
      <c r="AA532" s="287"/>
      <c r="AB532" s="287"/>
      <c r="AC532" s="272">
        <f t="shared" si="17"/>
        <v>0</v>
      </c>
      <c r="AD532" s="272">
        <v>0</v>
      </c>
      <c r="AE532" s="272">
        <f t="shared" si="18"/>
        <v>0</v>
      </c>
      <c r="AF532" s="273"/>
      <c r="AG532" s="274"/>
      <c r="AH532" s="273"/>
      <c r="AI532" s="273"/>
      <c r="AJ532" s="274"/>
      <c r="AK532" s="273"/>
      <c r="AL532" s="275"/>
      <c r="AM532" s="290"/>
      <c r="AN532" s="275"/>
      <c r="AO532" s="276"/>
      <c r="AP532" s="275"/>
      <c r="AQ532" s="275"/>
      <c r="AR532" s="275"/>
      <c r="AS532" s="275"/>
      <c r="AT532" s="275"/>
      <c r="AU532" s="275"/>
      <c r="AV532" s="275"/>
      <c r="AW532" s="275"/>
      <c r="AX532" s="275"/>
      <c r="AY532" s="275"/>
      <c r="AZ532" s="275"/>
      <c r="BA532" s="275"/>
      <c r="BB532" s="275"/>
      <c r="BC532" s="275"/>
      <c r="BD532" s="275"/>
      <c r="BE532" s="275"/>
      <c r="BF532" s="275"/>
      <c r="BH532" s="277"/>
    </row>
    <row r="533" spans="1:60" ht="16.5" hidden="1" customHeight="1" x14ac:dyDescent="0.3">
      <c r="A533" s="260">
        <v>511</v>
      </c>
      <c r="B533" s="261"/>
      <c r="C533" s="261"/>
      <c r="D533" s="262" t="s">
        <v>15</v>
      </c>
      <c r="E533" s="262" t="s">
        <v>2</v>
      </c>
      <c r="F533" s="263" t="s">
        <v>15</v>
      </c>
      <c r="G533" s="264" t="s">
        <v>2</v>
      </c>
      <c r="H533" s="281"/>
      <c r="I533" s="265"/>
      <c r="J533" s="266" t="s">
        <v>573</v>
      </c>
      <c r="K533" s="262"/>
      <c r="L533" s="262"/>
      <c r="M533" s="262">
        <v>384</v>
      </c>
      <c r="N533" s="262" t="s">
        <v>22</v>
      </c>
      <c r="O533" s="262" t="s">
        <v>178</v>
      </c>
      <c r="P533" s="262"/>
      <c r="Q533" s="262" t="s">
        <v>26</v>
      </c>
      <c r="R533" s="262" t="s">
        <v>468</v>
      </c>
      <c r="S533" s="267" t="s">
        <v>468</v>
      </c>
      <c r="T533" s="268"/>
      <c r="U533" s="269"/>
      <c r="V533" s="269">
        <v>9100000</v>
      </c>
      <c r="W533" s="278">
        <v>0</v>
      </c>
      <c r="X533" s="270"/>
      <c r="Y533" s="262" t="s">
        <v>20</v>
      </c>
      <c r="Z533" s="271" t="s">
        <v>25</v>
      </c>
      <c r="AA533" s="287"/>
      <c r="AB533" s="287"/>
      <c r="AC533" s="272">
        <f t="shared" si="17"/>
        <v>10000000</v>
      </c>
      <c r="AD533" s="272">
        <v>10000000</v>
      </c>
      <c r="AE533" s="272">
        <f t="shared" si="18"/>
        <v>0</v>
      </c>
      <c r="AF533" s="273"/>
      <c r="AG533" s="274"/>
      <c r="AH533" s="273"/>
      <c r="AI533" s="273"/>
      <c r="AJ533" s="274"/>
      <c r="AK533" s="273"/>
      <c r="AL533" s="275"/>
      <c r="AM533" s="290"/>
      <c r="AN533" s="275"/>
      <c r="AO533" s="276"/>
      <c r="AP533" s="275"/>
      <c r="AQ533" s="275">
        <v>10000000</v>
      </c>
      <c r="AR533" s="275"/>
      <c r="AS533" s="275"/>
      <c r="AT533" s="275"/>
      <c r="AU533" s="275"/>
      <c r="AV533" s="275"/>
      <c r="AW533" s="275"/>
      <c r="AX533" s="275"/>
      <c r="AY533" s="275"/>
      <c r="AZ533" s="275"/>
      <c r="BA533" s="275"/>
      <c r="BB533" s="275"/>
      <c r="BC533" s="275"/>
      <c r="BD533" s="275"/>
      <c r="BE533" s="275"/>
      <c r="BF533" s="275"/>
      <c r="BH533" s="277"/>
    </row>
    <row r="534" spans="1:60" ht="16.5" hidden="1" customHeight="1" x14ac:dyDescent="0.3">
      <c r="A534" s="260">
        <v>512</v>
      </c>
      <c r="B534" s="261"/>
      <c r="C534" s="261"/>
      <c r="D534" s="262" t="s">
        <v>15</v>
      </c>
      <c r="E534" s="262" t="s">
        <v>2</v>
      </c>
      <c r="F534" s="263" t="s">
        <v>15</v>
      </c>
      <c r="G534" s="264" t="s">
        <v>2</v>
      </c>
      <c r="H534" s="281"/>
      <c r="I534" s="265"/>
      <c r="J534" s="266" t="s">
        <v>573</v>
      </c>
      <c r="K534" s="262"/>
      <c r="L534" s="262"/>
      <c r="M534" s="262">
        <v>384</v>
      </c>
      <c r="N534" s="262" t="s">
        <v>22</v>
      </c>
      <c r="O534" s="262" t="s">
        <v>35</v>
      </c>
      <c r="P534" s="262"/>
      <c r="Q534" s="262"/>
      <c r="R534" s="262"/>
      <c r="S534" s="267" t="s">
        <v>822</v>
      </c>
      <c r="T534" s="268"/>
      <c r="U534" s="269"/>
      <c r="V534" s="269"/>
      <c r="W534" s="278">
        <v>1400000</v>
      </c>
      <c r="X534" s="270"/>
      <c r="Y534" s="262"/>
      <c r="Z534" s="271" t="s">
        <v>25</v>
      </c>
      <c r="AA534" s="287"/>
      <c r="AB534" s="287"/>
      <c r="AC534" s="272">
        <f t="shared" si="17"/>
        <v>12000000</v>
      </c>
      <c r="AD534" s="272">
        <v>12000000</v>
      </c>
      <c r="AE534" s="272">
        <f t="shared" si="18"/>
        <v>0</v>
      </c>
      <c r="AF534" s="273"/>
      <c r="AG534" s="274"/>
      <c r="AH534" s="273"/>
      <c r="AI534" s="273"/>
      <c r="AJ534" s="274"/>
      <c r="AK534" s="273"/>
      <c r="AL534" s="275"/>
      <c r="AM534" s="290"/>
      <c r="AN534" s="275"/>
      <c r="AO534" s="276"/>
      <c r="AP534" s="275"/>
      <c r="AQ534" s="291">
        <v>12000000</v>
      </c>
      <c r="AR534" s="275"/>
      <c r="AS534" s="275"/>
      <c r="AT534" s="275"/>
      <c r="AU534" s="275"/>
      <c r="AV534" s="275"/>
      <c r="AW534" s="275"/>
      <c r="AX534" s="275"/>
      <c r="AY534" s="275"/>
      <c r="AZ534" s="275"/>
      <c r="BA534" s="275"/>
      <c r="BB534" s="275"/>
      <c r="BC534" s="275"/>
      <c r="BD534" s="275"/>
      <c r="BE534" s="275"/>
      <c r="BF534" s="275"/>
      <c r="BH534" s="277"/>
    </row>
    <row r="535" spans="1:60" ht="16.5" hidden="1" customHeight="1" x14ac:dyDescent="0.3">
      <c r="A535" s="260">
        <v>513</v>
      </c>
      <c r="B535" s="261"/>
      <c r="C535" s="261"/>
      <c r="D535" s="262" t="s">
        <v>15</v>
      </c>
      <c r="E535" s="262" t="s">
        <v>2</v>
      </c>
      <c r="F535" s="263" t="s">
        <v>15</v>
      </c>
      <c r="G535" s="264" t="s">
        <v>2</v>
      </c>
      <c r="H535" s="281"/>
      <c r="I535" s="265"/>
      <c r="J535" s="266" t="s">
        <v>573</v>
      </c>
      <c r="K535" s="262"/>
      <c r="L535" s="262"/>
      <c r="M535" s="262">
        <v>384</v>
      </c>
      <c r="N535" s="262" t="s">
        <v>22</v>
      </c>
      <c r="O535" s="262" t="s">
        <v>35</v>
      </c>
      <c r="P535" s="262"/>
      <c r="Q535" s="262"/>
      <c r="R535" s="262"/>
      <c r="S535" s="267" t="s">
        <v>835</v>
      </c>
      <c r="T535" s="268"/>
      <c r="U535" s="269"/>
      <c r="V535" s="269"/>
      <c r="W535" s="278">
        <v>0</v>
      </c>
      <c r="X535" s="270"/>
      <c r="Y535" s="262"/>
      <c r="Z535" s="271" t="s">
        <v>25</v>
      </c>
      <c r="AA535" s="287"/>
      <c r="AB535" s="287"/>
      <c r="AC535" s="272">
        <f t="shared" ref="AC535:AC598" si="19">AG535+AJ535+AM535+AO535+AQ535+AS535+AU535+AW535+AY535+BA535+BC535+BE535</f>
        <v>10000000</v>
      </c>
      <c r="AD535" s="272">
        <v>10000000</v>
      </c>
      <c r="AE535" s="272">
        <f t="shared" ref="AE535:AE598" si="20">AC535-AD535</f>
        <v>0</v>
      </c>
      <c r="AF535" s="273"/>
      <c r="AG535" s="274"/>
      <c r="AH535" s="273"/>
      <c r="AI535" s="273"/>
      <c r="AJ535" s="274"/>
      <c r="AK535" s="273"/>
      <c r="AL535" s="275"/>
      <c r="AM535" s="290"/>
      <c r="AN535" s="275"/>
      <c r="AO535" s="276"/>
      <c r="AP535" s="275"/>
      <c r="AQ535" s="291">
        <v>10000000</v>
      </c>
      <c r="AR535" s="275"/>
      <c r="AS535" s="275"/>
      <c r="AT535" s="275"/>
      <c r="AU535" s="275"/>
      <c r="AV535" s="275"/>
      <c r="AW535" s="275"/>
      <c r="AX535" s="275"/>
      <c r="AY535" s="275"/>
      <c r="AZ535" s="275"/>
      <c r="BA535" s="275"/>
      <c r="BB535" s="275"/>
      <c r="BC535" s="275"/>
      <c r="BD535" s="275"/>
      <c r="BE535" s="275"/>
      <c r="BF535" s="275"/>
      <c r="BH535" s="277"/>
    </row>
    <row r="536" spans="1:60" ht="16.5" hidden="1" customHeight="1" x14ac:dyDescent="0.3">
      <c r="A536" s="260">
        <v>514</v>
      </c>
      <c r="B536" s="261"/>
      <c r="C536" s="261"/>
      <c r="D536" s="262" t="s">
        <v>15</v>
      </c>
      <c r="E536" s="262" t="s">
        <v>2</v>
      </c>
      <c r="F536" s="263" t="s">
        <v>15</v>
      </c>
      <c r="G536" s="264" t="s">
        <v>2</v>
      </c>
      <c r="H536" s="281"/>
      <c r="I536" s="265"/>
      <c r="J536" s="266" t="s">
        <v>80</v>
      </c>
      <c r="K536" s="262"/>
      <c r="L536" s="262"/>
      <c r="M536" s="262">
        <v>58593</v>
      </c>
      <c r="N536" s="262" t="s">
        <v>17</v>
      </c>
      <c r="O536" s="262" t="s">
        <v>178</v>
      </c>
      <c r="P536" s="262"/>
      <c r="Q536" s="262" t="s">
        <v>30</v>
      </c>
      <c r="R536" s="262" t="s">
        <v>31</v>
      </c>
      <c r="S536" s="267" t="s">
        <v>31</v>
      </c>
      <c r="T536" s="268"/>
      <c r="U536" s="269">
        <v>5510000</v>
      </c>
      <c r="V536" s="269">
        <v>6460000</v>
      </c>
      <c r="W536" s="278">
        <v>0</v>
      </c>
      <c r="X536" s="270"/>
      <c r="Y536" s="262" t="s">
        <v>24</v>
      </c>
      <c r="Z536" s="271" t="s">
        <v>24</v>
      </c>
      <c r="AA536" s="287"/>
      <c r="AB536" s="287"/>
      <c r="AC536" s="272">
        <f t="shared" si="19"/>
        <v>6000000</v>
      </c>
      <c r="AD536" s="272">
        <v>6000000</v>
      </c>
      <c r="AE536" s="272">
        <f t="shared" si="20"/>
        <v>0</v>
      </c>
      <c r="AF536" s="273"/>
      <c r="AG536" s="274"/>
      <c r="AH536" s="273"/>
      <c r="AI536" s="273"/>
      <c r="AJ536" s="274"/>
      <c r="AK536" s="273"/>
      <c r="AL536" s="275"/>
      <c r="AM536" s="290"/>
      <c r="AN536" s="275"/>
      <c r="AO536" s="276"/>
      <c r="AP536" s="275"/>
      <c r="AQ536" s="275"/>
      <c r="AR536" s="275"/>
      <c r="AS536" s="275"/>
      <c r="AT536" s="275"/>
      <c r="AU536" s="275"/>
      <c r="AV536" s="275"/>
      <c r="AW536" s="275"/>
      <c r="AX536" s="275"/>
      <c r="AY536" s="275">
        <v>6000000</v>
      </c>
      <c r="AZ536" s="275"/>
      <c r="BA536" s="275"/>
      <c r="BB536" s="275"/>
      <c r="BC536" s="275"/>
      <c r="BD536" s="275"/>
      <c r="BE536" s="275"/>
      <c r="BF536" s="275"/>
      <c r="BH536" s="277"/>
    </row>
    <row r="537" spans="1:60" ht="16.5" hidden="1" customHeight="1" x14ac:dyDescent="0.3">
      <c r="A537" s="260">
        <v>515</v>
      </c>
      <c r="B537" s="261"/>
      <c r="C537" s="261"/>
      <c r="D537" s="262" t="s">
        <v>15</v>
      </c>
      <c r="E537" s="262" t="s">
        <v>2</v>
      </c>
      <c r="F537" s="263" t="s">
        <v>15</v>
      </c>
      <c r="G537" s="264" t="s">
        <v>2</v>
      </c>
      <c r="H537" s="281"/>
      <c r="I537" s="265"/>
      <c r="J537" s="266" t="s">
        <v>80</v>
      </c>
      <c r="K537" s="262"/>
      <c r="L537" s="262"/>
      <c r="M537" s="262">
        <v>58593</v>
      </c>
      <c r="N537" s="262" t="s">
        <v>17</v>
      </c>
      <c r="O537" s="262" t="s">
        <v>35</v>
      </c>
      <c r="P537" s="262"/>
      <c r="Q537" s="262" t="s">
        <v>23</v>
      </c>
      <c r="R537" s="262" t="s">
        <v>397</v>
      </c>
      <c r="S537" s="267" t="s">
        <v>823</v>
      </c>
      <c r="T537" s="268"/>
      <c r="U537" s="269">
        <v>200000</v>
      </c>
      <c r="V537" s="269">
        <v>250000</v>
      </c>
      <c r="W537" s="278">
        <v>0</v>
      </c>
      <c r="X537" s="270"/>
      <c r="Y537" s="262" t="s">
        <v>24</v>
      </c>
      <c r="Z537" s="271" t="s">
        <v>20</v>
      </c>
      <c r="AA537" s="287"/>
      <c r="AB537" s="287"/>
      <c r="AC537" s="272">
        <f t="shared" si="19"/>
        <v>0</v>
      </c>
      <c r="AD537" s="272">
        <v>0</v>
      </c>
      <c r="AE537" s="272">
        <f t="shared" si="20"/>
        <v>0</v>
      </c>
      <c r="AF537" s="273"/>
      <c r="AG537" s="274"/>
      <c r="AH537" s="273"/>
      <c r="AI537" s="273"/>
      <c r="AJ537" s="274"/>
      <c r="AK537" s="273"/>
      <c r="AL537" s="275"/>
      <c r="AM537" s="290"/>
      <c r="AN537" s="275"/>
      <c r="AO537" s="276"/>
      <c r="AP537" s="275"/>
      <c r="AQ537" s="275"/>
      <c r="AR537" s="275"/>
      <c r="AS537" s="275"/>
      <c r="AT537" s="275"/>
      <c r="AU537" s="275"/>
      <c r="AV537" s="275"/>
      <c r="AW537" s="275"/>
      <c r="AX537" s="275"/>
      <c r="AY537" s="275"/>
      <c r="AZ537" s="275"/>
      <c r="BA537" s="275"/>
      <c r="BB537" s="275"/>
      <c r="BC537" s="275"/>
      <c r="BD537" s="275"/>
      <c r="BE537" s="275"/>
      <c r="BF537" s="275"/>
      <c r="BH537" s="277"/>
    </row>
    <row r="538" spans="1:60" ht="16.5" hidden="1" customHeight="1" x14ac:dyDescent="0.3">
      <c r="A538" s="260">
        <v>516</v>
      </c>
      <c r="B538" s="261"/>
      <c r="C538" s="261"/>
      <c r="D538" s="262" t="s">
        <v>15</v>
      </c>
      <c r="E538" s="262" t="s">
        <v>2</v>
      </c>
      <c r="F538" s="263" t="s">
        <v>15</v>
      </c>
      <c r="G538" s="264" t="s">
        <v>2</v>
      </c>
      <c r="H538" s="281"/>
      <c r="I538" s="265"/>
      <c r="J538" s="266" t="s">
        <v>81</v>
      </c>
      <c r="K538" s="262"/>
      <c r="L538" s="262"/>
      <c r="M538" s="262">
        <v>3700</v>
      </c>
      <c r="N538" s="262"/>
      <c r="O538" s="262" t="s">
        <v>35</v>
      </c>
      <c r="P538" s="262"/>
      <c r="Q538" s="262"/>
      <c r="R538" s="262"/>
      <c r="S538" s="267" t="s">
        <v>469</v>
      </c>
      <c r="T538" s="268"/>
      <c r="U538" s="269"/>
      <c r="V538" s="269"/>
      <c r="W538" s="278">
        <v>0</v>
      </c>
      <c r="X538" s="270"/>
      <c r="Y538" s="262"/>
      <c r="Z538" s="271" t="s">
        <v>25</v>
      </c>
      <c r="AA538" s="287"/>
      <c r="AB538" s="287"/>
      <c r="AC538" s="272">
        <f t="shared" si="19"/>
        <v>11000000</v>
      </c>
      <c r="AD538" s="272">
        <v>11000000</v>
      </c>
      <c r="AE538" s="272">
        <f t="shared" si="20"/>
        <v>0</v>
      </c>
      <c r="AF538" s="273"/>
      <c r="AG538" s="274"/>
      <c r="AH538" s="273"/>
      <c r="AI538" s="273"/>
      <c r="AJ538" s="274"/>
      <c r="AK538" s="273"/>
      <c r="AL538" s="275"/>
      <c r="AM538" s="290"/>
      <c r="AN538" s="275"/>
      <c r="AO538" s="276"/>
      <c r="AP538" s="275"/>
      <c r="AQ538" s="291">
        <v>11000000</v>
      </c>
      <c r="AR538" s="275"/>
      <c r="AS538" s="275"/>
      <c r="AT538" s="275"/>
      <c r="AU538" s="275"/>
      <c r="AV538" s="275"/>
      <c r="AW538" s="275"/>
      <c r="AX538" s="275"/>
      <c r="AY538" s="275"/>
      <c r="AZ538" s="275"/>
      <c r="BA538" s="275"/>
      <c r="BB538" s="275"/>
      <c r="BC538" s="275"/>
      <c r="BD538" s="275"/>
      <c r="BE538" s="275"/>
      <c r="BF538" s="275"/>
      <c r="BH538" s="277"/>
    </row>
    <row r="539" spans="1:60" ht="16.5" hidden="1" customHeight="1" x14ac:dyDescent="0.3">
      <c r="A539" s="260">
        <v>517</v>
      </c>
      <c r="B539" s="261"/>
      <c r="C539" s="261"/>
      <c r="D539" s="262" t="s">
        <v>15</v>
      </c>
      <c r="E539" s="262" t="s">
        <v>2</v>
      </c>
      <c r="F539" s="263" t="s">
        <v>15</v>
      </c>
      <c r="G539" s="264" t="s">
        <v>2</v>
      </c>
      <c r="H539" s="281"/>
      <c r="I539" s="265"/>
      <c r="J539" s="266" t="s">
        <v>81</v>
      </c>
      <c r="K539" s="262"/>
      <c r="L539" s="262"/>
      <c r="M539" s="262">
        <v>3700</v>
      </c>
      <c r="N539" s="262" t="s">
        <v>22</v>
      </c>
      <c r="O539" s="262" t="s">
        <v>35</v>
      </c>
      <c r="P539" s="262"/>
      <c r="Q539" s="262" t="s">
        <v>26</v>
      </c>
      <c r="R539" s="262" t="s">
        <v>468</v>
      </c>
      <c r="S539" s="267" t="s">
        <v>468</v>
      </c>
      <c r="T539" s="268"/>
      <c r="U539" s="269">
        <v>41840000</v>
      </c>
      <c r="V539" s="269">
        <v>19813636</v>
      </c>
      <c r="W539" s="278">
        <v>0</v>
      </c>
      <c r="X539" s="270"/>
      <c r="Y539" s="262" t="s">
        <v>25</v>
      </c>
      <c r="Z539" s="271" t="s">
        <v>25</v>
      </c>
      <c r="AA539" s="287"/>
      <c r="AB539" s="287"/>
      <c r="AC539" s="272">
        <f t="shared" si="19"/>
        <v>35200000</v>
      </c>
      <c r="AD539" s="272">
        <v>35200000</v>
      </c>
      <c r="AE539" s="272">
        <f t="shared" si="20"/>
        <v>0</v>
      </c>
      <c r="AF539" s="273"/>
      <c r="AG539" s="274"/>
      <c r="AH539" s="273"/>
      <c r="AI539" s="273"/>
      <c r="AJ539" s="274"/>
      <c r="AK539" s="273"/>
      <c r="AL539" s="275"/>
      <c r="AM539" s="290"/>
      <c r="AN539" s="275"/>
      <c r="AO539" s="276"/>
      <c r="AP539" s="275"/>
      <c r="AQ539" s="275"/>
      <c r="AR539" s="275"/>
      <c r="AS539" s="275"/>
      <c r="AT539" s="275"/>
      <c r="AU539" s="275">
        <v>15200000</v>
      </c>
      <c r="AV539" s="275"/>
      <c r="AW539" s="275">
        <v>20000000</v>
      </c>
      <c r="AX539" s="275"/>
      <c r="AY539" s="275"/>
      <c r="AZ539" s="275"/>
      <c r="BA539" s="275"/>
      <c r="BB539" s="275"/>
      <c r="BC539" s="275"/>
      <c r="BD539" s="275"/>
      <c r="BE539" s="275"/>
      <c r="BF539" s="275"/>
      <c r="BH539" s="277"/>
    </row>
    <row r="540" spans="1:60" ht="16.5" hidden="1" customHeight="1" x14ac:dyDescent="0.3">
      <c r="A540" s="260">
        <v>518</v>
      </c>
      <c r="B540" s="261"/>
      <c r="C540" s="261"/>
      <c r="D540" s="262" t="s">
        <v>15</v>
      </c>
      <c r="E540" s="262" t="s">
        <v>2</v>
      </c>
      <c r="F540" s="263" t="s">
        <v>15</v>
      </c>
      <c r="G540" s="264" t="s">
        <v>2</v>
      </c>
      <c r="H540" s="281"/>
      <c r="I540" s="265"/>
      <c r="J540" s="266" t="s">
        <v>81</v>
      </c>
      <c r="K540" s="262"/>
      <c r="L540" s="262"/>
      <c r="M540" s="262">
        <v>3700</v>
      </c>
      <c r="N540" s="262" t="s">
        <v>22</v>
      </c>
      <c r="O540" s="262" t="s">
        <v>56</v>
      </c>
      <c r="P540" s="262"/>
      <c r="Q540" s="262"/>
      <c r="R540" s="262" t="s">
        <v>478</v>
      </c>
      <c r="S540" s="267" t="s">
        <v>478</v>
      </c>
      <c r="T540" s="268"/>
      <c r="U540" s="269"/>
      <c r="V540" s="269"/>
      <c r="W540" s="278">
        <v>6900000</v>
      </c>
      <c r="X540" s="270"/>
      <c r="Y540" s="262" t="s">
        <v>27</v>
      </c>
      <c r="Z540" s="271" t="s">
        <v>27</v>
      </c>
      <c r="AA540" s="287"/>
      <c r="AB540" s="287"/>
      <c r="AC540" s="272">
        <f t="shared" si="19"/>
        <v>4800000</v>
      </c>
      <c r="AD540" s="272">
        <v>4800000</v>
      </c>
      <c r="AE540" s="272">
        <f t="shared" si="20"/>
        <v>0</v>
      </c>
      <c r="AF540" s="273"/>
      <c r="AG540" s="274"/>
      <c r="AH540" s="273"/>
      <c r="AI540" s="273"/>
      <c r="AJ540" s="274"/>
      <c r="AK540" s="273"/>
      <c r="AL540" s="275"/>
      <c r="AM540" s="290"/>
      <c r="AN540" s="275"/>
      <c r="AO540" s="276"/>
      <c r="AP540" s="275"/>
      <c r="AQ540" s="275">
        <v>4800000</v>
      </c>
      <c r="AR540" s="275"/>
      <c r="AS540" s="275"/>
      <c r="AT540" s="275"/>
      <c r="AU540" s="275"/>
      <c r="AV540" s="275"/>
      <c r="AW540" s="275"/>
      <c r="AX540" s="275"/>
      <c r="AY540" s="275"/>
      <c r="AZ540" s="275"/>
      <c r="BA540" s="275"/>
      <c r="BB540" s="275"/>
      <c r="BC540" s="275"/>
      <c r="BD540" s="275"/>
      <c r="BE540" s="275"/>
      <c r="BF540" s="275"/>
      <c r="BH540" s="277"/>
    </row>
    <row r="541" spans="1:60" ht="16.5" hidden="1" customHeight="1" x14ac:dyDescent="0.3">
      <c r="A541" s="260">
        <v>519</v>
      </c>
      <c r="B541" s="261"/>
      <c r="C541" s="261"/>
      <c r="D541" s="262" t="s">
        <v>15</v>
      </c>
      <c r="E541" s="262" t="s">
        <v>2</v>
      </c>
      <c r="F541" s="263" t="s">
        <v>15</v>
      </c>
      <c r="G541" s="264" t="s">
        <v>2</v>
      </c>
      <c r="H541" s="281"/>
      <c r="I541" s="265"/>
      <c r="J541" s="266" t="s">
        <v>727</v>
      </c>
      <c r="K541" s="262"/>
      <c r="L541" s="262"/>
      <c r="M541" s="262">
        <v>12158</v>
      </c>
      <c r="N541" s="262"/>
      <c r="O541" s="262" t="s">
        <v>35</v>
      </c>
      <c r="P541" s="262"/>
      <c r="Q541" s="262"/>
      <c r="R541" s="262"/>
      <c r="S541" s="267" t="s">
        <v>469</v>
      </c>
      <c r="T541" s="268"/>
      <c r="U541" s="269"/>
      <c r="V541" s="269"/>
      <c r="W541" s="278">
        <v>0</v>
      </c>
      <c r="X541" s="270"/>
      <c r="Y541" s="262"/>
      <c r="Z541" s="271" t="s">
        <v>25</v>
      </c>
      <c r="AA541" s="287"/>
      <c r="AB541" s="287"/>
      <c r="AC541" s="272">
        <f t="shared" si="19"/>
        <v>18000000</v>
      </c>
      <c r="AD541" s="272">
        <v>18000000</v>
      </c>
      <c r="AE541" s="272">
        <f t="shared" si="20"/>
        <v>0</v>
      </c>
      <c r="AF541" s="273"/>
      <c r="AG541" s="274"/>
      <c r="AH541" s="273"/>
      <c r="AI541" s="273"/>
      <c r="AJ541" s="274"/>
      <c r="AK541" s="273"/>
      <c r="AL541" s="275"/>
      <c r="AM541" s="290"/>
      <c r="AN541" s="275"/>
      <c r="AO541" s="276"/>
      <c r="AP541" s="275"/>
      <c r="AQ541" s="291">
        <v>18000000</v>
      </c>
      <c r="AR541" s="275"/>
      <c r="AS541" s="275"/>
      <c r="AT541" s="275"/>
      <c r="AU541" s="275"/>
      <c r="AV541" s="275"/>
      <c r="AW541" s="275"/>
      <c r="AX541" s="275"/>
      <c r="AY541" s="275"/>
      <c r="AZ541" s="275"/>
      <c r="BA541" s="275"/>
      <c r="BB541" s="275"/>
      <c r="BC541" s="275"/>
      <c r="BD541" s="275"/>
      <c r="BE541" s="275"/>
      <c r="BF541" s="275"/>
      <c r="BH541" s="277"/>
    </row>
    <row r="542" spans="1:60" ht="16.5" hidden="1" customHeight="1" x14ac:dyDescent="0.3">
      <c r="A542" s="260">
        <v>520</v>
      </c>
      <c r="B542" s="261"/>
      <c r="C542" s="261"/>
      <c r="D542" s="262" t="s">
        <v>15</v>
      </c>
      <c r="E542" s="262" t="s">
        <v>2</v>
      </c>
      <c r="F542" s="263" t="s">
        <v>15</v>
      </c>
      <c r="G542" s="264" t="s">
        <v>2</v>
      </c>
      <c r="H542" s="281"/>
      <c r="I542" s="265"/>
      <c r="J542" s="266" t="s">
        <v>82</v>
      </c>
      <c r="K542" s="262"/>
      <c r="L542" s="262"/>
      <c r="M542" s="262">
        <v>29162</v>
      </c>
      <c r="N542" s="262" t="s">
        <v>17</v>
      </c>
      <c r="O542" s="262" t="s">
        <v>56</v>
      </c>
      <c r="P542" s="262"/>
      <c r="Q542" s="262" t="s">
        <v>30</v>
      </c>
      <c r="R542" s="262" t="s">
        <v>31</v>
      </c>
      <c r="S542" s="267" t="s">
        <v>31</v>
      </c>
      <c r="T542" s="268"/>
      <c r="U542" s="269">
        <v>2040000</v>
      </c>
      <c r="V542" s="269">
        <v>1320000</v>
      </c>
      <c r="W542" s="278">
        <v>2340000</v>
      </c>
      <c r="X542" s="270"/>
      <c r="Y542" s="262" t="s">
        <v>24</v>
      </c>
      <c r="Z542" s="271" t="s">
        <v>25</v>
      </c>
      <c r="AA542" s="287"/>
      <c r="AB542" s="287"/>
      <c r="AC542" s="272">
        <f t="shared" si="19"/>
        <v>2000000</v>
      </c>
      <c r="AD542" s="272">
        <v>2000000</v>
      </c>
      <c r="AE542" s="272">
        <f t="shared" si="20"/>
        <v>0</v>
      </c>
      <c r="AF542" s="273"/>
      <c r="AG542" s="274"/>
      <c r="AH542" s="273"/>
      <c r="AI542" s="273"/>
      <c r="AJ542" s="274"/>
      <c r="AK542" s="273"/>
      <c r="AL542" s="275"/>
      <c r="AM542" s="290"/>
      <c r="AN542" s="275"/>
      <c r="AO542" s="276"/>
      <c r="AP542" s="275"/>
      <c r="AQ542" s="275"/>
      <c r="AR542" s="275"/>
      <c r="AS542" s="275">
        <v>1000000</v>
      </c>
      <c r="AT542" s="275"/>
      <c r="AU542" s="275"/>
      <c r="AV542" s="275"/>
      <c r="AW542" s="275"/>
      <c r="AX542" s="275"/>
      <c r="AY542" s="275"/>
      <c r="AZ542" s="275"/>
      <c r="BA542" s="275">
        <v>1000000</v>
      </c>
      <c r="BB542" s="275"/>
      <c r="BC542" s="275"/>
      <c r="BD542" s="275"/>
      <c r="BE542" s="275"/>
      <c r="BF542" s="275"/>
      <c r="BH542" s="277"/>
    </row>
    <row r="543" spans="1:60" ht="16.5" hidden="1" customHeight="1" x14ac:dyDescent="0.3">
      <c r="A543" s="260">
        <v>521</v>
      </c>
      <c r="B543" s="261"/>
      <c r="C543" s="261"/>
      <c r="D543" s="262" t="s">
        <v>15</v>
      </c>
      <c r="E543" s="262" t="s">
        <v>2</v>
      </c>
      <c r="F543" s="263" t="s">
        <v>15</v>
      </c>
      <c r="G543" s="264" t="s">
        <v>2</v>
      </c>
      <c r="H543" s="281"/>
      <c r="I543" s="265"/>
      <c r="J543" s="266" t="s">
        <v>108</v>
      </c>
      <c r="K543" s="262"/>
      <c r="L543" s="262"/>
      <c r="M543" s="262">
        <v>3801</v>
      </c>
      <c r="N543" s="262" t="s">
        <v>32</v>
      </c>
      <c r="O543" s="262" t="s">
        <v>212</v>
      </c>
      <c r="P543" s="262"/>
      <c r="Q543" s="262"/>
      <c r="R543" s="262" t="s">
        <v>28</v>
      </c>
      <c r="S543" s="267" t="s">
        <v>28</v>
      </c>
      <c r="T543" s="268" t="s">
        <v>951</v>
      </c>
      <c r="U543" s="269">
        <v>0</v>
      </c>
      <c r="V543" s="269">
        <v>0</v>
      </c>
      <c r="W543" s="278">
        <v>283938775</v>
      </c>
      <c r="X543" s="270"/>
      <c r="Y543" s="262" t="s">
        <v>27</v>
      </c>
      <c r="Z543" s="271" t="s">
        <v>27</v>
      </c>
      <c r="AA543" s="287"/>
      <c r="AB543" s="287"/>
      <c r="AC543" s="272">
        <f t="shared" si="19"/>
        <v>288467050</v>
      </c>
      <c r="AD543" s="272">
        <v>288467050</v>
      </c>
      <c r="AE543" s="272">
        <f t="shared" si="20"/>
        <v>0</v>
      </c>
      <c r="AF543" s="273">
        <v>24000000</v>
      </c>
      <c r="AG543" s="274">
        <v>36061175</v>
      </c>
      <c r="AH543" s="273"/>
      <c r="AI543" s="273">
        <v>24000000</v>
      </c>
      <c r="AJ543" s="274">
        <v>44211850</v>
      </c>
      <c r="AK543" s="273"/>
      <c r="AL543" s="275">
        <v>55000000</v>
      </c>
      <c r="AM543" s="290">
        <v>55194025</v>
      </c>
      <c r="AN543" s="275"/>
      <c r="AO543" s="276">
        <v>17000000</v>
      </c>
      <c r="AP543" s="275"/>
      <c r="AQ543" s="275">
        <v>17000000</v>
      </c>
      <c r="AR543" s="275"/>
      <c r="AS543" s="275">
        <v>17000000</v>
      </c>
      <c r="AT543" s="275"/>
      <c r="AU543" s="275">
        <v>17000000</v>
      </c>
      <c r="AV543" s="275"/>
      <c r="AW543" s="275">
        <v>17000000</v>
      </c>
      <c r="AX543" s="275"/>
      <c r="AY543" s="275">
        <v>17000000</v>
      </c>
      <c r="AZ543" s="275"/>
      <c r="BA543" s="275">
        <v>17000000</v>
      </c>
      <c r="BB543" s="275"/>
      <c r="BC543" s="275">
        <v>17000000</v>
      </c>
      <c r="BD543" s="275"/>
      <c r="BE543" s="275">
        <v>17000000</v>
      </c>
      <c r="BF543" s="275"/>
      <c r="BH543" s="277"/>
    </row>
    <row r="544" spans="1:60" ht="16.5" hidden="1" customHeight="1" x14ac:dyDescent="0.3">
      <c r="A544" s="260">
        <v>522</v>
      </c>
      <c r="B544" s="261"/>
      <c r="C544" s="261"/>
      <c r="D544" s="262" t="s">
        <v>15</v>
      </c>
      <c r="E544" s="262" t="s">
        <v>2</v>
      </c>
      <c r="F544" s="263" t="s">
        <v>15</v>
      </c>
      <c r="G544" s="264" t="s">
        <v>2</v>
      </c>
      <c r="H544" s="281"/>
      <c r="I544" s="265"/>
      <c r="J544" s="266" t="s">
        <v>83</v>
      </c>
      <c r="K544" s="262"/>
      <c r="L544" s="262"/>
      <c r="M544" s="262">
        <v>8607</v>
      </c>
      <c r="N544" s="262" t="s">
        <v>22</v>
      </c>
      <c r="O544" s="262" t="s">
        <v>56</v>
      </c>
      <c r="P544" s="262"/>
      <c r="Q544" s="262" t="s">
        <v>18</v>
      </c>
      <c r="R544" s="262" t="s">
        <v>19</v>
      </c>
      <c r="S544" s="267" t="s">
        <v>19</v>
      </c>
      <c r="T544" s="268"/>
      <c r="U544" s="269">
        <v>13684000</v>
      </c>
      <c r="V544" s="269">
        <v>14772000</v>
      </c>
      <c r="W544" s="278">
        <v>15617000</v>
      </c>
      <c r="X544" s="270"/>
      <c r="Y544" s="262" t="s">
        <v>27</v>
      </c>
      <c r="Z544" s="271" t="s">
        <v>24</v>
      </c>
      <c r="AA544" s="287"/>
      <c r="AB544" s="287"/>
      <c r="AC544" s="272">
        <f t="shared" si="19"/>
        <v>30000000</v>
      </c>
      <c r="AD544" s="272">
        <v>30000000</v>
      </c>
      <c r="AE544" s="272">
        <f t="shared" si="20"/>
        <v>0</v>
      </c>
      <c r="AF544" s="273"/>
      <c r="AG544" s="274"/>
      <c r="AH544" s="273"/>
      <c r="AI544" s="273"/>
      <c r="AJ544" s="274"/>
      <c r="AK544" s="273"/>
      <c r="AL544" s="275"/>
      <c r="AM544" s="290"/>
      <c r="AN544" s="275"/>
      <c r="AO544" s="276"/>
      <c r="AP544" s="275"/>
      <c r="AQ544" s="275"/>
      <c r="AR544" s="275"/>
      <c r="AS544" s="275"/>
      <c r="AT544" s="275"/>
      <c r="AU544" s="275">
        <v>10000000</v>
      </c>
      <c r="AV544" s="275"/>
      <c r="AW544" s="275">
        <v>5000000</v>
      </c>
      <c r="AX544" s="275"/>
      <c r="AY544" s="275"/>
      <c r="AZ544" s="275"/>
      <c r="BA544" s="275">
        <v>5000000</v>
      </c>
      <c r="BB544" s="275"/>
      <c r="BC544" s="275">
        <v>10000000</v>
      </c>
      <c r="BD544" s="275"/>
      <c r="BE544" s="275"/>
      <c r="BF544" s="275"/>
      <c r="BH544" s="277"/>
    </row>
    <row r="545" spans="1:60" ht="16.5" hidden="1" customHeight="1" x14ac:dyDescent="0.3">
      <c r="A545" s="260">
        <v>523</v>
      </c>
      <c r="B545" s="261"/>
      <c r="C545" s="261"/>
      <c r="D545" s="262"/>
      <c r="E545" s="262"/>
      <c r="F545" s="263" t="s">
        <v>15</v>
      </c>
      <c r="G545" s="264" t="s">
        <v>2</v>
      </c>
      <c r="H545" s="281"/>
      <c r="I545" s="265"/>
      <c r="J545" s="266" t="s">
        <v>83</v>
      </c>
      <c r="K545" s="262"/>
      <c r="L545" s="262"/>
      <c r="M545" s="262">
        <v>8607</v>
      </c>
      <c r="N545" s="262"/>
      <c r="O545" s="262"/>
      <c r="P545" s="262"/>
      <c r="Q545" s="262"/>
      <c r="R545" s="262"/>
      <c r="S545" s="267" t="s">
        <v>31</v>
      </c>
      <c r="T545" s="268"/>
      <c r="U545" s="269"/>
      <c r="V545" s="269"/>
      <c r="W545" s="278">
        <v>28356000</v>
      </c>
      <c r="X545" s="270"/>
      <c r="Y545" s="262"/>
      <c r="Z545" s="271" t="s">
        <v>27</v>
      </c>
      <c r="AA545" s="287"/>
      <c r="AB545" s="287"/>
      <c r="AC545" s="272">
        <f t="shared" si="19"/>
        <v>17000000</v>
      </c>
      <c r="AD545" s="272">
        <v>17000000</v>
      </c>
      <c r="AE545" s="272">
        <f t="shared" si="20"/>
        <v>0</v>
      </c>
      <c r="AF545" s="273"/>
      <c r="AG545" s="274"/>
      <c r="AH545" s="273"/>
      <c r="AI545" s="273"/>
      <c r="AJ545" s="274"/>
      <c r="AK545" s="273"/>
      <c r="AL545" s="275"/>
      <c r="AM545" s="290"/>
      <c r="AN545" s="275"/>
      <c r="AO545" s="276"/>
      <c r="AP545" s="275"/>
      <c r="AQ545" s="275"/>
      <c r="AR545" s="275"/>
      <c r="AS545" s="275"/>
      <c r="AT545" s="275"/>
      <c r="AU545" s="275"/>
      <c r="AV545" s="275"/>
      <c r="AW545" s="275"/>
      <c r="AX545" s="275"/>
      <c r="AY545" s="275"/>
      <c r="AZ545" s="275"/>
      <c r="BA545" s="275"/>
      <c r="BB545" s="275"/>
      <c r="BC545" s="275"/>
      <c r="BD545" s="275"/>
      <c r="BE545" s="275">
        <v>17000000</v>
      </c>
      <c r="BF545" s="275"/>
      <c r="BH545" s="277"/>
    </row>
    <row r="546" spans="1:60" ht="16.5" hidden="1" customHeight="1" x14ac:dyDescent="0.3">
      <c r="A546" s="260">
        <v>524</v>
      </c>
      <c r="B546" s="261"/>
      <c r="C546" s="261"/>
      <c r="D546" s="262"/>
      <c r="E546" s="262"/>
      <c r="F546" s="263" t="s">
        <v>15</v>
      </c>
      <c r="G546" s="264" t="s">
        <v>2</v>
      </c>
      <c r="H546" s="281"/>
      <c r="I546" s="265"/>
      <c r="J546" s="266" t="s">
        <v>83</v>
      </c>
      <c r="K546" s="262"/>
      <c r="L546" s="262"/>
      <c r="M546" s="262">
        <v>8607</v>
      </c>
      <c r="N546" s="262"/>
      <c r="O546" s="262"/>
      <c r="P546" s="262"/>
      <c r="Q546" s="262"/>
      <c r="R546" s="262"/>
      <c r="S546" s="267" t="s">
        <v>468</v>
      </c>
      <c r="T546" s="268"/>
      <c r="U546" s="269"/>
      <c r="V546" s="269"/>
      <c r="W546" s="278">
        <v>1350000</v>
      </c>
      <c r="X546" s="270"/>
      <c r="Y546" s="262"/>
      <c r="Z546" s="271" t="s">
        <v>718</v>
      </c>
      <c r="AA546" s="287"/>
      <c r="AB546" s="287"/>
      <c r="AC546" s="272">
        <f t="shared" si="19"/>
        <v>0</v>
      </c>
      <c r="AD546" s="272">
        <v>0</v>
      </c>
      <c r="AE546" s="272">
        <f t="shared" si="20"/>
        <v>0</v>
      </c>
      <c r="AF546" s="273"/>
      <c r="AG546" s="274"/>
      <c r="AH546" s="273"/>
      <c r="AI546" s="273"/>
      <c r="AJ546" s="274"/>
      <c r="AK546" s="273"/>
      <c r="AL546" s="275"/>
      <c r="AM546" s="290"/>
      <c r="AN546" s="275"/>
      <c r="AO546" s="276"/>
      <c r="AP546" s="275"/>
      <c r="AQ546" s="275"/>
      <c r="AR546" s="275"/>
      <c r="AS546" s="275"/>
      <c r="AT546" s="275"/>
      <c r="AU546" s="275"/>
      <c r="AV546" s="275"/>
      <c r="AW546" s="275"/>
      <c r="AX546" s="275"/>
      <c r="AY546" s="275"/>
      <c r="AZ546" s="275"/>
      <c r="BA546" s="275"/>
      <c r="BB546" s="275"/>
      <c r="BC546" s="275"/>
      <c r="BD546" s="275"/>
      <c r="BE546" s="275"/>
      <c r="BF546" s="275"/>
      <c r="BH546" s="277"/>
    </row>
    <row r="547" spans="1:60" ht="16.5" hidden="1" customHeight="1" x14ac:dyDescent="0.3">
      <c r="A547" s="260">
        <v>525</v>
      </c>
      <c r="B547" s="261"/>
      <c r="C547" s="261"/>
      <c r="D547" s="262" t="s">
        <v>15</v>
      </c>
      <c r="E547" s="262" t="s">
        <v>2</v>
      </c>
      <c r="F547" s="263" t="s">
        <v>15</v>
      </c>
      <c r="G547" s="264" t="s">
        <v>2</v>
      </c>
      <c r="H547" s="281"/>
      <c r="I547" s="265"/>
      <c r="J547" s="266" t="s">
        <v>83</v>
      </c>
      <c r="K547" s="262"/>
      <c r="L547" s="262"/>
      <c r="M547" s="262">
        <v>8607</v>
      </c>
      <c r="N547" s="262" t="s">
        <v>22</v>
      </c>
      <c r="O547" s="262" t="s">
        <v>56</v>
      </c>
      <c r="P547" s="262"/>
      <c r="Q547" s="262"/>
      <c r="R547" s="262" t="s">
        <v>478</v>
      </c>
      <c r="S547" s="267" t="s">
        <v>478</v>
      </c>
      <c r="T547" s="268"/>
      <c r="U547" s="269"/>
      <c r="V547" s="269"/>
      <c r="W547" s="278">
        <v>0</v>
      </c>
      <c r="X547" s="270"/>
      <c r="Y547" s="262" t="s">
        <v>25</v>
      </c>
      <c r="Z547" s="271" t="s">
        <v>25</v>
      </c>
      <c r="AA547" s="287"/>
      <c r="AB547" s="287"/>
      <c r="AC547" s="272">
        <f t="shared" si="19"/>
        <v>20000000</v>
      </c>
      <c r="AD547" s="272">
        <v>20000000</v>
      </c>
      <c r="AE547" s="272">
        <f t="shared" si="20"/>
        <v>0</v>
      </c>
      <c r="AF547" s="273"/>
      <c r="AG547" s="274"/>
      <c r="AH547" s="273"/>
      <c r="AI547" s="273"/>
      <c r="AJ547" s="274"/>
      <c r="AK547" s="273"/>
      <c r="AL547" s="275"/>
      <c r="AM547" s="290"/>
      <c r="AN547" s="275"/>
      <c r="AO547" s="276"/>
      <c r="AP547" s="275"/>
      <c r="AQ547" s="275"/>
      <c r="AR547" s="275"/>
      <c r="AS547" s="275"/>
      <c r="AT547" s="275"/>
      <c r="AU547" s="275">
        <v>20000000</v>
      </c>
      <c r="AV547" s="275"/>
      <c r="AW547" s="275"/>
      <c r="AX547" s="275"/>
      <c r="AY547" s="275"/>
      <c r="AZ547" s="275"/>
      <c r="BA547" s="275"/>
      <c r="BB547" s="275"/>
      <c r="BC547" s="275"/>
      <c r="BD547" s="275"/>
      <c r="BE547" s="275"/>
      <c r="BF547" s="275"/>
      <c r="BH547" s="277"/>
    </row>
    <row r="548" spans="1:60" ht="16.5" hidden="1" customHeight="1" x14ac:dyDescent="0.3">
      <c r="A548" s="260">
        <v>526</v>
      </c>
      <c r="B548" s="261"/>
      <c r="C548" s="261"/>
      <c r="D548" s="262" t="s">
        <v>15</v>
      </c>
      <c r="E548" s="262" t="s">
        <v>2</v>
      </c>
      <c r="F548" s="263" t="s">
        <v>15</v>
      </c>
      <c r="G548" s="264" t="s">
        <v>2</v>
      </c>
      <c r="H548" s="281"/>
      <c r="I548" s="265"/>
      <c r="J548" s="266" t="s">
        <v>84</v>
      </c>
      <c r="K548" s="262"/>
      <c r="L548" s="262"/>
      <c r="M548" s="262">
        <v>5108</v>
      </c>
      <c r="N548" s="262" t="s">
        <v>22</v>
      </c>
      <c r="O548" s="262" t="s">
        <v>56</v>
      </c>
      <c r="P548" s="262"/>
      <c r="Q548" s="262"/>
      <c r="R548" s="262"/>
      <c r="S548" s="267" t="s">
        <v>19</v>
      </c>
      <c r="T548" s="268"/>
      <c r="U548" s="269"/>
      <c r="V548" s="269"/>
      <c r="W548" s="278">
        <v>7030300</v>
      </c>
      <c r="X548" s="270"/>
      <c r="Y548" s="262"/>
      <c r="Z548" s="271" t="s">
        <v>27</v>
      </c>
      <c r="AA548" s="287"/>
      <c r="AB548" s="287"/>
      <c r="AC548" s="272">
        <f t="shared" si="19"/>
        <v>10799000</v>
      </c>
      <c r="AD548" s="272">
        <v>10799000</v>
      </c>
      <c r="AE548" s="272">
        <f t="shared" si="20"/>
        <v>0</v>
      </c>
      <c r="AF548" s="273">
        <v>1000000</v>
      </c>
      <c r="AG548" s="274">
        <v>465000</v>
      </c>
      <c r="AH548" s="273"/>
      <c r="AI548" s="273">
        <v>1000000</v>
      </c>
      <c r="AJ548" s="274">
        <v>284000</v>
      </c>
      <c r="AK548" s="273"/>
      <c r="AL548" s="275">
        <v>1000000</v>
      </c>
      <c r="AM548" s="290">
        <v>50000</v>
      </c>
      <c r="AN548" s="275"/>
      <c r="AO548" s="276">
        <v>1000000</v>
      </c>
      <c r="AP548" s="275"/>
      <c r="AQ548" s="275">
        <v>1500000</v>
      </c>
      <c r="AR548" s="275"/>
      <c r="AS548" s="275">
        <v>1500000</v>
      </c>
      <c r="AT548" s="275"/>
      <c r="AU548" s="275">
        <v>1000000</v>
      </c>
      <c r="AV548" s="275"/>
      <c r="AW548" s="275">
        <v>1000000</v>
      </c>
      <c r="AX548" s="275"/>
      <c r="AY548" s="275">
        <v>1000000</v>
      </c>
      <c r="AZ548" s="275"/>
      <c r="BA548" s="275">
        <v>1000000</v>
      </c>
      <c r="BB548" s="275"/>
      <c r="BC548" s="275">
        <v>1000000</v>
      </c>
      <c r="BD548" s="275"/>
      <c r="BE548" s="275">
        <v>1000000</v>
      </c>
      <c r="BF548" s="275"/>
      <c r="BH548" s="277"/>
    </row>
    <row r="549" spans="1:60" ht="16.5" hidden="1" customHeight="1" x14ac:dyDescent="0.3">
      <c r="A549" s="260">
        <v>527</v>
      </c>
      <c r="B549" s="261"/>
      <c r="C549" s="261"/>
      <c r="D549" s="262" t="s">
        <v>15</v>
      </c>
      <c r="E549" s="262" t="s">
        <v>2</v>
      </c>
      <c r="F549" s="263" t="s">
        <v>15</v>
      </c>
      <c r="G549" s="264" t="s">
        <v>2</v>
      </c>
      <c r="H549" s="281"/>
      <c r="I549" s="265"/>
      <c r="J549" s="266" t="s">
        <v>84</v>
      </c>
      <c r="K549" s="262"/>
      <c r="L549" s="262"/>
      <c r="M549" s="262">
        <v>5108</v>
      </c>
      <c r="N549" s="262" t="s">
        <v>22</v>
      </c>
      <c r="O549" s="262" t="s">
        <v>56</v>
      </c>
      <c r="P549" s="262"/>
      <c r="Q549" s="262" t="s">
        <v>63</v>
      </c>
      <c r="R549" s="262" t="s">
        <v>31</v>
      </c>
      <c r="S549" s="267" t="s">
        <v>31</v>
      </c>
      <c r="T549" s="268"/>
      <c r="U549" s="269">
        <v>29669720</v>
      </c>
      <c r="V549" s="269">
        <v>6788000</v>
      </c>
      <c r="W549" s="278">
        <v>53254000</v>
      </c>
      <c r="X549" s="270"/>
      <c r="Y549" s="262" t="s">
        <v>27</v>
      </c>
      <c r="Z549" s="271" t="s">
        <v>27</v>
      </c>
      <c r="AA549" s="287"/>
      <c r="AB549" s="287"/>
      <c r="AC549" s="272">
        <f t="shared" si="19"/>
        <v>25000000</v>
      </c>
      <c r="AD549" s="272">
        <v>25000000</v>
      </c>
      <c r="AE549" s="272">
        <f t="shared" si="20"/>
        <v>0</v>
      </c>
      <c r="AF549" s="273"/>
      <c r="AG549" s="274"/>
      <c r="AH549" s="273"/>
      <c r="AI549" s="273"/>
      <c r="AJ549" s="274"/>
      <c r="AK549" s="273"/>
      <c r="AL549" s="275"/>
      <c r="AM549" s="290"/>
      <c r="AN549" s="275"/>
      <c r="AO549" s="276"/>
      <c r="AP549" s="275"/>
      <c r="AQ549" s="275"/>
      <c r="AR549" s="275"/>
      <c r="AS549" s="275"/>
      <c r="AT549" s="275"/>
      <c r="AU549" s="275"/>
      <c r="AV549" s="275"/>
      <c r="AW549" s="275"/>
      <c r="AX549" s="275"/>
      <c r="AY549" s="275"/>
      <c r="AZ549" s="275"/>
      <c r="BA549" s="275"/>
      <c r="BB549" s="275"/>
      <c r="BC549" s="275"/>
      <c r="BD549" s="275"/>
      <c r="BE549" s="275">
        <v>25000000</v>
      </c>
      <c r="BF549" s="275"/>
      <c r="BH549" s="277"/>
    </row>
    <row r="550" spans="1:60" ht="16.5" hidden="1" customHeight="1" x14ac:dyDescent="0.3">
      <c r="A550" s="260">
        <v>528</v>
      </c>
      <c r="B550" s="261"/>
      <c r="C550" s="261"/>
      <c r="D550" s="262" t="s">
        <v>15</v>
      </c>
      <c r="E550" s="262" t="s">
        <v>2</v>
      </c>
      <c r="F550" s="263" t="s">
        <v>15</v>
      </c>
      <c r="G550" s="264" t="s">
        <v>2</v>
      </c>
      <c r="H550" s="281"/>
      <c r="I550" s="265"/>
      <c r="J550" s="266" t="s">
        <v>84</v>
      </c>
      <c r="K550" s="262"/>
      <c r="L550" s="262"/>
      <c r="M550" s="262">
        <v>5108</v>
      </c>
      <c r="N550" s="262" t="s">
        <v>22</v>
      </c>
      <c r="O550" s="262" t="s">
        <v>35</v>
      </c>
      <c r="P550" s="262"/>
      <c r="Q550" s="262" t="s">
        <v>26</v>
      </c>
      <c r="R550" s="262" t="s">
        <v>468</v>
      </c>
      <c r="S550" s="267" t="s">
        <v>468</v>
      </c>
      <c r="T550" s="268"/>
      <c r="U550" s="269"/>
      <c r="V550" s="269">
        <v>0</v>
      </c>
      <c r="W550" s="278">
        <v>0</v>
      </c>
      <c r="X550" s="270"/>
      <c r="Y550" s="262" t="s">
        <v>25</v>
      </c>
      <c r="Z550" s="271" t="s">
        <v>25</v>
      </c>
      <c r="AA550" s="287"/>
      <c r="AB550" s="287"/>
      <c r="AC550" s="272">
        <f t="shared" si="19"/>
        <v>0</v>
      </c>
      <c r="AD550" s="272">
        <v>0</v>
      </c>
      <c r="AE550" s="272">
        <f t="shared" si="20"/>
        <v>0</v>
      </c>
      <c r="AF550" s="273"/>
      <c r="AG550" s="274"/>
      <c r="AH550" s="273"/>
      <c r="AI550" s="273"/>
      <c r="AJ550" s="274"/>
      <c r="AK550" s="273"/>
      <c r="AL550" s="275"/>
      <c r="AM550" s="290"/>
      <c r="AN550" s="275"/>
      <c r="AO550" s="276"/>
      <c r="AP550" s="275"/>
      <c r="AQ550" s="275"/>
      <c r="AR550" s="275"/>
      <c r="AS550" s="275"/>
      <c r="AT550" s="275"/>
      <c r="AU550" s="275"/>
      <c r="AV550" s="275"/>
      <c r="AW550" s="275"/>
      <c r="AX550" s="275"/>
      <c r="AY550" s="275"/>
      <c r="AZ550" s="275"/>
      <c r="BA550" s="275"/>
      <c r="BB550" s="275"/>
      <c r="BC550" s="275"/>
      <c r="BD550" s="275"/>
      <c r="BE550" s="275"/>
      <c r="BF550" s="275"/>
      <c r="BH550" s="277"/>
    </row>
    <row r="551" spans="1:60" ht="16.5" hidden="1" customHeight="1" x14ac:dyDescent="0.3">
      <c r="A551" s="260">
        <v>529</v>
      </c>
      <c r="B551" s="261"/>
      <c r="C551" s="261"/>
      <c r="D551" s="262" t="s">
        <v>15</v>
      </c>
      <c r="E551" s="262" t="s">
        <v>2</v>
      </c>
      <c r="F551" s="263" t="s">
        <v>15</v>
      </c>
      <c r="G551" s="264" t="s">
        <v>2</v>
      </c>
      <c r="H551" s="281"/>
      <c r="I551" s="265"/>
      <c r="J551" s="266" t="s">
        <v>86</v>
      </c>
      <c r="K551" s="262"/>
      <c r="L551" s="262"/>
      <c r="M551" s="262">
        <v>44292</v>
      </c>
      <c r="N551" s="262" t="s">
        <v>22</v>
      </c>
      <c r="O551" s="262" t="s">
        <v>56</v>
      </c>
      <c r="P551" s="262"/>
      <c r="Q551" s="262" t="s">
        <v>18</v>
      </c>
      <c r="R551" s="262" t="s">
        <v>19</v>
      </c>
      <c r="S551" s="267" t="s">
        <v>19</v>
      </c>
      <c r="T551" s="268"/>
      <c r="U551" s="269"/>
      <c r="V551" s="269">
        <v>14158000</v>
      </c>
      <c r="W551" s="278">
        <v>20357000</v>
      </c>
      <c r="X551" s="270"/>
      <c r="Y551" s="262" t="s">
        <v>27</v>
      </c>
      <c r="Z551" s="271" t="s">
        <v>27</v>
      </c>
      <c r="AA551" s="287"/>
      <c r="AB551" s="287"/>
      <c r="AC551" s="272">
        <f t="shared" si="19"/>
        <v>30000000</v>
      </c>
      <c r="AD551" s="272">
        <v>30000000</v>
      </c>
      <c r="AE551" s="272">
        <f t="shared" si="20"/>
        <v>0</v>
      </c>
      <c r="AF551" s="273"/>
      <c r="AG551" s="274"/>
      <c r="AH551" s="273"/>
      <c r="AI551" s="273"/>
      <c r="AJ551" s="274"/>
      <c r="AK551" s="273"/>
      <c r="AL551" s="275"/>
      <c r="AM551" s="290"/>
      <c r="AN551" s="275"/>
      <c r="AO551" s="276"/>
      <c r="AP551" s="275"/>
      <c r="AQ551" s="275"/>
      <c r="AR551" s="275"/>
      <c r="AS551" s="275"/>
      <c r="AT551" s="275"/>
      <c r="AU551" s="275">
        <v>5000000</v>
      </c>
      <c r="AV551" s="275"/>
      <c r="AW551" s="275">
        <v>5000000</v>
      </c>
      <c r="AX551" s="275"/>
      <c r="AY551" s="275">
        <v>5000000</v>
      </c>
      <c r="AZ551" s="275"/>
      <c r="BA551" s="275">
        <v>5000000</v>
      </c>
      <c r="BB551" s="275"/>
      <c r="BC551" s="275">
        <v>5000000</v>
      </c>
      <c r="BD551" s="275"/>
      <c r="BE551" s="275">
        <v>5000000</v>
      </c>
      <c r="BF551" s="275"/>
      <c r="BH551" s="277"/>
    </row>
    <row r="552" spans="1:60" ht="16.5" hidden="1" customHeight="1" x14ac:dyDescent="0.3">
      <c r="A552" s="260">
        <v>530</v>
      </c>
      <c r="B552" s="261"/>
      <c r="C552" s="261"/>
      <c r="D552" s="262" t="s">
        <v>15</v>
      </c>
      <c r="E552" s="262" t="s">
        <v>2</v>
      </c>
      <c r="F552" s="263" t="s">
        <v>15</v>
      </c>
      <c r="G552" s="264" t="s">
        <v>2</v>
      </c>
      <c r="H552" s="281"/>
      <c r="I552" s="265"/>
      <c r="J552" s="266" t="s">
        <v>86</v>
      </c>
      <c r="K552" s="262"/>
      <c r="L552" s="262"/>
      <c r="M552" s="262">
        <v>60460</v>
      </c>
      <c r="N552" s="262" t="s">
        <v>22</v>
      </c>
      <c r="O552" s="262" t="s">
        <v>178</v>
      </c>
      <c r="P552" s="262"/>
      <c r="Q552" s="262" t="s">
        <v>62</v>
      </c>
      <c r="R552" s="262" t="s">
        <v>633</v>
      </c>
      <c r="S552" s="267" t="s">
        <v>833</v>
      </c>
      <c r="T552" s="268"/>
      <c r="U552" s="269"/>
      <c r="V552" s="269">
        <v>6720000</v>
      </c>
      <c r="W552" s="278">
        <v>0</v>
      </c>
      <c r="X552" s="270"/>
      <c r="Y552" s="262" t="s">
        <v>20</v>
      </c>
      <c r="Z552" s="271" t="s">
        <v>20</v>
      </c>
      <c r="AA552" s="287"/>
      <c r="AB552" s="287"/>
      <c r="AC552" s="272">
        <f t="shared" si="19"/>
        <v>0</v>
      </c>
      <c r="AD552" s="272">
        <v>0</v>
      </c>
      <c r="AE552" s="272">
        <f t="shared" si="20"/>
        <v>0</v>
      </c>
      <c r="AF552" s="273"/>
      <c r="AG552" s="274"/>
      <c r="AH552" s="273"/>
      <c r="AI552" s="273"/>
      <c r="AJ552" s="274"/>
      <c r="AK552" s="273"/>
      <c r="AL552" s="275"/>
      <c r="AM552" s="290"/>
      <c r="AN552" s="275"/>
      <c r="AO552" s="276"/>
      <c r="AP552" s="275"/>
      <c r="AQ552" s="275"/>
      <c r="AR552" s="275"/>
      <c r="AS552" s="275"/>
      <c r="AT552" s="275"/>
      <c r="AU552" s="275"/>
      <c r="AV552" s="275"/>
      <c r="AW552" s="275"/>
      <c r="AX552" s="275"/>
      <c r="AY552" s="275"/>
      <c r="AZ552" s="275"/>
      <c r="BA552" s="275"/>
      <c r="BB552" s="275"/>
      <c r="BC552" s="275"/>
      <c r="BD552" s="275"/>
      <c r="BE552" s="275"/>
      <c r="BF552" s="275"/>
      <c r="BH552" s="277"/>
    </row>
    <row r="553" spans="1:60" ht="16.5" hidden="1" customHeight="1" x14ac:dyDescent="0.3">
      <c r="A553" s="260">
        <v>531</v>
      </c>
      <c r="B553" s="261"/>
      <c r="C553" s="261"/>
      <c r="D553" s="262" t="s">
        <v>15</v>
      </c>
      <c r="E553" s="262" t="s">
        <v>2</v>
      </c>
      <c r="F553" s="263" t="s">
        <v>15</v>
      </c>
      <c r="G553" s="264" t="s">
        <v>2</v>
      </c>
      <c r="H553" s="281"/>
      <c r="I553" s="265"/>
      <c r="J553" s="266" t="s">
        <v>652</v>
      </c>
      <c r="K553" s="262"/>
      <c r="L553" s="262"/>
      <c r="M553" s="262">
        <v>3853</v>
      </c>
      <c r="N553" s="262"/>
      <c r="O553" s="262" t="s">
        <v>35</v>
      </c>
      <c r="P553" s="262"/>
      <c r="Q553" s="262"/>
      <c r="R553" s="262"/>
      <c r="S553" s="267" t="s">
        <v>19</v>
      </c>
      <c r="T553" s="268"/>
      <c r="U553" s="269"/>
      <c r="V553" s="269"/>
      <c r="W553" s="278">
        <v>0</v>
      </c>
      <c r="X553" s="270"/>
      <c r="Y553" s="262"/>
      <c r="Z553" s="271" t="s">
        <v>25</v>
      </c>
      <c r="AA553" s="287"/>
      <c r="AB553" s="287"/>
      <c r="AC553" s="272">
        <f t="shared" si="19"/>
        <v>20000000</v>
      </c>
      <c r="AD553" s="272">
        <v>20000000</v>
      </c>
      <c r="AE553" s="272">
        <f t="shared" si="20"/>
        <v>0</v>
      </c>
      <c r="AF553" s="273"/>
      <c r="AG553" s="274"/>
      <c r="AH553" s="273"/>
      <c r="AI553" s="273"/>
      <c r="AJ553" s="274"/>
      <c r="AK553" s="273"/>
      <c r="AL553" s="275"/>
      <c r="AM553" s="290"/>
      <c r="AN553" s="275"/>
      <c r="AO553" s="276"/>
      <c r="AP553" s="275"/>
      <c r="AQ553" s="275"/>
      <c r="AR553" s="275"/>
      <c r="AS553" s="275">
        <v>20000000</v>
      </c>
      <c r="AT553" s="275"/>
      <c r="AU553" s="275"/>
      <c r="AV553" s="275"/>
      <c r="AW553" s="275"/>
      <c r="AX553" s="275"/>
      <c r="AY553" s="275"/>
      <c r="AZ553" s="275"/>
      <c r="BA553" s="275"/>
      <c r="BB553" s="275"/>
      <c r="BC553" s="275"/>
      <c r="BD553" s="275"/>
      <c r="BE553" s="275"/>
      <c r="BF553" s="275"/>
      <c r="BH553" s="277"/>
    </row>
    <row r="554" spans="1:60" ht="16.5" hidden="1" customHeight="1" x14ac:dyDescent="0.3">
      <c r="A554" s="260">
        <v>532</v>
      </c>
      <c r="B554" s="261"/>
      <c r="C554" s="261"/>
      <c r="D554" s="262" t="s">
        <v>15</v>
      </c>
      <c r="E554" s="262" t="s">
        <v>2</v>
      </c>
      <c r="F554" s="263" t="s">
        <v>15</v>
      </c>
      <c r="G554" s="264" t="s">
        <v>2</v>
      </c>
      <c r="H554" s="281"/>
      <c r="I554" s="265"/>
      <c r="J554" s="266" t="s">
        <v>652</v>
      </c>
      <c r="K554" s="262"/>
      <c r="L554" s="262"/>
      <c r="M554" s="262">
        <v>3853</v>
      </c>
      <c r="N554" s="262" t="s">
        <v>22</v>
      </c>
      <c r="O554" s="262" t="s">
        <v>35</v>
      </c>
      <c r="P554" s="262"/>
      <c r="Q554" s="262"/>
      <c r="R554" s="262" t="s">
        <v>19</v>
      </c>
      <c r="S554" s="267" t="s">
        <v>31</v>
      </c>
      <c r="T554" s="268"/>
      <c r="U554" s="269"/>
      <c r="V554" s="269">
        <v>0</v>
      </c>
      <c r="W554" s="278">
        <v>0</v>
      </c>
      <c r="X554" s="270"/>
      <c r="Y554" s="262" t="s">
        <v>562</v>
      </c>
      <c r="Z554" s="271" t="s">
        <v>25</v>
      </c>
      <c r="AA554" s="287"/>
      <c r="AB554" s="287"/>
      <c r="AC554" s="272">
        <f t="shared" si="19"/>
        <v>30000000</v>
      </c>
      <c r="AD554" s="272">
        <v>30000000</v>
      </c>
      <c r="AE554" s="272">
        <f t="shared" si="20"/>
        <v>0</v>
      </c>
      <c r="AF554" s="273"/>
      <c r="AG554" s="274"/>
      <c r="AH554" s="273"/>
      <c r="AI554" s="273"/>
      <c r="AJ554" s="274"/>
      <c r="AK554" s="273"/>
      <c r="AL554" s="275"/>
      <c r="AM554" s="290"/>
      <c r="AN554" s="275"/>
      <c r="AO554" s="276"/>
      <c r="AP554" s="275"/>
      <c r="AQ554" s="291">
        <v>30000000</v>
      </c>
      <c r="AR554" s="275"/>
      <c r="AS554" s="275"/>
      <c r="AT554" s="275"/>
      <c r="AU554" s="275"/>
      <c r="AV554" s="275"/>
      <c r="AW554" s="275"/>
      <c r="AX554" s="275"/>
      <c r="AY554" s="275">
        <v>0</v>
      </c>
      <c r="AZ554" s="275"/>
      <c r="BA554" s="275"/>
      <c r="BB554" s="275"/>
      <c r="BC554" s="275"/>
      <c r="BD554" s="275"/>
      <c r="BE554" s="275"/>
      <c r="BF554" s="275"/>
      <c r="BH554" s="277"/>
    </row>
    <row r="555" spans="1:60" ht="16.5" hidden="1" customHeight="1" x14ac:dyDescent="0.3">
      <c r="A555" s="260">
        <v>533</v>
      </c>
      <c r="B555" s="261"/>
      <c r="C555" s="261"/>
      <c r="D555" s="262"/>
      <c r="E555" s="262"/>
      <c r="F555" s="263" t="s">
        <v>15</v>
      </c>
      <c r="G555" s="264" t="s">
        <v>2</v>
      </c>
      <c r="H555" s="281"/>
      <c r="I555" s="265"/>
      <c r="J555" s="266" t="s">
        <v>652</v>
      </c>
      <c r="K555" s="262"/>
      <c r="L555" s="262"/>
      <c r="M555" s="262">
        <v>3853</v>
      </c>
      <c r="N555" s="262"/>
      <c r="O555" s="262" t="s">
        <v>35</v>
      </c>
      <c r="P555" s="262"/>
      <c r="Q555" s="262"/>
      <c r="R555" s="262"/>
      <c r="S555" s="267" t="s">
        <v>478</v>
      </c>
      <c r="T555" s="268"/>
      <c r="U555" s="269"/>
      <c r="V555" s="269"/>
      <c r="W555" s="278">
        <v>0</v>
      </c>
      <c r="X555" s="270"/>
      <c r="Y555" s="262"/>
      <c r="Z555" s="271" t="s">
        <v>25</v>
      </c>
      <c r="AA555" s="287"/>
      <c r="AB555" s="287"/>
      <c r="AC555" s="272">
        <f t="shared" si="19"/>
        <v>6870000</v>
      </c>
      <c r="AD555" s="272">
        <v>6870000</v>
      </c>
      <c r="AE555" s="272">
        <f t="shared" si="20"/>
        <v>0</v>
      </c>
      <c r="AF555" s="273"/>
      <c r="AG555" s="274"/>
      <c r="AH555" s="273"/>
      <c r="AI555" s="273"/>
      <c r="AJ555" s="274"/>
      <c r="AK555" s="273"/>
      <c r="AL555" s="275"/>
      <c r="AM555" s="290"/>
      <c r="AN555" s="275"/>
      <c r="AO555" s="276"/>
      <c r="AP555" s="275"/>
      <c r="AQ555" s="291">
        <v>6870000</v>
      </c>
      <c r="AR555" s="275"/>
      <c r="AS555" s="275"/>
      <c r="AT555" s="275"/>
      <c r="AU555" s="275"/>
      <c r="AV555" s="275"/>
      <c r="AW555" s="275"/>
      <c r="AX555" s="275"/>
      <c r="AY555" s="275"/>
      <c r="AZ555" s="275"/>
      <c r="BA555" s="275"/>
      <c r="BB555" s="275"/>
      <c r="BC555" s="275"/>
      <c r="BD555" s="275"/>
      <c r="BE555" s="275"/>
      <c r="BF555" s="275"/>
      <c r="BH555" s="277"/>
    </row>
    <row r="556" spans="1:60" ht="16.5" hidden="1" customHeight="1" x14ac:dyDescent="0.3">
      <c r="A556" s="260">
        <v>534</v>
      </c>
      <c r="B556" s="261"/>
      <c r="C556" s="261"/>
      <c r="D556" s="262" t="s">
        <v>15</v>
      </c>
      <c r="E556" s="262" t="s">
        <v>2</v>
      </c>
      <c r="F556" s="263" t="s">
        <v>15</v>
      </c>
      <c r="G556" s="264" t="s">
        <v>2</v>
      </c>
      <c r="H556" s="281"/>
      <c r="I556" s="265"/>
      <c r="J556" s="266" t="s">
        <v>728</v>
      </c>
      <c r="K556" s="262"/>
      <c r="L556" s="262"/>
      <c r="M556" s="262">
        <v>45507</v>
      </c>
      <c r="N556" s="262"/>
      <c r="O556" s="262" t="s">
        <v>35</v>
      </c>
      <c r="P556" s="262"/>
      <c r="Q556" s="262"/>
      <c r="R556" s="262"/>
      <c r="S556" s="267" t="s">
        <v>19</v>
      </c>
      <c r="T556" s="268"/>
      <c r="U556" s="269"/>
      <c r="V556" s="269"/>
      <c r="W556" s="278">
        <v>0</v>
      </c>
      <c r="X556" s="270"/>
      <c r="Y556" s="262"/>
      <c r="Z556" s="271" t="s">
        <v>25</v>
      </c>
      <c r="AA556" s="287"/>
      <c r="AB556" s="287"/>
      <c r="AC556" s="272">
        <f t="shared" si="19"/>
        <v>10000000</v>
      </c>
      <c r="AD556" s="272">
        <v>10000000</v>
      </c>
      <c r="AE556" s="272">
        <f t="shared" si="20"/>
        <v>0</v>
      </c>
      <c r="AF556" s="273"/>
      <c r="AG556" s="274"/>
      <c r="AH556" s="273"/>
      <c r="AI556" s="273"/>
      <c r="AJ556" s="274"/>
      <c r="AK556" s="273"/>
      <c r="AL556" s="275"/>
      <c r="AM556" s="290"/>
      <c r="AN556" s="275"/>
      <c r="AO556" s="276"/>
      <c r="AP556" s="275"/>
      <c r="AQ556" s="275"/>
      <c r="AR556" s="275"/>
      <c r="AS556" s="275">
        <v>10000000</v>
      </c>
      <c r="AT556" s="275"/>
      <c r="AU556" s="275"/>
      <c r="AV556" s="275"/>
      <c r="AW556" s="275"/>
      <c r="AX556" s="275"/>
      <c r="AY556" s="275"/>
      <c r="AZ556" s="275"/>
      <c r="BA556" s="275"/>
      <c r="BB556" s="275"/>
      <c r="BC556" s="275"/>
      <c r="BD556" s="275"/>
      <c r="BE556" s="275"/>
      <c r="BF556" s="275"/>
      <c r="BH556" s="277"/>
    </row>
    <row r="557" spans="1:60" ht="16.5" hidden="1" customHeight="1" x14ac:dyDescent="0.3">
      <c r="A557" s="260">
        <v>535</v>
      </c>
      <c r="B557" s="261"/>
      <c r="C557" s="261"/>
      <c r="D557" s="262" t="s">
        <v>15</v>
      </c>
      <c r="E557" s="262" t="s">
        <v>2</v>
      </c>
      <c r="F557" s="263" t="s">
        <v>15</v>
      </c>
      <c r="G557" s="264" t="s">
        <v>2</v>
      </c>
      <c r="H557" s="281"/>
      <c r="I557" s="265"/>
      <c r="J557" s="266" t="s">
        <v>574</v>
      </c>
      <c r="K557" s="262"/>
      <c r="L557" s="262"/>
      <c r="M557" s="262">
        <v>3756</v>
      </c>
      <c r="N557" s="262" t="s">
        <v>22</v>
      </c>
      <c r="O557" s="262" t="s">
        <v>35</v>
      </c>
      <c r="P557" s="262"/>
      <c r="Q557" s="262" t="s">
        <v>54</v>
      </c>
      <c r="R557" s="262" t="s">
        <v>467</v>
      </c>
      <c r="S557" s="267" t="s">
        <v>826</v>
      </c>
      <c r="T557" s="268"/>
      <c r="U557" s="269"/>
      <c r="V557" s="269">
        <v>12840000</v>
      </c>
      <c r="W557" s="278">
        <v>0</v>
      </c>
      <c r="X557" s="270"/>
      <c r="Y557" s="262" t="s">
        <v>562</v>
      </c>
      <c r="Z557" s="271" t="s">
        <v>562</v>
      </c>
      <c r="AA557" s="287"/>
      <c r="AB557" s="287"/>
      <c r="AC557" s="272">
        <f t="shared" si="19"/>
        <v>0</v>
      </c>
      <c r="AD557" s="272">
        <v>0</v>
      </c>
      <c r="AE557" s="272">
        <f t="shared" si="20"/>
        <v>0</v>
      </c>
      <c r="AF557" s="273"/>
      <c r="AG557" s="274"/>
      <c r="AH557" s="273"/>
      <c r="AI557" s="273"/>
      <c r="AJ557" s="274"/>
      <c r="AK557" s="273"/>
      <c r="AL557" s="275"/>
      <c r="AM557" s="290"/>
      <c r="AN557" s="275"/>
      <c r="AO557" s="276"/>
      <c r="AP557" s="275"/>
      <c r="AQ557" s="275"/>
      <c r="AR557" s="275"/>
      <c r="AS557" s="275"/>
      <c r="AT557" s="275"/>
      <c r="AU557" s="275"/>
      <c r="AV557" s="275"/>
      <c r="AW557" s="275"/>
      <c r="AX557" s="275"/>
      <c r="AY557" s="275"/>
      <c r="AZ557" s="275"/>
      <c r="BA557" s="275"/>
      <c r="BB557" s="275"/>
      <c r="BC557" s="275"/>
      <c r="BD557" s="275"/>
      <c r="BE557" s="275"/>
      <c r="BF557" s="275"/>
      <c r="BH557" s="277"/>
    </row>
    <row r="558" spans="1:60" ht="16.5" hidden="1" customHeight="1" x14ac:dyDescent="0.3">
      <c r="A558" s="260">
        <v>536</v>
      </c>
      <c r="B558" s="261"/>
      <c r="C558" s="261"/>
      <c r="D558" s="262" t="s">
        <v>15</v>
      </c>
      <c r="E558" s="262" t="s">
        <v>2</v>
      </c>
      <c r="F558" s="263" t="s">
        <v>15</v>
      </c>
      <c r="G558" s="264" t="s">
        <v>2</v>
      </c>
      <c r="H558" s="281"/>
      <c r="I558" s="265"/>
      <c r="J558" s="266" t="s">
        <v>607</v>
      </c>
      <c r="K558" s="262"/>
      <c r="L558" s="262"/>
      <c r="M558" s="262">
        <v>42576</v>
      </c>
      <c r="N558" s="262" t="s">
        <v>22</v>
      </c>
      <c r="O558" s="262" t="s">
        <v>212</v>
      </c>
      <c r="P558" s="262"/>
      <c r="Q558" s="262" t="s">
        <v>46</v>
      </c>
      <c r="R558" s="262" t="s">
        <v>47</v>
      </c>
      <c r="S558" s="267" t="s">
        <v>47</v>
      </c>
      <c r="T558" s="268"/>
      <c r="U558" s="269">
        <v>84000000</v>
      </c>
      <c r="V558" s="269">
        <v>66000000</v>
      </c>
      <c r="W558" s="278">
        <v>60615000</v>
      </c>
      <c r="X558" s="270"/>
      <c r="Y558" s="262" t="s">
        <v>27</v>
      </c>
      <c r="Z558" s="271" t="s">
        <v>27</v>
      </c>
      <c r="AA558" s="287"/>
      <c r="AB558" s="287"/>
      <c r="AC558" s="272">
        <f t="shared" si="19"/>
        <v>72000000</v>
      </c>
      <c r="AD558" s="272">
        <v>72000000</v>
      </c>
      <c r="AE558" s="272">
        <f t="shared" si="20"/>
        <v>0</v>
      </c>
      <c r="AF558" s="273">
        <v>5000000</v>
      </c>
      <c r="AG558" s="274">
        <v>6000000</v>
      </c>
      <c r="AH558" s="273"/>
      <c r="AI558" s="273">
        <v>5000000</v>
      </c>
      <c r="AJ558" s="274">
        <v>6000000</v>
      </c>
      <c r="AK558" s="273"/>
      <c r="AL558" s="275">
        <v>6000000</v>
      </c>
      <c r="AM558" s="290">
        <v>6000000</v>
      </c>
      <c r="AN558" s="275"/>
      <c r="AO558" s="276">
        <v>6000000</v>
      </c>
      <c r="AP558" s="275"/>
      <c r="AQ558" s="275">
        <v>6000000</v>
      </c>
      <c r="AR558" s="275"/>
      <c r="AS558" s="275">
        <v>6000000</v>
      </c>
      <c r="AT558" s="275"/>
      <c r="AU558" s="275">
        <v>6000000</v>
      </c>
      <c r="AV558" s="275"/>
      <c r="AW558" s="275">
        <v>6000000</v>
      </c>
      <c r="AX558" s="275"/>
      <c r="AY558" s="275">
        <v>6000000</v>
      </c>
      <c r="AZ558" s="275"/>
      <c r="BA558" s="275">
        <v>6000000</v>
      </c>
      <c r="BB558" s="275"/>
      <c r="BC558" s="275">
        <v>6000000</v>
      </c>
      <c r="BD558" s="275"/>
      <c r="BE558" s="275">
        <v>6000000</v>
      </c>
      <c r="BF558" s="275"/>
      <c r="BH558" s="277"/>
    </row>
    <row r="559" spans="1:60" ht="16.5" hidden="1" customHeight="1" x14ac:dyDescent="0.3">
      <c r="A559" s="260">
        <v>537</v>
      </c>
      <c r="B559" s="261"/>
      <c r="C559" s="261"/>
      <c r="D559" s="262" t="s">
        <v>15</v>
      </c>
      <c r="E559" s="262" t="s">
        <v>2</v>
      </c>
      <c r="F559" s="263" t="s">
        <v>15</v>
      </c>
      <c r="G559" s="264" t="s">
        <v>2</v>
      </c>
      <c r="H559" s="281"/>
      <c r="I559" s="265"/>
      <c r="J559" s="266" t="s">
        <v>630</v>
      </c>
      <c r="K559" s="262"/>
      <c r="L559" s="262"/>
      <c r="M559" s="262">
        <v>40360</v>
      </c>
      <c r="N559" s="262" t="s">
        <v>22</v>
      </c>
      <c r="O559" s="262" t="s">
        <v>178</v>
      </c>
      <c r="P559" s="262"/>
      <c r="Q559" s="262" t="s">
        <v>30</v>
      </c>
      <c r="R559" s="262" t="s">
        <v>31</v>
      </c>
      <c r="S559" s="267" t="s">
        <v>31</v>
      </c>
      <c r="T559" s="268"/>
      <c r="U559" s="269"/>
      <c r="V559" s="269">
        <v>180000</v>
      </c>
      <c r="W559" s="278">
        <v>0</v>
      </c>
      <c r="X559" s="270"/>
      <c r="Y559" s="262" t="s">
        <v>20</v>
      </c>
      <c r="Z559" s="271" t="s">
        <v>20</v>
      </c>
      <c r="AA559" s="287"/>
      <c r="AB559" s="287"/>
      <c r="AC559" s="272">
        <f t="shared" si="19"/>
        <v>0</v>
      </c>
      <c r="AD559" s="272">
        <v>0</v>
      </c>
      <c r="AE559" s="272">
        <f t="shared" si="20"/>
        <v>0</v>
      </c>
      <c r="AF559" s="273"/>
      <c r="AG559" s="274"/>
      <c r="AH559" s="273"/>
      <c r="AI559" s="273"/>
      <c r="AJ559" s="274"/>
      <c r="AK559" s="273"/>
      <c r="AL559" s="275"/>
      <c r="AM559" s="290"/>
      <c r="AN559" s="275"/>
      <c r="AO559" s="276"/>
      <c r="AP559" s="275"/>
      <c r="AQ559" s="275"/>
      <c r="AR559" s="275"/>
      <c r="AS559" s="275"/>
      <c r="AT559" s="275"/>
      <c r="AU559" s="275"/>
      <c r="AV559" s="275"/>
      <c r="AW559" s="275"/>
      <c r="AX559" s="275"/>
      <c r="AY559" s="275"/>
      <c r="AZ559" s="275"/>
      <c r="BA559" s="275"/>
      <c r="BB559" s="275"/>
      <c r="BC559" s="275"/>
      <c r="BD559" s="275"/>
      <c r="BE559" s="275"/>
      <c r="BF559" s="275"/>
      <c r="BH559" s="277"/>
    </row>
    <row r="560" spans="1:60" ht="16.5" hidden="1" customHeight="1" x14ac:dyDescent="0.3">
      <c r="A560" s="260">
        <v>538</v>
      </c>
      <c r="B560" s="261"/>
      <c r="C560" s="261"/>
      <c r="D560" s="262" t="s">
        <v>15</v>
      </c>
      <c r="E560" s="262" t="s">
        <v>2</v>
      </c>
      <c r="F560" s="263" t="s">
        <v>15</v>
      </c>
      <c r="G560" s="264" t="s">
        <v>2</v>
      </c>
      <c r="H560" s="281"/>
      <c r="I560" s="265"/>
      <c r="J560" s="266" t="s">
        <v>597</v>
      </c>
      <c r="K560" s="262"/>
      <c r="L560" s="262"/>
      <c r="M560" s="262">
        <v>12286</v>
      </c>
      <c r="N560" s="262" t="s">
        <v>42</v>
      </c>
      <c r="O560" s="262" t="s">
        <v>56</v>
      </c>
      <c r="P560" s="262"/>
      <c r="Q560" s="262" t="s">
        <v>44</v>
      </c>
      <c r="R560" s="262" t="s">
        <v>469</v>
      </c>
      <c r="S560" s="267" t="s">
        <v>469</v>
      </c>
      <c r="T560" s="268"/>
      <c r="U560" s="269">
        <v>20023727</v>
      </c>
      <c r="V560" s="269">
        <v>73094089</v>
      </c>
      <c r="W560" s="278">
        <v>17450000</v>
      </c>
      <c r="X560" s="270"/>
      <c r="Y560" s="262" t="s">
        <v>27</v>
      </c>
      <c r="Z560" s="271" t="s">
        <v>27</v>
      </c>
      <c r="AA560" s="287"/>
      <c r="AB560" s="287"/>
      <c r="AC560" s="272">
        <f t="shared" si="19"/>
        <v>22402273</v>
      </c>
      <c r="AD560" s="272">
        <v>22402273</v>
      </c>
      <c r="AE560" s="272">
        <f t="shared" si="20"/>
        <v>0</v>
      </c>
      <c r="AF560" s="273">
        <v>500000</v>
      </c>
      <c r="AG560" s="274">
        <v>6818</v>
      </c>
      <c r="AH560" s="273"/>
      <c r="AI560" s="273">
        <v>3000000</v>
      </c>
      <c r="AJ560" s="274">
        <v>3000000</v>
      </c>
      <c r="AK560" s="273"/>
      <c r="AL560" s="275">
        <v>250000</v>
      </c>
      <c r="AM560" s="290">
        <v>145455</v>
      </c>
      <c r="AN560" s="275"/>
      <c r="AO560" s="276">
        <v>250000</v>
      </c>
      <c r="AP560" s="275"/>
      <c r="AQ560" s="275">
        <v>250000</v>
      </c>
      <c r="AR560" s="275"/>
      <c r="AS560" s="275">
        <v>1750000</v>
      </c>
      <c r="AT560" s="275"/>
      <c r="AU560" s="275">
        <v>6000000</v>
      </c>
      <c r="AV560" s="275"/>
      <c r="AW560" s="275">
        <v>2000000</v>
      </c>
      <c r="AX560" s="275"/>
      <c r="AY560" s="275">
        <v>2000000</v>
      </c>
      <c r="AZ560" s="275"/>
      <c r="BA560" s="275">
        <v>2000000</v>
      </c>
      <c r="BB560" s="275"/>
      <c r="BC560" s="275">
        <v>2000000</v>
      </c>
      <c r="BD560" s="275"/>
      <c r="BE560" s="275">
        <v>3000000</v>
      </c>
      <c r="BF560" s="275"/>
      <c r="BH560" s="277"/>
    </row>
    <row r="561" spans="1:60" ht="16.5" hidden="1" customHeight="1" x14ac:dyDescent="0.3">
      <c r="A561" s="260">
        <v>539</v>
      </c>
      <c r="B561" s="261"/>
      <c r="C561" s="261"/>
      <c r="D561" s="262" t="s">
        <v>15</v>
      </c>
      <c r="E561" s="262" t="s">
        <v>2</v>
      </c>
      <c r="F561" s="263" t="s">
        <v>15</v>
      </c>
      <c r="G561" s="264" t="s">
        <v>2</v>
      </c>
      <c r="H561" s="281"/>
      <c r="I561" s="265"/>
      <c r="J561" s="266" t="s">
        <v>1026</v>
      </c>
      <c r="K561" s="262"/>
      <c r="L561" s="262"/>
      <c r="M561" s="262">
        <v>12286</v>
      </c>
      <c r="N561" s="262" t="s">
        <v>42</v>
      </c>
      <c r="O561" s="262" t="s">
        <v>56</v>
      </c>
      <c r="P561" s="262"/>
      <c r="Q561" s="262" t="s">
        <v>26</v>
      </c>
      <c r="R561" s="262" t="s">
        <v>469</v>
      </c>
      <c r="S561" s="267" t="s">
        <v>469</v>
      </c>
      <c r="T561" s="268"/>
      <c r="U561" s="269">
        <v>13000000</v>
      </c>
      <c r="V561" s="269">
        <v>0</v>
      </c>
      <c r="W561" s="278">
        <v>70200000</v>
      </c>
      <c r="X561" s="270"/>
      <c r="Y561" s="262" t="s">
        <v>27</v>
      </c>
      <c r="Z561" s="271" t="s">
        <v>27</v>
      </c>
      <c r="AA561" s="287"/>
      <c r="AB561" s="287"/>
      <c r="AC561" s="272">
        <f t="shared" si="19"/>
        <v>137300000</v>
      </c>
      <c r="AD561" s="272">
        <v>137300000</v>
      </c>
      <c r="AE561" s="272">
        <f t="shared" si="20"/>
        <v>0</v>
      </c>
      <c r="AF561" s="273"/>
      <c r="AG561" s="274"/>
      <c r="AH561" s="273"/>
      <c r="AI561" s="273">
        <v>44400000</v>
      </c>
      <c r="AJ561" s="274">
        <v>20400000</v>
      </c>
      <c r="AK561" s="273"/>
      <c r="AL561" s="275">
        <v>61400000</v>
      </c>
      <c r="AM561" s="290">
        <v>85400000</v>
      </c>
      <c r="AN561" s="275"/>
      <c r="AO561" s="276">
        <v>4500000</v>
      </c>
      <c r="AP561" s="275"/>
      <c r="AQ561" s="275">
        <v>4500000</v>
      </c>
      <c r="AR561" s="275"/>
      <c r="AS561" s="275">
        <v>4500000</v>
      </c>
      <c r="AT561" s="275"/>
      <c r="AU561" s="275">
        <v>4500000</v>
      </c>
      <c r="AV561" s="275"/>
      <c r="AW561" s="275">
        <v>4500000</v>
      </c>
      <c r="AX561" s="275"/>
      <c r="AY561" s="275">
        <v>4500000</v>
      </c>
      <c r="AZ561" s="275"/>
      <c r="BA561" s="275">
        <v>4500000</v>
      </c>
      <c r="BB561" s="275"/>
      <c r="BC561" s="275"/>
      <c r="BD561" s="275"/>
      <c r="BE561" s="275"/>
      <c r="BF561" s="275"/>
      <c r="BH561" s="277"/>
    </row>
    <row r="562" spans="1:60" ht="16.5" hidden="1" customHeight="1" x14ac:dyDescent="0.3">
      <c r="A562" s="260">
        <v>540</v>
      </c>
      <c r="B562" s="261"/>
      <c r="C562" s="261"/>
      <c r="D562" s="262" t="s">
        <v>15</v>
      </c>
      <c r="E562" s="262" t="s">
        <v>2</v>
      </c>
      <c r="F562" s="263" t="s">
        <v>15</v>
      </c>
      <c r="G562" s="264" t="s">
        <v>2</v>
      </c>
      <c r="H562" s="281"/>
      <c r="I562" s="265"/>
      <c r="J562" s="266" t="s">
        <v>598</v>
      </c>
      <c r="K562" s="262"/>
      <c r="L562" s="262"/>
      <c r="M562" s="262">
        <v>12286</v>
      </c>
      <c r="N562" s="262" t="s">
        <v>469</v>
      </c>
      <c r="O562" s="262" t="s">
        <v>56</v>
      </c>
      <c r="P562" s="262"/>
      <c r="Q562" s="262"/>
      <c r="R562" s="262" t="s">
        <v>469</v>
      </c>
      <c r="S562" s="267" t="s">
        <v>469</v>
      </c>
      <c r="T562" s="268"/>
      <c r="U562" s="269"/>
      <c r="V562" s="269"/>
      <c r="W562" s="278">
        <v>0</v>
      </c>
      <c r="X562" s="270"/>
      <c r="Y562" s="262"/>
      <c r="Z562" s="271" t="s">
        <v>24</v>
      </c>
      <c r="AA562" s="287"/>
      <c r="AB562" s="287"/>
      <c r="AC562" s="272">
        <f t="shared" si="19"/>
        <v>46000000</v>
      </c>
      <c r="AD562" s="272">
        <v>46000000</v>
      </c>
      <c r="AE562" s="272">
        <f t="shared" si="20"/>
        <v>0</v>
      </c>
      <c r="AF562" s="273"/>
      <c r="AG562" s="274"/>
      <c r="AH562" s="273"/>
      <c r="AI562" s="273"/>
      <c r="AJ562" s="274"/>
      <c r="AK562" s="273"/>
      <c r="AL562" s="275"/>
      <c r="AM562" s="290"/>
      <c r="AN562" s="275"/>
      <c r="AO562" s="276"/>
      <c r="AP562" s="275"/>
      <c r="AQ562" s="275">
        <v>24000000</v>
      </c>
      <c r="AR562" s="275"/>
      <c r="AS562" s="275">
        <v>22000000</v>
      </c>
      <c r="AT562" s="275"/>
      <c r="AU562" s="275"/>
      <c r="AV562" s="275"/>
      <c r="AW562" s="275"/>
      <c r="AX562" s="275"/>
      <c r="AY562" s="275"/>
      <c r="AZ562" s="275"/>
      <c r="BA562" s="275"/>
      <c r="BB562" s="275"/>
      <c r="BC562" s="275"/>
      <c r="BD562" s="275"/>
      <c r="BE562" s="275"/>
      <c r="BF562" s="275"/>
      <c r="BH562" s="277"/>
    </row>
    <row r="563" spans="1:60" ht="16.5" hidden="1" customHeight="1" x14ac:dyDescent="0.3">
      <c r="A563" s="260">
        <v>541</v>
      </c>
      <c r="B563" s="261"/>
      <c r="C563" s="261"/>
      <c r="D563" s="262" t="s">
        <v>15</v>
      </c>
      <c r="E563" s="262" t="s">
        <v>2</v>
      </c>
      <c r="F563" s="263" t="s">
        <v>15</v>
      </c>
      <c r="G563" s="264" t="s">
        <v>2</v>
      </c>
      <c r="H563" s="281"/>
      <c r="I563" s="265"/>
      <c r="J563" s="266" t="s">
        <v>87</v>
      </c>
      <c r="K563" s="262"/>
      <c r="L563" s="262"/>
      <c r="M563" s="262">
        <v>52633</v>
      </c>
      <c r="N563" s="262" t="s">
        <v>22</v>
      </c>
      <c r="O563" s="262" t="s">
        <v>35</v>
      </c>
      <c r="P563" s="262"/>
      <c r="Q563" s="262" t="s">
        <v>18</v>
      </c>
      <c r="R563" s="262" t="s">
        <v>19</v>
      </c>
      <c r="S563" s="267" t="s">
        <v>19</v>
      </c>
      <c r="T563" s="268"/>
      <c r="U563" s="269"/>
      <c r="V563" s="269">
        <v>0</v>
      </c>
      <c r="W563" s="278">
        <v>0</v>
      </c>
      <c r="X563" s="270"/>
      <c r="Y563" s="262" t="s">
        <v>25</v>
      </c>
      <c r="Z563" s="271" t="s">
        <v>25</v>
      </c>
      <c r="AA563" s="287"/>
      <c r="AB563" s="287"/>
      <c r="AC563" s="272">
        <f t="shared" si="19"/>
        <v>10000000</v>
      </c>
      <c r="AD563" s="272">
        <v>10000000</v>
      </c>
      <c r="AE563" s="272">
        <f t="shared" si="20"/>
        <v>0</v>
      </c>
      <c r="AF563" s="273"/>
      <c r="AG563" s="274"/>
      <c r="AH563" s="273"/>
      <c r="AI563" s="273"/>
      <c r="AJ563" s="274"/>
      <c r="AK563" s="273"/>
      <c r="AL563" s="275"/>
      <c r="AM563" s="290"/>
      <c r="AN563" s="275"/>
      <c r="AO563" s="276"/>
      <c r="AP563" s="275"/>
      <c r="AQ563" s="275"/>
      <c r="AR563" s="275"/>
      <c r="AS563" s="275">
        <v>10000000</v>
      </c>
      <c r="AT563" s="275"/>
      <c r="AU563" s="275"/>
      <c r="AV563" s="275"/>
      <c r="AW563" s="275"/>
      <c r="AX563" s="275"/>
      <c r="AY563" s="275"/>
      <c r="AZ563" s="275"/>
      <c r="BA563" s="275"/>
      <c r="BB563" s="275"/>
      <c r="BC563" s="275"/>
      <c r="BD563" s="275"/>
      <c r="BE563" s="275"/>
      <c r="BF563" s="275"/>
      <c r="BH563" s="277"/>
    </row>
    <row r="564" spans="1:60" ht="16.5" hidden="1" customHeight="1" x14ac:dyDescent="0.3">
      <c r="A564" s="260">
        <v>542</v>
      </c>
      <c r="B564" s="261"/>
      <c r="C564" s="261"/>
      <c r="D564" s="262" t="s">
        <v>15</v>
      </c>
      <c r="E564" s="262" t="s">
        <v>2</v>
      </c>
      <c r="F564" s="263" t="s">
        <v>15</v>
      </c>
      <c r="G564" s="264" t="s">
        <v>2</v>
      </c>
      <c r="H564" s="281"/>
      <c r="I564" s="265"/>
      <c r="J564" s="266" t="s">
        <v>87</v>
      </c>
      <c r="K564" s="262"/>
      <c r="L564" s="262"/>
      <c r="M564" s="262">
        <v>52633</v>
      </c>
      <c r="N564" s="262" t="s">
        <v>22</v>
      </c>
      <c r="O564" s="262" t="s">
        <v>35</v>
      </c>
      <c r="P564" s="262"/>
      <c r="Q564" s="262" t="s">
        <v>26</v>
      </c>
      <c r="R564" s="262" t="s">
        <v>468</v>
      </c>
      <c r="S564" s="267" t="s">
        <v>468</v>
      </c>
      <c r="T564" s="268"/>
      <c r="U564" s="269">
        <v>2000000</v>
      </c>
      <c r="V564" s="269">
        <v>0</v>
      </c>
      <c r="W564" s="278">
        <v>0</v>
      </c>
      <c r="X564" s="270"/>
      <c r="Y564" s="262" t="s">
        <v>24</v>
      </c>
      <c r="Z564" s="271" t="s">
        <v>25</v>
      </c>
      <c r="AA564" s="287"/>
      <c r="AB564" s="287"/>
      <c r="AC564" s="272">
        <f t="shared" si="19"/>
        <v>10000000</v>
      </c>
      <c r="AD564" s="272">
        <v>10000000</v>
      </c>
      <c r="AE564" s="272">
        <f t="shared" si="20"/>
        <v>0</v>
      </c>
      <c r="AF564" s="273"/>
      <c r="AG564" s="274"/>
      <c r="AH564" s="273"/>
      <c r="AI564" s="273"/>
      <c r="AJ564" s="274"/>
      <c r="AK564" s="273"/>
      <c r="AL564" s="275"/>
      <c r="AM564" s="290"/>
      <c r="AN564" s="275"/>
      <c r="AO564" s="276"/>
      <c r="AP564" s="275"/>
      <c r="AQ564" s="275"/>
      <c r="AR564" s="275"/>
      <c r="AS564" s="275">
        <v>10000000</v>
      </c>
      <c r="AT564" s="275"/>
      <c r="AU564" s="275"/>
      <c r="AV564" s="275"/>
      <c r="AW564" s="275"/>
      <c r="AX564" s="275"/>
      <c r="AY564" s="275"/>
      <c r="AZ564" s="275"/>
      <c r="BA564" s="275"/>
      <c r="BB564" s="275"/>
      <c r="BC564" s="275"/>
      <c r="BD564" s="275"/>
      <c r="BE564" s="275"/>
      <c r="BF564" s="275"/>
      <c r="BH564" s="277"/>
    </row>
    <row r="565" spans="1:60" ht="16.5" hidden="1" customHeight="1" x14ac:dyDescent="0.3">
      <c r="A565" s="260">
        <v>543</v>
      </c>
      <c r="B565" s="261"/>
      <c r="C565" s="261"/>
      <c r="D565" s="262" t="s">
        <v>15</v>
      </c>
      <c r="E565" s="262" t="s">
        <v>2</v>
      </c>
      <c r="F565" s="263" t="s">
        <v>15</v>
      </c>
      <c r="G565" s="264" t="s">
        <v>2</v>
      </c>
      <c r="H565" s="281"/>
      <c r="I565" s="265"/>
      <c r="J565" s="266" t="s">
        <v>566</v>
      </c>
      <c r="K565" s="262"/>
      <c r="L565" s="262"/>
      <c r="M565" s="262">
        <v>8152</v>
      </c>
      <c r="N565" s="262" t="s">
        <v>42</v>
      </c>
      <c r="O565" s="262" t="s">
        <v>35</v>
      </c>
      <c r="P565" s="262"/>
      <c r="Q565" s="262" t="s">
        <v>30</v>
      </c>
      <c r="R565" s="262" t="s">
        <v>31</v>
      </c>
      <c r="S565" s="267" t="s">
        <v>31</v>
      </c>
      <c r="T565" s="268"/>
      <c r="U565" s="269">
        <v>21200000</v>
      </c>
      <c r="V565" s="269">
        <v>21200000</v>
      </c>
      <c r="W565" s="278">
        <v>0</v>
      </c>
      <c r="X565" s="270"/>
      <c r="Y565" s="262" t="s">
        <v>20</v>
      </c>
      <c r="Z565" s="271" t="s">
        <v>562</v>
      </c>
      <c r="AA565" s="287"/>
      <c r="AB565" s="287"/>
      <c r="AC565" s="272">
        <f t="shared" si="19"/>
        <v>0</v>
      </c>
      <c r="AD565" s="272">
        <v>0</v>
      </c>
      <c r="AE565" s="272">
        <f t="shared" si="20"/>
        <v>0</v>
      </c>
      <c r="AF565" s="273"/>
      <c r="AG565" s="274"/>
      <c r="AH565" s="273"/>
      <c r="AI565" s="273"/>
      <c r="AJ565" s="274"/>
      <c r="AK565" s="273"/>
      <c r="AL565" s="275"/>
      <c r="AM565" s="290"/>
      <c r="AN565" s="275"/>
      <c r="AO565" s="276"/>
      <c r="AP565" s="275"/>
      <c r="AQ565" s="275"/>
      <c r="AR565" s="275"/>
      <c r="AS565" s="275"/>
      <c r="AT565" s="275"/>
      <c r="AU565" s="275"/>
      <c r="AV565" s="275"/>
      <c r="AW565" s="275"/>
      <c r="AX565" s="275"/>
      <c r="AY565" s="275"/>
      <c r="AZ565" s="275"/>
      <c r="BA565" s="275"/>
      <c r="BB565" s="275"/>
      <c r="BC565" s="275"/>
      <c r="BD565" s="275"/>
      <c r="BE565" s="275"/>
      <c r="BF565" s="275"/>
      <c r="BH565" s="277"/>
    </row>
    <row r="566" spans="1:60" ht="16.5" hidden="1" customHeight="1" x14ac:dyDescent="0.3">
      <c r="A566" s="260">
        <v>544</v>
      </c>
      <c r="B566" s="261"/>
      <c r="C566" s="261"/>
      <c r="D566" s="262" t="s">
        <v>15</v>
      </c>
      <c r="E566" s="262" t="s">
        <v>2</v>
      </c>
      <c r="F566" s="263" t="s">
        <v>15</v>
      </c>
      <c r="G566" s="264" t="s">
        <v>2</v>
      </c>
      <c r="H566" s="281"/>
      <c r="I566" s="265"/>
      <c r="J566" s="266" t="s">
        <v>566</v>
      </c>
      <c r="K566" s="262"/>
      <c r="L566" s="262"/>
      <c r="M566" s="262">
        <v>8152</v>
      </c>
      <c r="N566" s="262" t="s">
        <v>42</v>
      </c>
      <c r="O566" s="262" t="s">
        <v>56</v>
      </c>
      <c r="P566" s="262"/>
      <c r="Q566" s="262" t="s">
        <v>44</v>
      </c>
      <c r="R566" s="262" t="s">
        <v>469</v>
      </c>
      <c r="S566" s="267" t="s">
        <v>469</v>
      </c>
      <c r="T566" s="268"/>
      <c r="U566" s="269"/>
      <c r="V566" s="269">
        <v>0</v>
      </c>
      <c r="W566" s="278">
        <v>21200000</v>
      </c>
      <c r="X566" s="270"/>
      <c r="Y566" s="262" t="s">
        <v>24</v>
      </c>
      <c r="Z566" s="271" t="s">
        <v>24</v>
      </c>
      <c r="AA566" s="287"/>
      <c r="AB566" s="287"/>
      <c r="AC566" s="272">
        <f t="shared" si="19"/>
        <v>20000000</v>
      </c>
      <c r="AD566" s="272">
        <v>20000000</v>
      </c>
      <c r="AE566" s="272">
        <f t="shared" si="20"/>
        <v>0</v>
      </c>
      <c r="AF566" s="273"/>
      <c r="AG566" s="274"/>
      <c r="AH566" s="273"/>
      <c r="AI566" s="273"/>
      <c r="AJ566" s="274"/>
      <c r="AK566" s="273"/>
      <c r="AL566" s="275"/>
      <c r="AM566" s="290"/>
      <c r="AN566" s="275"/>
      <c r="AO566" s="276"/>
      <c r="AP566" s="275"/>
      <c r="AQ566" s="275"/>
      <c r="AR566" s="275"/>
      <c r="AS566" s="275"/>
      <c r="AT566" s="275"/>
      <c r="AU566" s="275"/>
      <c r="AV566" s="275"/>
      <c r="AW566" s="275"/>
      <c r="AX566" s="275"/>
      <c r="AY566" s="275">
        <v>20000000</v>
      </c>
      <c r="AZ566" s="275"/>
      <c r="BA566" s="275"/>
      <c r="BB566" s="275"/>
      <c r="BC566" s="275"/>
      <c r="BD566" s="275"/>
      <c r="BE566" s="275"/>
      <c r="BF566" s="275"/>
      <c r="BH566" s="277"/>
    </row>
    <row r="567" spans="1:60" ht="16.5" hidden="1" customHeight="1" x14ac:dyDescent="0.3">
      <c r="A567" s="260">
        <v>545</v>
      </c>
      <c r="B567" s="261"/>
      <c r="C567" s="261"/>
      <c r="D567" s="262" t="s">
        <v>15</v>
      </c>
      <c r="E567" s="262" t="s">
        <v>2</v>
      </c>
      <c r="F567" s="263" t="s">
        <v>15</v>
      </c>
      <c r="G567" s="264" t="s">
        <v>2</v>
      </c>
      <c r="H567" s="281"/>
      <c r="I567" s="265"/>
      <c r="J567" s="266" t="s">
        <v>88</v>
      </c>
      <c r="K567" s="262"/>
      <c r="L567" s="262"/>
      <c r="M567" s="262">
        <v>46333</v>
      </c>
      <c r="N567" s="262" t="s">
        <v>32</v>
      </c>
      <c r="O567" s="262" t="s">
        <v>178</v>
      </c>
      <c r="P567" s="262"/>
      <c r="Q567" s="262" t="s">
        <v>54</v>
      </c>
      <c r="R567" s="262" t="s">
        <v>467</v>
      </c>
      <c r="S567" s="267" t="s">
        <v>831</v>
      </c>
      <c r="T567" s="268"/>
      <c r="U567" s="269">
        <v>105909090.90909091</v>
      </c>
      <c r="V567" s="269">
        <v>97500000</v>
      </c>
      <c r="W567" s="278">
        <v>0</v>
      </c>
      <c r="X567" s="270"/>
      <c r="Y567" s="262" t="s">
        <v>562</v>
      </c>
      <c r="Z567" s="271" t="s">
        <v>562</v>
      </c>
      <c r="AA567" s="287"/>
      <c r="AB567" s="287"/>
      <c r="AC567" s="272">
        <f t="shared" si="19"/>
        <v>0</v>
      </c>
      <c r="AD567" s="272">
        <v>0</v>
      </c>
      <c r="AE567" s="272">
        <f t="shared" si="20"/>
        <v>0</v>
      </c>
      <c r="AF567" s="273"/>
      <c r="AG567" s="274"/>
      <c r="AH567" s="273"/>
      <c r="AI567" s="273"/>
      <c r="AJ567" s="274"/>
      <c r="AK567" s="273"/>
      <c r="AL567" s="275">
        <v>100000000</v>
      </c>
      <c r="AM567" s="290">
        <v>0</v>
      </c>
      <c r="AN567" s="275"/>
      <c r="AO567" s="276"/>
      <c r="AP567" s="275"/>
      <c r="AQ567" s="275"/>
      <c r="AR567" s="275"/>
      <c r="AS567" s="275"/>
      <c r="AT567" s="275"/>
      <c r="AU567" s="275"/>
      <c r="AV567" s="275"/>
      <c r="AW567" s="275"/>
      <c r="AX567" s="275"/>
      <c r="AY567" s="275"/>
      <c r="AZ567" s="275"/>
      <c r="BA567" s="275"/>
      <c r="BB567" s="275"/>
      <c r="BC567" s="275"/>
      <c r="BD567" s="275"/>
      <c r="BE567" s="275">
        <v>0</v>
      </c>
      <c r="BF567" s="275"/>
      <c r="BH567" s="277"/>
    </row>
    <row r="568" spans="1:60" ht="16.5" hidden="1" customHeight="1" x14ac:dyDescent="0.3">
      <c r="A568" s="260">
        <v>546</v>
      </c>
      <c r="B568" s="261"/>
      <c r="C568" s="261"/>
      <c r="D568" s="262" t="s">
        <v>15</v>
      </c>
      <c r="E568" s="262" t="s">
        <v>2</v>
      </c>
      <c r="F568" s="263" t="s">
        <v>15</v>
      </c>
      <c r="G568" s="264" t="s">
        <v>2</v>
      </c>
      <c r="H568" s="281"/>
      <c r="I568" s="265"/>
      <c r="J568" s="266" t="s">
        <v>89</v>
      </c>
      <c r="K568" s="262"/>
      <c r="L568" s="262"/>
      <c r="M568" s="262">
        <v>13619</v>
      </c>
      <c r="N568" s="262" t="s">
        <v>32</v>
      </c>
      <c r="O568" s="262" t="s">
        <v>212</v>
      </c>
      <c r="P568" s="262"/>
      <c r="Q568" s="262" t="s">
        <v>63</v>
      </c>
      <c r="R568" s="262" t="s">
        <v>28</v>
      </c>
      <c r="S568" s="267" t="s">
        <v>28</v>
      </c>
      <c r="T568" s="268"/>
      <c r="U568" s="269">
        <v>120336000</v>
      </c>
      <c r="V568" s="269">
        <v>92076020</v>
      </c>
      <c r="W568" s="278">
        <v>121000000</v>
      </c>
      <c r="X568" s="270"/>
      <c r="Y568" s="262" t="s">
        <v>27</v>
      </c>
      <c r="Z568" s="271" t="s">
        <v>27</v>
      </c>
      <c r="AA568" s="287"/>
      <c r="AB568" s="287"/>
      <c r="AC568" s="272">
        <f t="shared" si="19"/>
        <v>100833000</v>
      </c>
      <c r="AD568" s="272">
        <v>100833000</v>
      </c>
      <c r="AE568" s="272">
        <f t="shared" si="20"/>
        <v>0</v>
      </c>
      <c r="AF568" s="273"/>
      <c r="AG568" s="274"/>
      <c r="AH568" s="273"/>
      <c r="AI568" s="273"/>
      <c r="AJ568" s="274"/>
      <c r="AK568" s="273"/>
      <c r="AL568" s="275">
        <v>18333000</v>
      </c>
      <c r="AM568" s="290"/>
      <c r="AN568" s="275" t="s">
        <v>1024</v>
      </c>
      <c r="AO568" s="276">
        <v>18333000</v>
      </c>
      <c r="AP568" s="275"/>
      <c r="AQ568" s="275"/>
      <c r="AR568" s="275"/>
      <c r="AS568" s="275">
        <v>27500000</v>
      </c>
      <c r="AT568" s="275"/>
      <c r="AU568" s="275"/>
      <c r="AV568" s="275"/>
      <c r="AW568" s="275"/>
      <c r="AX568" s="275"/>
      <c r="AY568" s="275">
        <v>27500000</v>
      </c>
      <c r="AZ568" s="275"/>
      <c r="BA568" s="275"/>
      <c r="BB568" s="275"/>
      <c r="BC568" s="275"/>
      <c r="BD568" s="275"/>
      <c r="BE568" s="275">
        <v>27500000</v>
      </c>
      <c r="BF568" s="275"/>
      <c r="BH568" s="277"/>
    </row>
    <row r="569" spans="1:60" ht="16.5" hidden="1" customHeight="1" x14ac:dyDescent="0.3">
      <c r="A569" s="260">
        <v>547</v>
      </c>
      <c r="B569" s="261"/>
      <c r="C569" s="261"/>
      <c r="D569" s="262" t="s">
        <v>15</v>
      </c>
      <c r="E569" s="262" t="s">
        <v>2</v>
      </c>
      <c r="F569" s="263" t="s">
        <v>15</v>
      </c>
      <c r="G569" s="264" t="s">
        <v>2</v>
      </c>
      <c r="H569" s="281"/>
      <c r="I569" s="265"/>
      <c r="J569" s="266" t="s">
        <v>90</v>
      </c>
      <c r="K569" s="262"/>
      <c r="L569" s="262"/>
      <c r="M569" s="262">
        <v>16640</v>
      </c>
      <c r="N569" s="262" t="s">
        <v>22</v>
      </c>
      <c r="O569" s="262" t="s">
        <v>35</v>
      </c>
      <c r="P569" s="262"/>
      <c r="Q569" s="262" t="s">
        <v>18</v>
      </c>
      <c r="R569" s="262" t="s">
        <v>19</v>
      </c>
      <c r="S569" s="267" t="s">
        <v>19</v>
      </c>
      <c r="T569" s="268"/>
      <c r="U569" s="269"/>
      <c r="V569" s="269">
        <v>0</v>
      </c>
      <c r="W569" s="278">
        <v>0</v>
      </c>
      <c r="X569" s="270"/>
      <c r="Y569" s="262" t="s">
        <v>25</v>
      </c>
      <c r="Z569" s="271" t="s">
        <v>25</v>
      </c>
      <c r="AA569" s="287"/>
      <c r="AB569" s="287"/>
      <c r="AC569" s="272">
        <f t="shared" si="19"/>
        <v>20000000</v>
      </c>
      <c r="AD569" s="272">
        <v>20000000</v>
      </c>
      <c r="AE569" s="272">
        <f t="shared" si="20"/>
        <v>0</v>
      </c>
      <c r="AF569" s="273"/>
      <c r="AG569" s="274"/>
      <c r="AH569" s="273"/>
      <c r="AI569" s="273"/>
      <c r="AJ569" s="274"/>
      <c r="AK569" s="273"/>
      <c r="AL569" s="275"/>
      <c r="AM569" s="290"/>
      <c r="AN569" s="275"/>
      <c r="AO569" s="276"/>
      <c r="AP569" s="275"/>
      <c r="AQ569" s="275"/>
      <c r="AR569" s="275"/>
      <c r="AS569" s="275"/>
      <c r="AT569" s="275"/>
      <c r="AU569" s="275"/>
      <c r="AV569" s="275"/>
      <c r="AW569" s="275"/>
      <c r="AX569" s="275"/>
      <c r="AY569" s="275"/>
      <c r="AZ569" s="275"/>
      <c r="BA569" s="275">
        <v>20000000</v>
      </c>
      <c r="BB569" s="275"/>
      <c r="BC569" s="275"/>
      <c r="BD569" s="275"/>
      <c r="BE569" s="275"/>
      <c r="BF569" s="275"/>
      <c r="BH569" s="277"/>
    </row>
    <row r="570" spans="1:60" ht="16.5" hidden="1" customHeight="1" x14ac:dyDescent="0.3">
      <c r="A570" s="260">
        <v>548</v>
      </c>
      <c r="B570" s="261"/>
      <c r="C570" s="261"/>
      <c r="D570" s="262" t="s">
        <v>15</v>
      </c>
      <c r="E570" s="262" t="s">
        <v>2</v>
      </c>
      <c r="F570" s="263" t="s">
        <v>15</v>
      </c>
      <c r="G570" s="264" t="s">
        <v>2</v>
      </c>
      <c r="H570" s="281"/>
      <c r="I570" s="265"/>
      <c r="J570" s="266" t="s">
        <v>90</v>
      </c>
      <c r="K570" s="262"/>
      <c r="L570" s="262"/>
      <c r="M570" s="262">
        <v>16640</v>
      </c>
      <c r="N570" s="262" t="s">
        <v>22</v>
      </c>
      <c r="O570" s="262" t="s">
        <v>35</v>
      </c>
      <c r="P570" s="262"/>
      <c r="Q570" s="262" t="s">
        <v>30</v>
      </c>
      <c r="R570" s="262" t="s">
        <v>31</v>
      </c>
      <c r="S570" s="267" t="s">
        <v>31</v>
      </c>
      <c r="T570" s="268"/>
      <c r="U570" s="269">
        <v>14784000</v>
      </c>
      <c r="V570" s="269">
        <v>0</v>
      </c>
      <c r="W570" s="278">
        <v>0</v>
      </c>
      <c r="X570" s="270"/>
      <c r="Y570" s="262" t="s">
        <v>25</v>
      </c>
      <c r="Z570" s="271" t="s">
        <v>25</v>
      </c>
      <c r="AA570" s="287"/>
      <c r="AB570" s="287"/>
      <c r="AC570" s="272">
        <f t="shared" si="19"/>
        <v>15000000</v>
      </c>
      <c r="AD570" s="272">
        <v>15000000</v>
      </c>
      <c r="AE570" s="272">
        <f t="shared" si="20"/>
        <v>0</v>
      </c>
      <c r="AF570" s="273"/>
      <c r="AG570" s="274"/>
      <c r="AH570" s="273"/>
      <c r="AI570" s="273"/>
      <c r="AJ570" s="274"/>
      <c r="AK570" s="273"/>
      <c r="AL570" s="275"/>
      <c r="AM570" s="290"/>
      <c r="AN570" s="275"/>
      <c r="AO570" s="276"/>
      <c r="AP570" s="275"/>
      <c r="AQ570" s="275"/>
      <c r="AR570" s="275"/>
      <c r="AS570" s="275"/>
      <c r="AT570" s="275"/>
      <c r="AU570" s="275"/>
      <c r="AV570" s="275"/>
      <c r="AW570" s="275"/>
      <c r="AX570" s="275"/>
      <c r="AY570" s="275"/>
      <c r="AZ570" s="275"/>
      <c r="BA570" s="275">
        <v>15000000</v>
      </c>
      <c r="BB570" s="275"/>
      <c r="BC570" s="275"/>
      <c r="BD570" s="275"/>
      <c r="BE570" s="275"/>
      <c r="BF570" s="275"/>
      <c r="BH570" s="277"/>
    </row>
    <row r="571" spans="1:60" ht="16.5" hidden="1" customHeight="1" x14ac:dyDescent="0.3">
      <c r="A571" s="260">
        <v>549</v>
      </c>
      <c r="B571" s="261"/>
      <c r="C571" s="261"/>
      <c r="D571" s="262" t="s">
        <v>15</v>
      </c>
      <c r="E571" s="262" t="s">
        <v>2</v>
      </c>
      <c r="F571" s="263" t="s">
        <v>15</v>
      </c>
      <c r="G571" s="264" t="s">
        <v>2</v>
      </c>
      <c r="H571" s="281"/>
      <c r="I571" s="265"/>
      <c r="J571" s="266" t="s">
        <v>90</v>
      </c>
      <c r="K571" s="262"/>
      <c r="L571" s="262"/>
      <c r="M571" s="262">
        <v>16640</v>
      </c>
      <c r="N571" s="262"/>
      <c r="O571" s="262" t="s">
        <v>35</v>
      </c>
      <c r="P571" s="262"/>
      <c r="Q571" s="262"/>
      <c r="R571" s="262"/>
      <c r="S571" s="267" t="s">
        <v>468</v>
      </c>
      <c r="T571" s="268"/>
      <c r="U571" s="269"/>
      <c r="V571" s="269"/>
      <c r="W571" s="278">
        <v>0</v>
      </c>
      <c r="X571" s="270"/>
      <c r="Y571" s="262"/>
      <c r="Z571" s="271" t="s">
        <v>25</v>
      </c>
      <c r="AA571" s="287"/>
      <c r="AB571" s="287"/>
      <c r="AC571" s="272">
        <f t="shared" si="19"/>
        <v>30000000</v>
      </c>
      <c r="AD571" s="272">
        <v>30000000</v>
      </c>
      <c r="AE571" s="272">
        <f t="shared" si="20"/>
        <v>0</v>
      </c>
      <c r="AF571" s="273"/>
      <c r="AG571" s="274"/>
      <c r="AH571" s="273"/>
      <c r="AI571" s="273"/>
      <c r="AJ571" s="274"/>
      <c r="AK571" s="273"/>
      <c r="AL571" s="275"/>
      <c r="AM571" s="290"/>
      <c r="AN571" s="275"/>
      <c r="AO571" s="276"/>
      <c r="AP571" s="275"/>
      <c r="AQ571" s="275"/>
      <c r="AR571" s="275"/>
      <c r="AS571" s="275">
        <v>30000000</v>
      </c>
      <c r="AT571" s="275"/>
      <c r="AU571" s="275"/>
      <c r="AV571" s="275"/>
      <c r="AW571" s="275"/>
      <c r="AX571" s="275"/>
      <c r="AY571" s="275"/>
      <c r="AZ571" s="275"/>
      <c r="BA571" s="275"/>
      <c r="BB571" s="275"/>
      <c r="BC571" s="275"/>
      <c r="BD571" s="275"/>
      <c r="BE571" s="275"/>
      <c r="BF571" s="275"/>
      <c r="BH571" s="277"/>
    </row>
    <row r="572" spans="1:60" ht="16.5" hidden="1" customHeight="1" x14ac:dyDescent="0.3">
      <c r="A572" s="260">
        <v>550</v>
      </c>
      <c r="B572" s="261"/>
      <c r="C572" s="261"/>
      <c r="D572" s="262" t="s">
        <v>15</v>
      </c>
      <c r="E572" s="262" t="s">
        <v>2</v>
      </c>
      <c r="F572" s="263" t="s">
        <v>15</v>
      </c>
      <c r="G572" s="264" t="s">
        <v>2</v>
      </c>
      <c r="H572" s="281"/>
      <c r="I572" s="265"/>
      <c r="J572" s="266" t="s">
        <v>90</v>
      </c>
      <c r="K572" s="262"/>
      <c r="L572" s="262"/>
      <c r="M572" s="262">
        <v>16640</v>
      </c>
      <c r="N572" s="262" t="s">
        <v>22</v>
      </c>
      <c r="O572" s="262" t="s">
        <v>35</v>
      </c>
      <c r="P572" s="262"/>
      <c r="Q572" s="262" t="s">
        <v>23</v>
      </c>
      <c r="R572" s="262" t="s">
        <v>397</v>
      </c>
      <c r="S572" s="267" t="s">
        <v>823</v>
      </c>
      <c r="T572" s="268"/>
      <c r="U572" s="269">
        <v>34200000</v>
      </c>
      <c r="V572" s="269">
        <v>14550000</v>
      </c>
      <c r="W572" s="278">
        <v>0</v>
      </c>
      <c r="X572" s="270"/>
      <c r="Y572" s="262" t="s">
        <v>24</v>
      </c>
      <c r="Z572" s="271" t="s">
        <v>25</v>
      </c>
      <c r="AA572" s="287"/>
      <c r="AB572" s="287"/>
      <c r="AC572" s="272">
        <f t="shared" si="19"/>
        <v>20000000</v>
      </c>
      <c r="AD572" s="272">
        <v>20000000</v>
      </c>
      <c r="AE572" s="272">
        <f t="shared" si="20"/>
        <v>0</v>
      </c>
      <c r="AF572" s="273"/>
      <c r="AG572" s="274"/>
      <c r="AH572" s="273"/>
      <c r="AI572" s="273"/>
      <c r="AJ572" s="274"/>
      <c r="AK572" s="273"/>
      <c r="AL572" s="275"/>
      <c r="AM572" s="290"/>
      <c r="AN572" s="275"/>
      <c r="AO572" s="276"/>
      <c r="AP572" s="275"/>
      <c r="AQ572" s="291">
        <v>20000000</v>
      </c>
      <c r="AR572" s="275"/>
      <c r="AS572" s="275"/>
      <c r="AT572" s="275"/>
      <c r="AU572" s="275"/>
      <c r="AV572" s="275"/>
      <c r="AW572" s="275"/>
      <c r="AX572" s="275"/>
      <c r="AY572" s="275"/>
      <c r="AZ572" s="275"/>
      <c r="BA572" s="275"/>
      <c r="BB572" s="275"/>
      <c r="BC572" s="275"/>
      <c r="BD572" s="275"/>
      <c r="BE572" s="275"/>
      <c r="BF572" s="275"/>
      <c r="BH572" s="277"/>
    </row>
    <row r="573" spans="1:60" ht="16.5" hidden="1" customHeight="1" x14ac:dyDescent="0.3">
      <c r="A573" s="260">
        <v>551</v>
      </c>
      <c r="B573" s="261"/>
      <c r="C573" s="261"/>
      <c r="D573" s="262" t="s">
        <v>15</v>
      </c>
      <c r="E573" s="262" t="s">
        <v>2</v>
      </c>
      <c r="F573" s="263" t="s">
        <v>15</v>
      </c>
      <c r="G573" s="264" t="s">
        <v>2</v>
      </c>
      <c r="H573" s="281"/>
      <c r="I573" s="265"/>
      <c r="J573" s="266" t="s">
        <v>91</v>
      </c>
      <c r="K573" s="262"/>
      <c r="L573" s="262"/>
      <c r="M573" s="262">
        <v>28140</v>
      </c>
      <c r="N573" s="262" t="s">
        <v>22</v>
      </c>
      <c r="O573" s="262" t="s">
        <v>56</v>
      </c>
      <c r="P573" s="262"/>
      <c r="Q573" s="262" t="s">
        <v>18</v>
      </c>
      <c r="R573" s="262" t="s">
        <v>19</v>
      </c>
      <c r="S573" s="267" t="s">
        <v>19</v>
      </c>
      <c r="T573" s="268"/>
      <c r="U573" s="269">
        <v>1928000</v>
      </c>
      <c r="V573" s="269">
        <v>10752000</v>
      </c>
      <c r="W573" s="278">
        <v>1500000</v>
      </c>
      <c r="X573" s="270"/>
      <c r="Y573" s="262" t="s">
        <v>24</v>
      </c>
      <c r="Z573" s="271" t="s">
        <v>25</v>
      </c>
      <c r="AA573" s="287"/>
      <c r="AB573" s="287"/>
      <c r="AC573" s="272">
        <f t="shared" si="19"/>
        <v>10000000</v>
      </c>
      <c r="AD573" s="272">
        <v>10000000</v>
      </c>
      <c r="AE573" s="272">
        <f t="shared" si="20"/>
        <v>0</v>
      </c>
      <c r="AF573" s="273"/>
      <c r="AG573" s="274"/>
      <c r="AH573" s="273"/>
      <c r="AI573" s="273"/>
      <c r="AJ573" s="274"/>
      <c r="AK573" s="273"/>
      <c r="AL573" s="275"/>
      <c r="AM573" s="290"/>
      <c r="AN573" s="275"/>
      <c r="AO573" s="276"/>
      <c r="AP573" s="275"/>
      <c r="AQ573" s="275"/>
      <c r="AR573" s="275"/>
      <c r="AS573" s="275">
        <v>10000000</v>
      </c>
      <c r="AT573" s="275"/>
      <c r="AU573" s="275"/>
      <c r="AV573" s="275"/>
      <c r="AW573" s="275"/>
      <c r="AX573" s="275"/>
      <c r="AY573" s="275"/>
      <c r="AZ573" s="275"/>
      <c r="BA573" s="275"/>
      <c r="BB573" s="275"/>
      <c r="BC573" s="275"/>
      <c r="BD573" s="275"/>
      <c r="BE573" s="275"/>
      <c r="BF573" s="275"/>
      <c r="BH573" s="277"/>
    </row>
    <row r="574" spans="1:60" ht="16.5" hidden="1" customHeight="1" x14ac:dyDescent="0.3">
      <c r="A574" s="260">
        <v>552</v>
      </c>
      <c r="B574" s="261"/>
      <c r="C574" s="261"/>
      <c r="D574" s="262"/>
      <c r="E574" s="262"/>
      <c r="F574" s="263" t="s">
        <v>15</v>
      </c>
      <c r="G574" s="264" t="s">
        <v>2</v>
      </c>
      <c r="H574" s="281"/>
      <c r="I574" s="265"/>
      <c r="J574" s="266" t="s">
        <v>91</v>
      </c>
      <c r="K574" s="262"/>
      <c r="L574" s="262"/>
      <c r="M574" s="262">
        <v>28140</v>
      </c>
      <c r="N574" s="262"/>
      <c r="O574" s="262"/>
      <c r="P574" s="262"/>
      <c r="Q574" s="262"/>
      <c r="R574" s="262"/>
      <c r="S574" s="267" t="s">
        <v>31</v>
      </c>
      <c r="T574" s="268"/>
      <c r="U574" s="269"/>
      <c r="V574" s="269"/>
      <c r="W574" s="278">
        <v>1972000</v>
      </c>
      <c r="X574" s="270"/>
      <c r="Y574" s="262"/>
      <c r="Z574" s="271" t="s">
        <v>718</v>
      </c>
      <c r="AA574" s="287"/>
      <c r="AB574" s="287"/>
      <c r="AC574" s="272">
        <f t="shared" si="19"/>
        <v>0</v>
      </c>
      <c r="AD574" s="272">
        <v>0</v>
      </c>
      <c r="AE574" s="272">
        <f t="shared" si="20"/>
        <v>0</v>
      </c>
      <c r="AF574" s="273"/>
      <c r="AG574" s="274"/>
      <c r="AH574" s="273"/>
      <c r="AI574" s="273"/>
      <c r="AJ574" s="274"/>
      <c r="AK574" s="273"/>
      <c r="AL574" s="275"/>
      <c r="AM574" s="290"/>
      <c r="AN574" s="275"/>
      <c r="AO574" s="276"/>
      <c r="AP574" s="275"/>
      <c r="AQ574" s="275"/>
      <c r="AR574" s="275"/>
      <c r="AS574" s="275"/>
      <c r="AT574" s="275"/>
      <c r="AU574" s="275"/>
      <c r="AV574" s="275"/>
      <c r="AW574" s="275"/>
      <c r="AX574" s="275"/>
      <c r="AY574" s="275"/>
      <c r="AZ574" s="275"/>
      <c r="BA574" s="275"/>
      <c r="BB574" s="275"/>
      <c r="BC574" s="275"/>
      <c r="BD574" s="275"/>
      <c r="BE574" s="275"/>
      <c r="BF574" s="275"/>
      <c r="BH574" s="277"/>
    </row>
    <row r="575" spans="1:60" ht="16.5" hidden="1" customHeight="1" x14ac:dyDescent="0.3">
      <c r="A575" s="260">
        <v>553</v>
      </c>
      <c r="B575" s="261"/>
      <c r="C575" s="261"/>
      <c r="D575" s="262" t="s">
        <v>15</v>
      </c>
      <c r="E575" s="262" t="s">
        <v>2</v>
      </c>
      <c r="F575" s="263" t="s">
        <v>15</v>
      </c>
      <c r="G575" s="264" t="s">
        <v>2</v>
      </c>
      <c r="H575" s="281"/>
      <c r="I575" s="265"/>
      <c r="J575" s="266" t="s">
        <v>91</v>
      </c>
      <c r="K575" s="262"/>
      <c r="L575" s="262"/>
      <c r="M575" s="262">
        <v>28140</v>
      </c>
      <c r="N575" s="262" t="s">
        <v>22</v>
      </c>
      <c r="O575" s="262" t="s">
        <v>178</v>
      </c>
      <c r="P575" s="262"/>
      <c r="Q575" s="262" t="s">
        <v>23</v>
      </c>
      <c r="R575" s="262" t="s">
        <v>397</v>
      </c>
      <c r="S575" s="267" t="s">
        <v>823</v>
      </c>
      <c r="T575" s="268"/>
      <c r="U575" s="269">
        <v>1600000</v>
      </c>
      <c r="V575" s="269">
        <v>250000</v>
      </c>
      <c r="W575" s="278">
        <v>3300000</v>
      </c>
      <c r="X575" s="270"/>
      <c r="Y575" s="262" t="s">
        <v>27</v>
      </c>
      <c r="Z575" s="271" t="s">
        <v>20</v>
      </c>
      <c r="AA575" s="287"/>
      <c r="AB575" s="287"/>
      <c r="AC575" s="272">
        <f t="shared" si="19"/>
        <v>0</v>
      </c>
      <c r="AD575" s="272">
        <v>0</v>
      </c>
      <c r="AE575" s="272">
        <f t="shared" si="20"/>
        <v>0</v>
      </c>
      <c r="AF575" s="273"/>
      <c r="AG575" s="274"/>
      <c r="AH575" s="273"/>
      <c r="AI575" s="273"/>
      <c r="AJ575" s="274"/>
      <c r="AK575" s="273"/>
      <c r="AL575" s="275"/>
      <c r="AM575" s="290"/>
      <c r="AN575" s="275"/>
      <c r="AO575" s="276"/>
      <c r="AP575" s="275"/>
      <c r="AQ575" s="275"/>
      <c r="AR575" s="275"/>
      <c r="AS575" s="275"/>
      <c r="AT575" s="275"/>
      <c r="AU575" s="275"/>
      <c r="AV575" s="275"/>
      <c r="AW575" s="275"/>
      <c r="AX575" s="275"/>
      <c r="AY575" s="275"/>
      <c r="AZ575" s="275"/>
      <c r="BA575" s="275"/>
      <c r="BB575" s="275"/>
      <c r="BC575" s="275"/>
      <c r="BD575" s="275"/>
      <c r="BE575" s="275"/>
      <c r="BF575" s="275"/>
      <c r="BH575" s="277"/>
    </row>
    <row r="576" spans="1:60" ht="16.5" hidden="1" customHeight="1" x14ac:dyDescent="0.3">
      <c r="A576" s="260">
        <v>554</v>
      </c>
      <c r="B576" s="261"/>
      <c r="C576" s="261"/>
      <c r="D576" s="262" t="s">
        <v>15</v>
      </c>
      <c r="E576" s="262" t="s">
        <v>2</v>
      </c>
      <c r="F576" s="263" t="s">
        <v>15</v>
      </c>
      <c r="G576" s="264" t="s">
        <v>2</v>
      </c>
      <c r="H576" s="281"/>
      <c r="I576" s="265"/>
      <c r="J576" s="266" t="s">
        <v>92</v>
      </c>
      <c r="K576" s="262"/>
      <c r="L576" s="262"/>
      <c r="M576" s="262">
        <v>41062</v>
      </c>
      <c r="N576" s="262" t="s">
        <v>53</v>
      </c>
      <c r="O576" s="262" t="s">
        <v>35</v>
      </c>
      <c r="P576" s="262"/>
      <c r="Q576" s="262" t="s">
        <v>18</v>
      </c>
      <c r="R576" s="262" t="s">
        <v>19</v>
      </c>
      <c r="S576" s="267" t="s">
        <v>19</v>
      </c>
      <c r="T576" s="268"/>
      <c r="U576" s="269">
        <v>1500000</v>
      </c>
      <c r="V576" s="269">
        <v>956000</v>
      </c>
      <c r="W576" s="278">
        <v>660000</v>
      </c>
      <c r="X576" s="270"/>
      <c r="Y576" s="262" t="s">
        <v>24</v>
      </c>
      <c r="Z576" s="271" t="s">
        <v>25</v>
      </c>
      <c r="AA576" s="287"/>
      <c r="AB576" s="287"/>
      <c r="AC576" s="272">
        <f t="shared" si="19"/>
        <v>10000000</v>
      </c>
      <c r="AD576" s="272">
        <v>10000000</v>
      </c>
      <c r="AE576" s="272">
        <f t="shared" si="20"/>
        <v>0</v>
      </c>
      <c r="AF576" s="273"/>
      <c r="AG576" s="274"/>
      <c r="AH576" s="273"/>
      <c r="AI576" s="273"/>
      <c r="AJ576" s="274"/>
      <c r="AK576" s="273"/>
      <c r="AL576" s="275"/>
      <c r="AM576" s="290"/>
      <c r="AN576" s="275"/>
      <c r="AO576" s="276"/>
      <c r="AP576" s="275"/>
      <c r="AQ576" s="275"/>
      <c r="AR576" s="275"/>
      <c r="AS576" s="275">
        <v>10000000</v>
      </c>
      <c r="AT576" s="275"/>
      <c r="AU576" s="275"/>
      <c r="AV576" s="275"/>
      <c r="AW576" s="275"/>
      <c r="AX576" s="275"/>
      <c r="AY576" s="275"/>
      <c r="AZ576" s="275"/>
      <c r="BA576" s="275"/>
      <c r="BB576" s="275"/>
      <c r="BC576" s="275"/>
      <c r="BD576" s="275"/>
      <c r="BE576" s="275"/>
      <c r="BF576" s="275"/>
      <c r="BH576" s="277"/>
    </row>
    <row r="577" spans="1:60" ht="16.5" hidden="1" customHeight="1" x14ac:dyDescent="0.3">
      <c r="A577" s="260">
        <v>555</v>
      </c>
      <c r="B577" s="261"/>
      <c r="C577" s="261"/>
      <c r="D577" s="262" t="s">
        <v>15</v>
      </c>
      <c r="E577" s="262" t="s">
        <v>2</v>
      </c>
      <c r="F577" s="263" t="s">
        <v>15</v>
      </c>
      <c r="G577" s="264" t="s">
        <v>2</v>
      </c>
      <c r="H577" s="281"/>
      <c r="I577" s="265"/>
      <c r="J577" s="266" t="s">
        <v>92</v>
      </c>
      <c r="K577" s="262"/>
      <c r="L577" s="262"/>
      <c r="M577" s="262">
        <v>41062</v>
      </c>
      <c r="N577" s="262" t="s">
        <v>53</v>
      </c>
      <c r="O577" s="262" t="s">
        <v>35</v>
      </c>
      <c r="P577" s="262"/>
      <c r="Q577" s="262" t="s">
        <v>30</v>
      </c>
      <c r="R577" s="262" t="s">
        <v>31</v>
      </c>
      <c r="S577" s="267" t="s">
        <v>31</v>
      </c>
      <c r="T577" s="268"/>
      <c r="U577" s="269"/>
      <c r="V577" s="269">
        <v>0</v>
      </c>
      <c r="W577" s="278">
        <v>0</v>
      </c>
      <c r="X577" s="270"/>
      <c r="Y577" s="262" t="s">
        <v>25</v>
      </c>
      <c r="Z577" s="271" t="s">
        <v>24</v>
      </c>
      <c r="AA577" s="287"/>
      <c r="AB577" s="287"/>
      <c r="AC577" s="272">
        <f t="shared" si="19"/>
        <v>12000000</v>
      </c>
      <c r="AD577" s="272">
        <v>12000000</v>
      </c>
      <c r="AE577" s="272">
        <f t="shared" si="20"/>
        <v>0</v>
      </c>
      <c r="AF577" s="273"/>
      <c r="AG577" s="274"/>
      <c r="AH577" s="273"/>
      <c r="AI577" s="273"/>
      <c r="AJ577" s="274"/>
      <c r="AK577" s="273"/>
      <c r="AL577" s="275"/>
      <c r="AM577" s="290"/>
      <c r="AN577" s="275"/>
      <c r="AO577" s="276"/>
      <c r="AP577" s="275"/>
      <c r="AQ577" s="275"/>
      <c r="AR577" s="275"/>
      <c r="AS577" s="275"/>
      <c r="AT577" s="275"/>
      <c r="AU577" s="275"/>
      <c r="AV577" s="275"/>
      <c r="AW577" s="275"/>
      <c r="AX577" s="275"/>
      <c r="AY577" s="275"/>
      <c r="AZ577" s="275"/>
      <c r="BA577" s="275">
        <v>12000000</v>
      </c>
      <c r="BB577" s="275"/>
      <c r="BC577" s="275"/>
      <c r="BD577" s="275"/>
      <c r="BE577" s="275"/>
      <c r="BF577" s="275"/>
      <c r="BH577" s="277"/>
    </row>
    <row r="578" spans="1:60" ht="16.5" hidden="1" customHeight="1" x14ac:dyDescent="0.3">
      <c r="A578" s="260">
        <v>556</v>
      </c>
      <c r="B578" s="261"/>
      <c r="C578" s="261"/>
      <c r="D578" s="262" t="s">
        <v>15</v>
      </c>
      <c r="E578" s="262" t="s">
        <v>2</v>
      </c>
      <c r="F578" s="263" t="s">
        <v>15</v>
      </c>
      <c r="G578" s="264" t="s">
        <v>2</v>
      </c>
      <c r="H578" s="281"/>
      <c r="I578" s="265"/>
      <c r="J578" s="266" t="s">
        <v>92</v>
      </c>
      <c r="K578" s="262"/>
      <c r="L578" s="262"/>
      <c r="M578" s="262">
        <v>41062</v>
      </c>
      <c r="N578" s="262" t="s">
        <v>53</v>
      </c>
      <c r="O578" s="262" t="s">
        <v>35</v>
      </c>
      <c r="P578" s="262"/>
      <c r="Q578" s="262" t="s">
        <v>23</v>
      </c>
      <c r="R578" s="262" t="s">
        <v>397</v>
      </c>
      <c r="S578" s="267" t="s">
        <v>823</v>
      </c>
      <c r="T578" s="268"/>
      <c r="U578" s="269">
        <v>200000</v>
      </c>
      <c r="V578" s="269">
        <v>0</v>
      </c>
      <c r="W578" s="278">
        <v>0</v>
      </c>
      <c r="X578" s="270"/>
      <c r="Y578" s="262" t="s">
        <v>24</v>
      </c>
      <c r="Z578" s="271" t="s">
        <v>21</v>
      </c>
      <c r="AA578" s="287"/>
      <c r="AB578" s="287"/>
      <c r="AC578" s="272">
        <f t="shared" si="19"/>
        <v>0</v>
      </c>
      <c r="AD578" s="272">
        <v>0</v>
      </c>
      <c r="AE578" s="272">
        <f t="shared" si="20"/>
        <v>0</v>
      </c>
      <c r="AF578" s="273"/>
      <c r="AG578" s="274"/>
      <c r="AH578" s="273"/>
      <c r="AI578" s="273"/>
      <c r="AJ578" s="274"/>
      <c r="AK578" s="273"/>
      <c r="AL578" s="275"/>
      <c r="AM578" s="290"/>
      <c r="AN578" s="275"/>
      <c r="AO578" s="276"/>
      <c r="AP578" s="275"/>
      <c r="AQ578" s="275"/>
      <c r="AR578" s="275"/>
      <c r="AS578" s="275"/>
      <c r="AT578" s="275"/>
      <c r="AU578" s="275"/>
      <c r="AV578" s="275"/>
      <c r="AW578" s="275"/>
      <c r="AX578" s="275"/>
      <c r="AY578" s="275"/>
      <c r="AZ578" s="275"/>
      <c r="BA578" s="275"/>
      <c r="BB578" s="275"/>
      <c r="BC578" s="275"/>
      <c r="BD578" s="275"/>
      <c r="BE578" s="275"/>
      <c r="BF578" s="275"/>
      <c r="BH578" s="277"/>
    </row>
    <row r="579" spans="1:60" ht="16.5" hidden="1" customHeight="1" x14ac:dyDescent="0.3">
      <c r="A579" s="260">
        <v>557</v>
      </c>
      <c r="B579" s="261"/>
      <c r="C579" s="261"/>
      <c r="D579" s="262" t="s">
        <v>15</v>
      </c>
      <c r="E579" s="262" t="s">
        <v>2</v>
      </c>
      <c r="F579" s="263" t="s">
        <v>15</v>
      </c>
      <c r="G579" s="264" t="s">
        <v>2</v>
      </c>
      <c r="H579" s="281"/>
      <c r="I579" s="265"/>
      <c r="J579" s="266" t="s">
        <v>93</v>
      </c>
      <c r="K579" s="262"/>
      <c r="L579" s="262"/>
      <c r="M579" s="262">
        <v>23495</v>
      </c>
      <c r="N579" s="262"/>
      <c r="O579" s="262" t="s">
        <v>35</v>
      </c>
      <c r="P579" s="262"/>
      <c r="Q579" s="262"/>
      <c r="R579" s="262"/>
      <c r="S579" s="267" t="s">
        <v>19</v>
      </c>
      <c r="T579" s="268"/>
      <c r="U579" s="269"/>
      <c r="V579" s="269"/>
      <c r="W579" s="278">
        <v>0</v>
      </c>
      <c r="X579" s="270"/>
      <c r="Y579" s="262"/>
      <c r="Z579" s="271" t="s">
        <v>25</v>
      </c>
      <c r="AA579" s="287"/>
      <c r="AB579" s="287"/>
      <c r="AC579" s="272">
        <f t="shared" si="19"/>
        <v>20000000</v>
      </c>
      <c r="AD579" s="272">
        <v>20000000</v>
      </c>
      <c r="AE579" s="272">
        <f t="shared" si="20"/>
        <v>0</v>
      </c>
      <c r="AF579" s="273"/>
      <c r="AG579" s="274"/>
      <c r="AH579" s="273"/>
      <c r="AI579" s="273"/>
      <c r="AJ579" s="274"/>
      <c r="AK579" s="273"/>
      <c r="AL579" s="275"/>
      <c r="AM579" s="290"/>
      <c r="AN579" s="275"/>
      <c r="AO579" s="276"/>
      <c r="AP579" s="275"/>
      <c r="AQ579" s="275"/>
      <c r="AR579" s="275"/>
      <c r="AS579" s="275">
        <v>20000000</v>
      </c>
      <c r="AT579" s="275"/>
      <c r="AU579" s="275"/>
      <c r="AV579" s="275"/>
      <c r="AW579" s="275"/>
      <c r="AX579" s="275"/>
      <c r="AY579" s="275"/>
      <c r="AZ579" s="275"/>
      <c r="BA579" s="275"/>
      <c r="BB579" s="275"/>
      <c r="BC579" s="275"/>
      <c r="BD579" s="275"/>
      <c r="BE579" s="275"/>
      <c r="BF579" s="275"/>
      <c r="BH579" s="277"/>
    </row>
    <row r="580" spans="1:60" ht="16.5" hidden="1" customHeight="1" x14ac:dyDescent="0.3">
      <c r="A580" s="260">
        <v>558</v>
      </c>
      <c r="B580" s="261"/>
      <c r="C580" s="261"/>
      <c r="D580" s="262" t="s">
        <v>15</v>
      </c>
      <c r="E580" s="262" t="s">
        <v>2</v>
      </c>
      <c r="F580" s="263" t="s">
        <v>15</v>
      </c>
      <c r="G580" s="264" t="s">
        <v>2</v>
      </c>
      <c r="H580" s="281"/>
      <c r="I580" s="265"/>
      <c r="J580" s="266" t="s">
        <v>93</v>
      </c>
      <c r="K580" s="262"/>
      <c r="L580" s="262"/>
      <c r="M580" s="262">
        <v>23495</v>
      </c>
      <c r="N580" s="262" t="s">
        <v>22</v>
      </c>
      <c r="O580" s="262" t="s">
        <v>56</v>
      </c>
      <c r="P580" s="262"/>
      <c r="Q580" s="262" t="s">
        <v>18</v>
      </c>
      <c r="R580" s="262" t="s">
        <v>31</v>
      </c>
      <c r="S580" s="267" t="s">
        <v>31</v>
      </c>
      <c r="T580" s="268"/>
      <c r="U580" s="269"/>
      <c r="V580" s="269">
        <v>11548000</v>
      </c>
      <c r="W580" s="278">
        <v>3342600</v>
      </c>
      <c r="X580" s="270"/>
      <c r="Y580" s="262" t="s">
        <v>27</v>
      </c>
      <c r="Z580" s="271" t="s">
        <v>24</v>
      </c>
      <c r="AA580" s="287"/>
      <c r="AB580" s="287"/>
      <c r="AC580" s="272">
        <f t="shared" si="19"/>
        <v>12000000</v>
      </c>
      <c r="AD580" s="272">
        <v>12000000</v>
      </c>
      <c r="AE580" s="272">
        <f t="shared" si="20"/>
        <v>0</v>
      </c>
      <c r="AF580" s="273"/>
      <c r="AG580" s="274"/>
      <c r="AH580" s="273"/>
      <c r="AI580" s="273"/>
      <c r="AJ580" s="274"/>
      <c r="AK580" s="273"/>
      <c r="AL580" s="275"/>
      <c r="AM580" s="290"/>
      <c r="AN580" s="275"/>
      <c r="AO580" s="276"/>
      <c r="AP580" s="275"/>
      <c r="AQ580" s="275"/>
      <c r="AR580" s="275"/>
      <c r="AS580" s="275"/>
      <c r="AT580" s="275"/>
      <c r="AU580" s="275"/>
      <c r="AV580" s="275"/>
      <c r="AW580" s="275"/>
      <c r="AX580" s="275"/>
      <c r="AY580" s="275">
        <v>12000000</v>
      </c>
      <c r="AZ580" s="275"/>
      <c r="BA580" s="275"/>
      <c r="BB580" s="275"/>
      <c r="BC580" s="275"/>
      <c r="BD580" s="275"/>
      <c r="BE580" s="275"/>
      <c r="BF580" s="275"/>
      <c r="BH580" s="277"/>
    </row>
    <row r="581" spans="1:60" ht="16.5" hidden="1" customHeight="1" x14ac:dyDescent="0.3">
      <c r="A581" s="260">
        <v>559</v>
      </c>
      <c r="B581" s="261"/>
      <c r="C581" s="261"/>
      <c r="D581" s="262" t="s">
        <v>15</v>
      </c>
      <c r="E581" s="262" t="s">
        <v>2</v>
      </c>
      <c r="F581" s="263" t="s">
        <v>15</v>
      </c>
      <c r="G581" s="264" t="s">
        <v>2</v>
      </c>
      <c r="H581" s="281"/>
      <c r="I581" s="265"/>
      <c r="J581" s="266" t="s">
        <v>93</v>
      </c>
      <c r="K581" s="262"/>
      <c r="L581" s="262"/>
      <c r="M581" s="262">
        <v>23495</v>
      </c>
      <c r="N581" s="262" t="s">
        <v>22</v>
      </c>
      <c r="O581" s="262" t="s">
        <v>56</v>
      </c>
      <c r="P581" s="262"/>
      <c r="Q581" s="262"/>
      <c r="R581" s="262" t="s">
        <v>478</v>
      </c>
      <c r="S581" s="267" t="s">
        <v>468</v>
      </c>
      <c r="T581" s="268"/>
      <c r="U581" s="269"/>
      <c r="V581" s="269"/>
      <c r="W581" s="278">
        <v>0</v>
      </c>
      <c r="X581" s="270"/>
      <c r="Y581" s="262" t="s">
        <v>27</v>
      </c>
      <c r="Z581" s="271" t="s">
        <v>25</v>
      </c>
      <c r="AA581" s="287"/>
      <c r="AB581" s="287"/>
      <c r="AC581" s="272">
        <f t="shared" si="19"/>
        <v>20000000</v>
      </c>
      <c r="AD581" s="272">
        <v>20000000</v>
      </c>
      <c r="AE581" s="272">
        <f t="shared" si="20"/>
        <v>0</v>
      </c>
      <c r="AF581" s="273"/>
      <c r="AG581" s="274"/>
      <c r="AH581" s="273"/>
      <c r="AI581" s="273"/>
      <c r="AJ581" s="274"/>
      <c r="AK581" s="273"/>
      <c r="AL581" s="275"/>
      <c r="AM581" s="290"/>
      <c r="AN581" s="275"/>
      <c r="AO581" s="276"/>
      <c r="AP581" s="275"/>
      <c r="AQ581" s="275"/>
      <c r="AR581" s="275"/>
      <c r="AS581" s="275"/>
      <c r="AT581" s="275"/>
      <c r="AU581" s="275"/>
      <c r="AV581" s="275"/>
      <c r="AW581" s="275">
        <v>20000000</v>
      </c>
      <c r="AX581" s="275"/>
      <c r="AY581" s="275"/>
      <c r="AZ581" s="275"/>
      <c r="BA581" s="275"/>
      <c r="BB581" s="275"/>
      <c r="BC581" s="275"/>
      <c r="BD581" s="275"/>
      <c r="BE581" s="275"/>
      <c r="BF581" s="275"/>
      <c r="BH581" s="277"/>
    </row>
    <row r="582" spans="1:60" ht="16.5" hidden="1" customHeight="1" x14ac:dyDescent="0.3">
      <c r="A582" s="260">
        <v>560</v>
      </c>
      <c r="B582" s="261"/>
      <c r="C582" s="261"/>
      <c r="D582" s="262"/>
      <c r="E582" s="262"/>
      <c r="F582" s="263" t="s">
        <v>15</v>
      </c>
      <c r="G582" s="264" t="s">
        <v>2</v>
      </c>
      <c r="H582" s="281"/>
      <c r="I582" s="265"/>
      <c r="J582" s="266" t="s">
        <v>93</v>
      </c>
      <c r="K582" s="262"/>
      <c r="L582" s="262"/>
      <c r="M582" s="262">
        <v>23495</v>
      </c>
      <c r="N582" s="262"/>
      <c r="O582" s="262"/>
      <c r="P582" s="262"/>
      <c r="Q582" s="262"/>
      <c r="R582" s="262"/>
      <c r="S582" s="267" t="s">
        <v>478</v>
      </c>
      <c r="T582" s="268"/>
      <c r="U582" s="269"/>
      <c r="V582" s="269"/>
      <c r="W582" s="278">
        <v>9375000</v>
      </c>
      <c r="X582" s="270"/>
      <c r="Y582" s="262"/>
      <c r="Z582" s="271" t="s">
        <v>718</v>
      </c>
      <c r="AA582" s="287"/>
      <c r="AB582" s="287"/>
      <c r="AC582" s="272">
        <f t="shared" si="19"/>
        <v>0</v>
      </c>
      <c r="AD582" s="272">
        <v>0</v>
      </c>
      <c r="AE582" s="272">
        <f t="shared" si="20"/>
        <v>0</v>
      </c>
      <c r="AF582" s="273"/>
      <c r="AG582" s="274"/>
      <c r="AH582" s="273"/>
      <c r="AI582" s="273"/>
      <c r="AJ582" s="274"/>
      <c r="AK582" s="273"/>
      <c r="AL582" s="275"/>
      <c r="AM582" s="290"/>
      <c r="AN582" s="275"/>
      <c r="AO582" s="276"/>
      <c r="AP582" s="275"/>
      <c r="AQ582" s="275"/>
      <c r="AR582" s="275"/>
      <c r="AS582" s="275"/>
      <c r="AT582" s="275"/>
      <c r="AU582" s="275"/>
      <c r="AV582" s="275"/>
      <c r="AW582" s="275"/>
      <c r="AX582" s="275"/>
      <c r="AY582" s="275"/>
      <c r="AZ582" s="275"/>
      <c r="BA582" s="275"/>
      <c r="BB582" s="275"/>
      <c r="BC582" s="275"/>
      <c r="BD582" s="275"/>
      <c r="BE582" s="275"/>
      <c r="BF582" s="275"/>
      <c r="BH582" s="277"/>
    </row>
    <row r="583" spans="1:60" ht="16.5" hidden="1" customHeight="1" x14ac:dyDescent="0.3">
      <c r="A583" s="260">
        <v>561</v>
      </c>
      <c r="B583" s="261"/>
      <c r="C583" s="261"/>
      <c r="D583" s="262" t="s">
        <v>15</v>
      </c>
      <c r="E583" s="262" t="s">
        <v>2</v>
      </c>
      <c r="F583" s="263" t="s">
        <v>15</v>
      </c>
      <c r="G583" s="264" t="s">
        <v>2</v>
      </c>
      <c r="H583" s="281"/>
      <c r="I583" s="265"/>
      <c r="J583" s="266" t="s">
        <v>94</v>
      </c>
      <c r="K583" s="262"/>
      <c r="L583" s="262"/>
      <c r="M583" s="262">
        <v>28832</v>
      </c>
      <c r="N583" s="262"/>
      <c r="O583" s="262" t="s">
        <v>35</v>
      </c>
      <c r="P583" s="262"/>
      <c r="Q583" s="262"/>
      <c r="R583" s="262"/>
      <c r="S583" s="267" t="s">
        <v>19</v>
      </c>
      <c r="T583" s="268"/>
      <c r="U583" s="269"/>
      <c r="V583" s="269"/>
      <c r="W583" s="278">
        <v>0</v>
      </c>
      <c r="X583" s="270"/>
      <c r="Y583" s="262"/>
      <c r="Z583" s="271" t="s">
        <v>25</v>
      </c>
      <c r="AA583" s="287"/>
      <c r="AB583" s="287"/>
      <c r="AC583" s="272">
        <f t="shared" si="19"/>
        <v>10000000</v>
      </c>
      <c r="AD583" s="272">
        <v>10000000</v>
      </c>
      <c r="AE583" s="272">
        <f t="shared" si="20"/>
        <v>0</v>
      </c>
      <c r="AF583" s="273"/>
      <c r="AG583" s="274"/>
      <c r="AH583" s="273"/>
      <c r="AI583" s="273"/>
      <c r="AJ583" s="274"/>
      <c r="AK583" s="273"/>
      <c r="AL583" s="275"/>
      <c r="AM583" s="290"/>
      <c r="AN583" s="275"/>
      <c r="AO583" s="276"/>
      <c r="AP583" s="275"/>
      <c r="AQ583" s="275"/>
      <c r="AR583" s="275"/>
      <c r="AS583" s="275"/>
      <c r="AT583" s="275"/>
      <c r="AU583" s="275"/>
      <c r="AV583" s="275"/>
      <c r="AW583" s="275"/>
      <c r="AX583" s="275"/>
      <c r="AY583" s="275"/>
      <c r="AZ583" s="275"/>
      <c r="BA583" s="275">
        <v>10000000</v>
      </c>
      <c r="BB583" s="275"/>
      <c r="BC583" s="275"/>
      <c r="BD583" s="275"/>
      <c r="BE583" s="275"/>
      <c r="BF583" s="275"/>
      <c r="BH583" s="277"/>
    </row>
    <row r="584" spans="1:60" ht="16.5" hidden="1" customHeight="1" x14ac:dyDescent="0.3">
      <c r="A584" s="260">
        <v>562</v>
      </c>
      <c r="B584" s="261"/>
      <c r="C584" s="261"/>
      <c r="D584" s="262" t="s">
        <v>15</v>
      </c>
      <c r="E584" s="262" t="s">
        <v>2</v>
      </c>
      <c r="F584" s="263" t="s">
        <v>15</v>
      </c>
      <c r="G584" s="264" t="s">
        <v>2</v>
      </c>
      <c r="H584" s="281"/>
      <c r="I584" s="265"/>
      <c r="J584" s="266" t="s">
        <v>94</v>
      </c>
      <c r="K584" s="262"/>
      <c r="L584" s="262"/>
      <c r="M584" s="262">
        <v>28832</v>
      </c>
      <c r="N584" s="262" t="s">
        <v>22</v>
      </c>
      <c r="O584" s="262" t="s">
        <v>56</v>
      </c>
      <c r="P584" s="262"/>
      <c r="Q584" s="262" t="s">
        <v>30</v>
      </c>
      <c r="R584" s="262" t="s">
        <v>31</v>
      </c>
      <c r="S584" s="267" t="s">
        <v>31</v>
      </c>
      <c r="T584" s="268"/>
      <c r="U584" s="269">
        <v>33051000</v>
      </c>
      <c r="V584" s="269">
        <v>28513000</v>
      </c>
      <c r="W584" s="278">
        <v>24709500</v>
      </c>
      <c r="X584" s="270"/>
      <c r="Y584" s="262" t="s">
        <v>27</v>
      </c>
      <c r="Z584" s="271" t="s">
        <v>27</v>
      </c>
      <c r="AA584" s="287"/>
      <c r="AB584" s="287"/>
      <c r="AC584" s="272">
        <f t="shared" si="19"/>
        <v>25000000</v>
      </c>
      <c r="AD584" s="272">
        <v>25000000</v>
      </c>
      <c r="AE584" s="272">
        <f t="shared" si="20"/>
        <v>0</v>
      </c>
      <c r="AF584" s="273"/>
      <c r="AG584" s="274"/>
      <c r="AH584" s="273"/>
      <c r="AI584" s="273"/>
      <c r="AJ584" s="274"/>
      <c r="AK584" s="273"/>
      <c r="AL584" s="275"/>
      <c r="AM584" s="290"/>
      <c r="AN584" s="275"/>
      <c r="AO584" s="276"/>
      <c r="AP584" s="275"/>
      <c r="AQ584" s="275"/>
      <c r="AR584" s="275"/>
      <c r="AS584" s="275"/>
      <c r="AT584" s="275"/>
      <c r="AU584" s="275"/>
      <c r="AV584" s="275"/>
      <c r="AW584" s="275"/>
      <c r="AX584" s="275"/>
      <c r="AY584" s="275"/>
      <c r="AZ584" s="275"/>
      <c r="BA584" s="275">
        <v>25000000</v>
      </c>
      <c r="BB584" s="275"/>
      <c r="BC584" s="275"/>
      <c r="BD584" s="275"/>
      <c r="BE584" s="275"/>
      <c r="BF584" s="275"/>
      <c r="BH584" s="277"/>
    </row>
    <row r="585" spans="1:60" ht="16.5" hidden="1" customHeight="1" x14ac:dyDescent="0.3">
      <c r="A585" s="260">
        <v>563</v>
      </c>
      <c r="B585" s="261"/>
      <c r="C585" s="261"/>
      <c r="D585" s="262" t="s">
        <v>15</v>
      </c>
      <c r="E585" s="262" t="s">
        <v>2</v>
      </c>
      <c r="F585" s="263" t="s">
        <v>15</v>
      </c>
      <c r="G585" s="264" t="s">
        <v>2</v>
      </c>
      <c r="H585" s="281"/>
      <c r="I585" s="265"/>
      <c r="J585" s="266" t="s">
        <v>94</v>
      </c>
      <c r="K585" s="262"/>
      <c r="L585" s="262"/>
      <c r="M585" s="262">
        <v>28832</v>
      </c>
      <c r="N585" s="262"/>
      <c r="O585" s="262" t="s">
        <v>35</v>
      </c>
      <c r="P585" s="262"/>
      <c r="Q585" s="262"/>
      <c r="R585" s="262"/>
      <c r="S585" s="267" t="s">
        <v>468</v>
      </c>
      <c r="T585" s="268"/>
      <c r="U585" s="269"/>
      <c r="V585" s="269"/>
      <c r="W585" s="278">
        <v>0</v>
      </c>
      <c r="X585" s="270"/>
      <c r="Y585" s="262"/>
      <c r="Z585" s="271" t="s">
        <v>25</v>
      </c>
      <c r="AA585" s="287"/>
      <c r="AB585" s="287"/>
      <c r="AC585" s="272">
        <f t="shared" si="19"/>
        <v>11500000</v>
      </c>
      <c r="AD585" s="272">
        <v>11500000</v>
      </c>
      <c r="AE585" s="272">
        <f t="shared" si="20"/>
        <v>0</v>
      </c>
      <c r="AF585" s="273"/>
      <c r="AG585" s="274"/>
      <c r="AH585" s="273"/>
      <c r="AI585" s="273"/>
      <c r="AJ585" s="274"/>
      <c r="AK585" s="273"/>
      <c r="AL585" s="275"/>
      <c r="AM585" s="290"/>
      <c r="AN585" s="275"/>
      <c r="AO585" s="276"/>
      <c r="AP585" s="275"/>
      <c r="AQ585" s="291">
        <v>1500000</v>
      </c>
      <c r="AR585" s="275"/>
      <c r="AS585" s="275">
        <v>10000000</v>
      </c>
      <c r="AT585" s="275"/>
      <c r="AU585" s="275"/>
      <c r="AV585" s="275"/>
      <c r="AW585" s="275"/>
      <c r="AX585" s="275"/>
      <c r="AY585" s="275"/>
      <c r="AZ585" s="275"/>
      <c r="BA585" s="275"/>
      <c r="BB585" s="275"/>
      <c r="BC585" s="275"/>
      <c r="BD585" s="275"/>
      <c r="BE585" s="275"/>
      <c r="BF585" s="275"/>
      <c r="BH585" s="277"/>
    </row>
    <row r="586" spans="1:60" ht="16.5" hidden="1" customHeight="1" x14ac:dyDescent="0.3">
      <c r="A586" s="260">
        <v>564</v>
      </c>
      <c r="B586" s="261"/>
      <c r="C586" s="261"/>
      <c r="D586" s="262" t="s">
        <v>15</v>
      </c>
      <c r="E586" s="262" t="s">
        <v>2</v>
      </c>
      <c r="F586" s="263" t="s">
        <v>15</v>
      </c>
      <c r="G586" s="264" t="s">
        <v>2</v>
      </c>
      <c r="H586" s="281"/>
      <c r="I586" s="265"/>
      <c r="J586" s="266" t="s">
        <v>94</v>
      </c>
      <c r="K586" s="262"/>
      <c r="L586" s="262"/>
      <c r="M586" s="262">
        <v>28832</v>
      </c>
      <c r="N586" s="262"/>
      <c r="O586" s="262" t="s">
        <v>35</v>
      </c>
      <c r="P586" s="262"/>
      <c r="Q586" s="262"/>
      <c r="R586" s="262"/>
      <c r="S586" s="267" t="s">
        <v>822</v>
      </c>
      <c r="T586" s="268"/>
      <c r="U586" s="269"/>
      <c r="V586" s="269"/>
      <c r="W586" s="278">
        <v>0</v>
      </c>
      <c r="X586" s="270"/>
      <c r="Y586" s="262"/>
      <c r="Z586" s="271" t="s">
        <v>25</v>
      </c>
      <c r="AA586" s="287"/>
      <c r="AB586" s="287"/>
      <c r="AC586" s="272">
        <f t="shared" si="19"/>
        <v>10000000</v>
      </c>
      <c r="AD586" s="272">
        <v>10000000</v>
      </c>
      <c r="AE586" s="272">
        <f t="shared" si="20"/>
        <v>0</v>
      </c>
      <c r="AF586" s="273"/>
      <c r="AG586" s="274"/>
      <c r="AH586" s="273"/>
      <c r="AI586" s="273"/>
      <c r="AJ586" s="274"/>
      <c r="AK586" s="273"/>
      <c r="AL586" s="275"/>
      <c r="AM586" s="290"/>
      <c r="AN586" s="275"/>
      <c r="AO586" s="276"/>
      <c r="AP586" s="275"/>
      <c r="AQ586" s="275"/>
      <c r="AR586" s="275"/>
      <c r="AS586" s="275">
        <v>10000000</v>
      </c>
      <c r="AT586" s="275"/>
      <c r="AU586" s="275"/>
      <c r="AV586" s="275"/>
      <c r="AW586" s="275"/>
      <c r="AX586" s="275"/>
      <c r="AY586" s="275"/>
      <c r="AZ586" s="275"/>
      <c r="BA586" s="275"/>
      <c r="BB586" s="275"/>
      <c r="BC586" s="275"/>
      <c r="BD586" s="275"/>
      <c r="BE586" s="275"/>
      <c r="BF586" s="275"/>
      <c r="BH586" s="277"/>
    </row>
    <row r="587" spans="1:60" ht="16.5" hidden="1" customHeight="1" x14ac:dyDescent="0.3">
      <c r="A587" s="260">
        <v>565</v>
      </c>
      <c r="B587" s="261"/>
      <c r="C587" s="261"/>
      <c r="D587" s="262" t="s">
        <v>15</v>
      </c>
      <c r="E587" s="262" t="s">
        <v>2</v>
      </c>
      <c r="F587" s="263" t="s">
        <v>15</v>
      </c>
      <c r="G587" s="264" t="s">
        <v>2</v>
      </c>
      <c r="H587" s="281"/>
      <c r="I587" s="265"/>
      <c r="J587" s="266" t="s">
        <v>94</v>
      </c>
      <c r="K587" s="262"/>
      <c r="L587" s="262"/>
      <c r="M587" s="262">
        <v>28832</v>
      </c>
      <c r="N587" s="262"/>
      <c r="O587" s="262" t="s">
        <v>35</v>
      </c>
      <c r="P587" s="262"/>
      <c r="Q587" s="262"/>
      <c r="R587" s="262"/>
      <c r="S587" s="267" t="s">
        <v>834</v>
      </c>
      <c r="T587" s="268"/>
      <c r="U587" s="269"/>
      <c r="V587" s="269"/>
      <c r="W587" s="278">
        <v>0</v>
      </c>
      <c r="X587" s="270"/>
      <c r="Y587" s="262"/>
      <c r="Z587" s="271" t="s">
        <v>25</v>
      </c>
      <c r="AA587" s="287"/>
      <c r="AB587" s="287"/>
      <c r="AC587" s="272">
        <f t="shared" si="19"/>
        <v>10000000</v>
      </c>
      <c r="AD587" s="272">
        <v>10000000</v>
      </c>
      <c r="AE587" s="272">
        <f t="shared" si="20"/>
        <v>0</v>
      </c>
      <c r="AF587" s="273"/>
      <c r="AG587" s="274"/>
      <c r="AH587" s="273"/>
      <c r="AI587" s="273"/>
      <c r="AJ587" s="274"/>
      <c r="AK587" s="273"/>
      <c r="AL587" s="275"/>
      <c r="AM587" s="290"/>
      <c r="AN587" s="275"/>
      <c r="AO587" s="276"/>
      <c r="AP587" s="275"/>
      <c r="AQ587" s="275"/>
      <c r="AR587" s="275"/>
      <c r="AS587" s="275">
        <v>10000000</v>
      </c>
      <c r="AT587" s="275"/>
      <c r="AU587" s="275"/>
      <c r="AV587" s="275"/>
      <c r="AW587" s="275"/>
      <c r="AX587" s="275"/>
      <c r="AY587" s="275"/>
      <c r="AZ587" s="275"/>
      <c r="BA587" s="275"/>
      <c r="BB587" s="275"/>
      <c r="BC587" s="275"/>
      <c r="BD587" s="275"/>
      <c r="BE587" s="275"/>
      <c r="BF587" s="275"/>
      <c r="BH587" s="277"/>
    </row>
    <row r="588" spans="1:60" ht="16.5" hidden="1" customHeight="1" x14ac:dyDescent="0.3">
      <c r="A588" s="260">
        <v>566</v>
      </c>
      <c r="B588" s="261"/>
      <c r="C588" s="261"/>
      <c r="D588" s="262" t="s">
        <v>15</v>
      </c>
      <c r="E588" s="262" t="s">
        <v>2</v>
      </c>
      <c r="F588" s="263" t="s">
        <v>15</v>
      </c>
      <c r="G588" s="264" t="s">
        <v>2</v>
      </c>
      <c r="H588" s="281"/>
      <c r="I588" s="265"/>
      <c r="J588" s="266" t="s">
        <v>94</v>
      </c>
      <c r="K588" s="262"/>
      <c r="L588" s="262"/>
      <c r="M588" s="262">
        <v>28832</v>
      </c>
      <c r="N588" s="262" t="s">
        <v>22</v>
      </c>
      <c r="O588" s="262" t="s">
        <v>35</v>
      </c>
      <c r="P588" s="262"/>
      <c r="Q588" s="262" t="s">
        <v>23</v>
      </c>
      <c r="R588" s="262" t="s">
        <v>397</v>
      </c>
      <c r="S588" s="267" t="s">
        <v>823</v>
      </c>
      <c r="T588" s="268"/>
      <c r="U588" s="269">
        <v>200000</v>
      </c>
      <c r="V588" s="269">
        <v>0</v>
      </c>
      <c r="W588" s="278">
        <v>0</v>
      </c>
      <c r="X588" s="270"/>
      <c r="Y588" s="262" t="s">
        <v>25</v>
      </c>
      <c r="Z588" s="271" t="s">
        <v>562</v>
      </c>
      <c r="AA588" s="287"/>
      <c r="AB588" s="287"/>
      <c r="AC588" s="272">
        <f t="shared" si="19"/>
        <v>0</v>
      </c>
      <c r="AD588" s="272">
        <v>0</v>
      </c>
      <c r="AE588" s="272">
        <f t="shared" si="20"/>
        <v>0</v>
      </c>
      <c r="AF588" s="273"/>
      <c r="AG588" s="274"/>
      <c r="AH588" s="273"/>
      <c r="AI588" s="273"/>
      <c r="AJ588" s="274"/>
      <c r="AK588" s="273"/>
      <c r="AL588" s="275"/>
      <c r="AM588" s="290"/>
      <c r="AN588" s="275"/>
      <c r="AO588" s="276"/>
      <c r="AP588" s="275"/>
      <c r="AQ588" s="275"/>
      <c r="AR588" s="275"/>
      <c r="AS588" s="275"/>
      <c r="AT588" s="275"/>
      <c r="AU588" s="275"/>
      <c r="AV588" s="275"/>
      <c r="AW588" s="275"/>
      <c r="AX588" s="275"/>
      <c r="AY588" s="275"/>
      <c r="AZ588" s="275"/>
      <c r="BA588" s="275"/>
      <c r="BB588" s="275"/>
      <c r="BC588" s="275"/>
      <c r="BD588" s="275"/>
      <c r="BE588" s="275"/>
      <c r="BF588" s="275"/>
      <c r="BH588" s="277"/>
    </row>
    <row r="589" spans="1:60" ht="16.5" hidden="1" customHeight="1" x14ac:dyDescent="0.3">
      <c r="A589" s="260">
        <v>567</v>
      </c>
      <c r="B589" s="261"/>
      <c r="C589" s="261"/>
      <c r="D589" s="262" t="s">
        <v>15</v>
      </c>
      <c r="E589" s="262" t="s">
        <v>2</v>
      </c>
      <c r="F589" s="263" t="s">
        <v>15</v>
      </c>
      <c r="G589" s="264" t="s">
        <v>2</v>
      </c>
      <c r="H589" s="281"/>
      <c r="I589" s="265"/>
      <c r="J589" s="266" t="s">
        <v>726</v>
      </c>
      <c r="K589" s="262"/>
      <c r="L589" s="262"/>
      <c r="M589" s="262">
        <v>50686</v>
      </c>
      <c r="N589" s="262"/>
      <c r="O589" s="262" t="s">
        <v>56</v>
      </c>
      <c r="P589" s="262"/>
      <c r="Q589" s="262"/>
      <c r="R589" s="262"/>
      <c r="S589" s="267" t="s">
        <v>31</v>
      </c>
      <c r="T589" s="268"/>
      <c r="U589" s="269"/>
      <c r="V589" s="269"/>
      <c r="W589" s="278">
        <v>6977500</v>
      </c>
      <c r="X589" s="270"/>
      <c r="Y589" s="262"/>
      <c r="Z589" s="271" t="s">
        <v>24</v>
      </c>
      <c r="AA589" s="287"/>
      <c r="AB589" s="287"/>
      <c r="AC589" s="272">
        <f t="shared" si="19"/>
        <v>15000000</v>
      </c>
      <c r="AD589" s="272">
        <v>15000000</v>
      </c>
      <c r="AE589" s="272">
        <f t="shared" si="20"/>
        <v>0</v>
      </c>
      <c r="AF589" s="273"/>
      <c r="AG589" s="274"/>
      <c r="AH589" s="273"/>
      <c r="AI589" s="273"/>
      <c r="AJ589" s="274"/>
      <c r="AK589" s="273"/>
      <c r="AL589" s="275"/>
      <c r="AM589" s="290"/>
      <c r="AN589" s="275"/>
      <c r="AO589" s="276"/>
      <c r="AP589" s="275"/>
      <c r="AQ589" s="275"/>
      <c r="AR589" s="275"/>
      <c r="AS589" s="275"/>
      <c r="AT589" s="275"/>
      <c r="AU589" s="275"/>
      <c r="AV589" s="275"/>
      <c r="AW589" s="275"/>
      <c r="AX589" s="275"/>
      <c r="AY589" s="275"/>
      <c r="AZ589" s="275"/>
      <c r="BA589" s="275">
        <v>15000000</v>
      </c>
      <c r="BB589" s="275"/>
      <c r="BC589" s="275"/>
      <c r="BD589" s="275"/>
      <c r="BE589" s="275"/>
      <c r="BF589" s="275"/>
      <c r="BH589" s="277"/>
    </row>
    <row r="590" spans="1:60" ht="16.5" hidden="1" customHeight="1" x14ac:dyDescent="0.3">
      <c r="A590" s="260">
        <v>568</v>
      </c>
      <c r="B590" s="261"/>
      <c r="C590" s="261"/>
      <c r="D590" s="262" t="s">
        <v>15</v>
      </c>
      <c r="E590" s="262" t="s">
        <v>2</v>
      </c>
      <c r="F590" s="263" t="s">
        <v>15</v>
      </c>
      <c r="G590" s="264" t="s">
        <v>2</v>
      </c>
      <c r="H590" s="281"/>
      <c r="I590" s="265"/>
      <c r="J590" s="266" t="s">
        <v>96</v>
      </c>
      <c r="K590" s="262"/>
      <c r="L590" s="262"/>
      <c r="M590" s="262">
        <v>53516</v>
      </c>
      <c r="N590" s="262" t="s">
        <v>22</v>
      </c>
      <c r="O590" s="262" t="s">
        <v>56</v>
      </c>
      <c r="P590" s="262"/>
      <c r="Q590" s="262" t="s">
        <v>23</v>
      </c>
      <c r="R590" s="262" t="s">
        <v>478</v>
      </c>
      <c r="S590" s="267" t="s">
        <v>478</v>
      </c>
      <c r="T590" s="268"/>
      <c r="U590" s="269"/>
      <c r="V590" s="269">
        <v>0</v>
      </c>
      <c r="W590" s="278">
        <v>515000000</v>
      </c>
      <c r="X590" s="270"/>
      <c r="Y590" s="262" t="s">
        <v>27</v>
      </c>
      <c r="Z590" s="271" t="s">
        <v>27</v>
      </c>
      <c r="AA590" s="287"/>
      <c r="AB590" s="287"/>
      <c r="AC590" s="272">
        <f t="shared" si="19"/>
        <v>394000000</v>
      </c>
      <c r="AD590" s="272">
        <v>394000000</v>
      </c>
      <c r="AE590" s="272">
        <f t="shared" si="20"/>
        <v>0</v>
      </c>
      <c r="AF590" s="273"/>
      <c r="AG590" s="274"/>
      <c r="AH590" s="273"/>
      <c r="AI590" s="273"/>
      <c r="AJ590" s="274">
        <v>322000000</v>
      </c>
      <c r="AK590" s="273"/>
      <c r="AL590" s="275"/>
      <c r="AM590" s="290"/>
      <c r="AN590" s="275"/>
      <c r="AO590" s="276"/>
      <c r="AP590" s="275"/>
      <c r="AQ590" s="275"/>
      <c r="AR590" s="275"/>
      <c r="AS590" s="275"/>
      <c r="AT590" s="275"/>
      <c r="AU590" s="275">
        <v>48000000</v>
      </c>
      <c r="AV590" s="275"/>
      <c r="AW590" s="275"/>
      <c r="AX590" s="275"/>
      <c r="AY590" s="275"/>
      <c r="AZ590" s="275"/>
      <c r="BA590" s="275"/>
      <c r="BB590" s="275"/>
      <c r="BC590" s="275"/>
      <c r="BD590" s="275"/>
      <c r="BE590" s="275">
        <v>24000000</v>
      </c>
      <c r="BF590" s="275"/>
      <c r="BH590" s="277"/>
    </row>
    <row r="591" spans="1:60" ht="16.5" hidden="1" customHeight="1" x14ac:dyDescent="0.3">
      <c r="A591" s="260">
        <v>569</v>
      </c>
      <c r="B591" s="261"/>
      <c r="C591" s="261"/>
      <c r="D591" s="262" t="s">
        <v>15</v>
      </c>
      <c r="E591" s="262" t="s">
        <v>2</v>
      </c>
      <c r="F591" s="263" t="s">
        <v>15</v>
      </c>
      <c r="G591" s="264" t="s">
        <v>2</v>
      </c>
      <c r="H591" s="281"/>
      <c r="I591" s="265"/>
      <c r="J591" s="266" t="s">
        <v>96</v>
      </c>
      <c r="K591" s="262"/>
      <c r="L591" s="262"/>
      <c r="M591" s="262">
        <v>53516</v>
      </c>
      <c r="N591" s="262" t="s">
        <v>22</v>
      </c>
      <c r="O591" s="262" t="s">
        <v>56</v>
      </c>
      <c r="P591" s="262"/>
      <c r="Q591" s="262" t="s">
        <v>23</v>
      </c>
      <c r="R591" s="262" t="s">
        <v>397</v>
      </c>
      <c r="S591" s="267" t="s">
        <v>823</v>
      </c>
      <c r="T591" s="268"/>
      <c r="U591" s="269">
        <v>1000000000</v>
      </c>
      <c r="V591" s="269">
        <v>500000000</v>
      </c>
      <c r="W591" s="278">
        <v>345000000</v>
      </c>
      <c r="X591" s="270"/>
      <c r="Y591" s="262" t="s">
        <v>27</v>
      </c>
      <c r="Z591" s="271" t="s">
        <v>27</v>
      </c>
      <c r="AA591" s="287"/>
      <c r="AB591" s="287"/>
      <c r="AC591" s="272">
        <f t="shared" si="19"/>
        <v>57000000</v>
      </c>
      <c r="AD591" s="272">
        <v>57000000</v>
      </c>
      <c r="AE591" s="272">
        <f t="shared" si="20"/>
        <v>0</v>
      </c>
      <c r="AF591" s="273"/>
      <c r="AG591" s="274"/>
      <c r="AH591" s="273"/>
      <c r="AI591" s="273"/>
      <c r="AJ591" s="274"/>
      <c r="AK591" s="273"/>
      <c r="AL591" s="275">
        <v>133000000</v>
      </c>
      <c r="AM591" s="290">
        <v>0</v>
      </c>
      <c r="AN591" s="275" t="s">
        <v>1025</v>
      </c>
      <c r="AO591" s="276"/>
      <c r="AP591" s="275"/>
      <c r="AQ591" s="275"/>
      <c r="AR591" s="275"/>
      <c r="AS591" s="275"/>
      <c r="AT591" s="275"/>
      <c r="AU591" s="275">
        <v>38000000</v>
      </c>
      <c r="AV591" s="275"/>
      <c r="AW591" s="275"/>
      <c r="AX591" s="275"/>
      <c r="AY591" s="275"/>
      <c r="AZ591" s="275"/>
      <c r="BA591" s="275"/>
      <c r="BB591" s="275"/>
      <c r="BC591" s="275"/>
      <c r="BD591" s="275"/>
      <c r="BE591" s="275">
        <v>19000000</v>
      </c>
      <c r="BF591" s="275"/>
      <c r="BH591" s="277"/>
    </row>
    <row r="592" spans="1:60" ht="16.5" hidden="1" customHeight="1" x14ac:dyDescent="0.3">
      <c r="A592" s="260">
        <v>570</v>
      </c>
      <c r="B592" s="261"/>
      <c r="C592" s="261"/>
      <c r="D592" s="262" t="s">
        <v>15</v>
      </c>
      <c r="E592" s="262" t="s">
        <v>2</v>
      </c>
      <c r="F592" s="263" t="s">
        <v>15</v>
      </c>
      <c r="G592" s="264" t="s">
        <v>2</v>
      </c>
      <c r="H592" s="281"/>
      <c r="I592" s="265"/>
      <c r="J592" s="266" t="s">
        <v>96</v>
      </c>
      <c r="K592" s="262"/>
      <c r="L592" s="262"/>
      <c r="M592" s="262">
        <v>53516</v>
      </c>
      <c r="N592" s="262" t="s">
        <v>22</v>
      </c>
      <c r="O592" s="262" t="s">
        <v>56</v>
      </c>
      <c r="P592" s="262"/>
      <c r="Q592" s="262"/>
      <c r="R592" s="262" t="s">
        <v>472</v>
      </c>
      <c r="S592" s="267" t="s">
        <v>824</v>
      </c>
      <c r="T592" s="268"/>
      <c r="U592" s="269"/>
      <c r="V592" s="269"/>
      <c r="W592" s="278">
        <v>42750000</v>
      </c>
      <c r="X592" s="270"/>
      <c r="Y592" s="262" t="s">
        <v>27</v>
      </c>
      <c r="Z592" s="271" t="s">
        <v>27</v>
      </c>
      <c r="AA592" s="287"/>
      <c r="AB592" s="287"/>
      <c r="AC592" s="272">
        <f t="shared" si="19"/>
        <v>47100000</v>
      </c>
      <c r="AD592" s="272">
        <v>47100000</v>
      </c>
      <c r="AE592" s="272">
        <f t="shared" si="20"/>
        <v>0</v>
      </c>
      <c r="AF592" s="273"/>
      <c r="AG592" s="274"/>
      <c r="AH592" s="273"/>
      <c r="AI592" s="273"/>
      <c r="AJ592" s="274">
        <v>33000000</v>
      </c>
      <c r="AK592" s="273"/>
      <c r="AL592" s="275"/>
      <c r="AM592" s="290"/>
      <c r="AN592" s="275"/>
      <c r="AO592" s="276"/>
      <c r="AP592" s="275"/>
      <c r="AQ592" s="275"/>
      <c r="AR592" s="275"/>
      <c r="AS592" s="275"/>
      <c r="AT592" s="275"/>
      <c r="AU592" s="275"/>
      <c r="AV592" s="275"/>
      <c r="AW592" s="275"/>
      <c r="AX592" s="275"/>
      <c r="AY592" s="275"/>
      <c r="AZ592" s="275"/>
      <c r="BA592" s="275"/>
      <c r="BB592" s="275"/>
      <c r="BC592" s="275"/>
      <c r="BD592" s="275"/>
      <c r="BE592" s="275">
        <v>14100000</v>
      </c>
      <c r="BF592" s="275"/>
      <c r="BH592" s="277"/>
    </row>
    <row r="593" spans="1:60" ht="16.5" hidden="1" customHeight="1" x14ac:dyDescent="0.3">
      <c r="A593" s="260">
        <v>571</v>
      </c>
      <c r="B593" s="261"/>
      <c r="C593" s="261"/>
      <c r="D593" s="262" t="s">
        <v>15</v>
      </c>
      <c r="E593" s="262" t="s">
        <v>2</v>
      </c>
      <c r="F593" s="263" t="s">
        <v>15</v>
      </c>
      <c r="G593" s="264" t="s">
        <v>2</v>
      </c>
      <c r="H593" s="281"/>
      <c r="I593" s="265"/>
      <c r="J593" s="266" t="s">
        <v>96</v>
      </c>
      <c r="K593" s="262"/>
      <c r="L593" s="262"/>
      <c r="M593" s="262">
        <v>53516</v>
      </c>
      <c r="N593" s="262" t="s">
        <v>22</v>
      </c>
      <c r="O593" s="262" t="s">
        <v>56</v>
      </c>
      <c r="P593" s="262"/>
      <c r="Q593" s="262" t="s">
        <v>23</v>
      </c>
      <c r="R593" s="262" t="s">
        <v>476</v>
      </c>
      <c r="S593" s="267" t="s">
        <v>825</v>
      </c>
      <c r="T593" s="268"/>
      <c r="U593" s="269"/>
      <c r="V593" s="269">
        <v>0</v>
      </c>
      <c r="W593" s="278">
        <v>30000000</v>
      </c>
      <c r="X593" s="270"/>
      <c r="Y593" s="262" t="s">
        <v>27</v>
      </c>
      <c r="Z593" s="271" t="s">
        <v>27</v>
      </c>
      <c r="AA593" s="287"/>
      <c r="AB593" s="287"/>
      <c r="AC593" s="272">
        <f t="shared" si="19"/>
        <v>9000000</v>
      </c>
      <c r="AD593" s="272">
        <v>9000000</v>
      </c>
      <c r="AE593" s="272">
        <f t="shared" si="20"/>
        <v>0</v>
      </c>
      <c r="AF593" s="273"/>
      <c r="AG593" s="274"/>
      <c r="AH593" s="273"/>
      <c r="AI593" s="273"/>
      <c r="AJ593" s="274"/>
      <c r="AK593" s="273"/>
      <c r="AL593" s="275">
        <v>21000000</v>
      </c>
      <c r="AM593" s="290">
        <v>0</v>
      </c>
      <c r="AN593" s="275" t="s">
        <v>1025</v>
      </c>
      <c r="AO593" s="276"/>
      <c r="AP593" s="275"/>
      <c r="AQ593" s="275"/>
      <c r="AR593" s="275"/>
      <c r="AS593" s="275"/>
      <c r="AT593" s="275"/>
      <c r="AU593" s="275">
        <v>6000000</v>
      </c>
      <c r="AV593" s="275"/>
      <c r="AW593" s="275"/>
      <c r="AX593" s="275"/>
      <c r="AY593" s="275"/>
      <c r="AZ593" s="275"/>
      <c r="BA593" s="275"/>
      <c r="BB593" s="275"/>
      <c r="BC593" s="275"/>
      <c r="BD593" s="275"/>
      <c r="BE593" s="275">
        <v>3000000</v>
      </c>
      <c r="BF593" s="275"/>
      <c r="BH593" s="277"/>
    </row>
    <row r="594" spans="1:60" ht="16.5" hidden="1" customHeight="1" x14ac:dyDescent="0.3">
      <c r="A594" s="260">
        <v>572</v>
      </c>
      <c r="B594" s="261"/>
      <c r="C594" s="261"/>
      <c r="D594" s="262" t="s">
        <v>15</v>
      </c>
      <c r="E594" s="262" t="s">
        <v>2</v>
      </c>
      <c r="F594" s="263" t="s">
        <v>15</v>
      </c>
      <c r="G594" s="264" t="s">
        <v>2</v>
      </c>
      <c r="H594" s="281"/>
      <c r="I594" s="265"/>
      <c r="J594" s="266" t="s">
        <v>97</v>
      </c>
      <c r="K594" s="262"/>
      <c r="L594" s="262"/>
      <c r="M594" s="262">
        <v>40018</v>
      </c>
      <c r="N594" s="262"/>
      <c r="O594" s="262" t="s">
        <v>35</v>
      </c>
      <c r="P594" s="262"/>
      <c r="Q594" s="262"/>
      <c r="R594" s="262"/>
      <c r="S594" s="267" t="s">
        <v>19</v>
      </c>
      <c r="T594" s="268"/>
      <c r="U594" s="269"/>
      <c r="V594" s="269"/>
      <c r="W594" s="278">
        <v>4535000</v>
      </c>
      <c r="X594" s="270"/>
      <c r="Y594" s="262"/>
      <c r="Z594" s="271" t="s">
        <v>25</v>
      </c>
      <c r="AA594" s="287"/>
      <c r="AB594" s="287"/>
      <c r="AC594" s="272">
        <f t="shared" si="19"/>
        <v>10000000</v>
      </c>
      <c r="AD594" s="272">
        <v>10000000</v>
      </c>
      <c r="AE594" s="272">
        <f t="shared" si="20"/>
        <v>0</v>
      </c>
      <c r="AF594" s="273"/>
      <c r="AG594" s="274"/>
      <c r="AH594" s="273"/>
      <c r="AI594" s="273"/>
      <c r="AJ594" s="274"/>
      <c r="AK594" s="273"/>
      <c r="AL594" s="275"/>
      <c r="AM594" s="290"/>
      <c r="AN594" s="275"/>
      <c r="AO594" s="276"/>
      <c r="AP594" s="275"/>
      <c r="AQ594" s="275"/>
      <c r="AR594" s="275"/>
      <c r="AS594" s="275">
        <v>10000000</v>
      </c>
      <c r="AT594" s="275"/>
      <c r="AU594" s="275"/>
      <c r="AV594" s="275"/>
      <c r="AW594" s="275"/>
      <c r="AX594" s="275"/>
      <c r="AY594" s="275"/>
      <c r="AZ594" s="275"/>
      <c r="BA594" s="275"/>
      <c r="BB594" s="275"/>
      <c r="BC594" s="275"/>
      <c r="BD594" s="275"/>
      <c r="BE594" s="275"/>
      <c r="BF594" s="275"/>
      <c r="BH594" s="277"/>
    </row>
    <row r="595" spans="1:60" ht="16.5" hidden="1" customHeight="1" x14ac:dyDescent="0.3">
      <c r="A595" s="260">
        <v>573</v>
      </c>
      <c r="B595" s="261"/>
      <c r="C595" s="261"/>
      <c r="D595" s="262" t="s">
        <v>15</v>
      </c>
      <c r="E595" s="262" t="s">
        <v>2</v>
      </c>
      <c r="F595" s="263" t="s">
        <v>15</v>
      </c>
      <c r="G595" s="264" t="s">
        <v>2</v>
      </c>
      <c r="H595" s="281"/>
      <c r="I595" s="265"/>
      <c r="J595" s="266" t="s">
        <v>97</v>
      </c>
      <c r="K595" s="262"/>
      <c r="L595" s="262"/>
      <c r="M595" s="262">
        <v>40018</v>
      </c>
      <c r="N595" s="262" t="s">
        <v>53</v>
      </c>
      <c r="O595" s="262" t="s">
        <v>56</v>
      </c>
      <c r="P595" s="262"/>
      <c r="Q595" s="262" t="s">
        <v>18</v>
      </c>
      <c r="R595" s="262" t="s">
        <v>19</v>
      </c>
      <c r="S595" s="267" t="s">
        <v>31</v>
      </c>
      <c r="T595" s="268"/>
      <c r="U595" s="269"/>
      <c r="V595" s="269"/>
      <c r="W595" s="278">
        <v>26813000</v>
      </c>
      <c r="X595" s="270"/>
      <c r="Y595" s="262" t="s">
        <v>24</v>
      </c>
      <c r="Z595" s="271" t="s">
        <v>24</v>
      </c>
      <c r="AA595" s="287"/>
      <c r="AB595" s="287"/>
      <c r="AC595" s="272">
        <f t="shared" si="19"/>
        <v>18000000</v>
      </c>
      <c r="AD595" s="272">
        <v>18000000</v>
      </c>
      <c r="AE595" s="272">
        <f t="shared" si="20"/>
        <v>0</v>
      </c>
      <c r="AF595" s="273"/>
      <c r="AG595" s="274"/>
      <c r="AH595" s="273"/>
      <c r="AI595" s="273"/>
      <c r="AJ595" s="274"/>
      <c r="AK595" s="273"/>
      <c r="AL595" s="275"/>
      <c r="AM595" s="290"/>
      <c r="AN595" s="275"/>
      <c r="AO595" s="276"/>
      <c r="AP595" s="275"/>
      <c r="AQ595" s="275"/>
      <c r="AR595" s="275"/>
      <c r="AS595" s="275"/>
      <c r="AT595" s="275"/>
      <c r="AU595" s="275">
        <v>10000000</v>
      </c>
      <c r="AV595" s="275"/>
      <c r="AW595" s="275"/>
      <c r="AX595" s="275"/>
      <c r="AY595" s="275"/>
      <c r="AZ595" s="275"/>
      <c r="BA595" s="275">
        <v>8000000</v>
      </c>
      <c r="BB595" s="275"/>
      <c r="BC595" s="275"/>
      <c r="BD595" s="275"/>
      <c r="BE595" s="275"/>
      <c r="BF595" s="275"/>
      <c r="BH595" s="277"/>
    </row>
    <row r="596" spans="1:60" ht="16.5" hidden="1" customHeight="1" x14ac:dyDescent="0.3">
      <c r="A596" s="260">
        <v>574</v>
      </c>
      <c r="B596" s="261"/>
      <c r="C596" s="261"/>
      <c r="D596" s="262" t="s">
        <v>15</v>
      </c>
      <c r="E596" s="262" t="s">
        <v>2</v>
      </c>
      <c r="F596" s="263" t="s">
        <v>15</v>
      </c>
      <c r="G596" s="264" t="s">
        <v>2</v>
      </c>
      <c r="H596" s="281"/>
      <c r="I596" s="265"/>
      <c r="J596" s="266" t="s">
        <v>97</v>
      </c>
      <c r="K596" s="262"/>
      <c r="L596" s="262"/>
      <c r="M596" s="262">
        <v>40018</v>
      </c>
      <c r="N596" s="262" t="s">
        <v>53</v>
      </c>
      <c r="O596" s="262" t="s">
        <v>56</v>
      </c>
      <c r="P596" s="262"/>
      <c r="Q596" s="262" t="s">
        <v>18</v>
      </c>
      <c r="R596" s="262" t="s">
        <v>19</v>
      </c>
      <c r="S596" s="267" t="s">
        <v>31</v>
      </c>
      <c r="T596" s="268"/>
      <c r="U596" s="269">
        <v>11012000</v>
      </c>
      <c r="V596" s="269">
        <v>32509000</v>
      </c>
      <c r="W596" s="278">
        <v>0</v>
      </c>
      <c r="X596" s="270"/>
      <c r="Y596" s="262" t="s">
        <v>27</v>
      </c>
      <c r="Z596" s="271" t="s">
        <v>25</v>
      </c>
      <c r="AA596" s="287"/>
      <c r="AB596" s="287"/>
      <c r="AC596" s="272">
        <f t="shared" si="19"/>
        <v>10000000</v>
      </c>
      <c r="AD596" s="272">
        <v>10000000</v>
      </c>
      <c r="AE596" s="272">
        <f t="shared" si="20"/>
        <v>0</v>
      </c>
      <c r="AF596" s="273"/>
      <c r="AG596" s="274"/>
      <c r="AH596" s="273"/>
      <c r="AI596" s="273"/>
      <c r="AJ596" s="274"/>
      <c r="AK596" s="273"/>
      <c r="AL596" s="275"/>
      <c r="AM596" s="290"/>
      <c r="AN596" s="275"/>
      <c r="AO596" s="276"/>
      <c r="AP596" s="275"/>
      <c r="AQ596" s="275">
        <v>10000000</v>
      </c>
      <c r="AR596" s="275"/>
      <c r="AS596" s="275"/>
      <c r="AT596" s="275"/>
      <c r="AU596" s="275"/>
      <c r="AV596" s="275"/>
      <c r="AW596" s="275"/>
      <c r="AX596" s="275"/>
      <c r="AY596" s="275"/>
      <c r="AZ596" s="275"/>
      <c r="BA596" s="275"/>
      <c r="BB596" s="275"/>
      <c r="BC596" s="275"/>
      <c r="BD596" s="275"/>
      <c r="BE596" s="275"/>
      <c r="BF596" s="275"/>
      <c r="BH596" s="277"/>
    </row>
    <row r="597" spans="1:60" ht="16.5" hidden="1" customHeight="1" x14ac:dyDescent="0.3">
      <c r="A597" s="260">
        <v>575</v>
      </c>
      <c r="B597" s="261"/>
      <c r="C597" s="261"/>
      <c r="D597" s="262" t="s">
        <v>15</v>
      </c>
      <c r="E597" s="262" t="s">
        <v>2</v>
      </c>
      <c r="F597" s="263" t="s">
        <v>15</v>
      </c>
      <c r="G597" s="264" t="s">
        <v>2</v>
      </c>
      <c r="H597" s="281"/>
      <c r="I597" s="265"/>
      <c r="J597" s="266" t="s">
        <v>97</v>
      </c>
      <c r="K597" s="262"/>
      <c r="L597" s="262"/>
      <c r="M597" s="262">
        <v>40018</v>
      </c>
      <c r="N597" s="262"/>
      <c r="O597" s="262" t="s">
        <v>35</v>
      </c>
      <c r="P597" s="262"/>
      <c r="Q597" s="262"/>
      <c r="R597" s="262"/>
      <c r="S597" s="267" t="s">
        <v>822</v>
      </c>
      <c r="T597" s="268"/>
      <c r="U597" s="269"/>
      <c r="V597" s="269"/>
      <c r="W597" s="278">
        <v>0</v>
      </c>
      <c r="X597" s="270"/>
      <c r="Y597" s="262"/>
      <c r="Z597" s="271" t="s">
        <v>25</v>
      </c>
      <c r="AA597" s="287"/>
      <c r="AB597" s="287"/>
      <c r="AC597" s="272">
        <f t="shared" si="19"/>
        <v>10000000</v>
      </c>
      <c r="AD597" s="272">
        <v>10000000</v>
      </c>
      <c r="AE597" s="272">
        <f t="shared" si="20"/>
        <v>0</v>
      </c>
      <c r="AF597" s="273"/>
      <c r="AG597" s="274"/>
      <c r="AH597" s="273"/>
      <c r="AI597" s="273"/>
      <c r="AJ597" s="274"/>
      <c r="AK597" s="273"/>
      <c r="AL597" s="275"/>
      <c r="AM597" s="290"/>
      <c r="AN597" s="275"/>
      <c r="AO597" s="276"/>
      <c r="AP597" s="275"/>
      <c r="AQ597" s="275"/>
      <c r="AR597" s="275"/>
      <c r="AS597" s="275">
        <v>10000000</v>
      </c>
      <c r="AT597" s="275"/>
      <c r="AU597" s="275"/>
      <c r="AV597" s="275"/>
      <c r="AW597" s="275"/>
      <c r="AX597" s="275"/>
      <c r="AY597" s="275"/>
      <c r="AZ597" s="275"/>
      <c r="BA597" s="275"/>
      <c r="BB597" s="275"/>
      <c r="BC597" s="275"/>
      <c r="BD597" s="275"/>
      <c r="BE597" s="275"/>
      <c r="BF597" s="275"/>
      <c r="BH597" s="277"/>
    </row>
    <row r="598" spans="1:60" ht="16.5" hidden="1" customHeight="1" x14ac:dyDescent="0.3">
      <c r="A598" s="260">
        <v>576</v>
      </c>
      <c r="B598" s="261"/>
      <c r="C598" s="261"/>
      <c r="D598" s="262" t="s">
        <v>15</v>
      </c>
      <c r="E598" s="262" t="s">
        <v>2</v>
      </c>
      <c r="F598" s="263" t="s">
        <v>15</v>
      </c>
      <c r="G598" s="264" t="s">
        <v>2</v>
      </c>
      <c r="H598" s="281"/>
      <c r="I598" s="265"/>
      <c r="J598" s="266" t="s">
        <v>97</v>
      </c>
      <c r="K598" s="262"/>
      <c r="L598" s="262"/>
      <c r="M598" s="262">
        <v>40018</v>
      </c>
      <c r="N598" s="262" t="s">
        <v>53</v>
      </c>
      <c r="O598" s="262" t="s">
        <v>56</v>
      </c>
      <c r="P598" s="262"/>
      <c r="Q598" s="262" t="s">
        <v>23</v>
      </c>
      <c r="R598" s="262" t="s">
        <v>397</v>
      </c>
      <c r="S598" s="267" t="s">
        <v>823</v>
      </c>
      <c r="T598" s="268"/>
      <c r="U598" s="269">
        <v>200000</v>
      </c>
      <c r="V598" s="269">
        <v>250000</v>
      </c>
      <c r="W598" s="278">
        <v>17800000</v>
      </c>
      <c r="X598" s="270"/>
      <c r="Y598" s="262" t="s">
        <v>27</v>
      </c>
      <c r="Z598" s="271" t="s">
        <v>25</v>
      </c>
      <c r="AA598" s="287"/>
      <c r="AB598" s="287"/>
      <c r="AC598" s="272">
        <f t="shared" si="19"/>
        <v>20000000</v>
      </c>
      <c r="AD598" s="272">
        <v>20000000</v>
      </c>
      <c r="AE598" s="272">
        <f t="shared" si="20"/>
        <v>0</v>
      </c>
      <c r="AF598" s="273"/>
      <c r="AG598" s="274"/>
      <c r="AH598" s="273"/>
      <c r="AI598" s="273"/>
      <c r="AJ598" s="274"/>
      <c r="AK598" s="273"/>
      <c r="AL598" s="275"/>
      <c r="AM598" s="290"/>
      <c r="AN598" s="275"/>
      <c r="AO598" s="276"/>
      <c r="AP598" s="275"/>
      <c r="AQ598" s="291">
        <v>20000000</v>
      </c>
      <c r="AR598" s="275"/>
      <c r="AS598" s="275"/>
      <c r="AT598" s="275"/>
      <c r="AU598" s="275"/>
      <c r="AV598" s="275"/>
      <c r="AW598" s="275"/>
      <c r="AX598" s="275"/>
      <c r="AY598" s="275"/>
      <c r="AZ598" s="275"/>
      <c r="BA598" s="275"/>
      <c r="BB598" s="275"/>
      <c r="BC598" s="275"/>
      <c r="BD598" s="275"/>
      <c r="BE598" s="275"/>
      <c r="BF598" s="275"/>
      <c r="BH598" s="277"/>
    </row>
    <row r="599" spans="1:60" ht="16.5" hidden="1" customHeight="1" x14ac:dyDescent="0.3">
      <c r="A599" s="260">
        <v>577</v>
      </c>
      <c r="B599" s="261"/>
      <c r="C599" s="261"/>
      <c r="D599" s="262"/>
      <c r="E599" s="262"/>
      <c r="F599" s="263" t="s">
        <v>15</v>
      </c>
      <c r="G599" s="264" t="s">
        <v>2</v>
      </c>
      <c r="H599" s="281"/>
      <c r="I599" s="265"/>
      <c r="J599" s="266" t="s">
        <v>918</v>
      </c>
      <c r="K599" s="262"/>
      <c r="L599" s="262"/>
      <c r="M599" s="262">
        <v>65663</v>
      </c>
      <c r="N599" s="262"/>
      <c r="O599" s="262"/>
      <c r="P599" s="262"/>
      <c r="Q599" s="262"/>
      <c r="R599" s="262"/>
      <c r="S599" s="267" t="s">
        <v>31</v>
      </c>
      <c r="T599" s="268"/>
      <c r="U599" s="269"/>
      <c r="V599" s="269"/>
      <c r="W599" s="278">
        <v>1014000</v>
      </c>
      <c r="X599" s="270"/>
      <c r="Y599" s="262"/>
      <c r="Z599" s="271" t="s">
        <v>718</v>
      </c>
      <c r="AA599" s="287"/>
      <c r="AB599" s="287"/>
      <c r="AC599" s="272">
        <f t="shared" ref="AC599:AC662" si="21">AG599+AJ599+AM599+AO599+AQ599+AS599+AU599+AW599+AY599+BA599+BC599+BE599</f>
        <v>0</v>
      </c>
      <c r="AD599" s="272">
        <v>0</v>
      </c>
      <c r="AE599" s="272">
        <f t="shared" ref="AE599:AE662" si="22">AC599-AD599</f>
        <v>0</v>
      </c>
      <c r="AF599" s="273"/>
      <c r="AG599" s="274"/>
      <c r="AH599" s="273"/>
      <c r="AI599" s="273"/>
      <c r="AJ599" s="274"/>
      <c r="AK599" s="273"/>
      <c r="AL599" s="275"/>
      <c r="AM599" s="290"/>
      <c r="AN599" s="275"/>
      <c r="AO599" s="276"/>
      <c r="AP599" s="275"/>
      <c r="AQ599" s="275"/>
      <c r="AR599" s="275"/>
      <c r="AS599" s="275"/>
      <c r="AT599" s="275"/>
      <c r="AU599" s="275"/>
      <c r="AV599" s="275"/>
      <c r="AW599" s="275"/>
      <c r="AX599" s="275"/>
      <c r="AY599" s="275"/>
      <c r="AZ599" s="275"/>
      <c r="BA599" s="275"/>
      <c r="BB599" s="275"/>
      <c r="BC599" s="275"/>
      <c r="BD599" s="275"/>
      <c r="BE599" s="275"/>
      <c r="BF599" s="275"/>
      <c r="BH599" s="277"/>
    </row>
    <row r="600" spans="1:60" ht="16.5" hidden="1" customHeight="1" x14ac:dyDescent="0.3">
      <c r="A600" s="260">
        <v>578</v>
      </c>
      <c r="B600" s="261"/>
      <c r="C600" s="261"/>
      <c r="D600" s="262" t="s">
        <v>15</v>
      </c>
      <c r="E600" s="262" t="s">
        <v>2</v>
      </c>
      <c r="F600" s="263" t="s">
        <v>15</v>
      </c>
      <c r="G600" s="264" t="s">
        <v>2</v>
      </c>
      <c r="H600" s="281"/>
      <c r="I600" s="265"/>
      <c r="J600" s="266" t="s">
        <v>98</v>
      </c>
      <c r="K600" s="262"/>
      <c r="L600" s="262"/>
      <c r="M600" s="262">
        <v>54422</v>
      </c>
      <c r="N600" s="262"/>
      <c r="O600" s="262" t="s">
        <v>35</v>
      </c>
      <c r="P600" s="262"/>
      <c r="Q600" s="262"/>
      <c r="R600" s="262"/>
      <c r="S600" s="267" t="s">
        <v>31</v>
      </c>
      <c r="T600" s="268"/>
      <c r="U600" s="269"/>
      <c r="V600" s="269"/>
      <c r="W600" s="278">
        <v>7506000</v>
      </c>
      <c r="X600" s="270"/>
      <c r="Y600" s="262"/>
      <c r="Z600" s="271" t="s">
        <v>25</v>
      </c>
      <c r="AA600" s="287"/>
      <c r="AB600" s="287"/>
      <c r="AC600" s="272">
        <f t="shared" si="21"/>
        <v>15000000</v>
      </c>
      <c r="AD600" s="272">
        <v>15000000</v>
      </c>
      <c r="AE600" s="272">
        <f t="shared" si="22"/>
        <v>0</v>
      </c>
      <c r="AF600" s="273"/>
      <c r="AG600" s="274"/>
      <c r="AH600" s="273"/>
      <c r="AI600" s="273"/>
      <c r="AJ600" s="274"/>
      <c r="AK600" s="273"/>
      <c r="AL600" s="275"/>
      <c r="AM600" s="290"/>
      <c r="AN600" s="275"/>
      <c r="AO600" s="276"/>
      <c r="AP600" s="275"/>
      <c r="AQ600" s="275"/>
      <c r="AR600" s="275"/>
      <c r="AS600" s="275"/>
      <c r="AT600" s="275"/>
      <c r="AU600" s="275"/>
      <c r="AV600" s="275"/>
      <c r="AW600" s="275"/>
      <c r="AX600" s="275"/>
      <c r="AY600" s="275"/>
      <c r="AZ600" s="275"/>
      <c r="BA600" s="275">
        <v>15000000</v>
      </c>
      <c r="BB600" s="275"/>
      <c r="BC600" s="275"/>
      <c r="BD600" s="275"/>
      <c r="BE600" s="275"/>
      <c r="BF600" s="275"/>
      <c r="BH600" s="277"/>
    </row>
    <row r="601" spans="1:60" ht="16.5" hidden="1" customHeight="1" x14ac:dyDescent="0.3">
      <c r="A601" s="260">
        <v>579</v>
      </c>
      <c r="B601" s="261"/>
      <c r="C601" s="261"/>
      <c r="D601" s="262" t="s">
        <v>15</v>
      </c>
      <c r="E601" s="262" t="s">
        <v>2</v>
      </c>
      <c r="F601" s="263" t="s">
        <v>15</v>
      </c>
      <c r="G601" s="264" t="s">
        <v>2</v>
      </c>
      <c r="H601" s="281"/>
      <c r="I601" s="265"/>
      <c r="J601" s="266" t="s">
        <v>98</v>
      </c>
      <c r="K601" s="262"/>
      <c r="L601" s="262"/>
      <c r="M601" s="262">
        <v>54422</v>
      </c>
      <c r="N601" s="262" t="s">
        <v>17</v>
      </c>
      <c r="O601" s="262" t="s">
        <v>178</v>
      </c>
      <c r="P601" s="262"/>
      <c r="Q601" s="262" t="s">
        <v>23</v>
      </c>
      <c r="R601" s="262" t="s">
        <v>397</v>
      </c>
      <c r="S601" s="267" t="s">
        <v>823</v>
      </c>
      <c r="T601" s="268"/>
      <c r="U601" s="269">
        <v>200000</v>
      </c>
      <c r="V601" s="269">
        <v>250000</v>
      </c>
      <c r="W601" s="278">
        <v>0</v>
      </c>
      <c r="X601" s="270"/>
      <c r="Y601" s="262" t="s">
        <v>24</v>
      </c>
      <c r="Z601" s="271" t="s">
        <v>20</v>
      </c>
      <c r="AA601" s="287"/>
      <c r="AB601" s="287"/>
      <c r="AC601" s="272">
        <f t="shared" si="21"/>
        <v>0</v>
      </c>
      <c r="AD601" s="272">
        <v>0</v>
      </c>
      <c r="AE601" s="272">
        <f t="shared" si="22"/>
        <v>0</v>
      </c>
      <c r="AF601" s="273"/>
      <c r="AG601" s="274"/>
      <c r="AH601" s="273"/>
      <c r="AI601" s="273"/>
      <c r="AJ601" s="274"/>
      <c r="AK601" s="273"/>
      <c r="AL601" s="275"/>
      <c r="AM601" s="290"/>
      <c r="AN601" s="275"/>
      <c r="AO601" s="276"/>
      <c r="AP601" s="275"/>
      <c r="AQ601" s="275"/>
      <c r="AR601" s="275"/>
      <c r="AS601" s="275"/>
      <c r="AT601" s="275"/>
      <c r="AU601" s="275"/>
      <c r="AV601" s="275"/>
      <c r="AW601" s="275"/>
      <c r="AX601" s="275"/>
      <c r="AY601" s="275"/>
      <c r="AZ601" s="275"/>
      <c r="BA601" s="275"/>
      <c r="BB601" s="275"/>
      <c r="BC601" s="275"/>
      <c r="BD601" s="275"/>
      <c r="BE601" s="275"/>
      <c r="BF601" s="275"/>
      <c r="BH601" s="277"/>
    </row>
    <row r="602" spans="1:60" ht="16.5" hidden="1" customHeight="1" x14ac:dyDescent="0.3">
      <c r="A602" s="260">
        <v>580</v>
      </c>
      <c r="B602" s="261"/>
      <c r="C602" s="261"/>
      <c r="D602" s="262" t="s">
        <v>15</v>
      </c>
      <c r="E602" s="262" t="s">
        <v>2</v>
      </c>
      <c r="F602" s="263" t="s">
        <v>15</v>
      </c>
      <c r="G602" s="264" t="s">
        <v>2</v>
      </c>
      <c r="H602" s="281"/>
      <c r="I602" s="265"/>
      <c r="J602" s="266" t="s">
        <v>99</v>
      </c>
      <c r="K602" s="262"/>
      <c r="L602" s="262"/>
      <c r="M602" s="262">
        <v>18282</v>
      </c>
      <c r="N602" s="262" t="s">
        <v>22</v>
      </c>
      <c r="O602" s="262" t="s">
        <v>35</v>
      </c>
      <c r="P602" s="262"/>
      <c r="Q602" s="262" t="s">
        <v>18</v>
      </c>
      <c r="R602" s="262" t="s">
        <v>19</v>
      </c>
      <c r="S602" s="267" t="s">
        <v>19</v>
      </c>
      <c r="T602" s="268"/>
      <c r="U602" s="269"/>
      <c r="V602" s="269">
        <v>0</v>
      </c>
      <c r="W602" s="278">
        <v>0</v>
      </c>
      <c r="X602" s="270"/>
      <c r="Y602" s="262" t="s">
        <v>25</v>
      </c>
      <c r="Z602" s="271" t="s">
        <v>25</v>
      </c>
      <c r="AA602" s="287"/>
      <c r="AB602" s="287"/>
      <c r="AC602" s="272">
        <f t="shared" si="21"/>
        <v>10000000</v>
      </c>
      <c r="AD602" s="272">
        <v>10000000</v>
      </c>
      <c r="AE602" s="272">
        <f t="shared" si="22"/>
        <v>0</v>
      </c>
      <c r="AF602" s="273"/>
      <c r="AG602" s="274"/>
      <c r="AH602" s="273"/>
      <c r="AI602" s="273"/>
      <c r="AJ602" s="274"/>
      <c r="AK602" s="273"/>
      <c r="AL602" s="275"/>
      <c r="AM602" s="290"/>
      <c r="AN602" s="275"/>
      <c r="AO602" s="276"/>
      <c r="AP602" s="275"/>
      <c r="AQ602" s="291">
        <v>10000000</v>
      </c>
      <c r="AR602" s="275"/>
      <c r="AS602" s="275"/>
      <c r="AT602" s="275"/>
      <c r="AU602" s="275"/>
      <c r="AV602" s="275"/>
      <c r="AW602" s="275"/>
      <c r="AX602" s="275"/>
      <c r="AY602" s="275"/>
      <c r="AZ602" s="275"/>
      <c r="BA602" s="275"/>
      <c r="BB602" s="275"/>
      <c r="BC602" s="275"/>
      <c r="BD602" s="275"/>
      <c r="BE602" s="275"/>
      <c r="BF602" s="275"/>
      <c r="BH602" s="277"/>
    </row>
    <row r="603" spans="1:60" ht="16.5" hidden="1" customHeight="1" x14ac:dyDescent="0.3">
      <c r="A603" s="260">
        <v>581</v>
      </c>
      <c r="B603" s="261"/>
      <c r="C603" s="261"/>
      <c r="D603" s="262" t="s">
        <v>15</v>
      </c>
      <c r="E603" s="262" t="s">
        <v>2</v>
      </c>
      <c r="F603" s="263" t="s">
        <v>15</v>
      </c>
      <c r="G603" s="264" t="s">
        <v>2</v>
      </c>
      <c r="H603" s="281"/>
      <c r="I603" s="265"/>
      <c r="J603" s="266" t="s">
        <v>99</v>
      </c>
      <c r="K603" s="262"/>
      <c r="L603" s="262"/>
      <c r="M603" s="262">
        <v>18282</v>
      </c>
      <c r="N603" s="262" t="s">
        <v>22</v>
      </c>
      <c r="O603" s="262" t="s">
        <v>56</v>
      </c>
      <c r="P603" s="262"/>
      <c r="Q603" s="262" t="s">
        <v>30</v>
      </c>
      <c r="R603" s="262" t="s">
        <v>31</v>
      </c>
      <c r="S603" s="267" t="s">
        <v>31</v>
      </c>
      <c r="T603" s="268"/>
      <c r="U603" s="269">
        <v>16000000</v>
      </c>
      <c r="V603" s="269">
        <v>20800000</v>
      </c>
      <c r="W603" s="278">
        <v>15593000</v>
      </c>
      <c r="X603" s="270"/>
      <c r="Y603" s="262" t="s">
        <v>27</v>
      </c>
      <c r="Z603" s="271" t="s">
        <v>27</v>
      </c>
      <c r="AA603" s="287"/>
      <c r="AB603" s="287"/>
      <c r="AC603" s="272">
        <f t="shared" si="21"/>
        <v>16040000</v>
      </c>
      <c r="AD603" s="272">
        <v>16040000</v>
      </c>
      <c r="AE603" s="272">
        <f t="shared" si="22"/>
        <v>0</v>
      </c>
      <c r="AF603" s="273"/>
      <c r="AG603" s="274"/>
      <c r="AH603" s="273"/>
      <c r="AI603" s="273"/>
      <c r="AJ603" s="274">
        <v>1040000</v>
      </c>
      <c r="AK603" s="273"/>
      <c r="AL603" s="275"/>
      <c r="AM603" s="290"/>
      <c r="AN603" s="275"/>
      <c r="AO603" s="276"/>
      <c r="AP603" s="275"/>
      <c r="AQ603" s="275"/>
      <c r="AR603" s="275"/>
      <c r="AS603" s="275"/>
      <c r="AT603" s="275"/>
      <c r="AU603" s="275"/>
      <c r="AV603" s="275"/>
      <c r="AW603" s="275"/>
      <c r="AX603" s="275"/>
      <c r="AY603" s="275"/>
      <c r="AZ603" s="275"/>
      <c r="BA603" s="275">
        <v>15000000</v>
      </c>
      <c r="BB603" s="275"/>
      <c r="BC603" s="275"/>
      <c r="BD603" s="275"/>
      <c r="BE603" s="275"/>
      <c r="BF603" s="275"/>
      <c r="BH603" s="277"/>
    </row>
    <row r="604" spans="1:60" ht="16.5" hidden="1" customHeight="1" x14ac:dyDescent="0.3">
      <c r="A604" s="260">
        <v>582</v>
      </c>
      <c r="B604" s="261"/>
      <c r="C604" s="261"/>
      <c r="D604" s="262" t="s">
        <v>15</v>
      </c>
      <c r="E604" s="262" t="s">
        <v>2</v>
      </c>
      <c r="F604" s="263" t="s">
        <v>15</v>
      </c>
      <c r="G604" s="264" t="s">
        <v>2</v>
      </c>
      <c r="H604" s="281"/>
      <c r="I604" s="265"/>
      <c r="J604" s="266" t="s">
        <v>99</v>
      </c>
      <c r="K604" s="262"/>
      <c r="L604" s="262"/>
      <c r="M604" s="262">
        <v>18282</v>
      </c>
      <c r="N604" s="262" t="s">
        <v>22</v>
      </c>
      <c r="O604" s="262" t="s">
        <v>56</v>
      </c>
      <c r="P604" s="262"/>
      <c r="Q604" s="262" t="s">
        <v>26</v>
      </c>
      <c r="R604" s="262" t="s">
        <v>468</v>
      </c>
      <c r="S604" s="267" t="s">
        <v>468</v>
      </c>
      <c r="T604" s="268"/>
      <c r="U604" s="269">
        <v>17708000</v>
      </c>
      <c r="V604" s="269">
        <v>0</v>
      </c>
      <c r="W604" s="278">
        <v>10000000</v>
      </c>
      <c r="X604" s="270"/>
      <c r="Y604" s="262" t="s">
        <v>27</v>
      </c>
      <c r="Z604" s="271" t="s">
        <v>24</v>
      </c>
      <c r="AA604" s="287"/>
      <c r="AB604" s="287"/>
      <c r="AC604" s="272">
        <f t="shared" si="21"/>
        <v>20000000</v>
      </c>
      <c r="AD604" s="272">
        <v>20000000</v>
      </c>
      <c r="AE604" s="272">
        <f t="shared" si="22"/>
        <v>0</v>
      </c>
      <c r="AF604" s="273"/>
      <c r="AG604" s="274"/>
      <c r="AH604" s="273"/>
      <c r="AI604" s="273"/>
      <c r="AJ604" s="274"/>
      <c r="AK604" s="273"/>
      <c r="AL604" s="275"/>
      <c r="AM604" s="290"/>
      <c r="AN604" s="275"/>
      <c r="AO604" s="276"/>
      <c r="AP604" s="275"/>
      <c r="AQ604" s="291">
        <v>10000000</v>
      </c>
      <c r="AR604" s="275"/>
      <c r="AS604" s="275"/>
      <c r="AT604" s="275"/>
      <c r="AU604" s="275"/>
      <c r="AV604" s="275"/>
      <c r="AW604" s="275">
        <v>10000000</v>
      </c>
      <c r="AX604" s="275"/>
      <c r="AY604" s="275"/>
      <c r="AZ604" s="275"/>
      <c r="BA604" s="275"/>
      <c r="BB604" s="275"/>
      <c r="BC604" s="275"/>
      <c r="BD604" s="275"/>
      <c r="BE604" s="275"/>
      <c r="BF604" s="275"/>
      <c r="BH604" s="277"/>
    </row>
    <row r="605" spans="1:60" ht="16.5" hidden="1" customHeight="1" x14ac:dyDescent="0.3">
      <c r="A605" s="260">
        <v>583</v>
      </c>
      <c r="B605" s="261"/>
      <c r="C605" s="261"/>
      <c r="D605" s="262"/>
      <c r="E605" s="262"/>
      <c r="F605" s="263" t="s">
        <v>15</v>
      </c>
      <c r="G605" s="264" t="s">
        <v>2</v>
      </c>
      <c r="H605" s="281"/>
      <c r="I605" s="265"/>
      <c r="J605" s="266" t="s">
        <v>99</v>
      </c>
      <c r="K605" s="262"/>
      <c r="L605" s="262"/>
      <c r="M605" s="262">
        <v>18282</v>
      </c>
      <c r="N605" s="262"/>
      <c r="O605" s="262" t="s">
        <v>35</v>
      </c>
      <c r="P605" s="262"/>
      <c r="Q605" s="262"/>
      <c r="R605" s="262"/>
      <c r="S605" s="267" t="s">
        <v>823</v>
      </c>
      <c r="T605" s="268"/>
      <c r="U605" s="269"/>
      <c r="V605" s="269"/>
      <c r="W605" s="278">
        <v>0</v>
      </c>
      <c r="X605" s="270"/>
      <c r="Y605" s="262"/>
      <c r="Z605" s="271" t="s">
        <v>25</v>
      </c>
      <c r="AA605" s="287"/>
      <c r="AB605" s="287"/>
      <c r="AC605" s="272">
        <f t="shared" si="21"/>
        <v>10000000</v>
      </c>
      <c r="AD605" s="272">
        <v>10000000</v>
      </c>
      <c r="AE605" s="272">
        <f t="shared" si="22"/>
        <v>0</v>
      </c>
      <c r="AF605" s="273"/>
      <c r="AG605" s="274"/>
      <c r="AH605" s="273"/>
      <c r="AI605" s="273"/>
      <c r="AJ605" s="274"/>
      <c r="AK605" s="273"/>
      <c r="AL605" s="275"/>
      <c r="AM605" s="290"/>
      <c r="AN605" s="275"/>
      <c r="AO605" s="276"/>
      <c r="AP605" s="275"/>
      <c r="AQ605" s="291">
        <v>10000000</v>
      </c>
      <c r="AR605" s="275"/>
      <c r="AS605" s="275"/>
      <c r="AT605" s="275"/>
      <c r="AU605" s="275"/>
      <c r="AV605" s="275"/>
      <c r="AW605" s="275"/>
      <c r="AX605" s="275"/>
      <c r="AY605" s="275"/>
      <c r="AZ605" s="275"/>
      <c r="BA605" s="275"/>
      <c r="BB605" s="275"/>
      <c r="BC605" s="275"/>
      <c r="BD605" s="275"/>
      <c r="BE605" s="275"/>
      <c r="BF605" s="275"/>
      <c r="BH605" s="277"/>
    </row>
    <row r="606" spans="1:60" ht="16.5" hidden="1" customHeight="1" x14ac:dyDescent="0.3">
      <c r="A606" s="260">
        <v>584</v>
      </c>
      <c r="B606" s="261"/>
      <c r="C606" s="261"/>
      <c r="D606" s="262" t="s">
        <v>15</v>
      </c>
      <c r="E606" s="262" t="s">
        <v>2</v>
      </c>
      <c r="F606" s="263" t="s">
        <v>15</v>
      </c>
      <c r="G606" s="264" t="s">
        <v>2</v>
      </c>
      <c r="H606" s="281"/>
      <c r="I606" s="265"/>
      <c r="J606" s="266" t="s">
        <v>572</v>
      </c>
      <c r="K606" s="262"/>
      <c r="L606" s="262"/>
      <c r="M606" s="262">
        <v>60816</v>
      </c>
      <c r="N606" s="262" t="s">
        <v>22</v>
      </c>
      <c r="O606" s="262" t="s">
        <v>56</v>
      </c>
      <c r="P606" s="262"/>
      <c r="Q606" s="262"/>
      <c r="R606" s="262" t="s">
        <v>31</v>
      </c>
      <c r="S606" s="267" t="s">
        <v>31</v>
      </c>
      <c r="T606" s="268"/>
      <c r="U606" s="269"/>
      <c r="V606" s="269"/>
      <c r="W606" s="278">
        <v>1950000</v>
      </c>
      <c r="X606" s="270"/>
      <c r="Y606" s="262" t="s">
        <v>27</v>
      </c>
      <c r="Z606" s="271" t="s">
        <v>27</v>
      </c>
      <c r="AA606" s="287"/>
      <c r="AB606" s="287"/>
      <c r="AC606" s="272">
        <f t="shared" si="21"/>
        <v>395000</v>
      </c>
      <c r="AD606" s="272">
        <v>395000</v>
      </c>
      <c r="AE606" s="272">
        <f t="shared" si="22"/>
        <v>0</v>
      </c>
      <c r="AF606" s="273"/>
      <c r="AG606" s="274"/>
      <c r="AH606" s="273"/>
      <c r="AI606" s="273"/>
      <c r="AJ606" s="274">
        <v>395000</v>
      </c>
      <c r="AK606" s="273"/>
      <c r="AL606" s="275"/>
      <c r="AM606" s="290"/>
      <c r="AN606" s="275"/>
      <c r="AO606" s="276"/>
      <c r="AP606" s="275"/>
      <c r="AQ606" s="275"/>
      <c r="AR606" s="275"/>
      <c r="AS606" s="275"/>
      <c r="AT606" s="275"/>
      <c r="AU606" s="275"/>
      <c r="AV606" s="275"/>
      <c r="AW606" s="275"/>
      <c r="AX606" s="275"/>
      <c r="AY606" s="275"/>
      <c r="AZ606" s="275"/>
      <c r="BA606" s="275"/>
      <c r="BB606" s="275"/>
      <c r="BC606" s="275"/>
      <c r="BD606" s="275"/>
      <c r="BE606" s="275"/>
      <c r="BF606" s="275"/>
      <c r="BH606" s="277"/>
    </row>
    <row r="607" spans="1:60" ht="16.5" hidden="1" customHeight="1" x14ac:dyDescent="0.3">
      <c r="A607" s="260">
        <v>585</v>
      </c>
      <c r="B607" s="261"/>
      <c r="C607" s="261"/>
      <c r="D607" s="262" t="s">
        <v>15</v>
      </c>
      <c r="E607" s="262" t="s">
        <v>2</v>
      </c>
      <c r="F607" s="263" t="s">
        <v>15</v>
      </c>
      <c r="G607" s="264" t="s">
        <v>2</v>
      </c>
      <c r="H607" s="281"/>
      <c r="I607" s="265"/>
      <c r="J607" s="266" t="s">
        <v>572</v>
      </c>
      <c r="K607" s="262"/>
      <c r="L607" s="262"/>
      <c r="M607" s="262">
        <v>60816</v>
      </c>
      <c r="N607" s="262" t="s">
        <v>22</v>
      </c>
      <c r="O607" s="262" t="s">
        <v>56</v>
      </c>
      <c r="P607" s="262"/>
      <c r="Q607" s="262" t="s">
        <v>30</v>
      </c>
      <c r="R607" s="262" t="s">
        <v>31</v>
      </c>
      <c r="S607" s="267" t="s">
        <v>31</v>
      </c>
      <c r="T607" s="268"/>
      <c r="U607" s="269"/>
      <c r="V607" s="269">
        <v>1920000</v>
      </c>
      <c r="W607" s="278">
        <v>0</v>
      </c>
      <c r="X607" s="270"/>
      <c r="Y607" s="262" t="s">
        <v>24</v>
      </c>
      <c r="Z607" s="271" t="s">
        <v>562</v>
      </c>
      <c r="AA607" s="287"/>
      <c r="AB607" s="287"/>
      <c r="AC607" s="272">
        <f t="shared" si="21"/>
        <v>0</v>
      </c>
      <c r="AD607" s="272">
        <v>0</v>
      </c>
      <c r="AE607" s="272">
        <f t="shared" si="22"/>
        <v>0</v>
      </c>
      <c r="AF607" s="273"/>
      <c r="AG607" s="274"/>
      <c r="AH607" s="273"/>
      <c r="AI607" s="273"/>
      <c r="AJ607" s="274"/>
      <c r="AK607" s="273"/>
      <c r="AL607" s="275"/>
      <c r="AM607" s="290"/>
      <c r="AN607" s="275"/>
      <c r="AO607" s="276"/>
      <c r="AP607" s="275"/>
      <c r="AQ607" s="275"/>
      <c r="AR607" s="275"/>
      <c r="AS607" s="275"/>
      <c r="AT607" s="275"/>
      <c r="AU607" s="275"/>
      <c r="AV607" s="275"/>
      <c r="AW607" s="275"/>
      <c r="AX607" s="275"/>
      <c r="AY607" s="275"/>
      <c r="AZ607" s="275"/>
      <c r="BA607" s="275"/>
      <c r="BB607" s="275"/>
      <c r="BC607" s="275"/>
      <c r="BD607" s="275"/>
      <c r="BE607" s="275"/>
      <c r="BF607" s="275"/>
      <c r="BH607" s="277"/>
    </row>
    <row r="608" spans="1:60" ht="16.5" hidden="1" customHeight="1" x14ac:dyDescent="0.3">
      <c r="A608" s="260">
        <v>586</v>
      </c>
      <c r="B608" s="261"/>
      <c r="C608" s="261"/>
      <c r="D608" s="262" t="s">
        <v>15</v>
      </c>
      <c r="E608" s="262" t="s">
        <v>2</v>
      </c>
      <c r="F608" s="263" t="s">
        <v>15</v>
      </c>
      <c r="G608" s="264" t="s">
        <v>2</v>
      </c>
      <c r="H608" s="281"/>
      <c r="I608" s="265"/>
      <c r="J608" s="266" t="s">
        <v>100</v>
      </c>
      <c r="K608" s="262"/>
      <c r="L608" s="262"/>
      <c r="M608" s="262">
        <v>42149</v>
      </c>
      <c r="N608" s="262" t="s">
        <v>17</v>
      </c>
      <c r="O608" s="262" t="s">
        <v>56</v>
      </c>
      <c r="P608" s="262"/>
      <c r="Q608" s="262" t="s">
        <v>63</v>
      </c>
      <c r="R608" s="262" t="s">
        <v>28</v>
      </c>
      <c r="S608" s="267" t="s">
        <v>28</v>
      </c>
      <c r="T608" s="268" t="s">
        <v>951</v>
      </c>
      <c r="U608" s="269">
        <v>24977500</v>
      </c>
      <c r="V608" s="269">
        <v>29283600</v>
      </c>
      <c r="W608" s="278">
        <v>28706800</v>
      </c>
      <c r="X608" s="270"/>
      <c r="Y608" s="262" t="s">
        <v>27</v>
      </c>
      <c r="Z608" s="271" t="s">
        <v>27</v>
      </c>
      <c r="AA608" s="287"/>
      <c r="AB608" s="287"/>
      <c r="AC608" s="272">
        <f t="shared" si="21"/>
        <v>23922000</v>
      </c>
      <c r="AD608" s="272">
        <v>23922000</v>
      </c>
      <c r="AE608" s="272">
        <f t="shared" si="22"/>
        <v>0</v>
      </c>
      <c r="AF608" s="273">
        <v>2000000</v>
      </c>
      <c r="AG608" s="274"/>
      <c r="AH608" s="273"/>
      <c r="AI608" s="273">
        <v>2000000</v>
      </c>
      <c r="AJ608" s="274">
        <v>3915000</v>
      </c>
      <c r="AK608" s="273"/>
      <c r="AL608" s="275">
        <v>2000000</v>
      </c>
      <c r="AM608" s="290">
        <v>1207000</v>
      </c>
      <c r="AN608" s="275"/>
      <c r="AO608" s="276">
        <v>2200000</v>
      </c>
      <c r="AP608" s="275"/>
      <c r="AQ608" s="275">
        <v>2200000</v>
      </c>
      <c r="AR608" s="275"/>
      <c r="AS608" s="275">
        <v>2200000</v>
      </c>
      <c r="AT608" s="275"/>
      <c r="AU608" s="275">
        <v>2200000</v>
      </c>
      <c r="AV608" s="275"/>
      <c r="AW608" s="275">
        <v>2000000</v>
      </c>
      <c r="AX608" s="275"/>
      <c r="AY608" s="275">
        <v>2000000</v>
      </c>
      <c r="AZ608" s="275"/>
      <c r="BA608" s="275">
        <v>2000000</v>
      </c>
      <c r="BB608" s="275"/>
      <c r="BC608" s="275">
        <v>2000000</v>
      </c>
      <c r="BD608" s="275"/>
      <c r="BE608" s="275">
        <v>2000000</v>
      </c>
      <c r="BF608" s="275"/>
      <c r="BH608" s="277"/>
    </row>
    <row r="609" spans="1:60" ht="16.5" hidden="1" customHeight="1" x14ac:dyDescent="0.3">
      <c r="A609" s="260">
        <v>587</v>
      </c>
      <c r="B609" s="261"/>
      <c r="C609" s="261"/>
      <c r="D609" s="262" t="s">
        <v>15</v>
      </c>
      <c r="E609" s="262" t="s">
        <v>2</v>
      </c>
      <c r="F609" s="263" t="s">
        <v>15</v>
      </c>
      <c r="G609" s="264" t="s">
        <v>2</v>
      </c>
      <c r="H609" s="281"/>
      <c r="I609" s="265"/>
      <c r="J609" s="266" t="s">
        <v>100</v>
      </c>
      <c r="K609" s="262"/>
      <c r="L609" s="262"/>
      <c r="M609" s="262">
        <v>42149</v>
      </c>
      <c r="N609" s="262" t="s">
        <v>17</v>
      </c>
      <c r="O609" s="262" t="s">
        <v>56</v>
      </c>
      <c r="P609" s="262"/>
      <c r="Q609" s="262" t="s">
        <v>30</v>
      </c>
      <c r="R609" s="262" t="s">
        <v>31</v>
      </c>
      <c r="S609" s="267" t="s">
        <v>31</v>
      </c>
      <c r="T609" s="268"/>
      <c r="U609" s="269">
        <v>7245000</v>
      </c>
      <c r="V609" s="269">
        <v>0</v>
      </c>
      <c r="W609" s="278">
        <v>5028000</v>
      </c>
      <c r="X609" s="270"/>
      <c r="Y609" s="262" t="s">
        <v>27</v>
      </c>
      <c r="Z609" s="271" t="s">
        <v>27</v>
      </c>
      <c r="AA609" s="287"/>
      <c r="AB609" s="287"/>
      <c r="AC609" s="272">
        <f t="shared" si="21"/>
        <v>7000000</v>
      </c>
      <c r="AD609" s="272">
        <v>7000000</v>
      </c>
      <c r="AE609" s="272">
        <f t="shared" si="22"/>
        <v>0</v>
      </c>
      <c r="AF609" s="273"/>
      <c r="AG609" s="274"/>
      <c r="AH609" s="273"/>
      <c r="AI609" s="273"/>
      <c r="AJ609" s="274"/>
      <c r="AK609" s="273"/>
      <c r="AL609" s="275"/>
      <c r="AM609" s="290"/>
      <c r="AN609" s="275"/>
      <c r="AO609" s="276"/>
      <c r="AP609" s="275"/>
      <c r="AQ609" s="275"/>
      <c r="AR609" s="275"/>
      <c r="AS609" s="275"/>
      <c r="AT609" s="275"/>
      <c r="AU609" s="275"/>
      <c r="AV609" s="275"/>
      <c r="AW609" s="275"/>
      <c r="AX609" s="275"/>
      <c r="AY609" s="275"/>
      <c r="AZ609" s="275"/>
      <c r="BA609" s="275">
        <v>7000000</v>
      </c>
      <c r="BB609" s="275"/>
      <c r="BC609" s="275"/>
      <c r="BD609" s="275"/>
      <c r="BE609" s="275"/>
      <c r="BF609" s="275"/>
      <c r="BH609" s="277"/>
    </row>
    <row r="610" spans="1:60" ht="16.5" hidden="1" customHeight="1" x14ac:dyDescent="0.3">
      <c r="A610" s="260">
        <v>588</v>
      </c>
      <c r="B610" s="261"/>
      <c r="C610" s="261"/>
      <c r="D610" s="262" t="s">
        <v>15</v>
      </c>
      <c r="E610" s="262" t="s">
        <v>2</v>
      </c>
      <c r="F610" s="263" t="s">
        <v>15</v>
      </c>
      <c r="G610" s="264" t="s">
        <v>2</v>
      </c>
      <c r="H610" s="281"/>
      <c r="I610" s="265"/>
      <c r="J610" s="266" t="s">
        <v>101</v>
      </c>
      <c r="K610" s="262"/>
      <c r="L610" s="262"/>
      <c r="M610" s="262">
        <v>60464</v>
      </c>
      <c r="N610" s="262" t="s">
        <v>22</v>
      </c>
      <c r="O610" s="262" t="s">
        <v>56</v>
      </c>
      <c r="P610" s="262"/>
      <c r="Q610" s="262" t="s">
        <v>62</v>
      </c>
      <c r="R610" s="262" t="s">
        <v>678</v>
      </c>
      <c r="S610" s="267" t="s">
        <v>832</v>
      </c>
      <c r="T610" s="268"/>
      <c r="U610" s="269"/>
      <c r="V610" s="269">
        <v>3640000</v>
      </c>
      <c r="W610" s="278">
        <v>0</v>
      </c>
      <c r="X610" s="270"/>
      <c r="Y610" s="262" t="s">
        <v>20</v>
      </c>
      <c r="Z610" s="271" t="s">
        <v>20</v>
      </c>
      <c r="AA610" s="287"/>
      <c r="AB610" s="287"/>
      <c r="AC610" s="272">
        <f t="shared" si="21"/>
        <v>0</v>
      </c>
      <c r="AD610" s="272">
        <v>0</v>
      </c>
      <c r="AE610" s="272">
        <f t="shared" si="22"/>
        <v>0</v>
      </c>
      <c r="AF610" s="273"/>
      <c r="AG610" s="274"/>
      <c r="AH610" s="273"/>
      <c r="AI610" s="273"/>
      <c r="AJ610" s="274"/>
      <c r="AK610" s="273"/>
      <c r="AL610" s="275"/>
      <c r="AM610" s="290"/>
      <c r="AN610" s="275"/>
      <c r="AO610" s="276"/>
      <c r="AP610" s="275"/>
      <c r="AQ610" s="275"/>
      <c r="AR610" s="275"/>
      <c r="AS610" s="275"/>
      <c r="AT610" s="275"/>
      <c r="AU610" s="275"/>
      <c r="AV610" s="275"/>
      <c r="AW610" s="275"/>
      <c r="AX610" s="275"/>
      <c r="AY610" s="275"/>
      <c r="AZ610" s="275"/>
      <c r="BA610" s="275"/>
      <c r="BB610" s="275"/>
      <c r="BC610" s="275"/>
      <c r="BD610" s="275"/>
      <c r="BE610" s="275"/>
      <c r="BF610" s="275"/>
      <c r="BH610" s="277"/>
    </row>
    <row r="611" spans="1:60" ht="16.5" hidden="1" customHeight="1" x14ac:dyDescent="0.3">
      <c r="A611" s="260">
        <v>589</v>
      </c>
      <c r="B611" s="261"/>
      <c r="C611" s="261"/>
      <c r="D611" s="262" t="s">
        <v>331</v>
      </c>
      <c r="E611" s="262" t="s">
        <v>1</v>
      </c>
      <c r="F611" s="263" t="s">
        <v>15</v>
      </c>
      <c r="G611" s="264" t="s">
        <v>2</v>
      </c>
      <c r="H611" s="281"/>
      <c r="I611" s="265"/>
      <c r="J611" s="266" t="s">
        <v>796</v>
      </c>
      <c r="K611" s="262"/>
      <c r="L611" s="262"/>
      <c r="M611" s="262">
        <v>3722</v>
      </c>
      <c r="N611" s="262" t="s">
        <v>22</v>
      </c>
      <c r="O611" s="262" t="s">
        <v>35</v>
      </c>
      <c r="P611" s="262"/>
      <c r="Q611" s="262" t="s">
        <v>26</v>
      </c>
      <c r="R611" s="262" t="s">
        <v>468</v>
      </c>
      <c r="S611" s="267" t="s">
        <v>468</v>
      </c>
      <c r="T611" s="268"/>
      <c r="U611" s="269"/>
      <c r="V611" s="269">
        <v>0</v>
      </c>
      <c r="W611" s="278">
        <v>0</v>
      </c>
      <c r="X611" s="270"/>
      <c r="Y611" s="262" t="s">
        <v>24</v>
      </c>
      <c r="Z611" s="271" t="s">
        <v>24</v>
      </c>
      <c r="AA611" s="287"/>
      <c r="AB611" s="287"/>
      <c r="AC611" s="272">
        <f t="shared" si="21"/>
        <v>10000000</v>
      </c>
      <c r="AD611" s="272">
        <v>10000000</v>
      </c>
      <c r="AE611" s="272">
        <f t="shared" si="22"/>
        <v>0</v>
      </c>
      <c r="AF611" s="273"/>
      <c r="AG611" s="274"/>
      <c r="AH611" s="273"/>
      <c r="AI611" s="273"/>
      <c r="AJ611" s="274"/>
      <c r="AK611" s="273"/>
      <c r="AL611" s="275"/>
      <c r="AM611" s="290"/>
      <c r="AN611" s="275"/>
      <c r="AO611" s="276"/>
      <c r="AP611" s="275"/>
      <c r="AQ611" s="275"/>
      <c r="AR611" s="275"/>
      <c r="AS611" s="275"/>
      <c r="AT611" s="275"/>
      <c r="AU611" s="275"/>
      <c r="AV611" s="275"/>
      <c r="AW611" s="275"/>
      <c r="AX611" s="275"/>
      <c r="AY611" s="275"/>
      <c r="AZ611" s="275"/>
      <c r="BA611" s="275"/>
      <c r="BB611" s="275"/>
      <c r="BC611" s="275"/>
      <c r="BD611" s="275"/>
      <c r="BE611" s="275">
        <v>10000000</v>
      </c>
      <c r="BF611" s="275"/>
      <c r="BH611" s="277"/>
    </row>
    <row r="612" spans="1:60" ht="16.5" hidden="1" customHeight="1" x14ac:dyDescent="0.3">
      <c r="A612" s="260">
        <v>590</v>
      </c>
      <c r="B612" s="261"/>
      <c r="C612" s="261"/>
      <c r="D612" s="262" t="s">
        <v>331</v>
      </c>
      <c r="E612" s="262" t="s">
        <v>1</v>
      </c>
      <c r="F612" s="263" t="s">
        <v>15</v>
      </c>
      <c r="G612" s="264" t="s">
        <v>2</v>
      </c>
      <c r="H612" s="281"/>
      <c r="I612" s="265"/>
      <c r="J612" s="266" t="s">
        <v>796</v>
      </c>
      <c r="K612" s="262"/>
      <c r="L612" s="262"/>
      <c r="M612" s="262">
        <v>3722</v>
      </c>
      <c r="N612" s="262" t="s">
        <v>22</v>
      </c>
      <c r="O612" s="262" t="s">
        <v>35</v>
      </c>
      <c r="P612" s="262"/>
      <c r="Q612" s="262"/>
      <c r="R612" s="262" t="s">
        <v>397</v>
      </c>
      <c r="S612" s="267" t="s">
        <v>823</v>
      </c>
      <c r="T612" s="268"/>
      <c r="U612" s="269">
        <v>0</v>
      </c>
      <c r="V612" s="269">
        <v>0</v>
      </c>
      <c r="W612" s="278">
        <v>0</v>
      </c>
      <c r="X612" s="270"/>
      <c r="Y612" s="262" t="s">
        <v>25</v>
      </c>
      <c r="Z612" s="271" t="s">
        <v>25</v>
      </c>
      <c r="AA612" s="287"/>
      <c r="AB612" s="287"/>
      <c r="AC612" s="272">
        <f t="shared" si="21"/>
        <v>10000000</v>
      </c>
      <c r="AD612" s="272">
        <v>10000000</v>
      </c>
      <c r="AE612" s="272">
        <f t="shared" si="22"/>
        <v>0</v>
      </c>
      <c r="AF612" s="273"/>
      <c r="AG612" s="274"/>
      <c r="AH612" s="273"/>
      <c r="AI612" s="273"/>
      <c r="AJ612" s="274"/>
      <c r="AK612" s="273"/>
      <c r="AL612" s="275"/>
      <c r="AM612" s="290"/>
      <c r="AN612" s="275"/>
      <c r="AO612" s="276"/>
      <c r="AP612" s="275"/>
      <c r="AQ612" s="275"/>
      <c r="AR612" s="275"/>
      <c r="AS612" s="275"/>
      <c r="AT612" s="275"/>
      <c r="AU612" s="275"/>
      <c r="AV612" s="275"/>
      <c r="AW612" s="275"/>
      <c r="AX612" s="275"/>
      <c r="AY612" s="275"/>
      <c r="AZ612" s="275"/>
      <c r="BA612" s="275"/>
      <c r="BB612" s="275"/>
      <c r="BC612" s="275"/>
      <c r="BD612" s="275"/>
      <c r="BE612" s="275">
        <v>10000000</v>
      </c>
      <c r="BF612" s="275"/>
      <c r="BH612" s="277"/>
    </row>
    <row r="613" spans="1:60" ht="16.5" hidden="1" customHeight="1" x14ac:dyDescent="0.3">
      <c r="A613" s="260">
        <v>591</v>
      </c>
      <c r="B613" s="261"/>
      <c r="C613" s="261"/>
      <c r="D613" s="262" t="s">
        <v>15</v>
      </c>
      <c r="E613" s="262" t="s">
        <v>2</v>
      </c>
      <c r="F613" s="263" t="s">
        <v>15</v>
      </c>
      <c r="G613" s="264" t="s">
        <v>2</v>
      </c>
      <c r="H613" s="281"/>
      <c r="I613" s="265"/>
      <c r="J613" s="266" t="s">
        <v>71</v>
      </c>
      <c r="K613" s="262"/>
      <c r="L613" s="262"/>
      <c r="M613" s="262">
        <v>44028</v>
      </c>
      <c r="N613" s="262" t="s">
        <v>22</v>
      </c>
      <c r="O613" s="262" t="s">
        <v>35</v>
      </c>
      <c r="P613" s="262"/>
      <c r="Q613" s="262" t="s">
        <v>18</v>
      </c>
      <c r="R613" s="262" t="s">
        <v>19</v>
      </c>
      <c r="S613" s="267" t="s">
        <v>19</v>
      </c>
      <c r="T613" s="268"/>
      <c r="U613" s="269">
        <v>340000</v>
      </c>
      <c r="V613" s="269">
        <v>0</v>
      </c>
      <c r="W613" s="278">
        <v>0</v>
      </c>
      <c r="X613" s="270"/>
      <c r="Y613" s="262" t="s">
        <v>21</v>
      </c>
      <c r="Z613" s="271" t="s">
        <v>25</v>
      </c>
      <c r="AA613" s="287"/>
      <c r="AB613" s="287"/>
      <c r="AC613" s="272">
        <f t="shared" si="21"/>
        <v>20000000</v>
      </c>
      <c r="AD613" s="272">
        <v>20000000</v>
      </c>
      <c r="AE613" s="272">
        <f t="shared" si="22"/>
        <v>0</v>
      </c>
      <c r="AF613" s="273"/>
      <c r="AG613" s="274"/>
      <c r="AH613" s="273"/>
      <c r="AI613" s="273"/>
      <c r="AJ613" s="274"/>
      <c r="AK613" s="273"/>
      <c r="AL613" s="275"/>
      <c r="AM613" s="290"/>
      <c r="AN613" s="275"/>
      <c r="AO613" s="276"/>
      <c r="AP613" s="275"/>
      <c r="AQ613" s="275"/>
      <c r="AR613" s="275"/>
      <c r="AS613" s="275">
        <v>20000000</v>
      </c>
      <c r="AT613" s="275"/>
      <c r="AU613" s="275"/>
      <c r="AV613" s="275"/>
      <c r="AW613" s="275"/>
      <c r="AX613" s="275"/>
      <c r="AY613" s="275"/>
      <c r="AZ613" s="275"/>
      <c r="BA613" s="275"/>
      <c r="BB613" s="275"/>
      <c r="BC613" s="275"/>
      <c r="BD613" s="275"/>
      <c r="BE613" s="275"/>
      <c r="BF613" s="275"/>
      <c r="BH613" s="277"/>
    </row>
    <row r="614" spans="1:60" ht="16.5" hidden="1" customHeight="1" x14ac:dyDescent="0.3">
      <c r="A614" s="260">
        <v>592</v>
      </c>
      <c r="B614" s="261"/>
      <c r="C614" s="261"/>
      <c r="D614" s="262" t="s">
        <v>15</v>
      </c>
      <c r="E614" s="262" t="s">
        <v>2</v>
      </c>
      <c r="F614" s="263" t="s">
        <v>15</v>
      </c>
      <c r="G614" s="264" t="s">
        <v>2</v>
      </c>
      <c r="H614" s="281"/>
      <c r="I614" s="265"/>
      <c r="J614" s="266" t="s">
        <v>71</v>
      </c>
      <c r="K614" s="262"/>
      <c r="L614" s="262"/>
      <c r="M614" s="262">
        <v>8464</v>
      </c>
      <c r="N614" s="262" t="s">
        <v>22</v>
      </c>
      <c r="O614" s="262" t="s">
        <v>178</v>
      </c>
      <c r="P614" s="262"/>
      <c r="Q614" s="262" t="s">
        <v>26</v>
      </c>
      <c r="R614" s="262" t="s">
        <v>468</v>
      </c>
      <c r="S614" s="267" t="s">
        <v>468</v>
      </c>
      <c r="T614" s="268"/>
      <c r="U614" s="269"/>
      <c r="V614" s="269">
        <v>20000000</v>
      </c>
      <c r="W614" s="278">
        <v>0</v>
      </c>
      <c r="X614" s="270"/>
      <c r="Y614" s="262" t="s">
        <v>562</v>
      </c>
      <c r="Z614" s="271" t="s">
        <v>24</v>
      </c>
      <c r="AA614" s="287"/>
      <c r="AB614" s="287"/>
      <c r="AC614" s="272">
        <f t="shared" si="21"/>
        <v>50000000</v>
      </c>
      <c r="AD614" s="272">
        <v>50000000</v>
      </c>
      <c r="AE614" s="272">
        <f t="shared" si="22"/>
        <v>0</v>
      </c>
      <c r="AF614" s="273"/>
      <c r="AG614" s="274"/>
      <c r="AH614" s="273"/>
      <c r="AI614" s="273"/>
      <c r="AJ614" s="274"/>
      <c r="AK614" s="273"/>
      <c r="AL614" s="275"/>
      <c r="AM614" s="290"/>
      <c r="AN614" s="275"/>
      <c r="AO614" s="276"/>
      <c r="AP614" s="275"/>
      <c r="AQ614" s="291">
        <v>25000000</v>
      </c>
      <c r="AR614" s="275"/>
      <c r="AS614" s="275"/>
      <c r="AT614" s="275"/>
      <c r="AU614" s="275"/>
      <c r="AV614" s="275"/>
      <c r="AW614" s="275"/>
      <c r="AX614" s="275"/>
      <c r="AY614" s="275"/>
      <c r="AZ614" s="275"/>
      <c r="BA614" s="275">
        <v>25000000</v>
      </c>
      <c r="BB614" s="275"/>
      <c r="BC614" s="275"/>
      <c r="BD614" s="275"/>
      <c r="BE614" s="275"/>
      <c r="BF614" s="275"/>
      <c r="BH614" s="277"/>
    </row>
    <row r="615" spans="1:60" ht="16.5" hidden="1" customHeight="1" x14ac:dyDescent="0.3">
      <c r="A615" s="260">
        <v>593</v>
      </c>
      <c r="B615" s="261"/>
      <c r="C615" s="261"/>
      <c r="D615" s="262" t="s">
        <v>15</v>
      </c>
      <c r="E615" s="262" t="s">
        <v>2</v>
      </c>
      <c r="F615" s="263" t="s">
        <v>15</v>
      </c>
      <c r="G615" s="264" t="s">
        <v>2</v>
      </c>
      <c r="H615" s="281"/>
      <c r="I615" s="265"/>
      <c r="J615" s="266" t="s">
        <v>590</v>
      </c>
      <c r="K615" s="262"/>
      <c r="L615" s="262"/>
      <c r="M615" s="262">
        <v>52089</v>
      </c>
      <c r="N615" s="262" t="s">
        <v>17</v>
      </c>
      <c r="O615" s="262" t="s">
        <v>56</v>
      </c>
      <c r="P615" s="262" t="s">
        <v>57</v>
      </c>
      <c r="Q615" s="262" t="s">
        <v>30</v>
      </c>
      <c r="R615" s="262" t="s">
        <v>31</v>
      </c>
      <c r="S615" s="267" t="s">
        <v>31</v>
      </c>
      <c r="T615" s="268"/>
      <c r="U615" s="269">
        <v>3250000</v>
      </c>
      <c r="V615" s="269">
        <v>4210000</v>
      </c>
      <c r="W615" s="278">
        <v>5690000</v>
      </c>
      <c r="X615" s="270"/>
      <c r="Y615" s="262" t="s">
        <v>24</v>
      </c>
      <c r="Z615" s="271" t="s">
        <v>27</v>
      </c>
      <c r="AA615" s="287"/>
      <c r="AB615" s="287"/>
      <c r="AC615" s="272">
        <f t="shared" si="21"/>
        <v>5000000</v>
      </c>
      <c r="AD615" s="272">
        <v>5000000</v>
      </c>
      <c r="AE615" s="272">
        <f t="shared" si="22"/>
        <v>0</v>
      </c>
      <c r="AF615" s="273"/>
      <c r="AG615" s="274"/>
      <c r="AH615" s="273"/>
      <c r="AI615" s="273"/>
      <c r="AJ615" s="274"/>
      <c r="AK615" s="273"/>
      <c r="AL615" s="275"/>
      <c r="AM615" s="290"/>
      <c r="AN615" s="275"/>
      <c r="AO615" s="276"/>
      <c r="AP615" s="275"/>
      <c r="AQ615" s="275"/>
      <c r="AR615" s="275"/>
      <c r="AS615" s="275">
        <v>2000000</v>
      </c>
      <c r="AT615" s="275"/>
      <c r="AU615" s="275"/>
      <c r="AV615" s="275"/>
      <c r="AW615" s="275"/>
      <c r="AX615" s="275"/>
      <c r="AY615" s="275"/>
      <c r="AZ615" s="275"/>
      <c r="BA615" s="275">
        <v>3000000</v>
      </c>
      <c r="BB615" s="275"/>
      <c r="BC615" s="275"/>
      <c r="BD615" s="275"/>
      <c r="BE615" s="275"/>
      <c r="BF615" s="275"/>
      <c r="BH615" s="277"/>
    </row>
    <row r="616" spans="1:60" ht="16.5" hidden="1" customHeight="1" x14ac:dyDescent="0.3">
      <c r="A616" s="260">
        <v>594</v>
      </c>
      <c r="B616" s="261"/>
      <c r="C616" s="261"/>
      <c r="D616" s="262" t="s">
        <v>15</v>
      </c>
      <c r="E616" s="262" t="s">
        <v>2</v>
      </c>
      <c r="F616" s="263" t="s">
        <v>15</v>
      </c>
      <c r="G616" s="264" t="s">
        <v>2</v>
      </c>
      <c r="H616" s="281"/>
      <c r="I616" s="265"/>
      <c r="J616" s="266" t="s">
        <v>592</v>
      </c>
      <c r="K616" s="262"/>
      <c r="L616" s="262"/>
      <c r="M616" s="262">
        <v>58632</v>
      </c>
      <c r="N616" s="262" t="s">
        <v>17</v>
      </c>
      <c r="O616" s="262" t="s">
        <v>178</v>
      </c>
      <c r="P616" s="262" t="s">
        <v>57</v>
      </c>
      <c r="Q616" s="262" t="s">
        <v>26</v>
      </c>
      <c r="R616" s="262" t="s">
        <v>468</v>
      </c>
      <c r="S616" s="267" t="s">
        <v>468</v>
      </c>
      <c r="T616" s="268"/>
      <c r="U616" s="269">
        <v>197000000</v>
      </c>
      <c r="V616" s="269">
        <v>233636364</v>
      </c>
      <c r="W616" s="278">
        <v>0</v>
      </c>
      <c r="X616" s="270"/>
      <c r="Y616" s="262" t="s">
        <v>24</v>
      </c>
      <c r="Z616" s="271" t="s">
        <v>24</v>
      </c>
      <c r="AA616" s="287"/>
      <c r="AB616" s="287"/>
      <c r="AC616" s="272">
        <f t="shared" si="21"/>
        <v>210000000</v>
      </c>
      <c r="AD616" s="272">
        <v>210000000</v>
      </c>
      <c r="AE616" s="272">
        <f t="shared" si="22"/>
        <v>0</v>
      </c>
      <c r="AF616" s="273"/>
      <c r="AG616" s="274"/>
      <c r="AH616" s="273"/>
      <c r="AI616" s="273"/>
      <c r="AJ616" s="274"/>
      <c r="AK616" s="273"/>
      <c r="AL616" s="275"/>
      <c r="AM616" s="290"/>
      <c r="AN616" s="275"/>
      <c r="AO616" s="276"/>
      <c r="AP616" s="275"/>
      <c r="AQ616" s="275"/>
      <c r="AR616" s="275"/>
      <c r="AS616" s="275"/>
      <c r="AT616" s="275"/>
      <c r="AU616" s="275">
        <v>70000000</v>
      </c>
      <c r="AV616" s="275"/>
      <c r="AW616" s="275"/>
      <c r="AX616" s="275"/>
      <c r="AY616" s="275"/>
      <c r="AZ616" s="275"/>
      <c r="BA616" s="275">
        <v>140000000</v>
      </c>
      <c r="BB616" s="275"/>
      <c r="BC616" s="275"/>
      <c r="BD616" s="275"/>
      <c r="BE616" s="275"/>
      <c r="BF616" s="275"/>
      <c r="BH616" s="277"/>
    </row>
    <row r="617" spans="1:60" ht="16.5" hidden="1" customHeight="1" x14ac:dyDescent="0.3">
      <c r="A617" s="260">
        <v>595</v>
      </c>
      <c r="B617" s="261"/>
      <c r="C617" s="261"/>
      <c r="D617" s="262" t="s">
        <v>15</v>
      </c>
      <c r="E617" s="262" t="s">
        <v>2</v>
      </c>
      <c r="F617" s="263" t="s">
        <v>15</v>
      </c>
      <c r="G617" s="264" t="s">
        <v>2</v>
      </c>
      <c r="H617" s="281"/>
      <c r="I617" s="265"/>
      <c r="J617" s="266" t="s">
        <v>102</v>
      </c>
      <c r="K617" s="262"/>
      <c r="L617" s="262"/>
      <c r="M617" s="262">
        <v>60486</v>
      </c>
      <c r="N617" s="262" t="s">
        <v>22</v>
      </c>
      <c r="O617" s="262" t="s">
        <v>178</v>
      </c>
      <c r="P617" s="262"/>
      <c r="Q617" s="262" t="s">
        <v>62</v>
      </c>
      <c r="R617" s="262" t="s">
        <v>678</v>
      </c>
      <c r="S617" s="267" t="s">
        <v>832</v>
      </c>
      <c r="T617" s="268"/>
      <c r="U617" s="269"/>
      <c r="V617" s="269">
        <v>3220000</v>
      </c>
      <c r="W617" s="278">
        <v>0</v>
      </c>
      <c r="X617" s="270"/>
      <c r="Y617" s="262" t="s">
        <v>20</v>
      </c>
      <c r="Z617" s="271" t="s">
        <v>20</v>
      </c>
      <c r="AA617" s="287"/>
      <c r="AB617" s="287"/>
      <c r="AC617" s="272">
        <f t="shared" si="21"/>
        <v>0</v>
      </c>
      <c r="AD617" s="272">
        <v>0</v>
      </c>
      <c r="AE617" s="272">
        <f t="shared" si="22"/>
        <v>0</v>
      </c>
      <c r="AF617" s="273"/>
      <c r="AG617" s="274"/>
      <c r="AH617" s="273"/>
      <c r="AI617" s="273"/>
      <c r="AJ617" s="274"/>
      <c r="AK617" s="273"/>
      <c r="AL617" s="275"/>
      <c r="AM617" s="290"/>
      <c r="AN617" s="275"/>
      <c r="AO617" s="276"/>
      <c r="AP617" s="275"/>
      <c r="AQ617" s="275"/>
      <c r="AR617" s="275"/>
      <c r="AS617" s="275"/>
      <c r="AT617" s="275"/>
      <c r="AU617" s="275"/>
      <c r="AV617" s="275"/>
      <c r="AW617" s="275"/>
      <c r="AX617" s="275"/>
      <c r="AY617" s="275"/>
      <c r="AZ617" s="275"/>
      <c r="BA617" s="275"/>
      <c r="BB617" s="275"/>
      <c r="BC617" s="275"/>
      <c r="BD617" s="275"/>
      <c r="BE617" s="275"/>
      <c r="BF617" s="275"/>
      <c r="BH617" s="277"/>
    </row>
    <row r="618" spans="1:60" ht="16.5" hidden="1" customHeight="1" x14ac:dyDescent="0.3">
      <c r="A618" s="260">
        <v>596</v>
      </c>
      <c r="B618" s="261"/>
      <c r="C618" s="261"/>
      <c r="D618" s="262" t="s">
        <v>15</v>
      </c>
      <c r="E618" s="262" t="s">
        <v>2</v>
      </c>
      <c r="F618" s="263" t="s">
        <v>15</v>
      </c>
      <c r="G618" s="264" t="s">
        <v>2</v>
      </c>
      <c r="H618" s="281"/>
      <c r="I618" s="265"/>
      <c r="J618" s="266" t="s">
        <v>103</v>
      </c>
      <c r="K618" s="262"/>
      <c r="L618" s="262"/>
      <c r="M618" s="262">
        <v>54521</v>
      </c>
      <c r="N618" s="262" t="s">
        <v>17</v>
      </c>
      <c r="O618" s="262" t="s">
        <v>56</v>
      </c>
      <c r="P618" s="262"/>
      <c r="Q618" s="262" t="s">
        <v>62</v>
      </c>
      <c r="R618" s="262" t="s">
        <v>678</v>
      </c>
      <c r="S618" s="267" t="s">
        <v>832</v>
      </c>
      <c r="T618" s="268"/>
      <c r="U618" s="269">
        <v>560000</v>
      </c>
      <c r="V618" s="269">
        <v>0</v>
      </c>
      <c r="W618" s="278">
        <v>0</v>
      </c>
      <c r="X618" s="270"/>
      <c r="Y618" s="262" t="s">
        <v>21</v>
      </c>
      <c r="Z618" s="271" t="s">
        <v>21</v>
      </c>
      <c r="AA618" s="287"/>
      <c r="AB618" s="287"/>
      <c r="AC618" s="272">
        <f t="shared" si="21"/>
        <v>0</v>
      </c>
      <c r="AD618" s="272">
        <v>0</v>
      </c>
      <c r="AE618" s="272">
        <f t="shared" si="22"/>
        <v>0</v>
      </c>
      <c r="AF618" s="273"/>
      <c r="AG618" s="274"/>
      <c r="AH618" s="273"/>
      <c r="AI618" s="273"/>
      <c r="AJ618" s="274"/>
      <c r="AK618" s="273"/>
      <c r="AL618" s="275"/>
      <c r="AM618" s="290"/>
      <c r="AN618" s="275"/>
      <c r="AO618" s="276"/>
      <c r="AP618" s="275"/>
      <c r="AQ618" s="275"/>
      <c r="AR618" s="275"/>
      <c r="AS618" s="275"/>
      <c r="AT618" s="275"/>
      <c r="AU618" s="275"/>
      <c r="AV618" s="275"/>
      <c r="AW618" s="275"/>
      <c r="AX618" s="275"/>
      <c r="AY618" s="275"/>
      <c r="AZ618" s="275"/>
      <c r="BA618" s="275"/>
      <c r="BB618" s="275"/>
      <c r="BC618" s="275"/>
      <c r="BD618" s="275"/>
      <c r="BE618" s="275"/>
      <c r="BF618" s="275"/>
      <c r="BH618" s="277"/>
    </row>
    <row r="619" spans="1:60" ht="16.5" hidden="1" customHeight="1" x14ac:dyDescent="0.3">
      <c r="A619" s="260">
        <v>597</v>
      </c>
      <c r="B619" s="261"/>
      <c r="C619" s="261"/>
      <c r="D619" s="262" t="s">
        <v>15</v>
      </c>
      <c r="E619" s="262" t="s">
        <v>2</v>
      </c>
      <c r="F619" s="263" t="s">
        <v>15</v>
      </c>
      <c r="G619" s="264" t="s">
        <v>2</v>
      </c>
      <c r="H619" s="281"/>
      <c r="I619" s="265"/>
      <c r="J619" s="266" t="s">
        <v>104</v>
      </c>
      <c r="K619" s="262"/>
      <c r="L619" s="262"/>
      <c r="M619" s="262">
        <v>60472</v>
      </c>
      <c r="N619" s="262" t="s">
        <v>22</v>
      </c>
      <c r="O619" s="262" t="s">
        <v>56</v>
      </c>
      <c r="P619" s="262"/>
      <c r="Q619" s="262" t="s">
        <v>62</v>
      </c>
      <c r="R619" s="262" t="s">
        <v>678</v>
      </c>
      <c r="S619" s="267" t="s">
        <v>832</v>
      </c>
      <c r="T619" s="268"/>
      <c r="U619" s="269"/>
      <c r="V619" s="269">
        <v>980000</v>
      </c>
      <c r="W619" s="278">
        <v>0</v>
      </c>
      <c r="X619" s="270"/>
      <c r="Y619" s="262" t="s">
        <v>20</v>
      </c>
      <c r="Z619" s="271" t="s">
        <v>20</v>
      </c>
      <c r="AA619" s="287"/>
      <c r="AB619" s="287"/>
      <c r="AC619" s="272">
        <f t="shared" si="21"/>
        <v>0</v>
      </c>
      <c r="AD619" s="272">
        <v>0</v>
      </c>
      <c r="AE619" s="272">
        <f t="shared" si="22"/>
        <v>0</v>
      </c>
      <c r="AF619" s="273"/>
      <c r="AG619" s="274"/>
      <c r="AH619" s="273"/>
      <c r="AI619" s="273"/>
      <c r="AJ619" s="274"/>
      <c r="AK619" s="273"/>
      <c r="AL619" s="275"/>
      <c r="AM619" s="290"/>
      <c r="AN619" s="275"/>
      <c r="AO619" s="276"/>
      <c r="AP619" s="275"/>
      <c r="AQ619" s="275"/>
      <c r="AR619" s="275"/>
      <c r="AS619" s="275"/>
      <c r="AT619" s="275"/>
      <c r="AU619" s="275"/>
      <c r="AV619" s="275"/>
      <c r="AW619" s="275"/>
      <c r="AX619" s="275"/>
      <c r="AY619" s="275"/>
      <c r="AZ619" s="275"/>
      <c r="BA619" s="275"/>
      <c r="BB619" s="275"/>
      <c r="BC619" s="275"/>
      <c r="BD619" s="275"/>
      <c r="BE619" s="275"/>
      <c r="BF619" s="275"/>
      <c r="BH619" s="277"/>
    </row>
    <row r="620" spans="1:60" ht="16.5" hidden="1" customHeight="1" x14ac:dyDescent="0.3">
      <c r="A620" s="260">
        <v>598</v>
      </c>
      <c r="B620" s="261"/>
      <c r="C620" s="261"/>
      <c r="D620" s="262" t="s">
        <v>15</v>
      </c>
      <c r="E620" s="262" t="s">
        <v>2</v>
      </c>
      <c r="F620" s="263" t="s">
        <v>15</v>
      </c>
      <c r="G620" s="264" t="s">
        <v>2</v>
      </c>
      <c r="H620" s="281"/>
      <c r="I620" s="265"/>
      <c r="J620" s="266" t="s">
        <v>648</v>
      </c>
      <c r="K620" s="262"/>
      <c r="L620" s="262"/>
      <c r="M620" s="262">
        <v>17455</v>
      </c>
      <c r="N620" s="262" t="s">
        <v>22</v>
      </c>
      <c r="O620" s="262" t="s">
        <v>56</v>
      </c>
      <c r="P620" s="262"/>
      <c r="Q620" s="262"/>
      <c r="R620" s="262" t="s">
        <v>633</v>
      </c>
      <c r="S620" s="267" t="s">
        <v>833</v>
      </c>
      <c r="T620" s="268"/>
      <c r="U620" s="269"/>
      <c r="V620" s="269">
        <v>0</v>
      </c>
      <c r="W620" s="278">
        <v>8316000</v>
      </c>
      <c r="X620" s="270"/>
      <c r="Y620" s="262" t="s">
        <v>27</v>
      </c>
      <c r="Z620" s="271" t="s">
        <v>27</v>
      </c>
      <c r="AA620" s="287"/>
      <c r="AB620" s="287"/>
      <c r="AC620" s="272">
        <f t="shared" si="21"/>
        <v>12000000</v>
      </c>
      <c r="AD620" s="272">
        <v>12000000</v>
      </c>
      <c r="AE620" s="272">
        <f t="shared" si="22"/>
        <v>0</v>
      </c>
      <c r="AF620" s="273"/>
      <c r="AG620" s="274"/>
      <c r="AH620" s="273"/>
      <c r="AI620" s="273"/>
      <c r="AJ620" s="274"/>
      <c r="AK620" s="273"/>
      <c r="AL620" s="275"/>
      <c r="AM620" s="290"/>
      <c r="AN620" s="275"/>
      <c r="AO620" s="276"/>
      <c r="AP620" s="275"/>
      <c r="AQ620" s="275">
        <v>2400000</v>
      </c>
      <c r="AR620" s="275"/>
      <c r="AS620" s="275"/>
      <c r="AT620" s="275"/>
      <c r="AU620" s="275"/>
      <c r="AV620" s="275"/>
      <c r="AW620" s="275"/>
      <c r="AX620" s="275"/>
      <c r="AY620" s="275">
        <v>9600000</v>
      </c>
      <c r="AZ620" s="275"/>
      <c r="BA620" s="275"/>
      <c r="BB620" s="275"/>
      <c r="BC620" s="275"/>
      <c r="BD620" s="275"/>
      <c r="BE620" s="275"/>
      <c r="BF620" s="275"/>
      <c r="BH620" s="277"/>
    </row>
    <row r="621" spans="1:60" ht="16.5" hidden="1" customHeight="1" x14ac:dyDescent="0.3">
      <c r="A621" s="260">
        <v>599</v>
      </c>
      <c r="B621" s="261"/>
      <c r="C621" s="261"/>
      <c r="D621" s="262" t="s">
        <v>15</v>
      </c>
      <c r="E621" s="262" t="s">
        <v>2</v>
      </c>
      <c r="F621" s="263" t="s">
        <v>15</v>
      </c>
      <c r="G621" s="264" t="s">
        <v>2</v>
      </c>
      <c r="H621" s="281"/>
      <c r="I621" s="265"/>
      <c r="J621" s="266" t="s">
        <v>648</v>
      </c>
      <c r="K621" s="262"/>
      <c r="L621" s="262"/>
      <c r="M621" s="262">
        <v>17455</v>
      </c>
      <c r="N621" s="262" t="s">
        <v>22</v>
      </c>
      <c r="O621" s="262" t="s">
        <v>56</v>
      </c>
      <c r="P621" s="262"/>
      <c r="Q621" s="262"/>
      <c r="R621" s="262" t="s">
        <v>468</v>
      </c>
      <c r="S621" s="267" t="s">
        <v>468</v>
      </c>
      <c r="T621" s="268"/>
      <c r="U621" s="269"/>
      <c r="V621" s="269"/>
      <c r="W621" s="278">
        <v>3600000</v>
      </c>
      <c r="X621" s="270"/>
      <c r="Y621" s="262" t="s">
        <v>27</v>
      </c>
      <c r="Z621" s="271" t="s">
        <v>25</v>
      </c>
      <c r="AA621" s="287"/>
      <c r="AB621" s="287"/>
      <c r="AC621" s="272">
        <f t="shared" si="21"/>
        <v>10000000</v>
      </c>
      <c r="AD621" s="272">
        <v>10000000</v>
      </c>
      <c r="AE621" s="272">
        <f t="shared" si="22"/>
        <v>0</v>
      </c>
      <c r="AF621" s="273"/>
      <c r="AG621" s="274"/>
      <c r="AH621" s="273"/>
      <c r="AI621" s="273"/>
      <c r="AJ621" s="274"/>
      <c r="AK621" s="273"/>
      <c r="AL621" s="275"/>
      <c r="AM621" s="290"/>
      <c r="AN621" s="275"/>
      <c r="AO621" s="276"/>
      <c r="AP621" s="275"/>
      <c r="AQ621" s="275"/>
      <c r="AR621" s="275"/>
      <c r="AS621" s="275">
        <v>10000000</v>
      </c>
      <c r="AT621" s="275"/>
      <c r="AU621" s="275"/>
      <c r="AV621" s="275"/>
      <c r="AW621" s="275"/>
      <c r="AX621" s="275"/>
      <c r="AY621" s="275"/>
      <c r="AZ621" s="275"/>
      <c r="BA621" s="275"/>
      <c r="BB621" s="275"/>
      <c r="BC621" s="275"/>
      <c r="BD621" s="275"/>
      <c r="BE621" s="275"/>
      <c r="BF621" s="275"/>
      <c r="BH621" s="277"/>
    </row>
    <row r="622" spans="1:60" ht="16.5" hidden="1" customHeight="1" x14ac:dyDescent="0.3">
      <c r="A622" s="260">
        <v>600</v>
      </c>
      <c r="B622" s="261"/>
      <c r="C622" s="261"/>
      <c r="D622" s="262" t="s">
        <v>15</v>
      </c>
      <c r="E622" s="262" t="s">
        <v>2</v>
      </c>
      <c r="F622" s="263" t="s">
        <v>15</v>
      </c>
      <c r="G622" s="264" t="s">
        <v>2</v>
      </c>
      <c r="H622" s="281"/>
      <c r="I622" s="265"/>
      <c r="J622" s="266" t="s">
        <v>648</v>
      </c>
      <c r="K622" s="262"/>
      <c r="L622" s="262"/>
      <c r="M622" s="262">
        <v>17455</v>
      </c>
      <c r="N622" s="262" t="s">
        <v>22</v>
      </c>
      <c r="O622" s="262" t="s">
        <v>35</v>
      </c>
      <c r="P622" s="262"/>
      <c r="Q622" s="262"/>
      <c r="R622" s="262"/>
      <c r="S622" s="267" t="s">
        <v>835</v>
      </c>
      <c r="T622" s="268"/>
      <c r="U622" s="269"/>
      <c r="V622" s="269"/>
      <c r="W622" s="278">
        <v>0</v>
      </c>
      <c r="X622" s="270"/>
      <c r="Y622" s="262"/>
      <c r="Z622" s="271" t="s">
        <v>25</v>
      </c>
      <c r="AA622" s="287"/>
      <c r="AB622" s="287"/>
      <c r="AC622" s="272">
        <f t="shared" si="21"/>
        <v>10000000</v>
      </c>
      <c r="AD622" s="272">
        <v>10000000</v>
      </c>
      <c r="AE622" s="272">
        <f t="shared" si="22"/>
        <v>0</v>
      </c>
      <c r="AF622" s="273"/>
      <c r="AG622" s="274"/>
      <c r="AH622" s="273"/>
      <c r="AI622" s="273"/>
      <c r="AJ622" s="274"/>
      <c r="AK622" s="273"/>
      <c r="AL622" s="275"/>
      <c r="AM622" s="290"/>
      <c r="AN622" s="275"/>
      <c r="AO622" s="276"/>
      <c r="AP622" s="275"/>
      <c r="AQ622" s="275">
        <v>10000000</v>
      </c>
      <c r="AR622" s="275"/>
      <c r="AS622" s="275"/>
      <c r="AT622" s="275"/>
      <c r="AU622" s="275"/>
      <c r="AV622" s="275"/>
      <c r="AW622" s="275"/>
      <c r="AX622" s="275"/>
      <c r="AY622" s="275"/>
      <c r="AZ622" s="275"/>
      <c r="BA622" s="275"/>
      <c r="BB622" s="275"/>
      <c r="BC622" s="275"/>
      <c r="BD622" s="275"/>
      <c r="BE622" s="275"/>
      <c r="BF622" s="275"/>
      <c r="BH622" s="277"/>
    </row>
    <row r="623" spans="1:60" ht="16.5" hidden="1" customHeight="1" x14ac:dyDescent="0.3">
      <c r="A623" s="260">
        <v>601</v>
      </c>
      <c r="B623" s="261"/>
      <c r="C623" s="261"/>
      <c r="D623" s="262" t="s">
        <v>15</v>
      </c>
      <c r="E623" s="262" t="s">
        <v>2</v>
      </c>
      <c r="F623" s="263" t="s">
        <v>15</v>
      </c>
      <c r="G623" s="264" t="s">
        <v>2</v>
      </c>
      <c r="H623" s="281"/>
      <c r="I623" s="265"/>
      <c r="J623" s="266" t="s">
        <v>105</v>
      </c>
      <c r="K623" s="262"/>
      <c r="L623" s="262"/>
      <c r="M623" s="262">
        <v>54522</v>
      </c>
      <c r="N623" s="262" t="s">
        <v>17</v>
      </c>
      <c r="O623" s="262" t="s">
        <v>56</v>
      </c>
      <c r="P623" s="262"/>
      <c r="Q623" s="262" t="s">
        <v>62</v>
      </c>
      <c r="R623" s="262" t="s">
        <v>678</v>
      </c>
      <c r="S623" s="267" t="s">
        <v>832</v>
      </c>
      <c r="T623" s="268"/>
      <c r="U623" s="269">
        <v>11060000</v>
      </c>
      <c r="V623" s="269">
        <v>0</v>
      </c>
      <c r="W623" s="278">
        <v>0</v>
      </c>
      <c r="X623" s="270"/>
      <c r="Y623" s="262" t="s">
        <v>21</v>
      </c>
      <c r="Z623" s="271" t="s">
        <v>21</v>
      </c>
      <c r="AA623" s="287"/>
      <c r="AB623" s="287"/>
      <c r="AC623" s="272">
        <f t="shared" si="21"/>
        <v>0</v>
      </c>
      <c r="AD623" s="272">
        <v>0</v>
      </c>
      <c r="AE623" s="272">
        <f t="shared" si="22"/>
        <v>0</v>
      </c>
      <c r="AF623" s="273"/>
      <c r="AG623" s="274"/>
      <c r="AH623" s="273"/>
      <c r="AI623" s="273"/>
      <c r="AJ623" s="274"/>
      <c r="AK623" s="273"/>
      <c r="AL623" s="275"/>
      <c r="AM623" s="290"/>
      <c r="AN623" s="275"/>
      <c r="AO623" s="276"/>
      <c r="AP623" s="275"/>
      <c r="AQ623" s="275"/>
      <c r="AR623" s="275"/>
      <c r="AS623" s="275"/>
      <c r="AT623" s="275"/>
      <c r="AU623" s="275"/>
      <c r="AV623" s="275"/>
      <c r="AW623" s="275"/>
      <c r="AX623" s="275"/>
      <c r="AY623" s="275"/>
      <c r="AZ623" s="275"/>
      <c r="BA623" s="275"/>
      <c r="BB623" s="275"/>
      <c r="BC623" s="275"/>
      <c r="BD623" s="275"/>
      <c r="BE623" s="275"/>
      <c r="BF623" s="275"/>
      <c r="BH623" s="277"/>
    </row>
    <row r="624" spans="1:60" ht="16.5" hidden="1" customHeight="1" x14ac:dyDescent="0.3">
      <c r="A624" s="260">
        <v>602</v>
      </c>
      <c r="B624" s="261"/>
      <c r="C624" s="261"/>
      <c r="D624" s="262" t="s">
        <v>15</v>
      </c>
      <c r="E624" s="262" t="s">
        <v>2</v>
      </c>
      <c r="F624" s="263" t="s">
        <v>15</v>
      </c>
      <c r="G624" s="264" t="s">
        <v>2</v>
      </c>
      <c r="H624" s="281"/>
      <c r="I624" s="265"/>
      <c r="J624" s="266" t="s">
        <v>106</v>
      </c>
      <c r="K624" s="262"/>
      <c r="L624" s="262"/>
      <c r="M624" s="262">
        <v>60474</v>
      </c>
      <c r="N624" s="262" t="s">
        <v>22</v>
      </c>
      <c r="O624" s="262" t="s">
        <v>56</v>
      </c>
      <c r="P624" s="262"/>
      <c r="Q624" s="262" t="s">
        <v>62</v>
      </c>
      <c r="R624" s="262" t="s">
        <v>678</v>
      </c>
      <c r="S624" s="267" t="s">
        <v>832</v>
      </c>
      <c r="T624" s="268"/>
      <c r="U624" s="269"/>
      <c r="V624" s="269">
        <v>8680000</v>
      </c>
      <c r="W624" s="278">
        <v>0</v>
      </c>
      <c r="X624" s="270"/>
      <c r="Y624" s="262" t="s">
        <v>20</v>
      </c>
      <c r="Z624" s="271" t="s">
        <v>20</v>
      </c>
      <c r="AA624" s="287"/>
      <c r="AB624" s="287"/>
      <c r="AC624" s="272">
        <f t="shared" si="21"/>
        <v>0</v>
      </c>
      <c r="AD624" s="272">
        <v>0</v>
      </c>
      <c r="AE624" s="272">
        <f t="shared" si="22"/>
        <v>0</v>
      </c>
      <c r="AF624" s="273"/>
      <c r="AG624" s="274"/>
      <c r="AH624" s="273"/>
      <c r="AI624" s="273"/>
      <c r="AJ624" s="274"/>
      <c r="AK624" s="273"/>
      <c r="AL624" s="275"/>
      <c r="AM624" s="290"/>
      <c r="AN624" s="275"/>
      <c r="AO624" s="276"/>
      <c r="AP624" s="275"/>
      <c r="AQ624" s="275"/>
      <c r="AR624" s="275"/>
      <c r="AS624" s="275"/>
      <c r="AT624" s="275"/>
      <c r="AU624" s="275"/>
      <c r="AV624" s="275"/>
      <c r="AW624" s="275"/>
      <c r="AX624" s="275"/>
      <c r="AY624" s="275"/>
      <c r="AZ624" s="275"/>
      <c r="BA624" s="275"/>
      <c r="BB624" s="275"/>
      <c r="BC624" s="275"/>
      <c r="BD624" s="275"/>
      <c r="BE624" s="275"/>
      <c r="BF624" s="275"/>
      <c r="BH624" s="277"/>
    </row>
    <row r="625" spans="1:60" ht="16.5" hidden="1" customHeight="1" x14ac:dyDescent="0.3">
      <c r="A625" s="260">
        <v>603</v>
      </c>
      <c r="B625" s="261"/>
      <c r="C625" s="261"/>
      <c r="D625" s="262" t="s">
        <v>15</v>
      </c>
      <c r="E625" s="262" t="s">
        <v>2</v>
      </c>
      <c r="F625" s="263" t="s">
        <v>15</v>
      </c>
      <c r="G625" s="264" t="s">
        <v>2</v>
      </c>
      <c r="H625" s="281"/>
      <c r="I625" s="265"/>
      <c r="J625" s="266" t="s">
        <v>107</v>
      </c>
      <c r="K625" s="262"/>
      <c r="L625" s="262"/>
      <c r="M625" s="262">
        <v>54477</v>
      </c>
      <c r="N625" s="262" t="s">
        <v>17</v>
      </c>
      <c r="O625" s="262" t="s">
        <v>56</v>
      </c>
      <c r="P625" s="262"/>
      <c r="Q625" s="262" t="s">
        <v>62</v>
      </c>
      <c r="R625" s="262" t="s">
        <v>678</v>
      </c>
      <c r="S625" s="267" t="s">
        <v>832</v>
      </c>
      <c r="T625" s="268"/>
      <c r="U625" s="269">
        <v>280000</v>
      </c>
      <c r="V625" s="269">
        <v>0</v>
      </c>
      <c r="W625" s="278">
        <v>0</v>
      </c>
      <c r="X625" s="270"/>
      <c r="Y625" s="262" t="s">
        <v>21</v>
      </c>
      <c r="Z625" s="271" t="s">
        <v>21</v>
      </c>
      <c r="AA625" s="287"/>
      <c r="AB625" s="287"/>
      <c r="AC625" s="272">
        <f t="shared" si="21"/>
        <v>0</v>
      </c>
      <c r="AD625" s="272">
        <v>0</v>
      </c>
      <c r="AE625" s="272">
        <f t="shared" si="22"/>
        <v>0</v>
      </c>
      <c r="AF625" s="273"/>
      <c r="AG625" s="274"/>
      <c r="AH625" s="273"/>
      <c r="AI625" s="273"/>
      <c r="AJ625" s="274"/>
      <c r="AK625" s="273"/>
      <c r="AL625" s="275"/>
      <c r="AM625" s="290"/>
      <c r="AN625" s="275"/>
      <c r="AO625" s="276"/>
      <c r="AP625" s="275"/>
      <c r="AQ625" s="275"/>
      <c r="AR625" s="275"/>
      <c r="AS625" s="275"/>
      <c r="AT625" s="275"/>
      <c r="AU625" s="275"/>
      <c r="AV625" s="275"/>
      <c r="AW625" s="275"/>
      <c r="AX625" s="275"/>
      <c r="AY625" s="275"/>
      <c r="AZ625" s="275"/>
      <c r="BA625" s="275"/>
      <c r="BB625" s="275"/>
      <c r="BC625" s="275"/>
      <c r="BD625" s="275"/>
      <c r="BE625" s="275"/>
      <c r="BF625" s="275"/>
      <c r="BH625" s="277"/>
    </row>
    <row r="626" spans="1:60" ht="16.5" hidden="1" customHeight="1" x14ac:dyDescent="0.3">
      <c r="A626" s="260">
        <v>604</v>
      </c>
      <c r="B626" s="261"/>
      <c r="C626" s="261"/>
      <c r="D626" s="262"/>
      <c r="E626" s="262"/>
      <c r="F626" s="263" t="s">
        <v>15</v>
      </c>
      <c r="G626" s="264" t="s">
        <v>2</v>
      </c>
      <c r="H626" s="281"/>
      <c r="I626" s="265"/>
      <c r="J626" s="266" t="s">
        <v>965</v>
      </c>
      <c r="K626" s="262"/>
      <c r="L626" s="262"/>
      <c r="M626" s="262">
        <v>66764</v>
      </c>
      <c r="N626" s="262"/>
      <c r="O626" s="262"/>
      <c r="P626" s="262"/>
      <c r="Q626" s="262"/>
      <c r="R626" s="262"/>
      <c r="S626" s="267" t="s">
        <v>469</v>
      </c>
      <c r="T626" s="268"/>
      <c r="U626" s="269"/>
      <c r="V626" s="269"/>
      <c r="W626" s="278">
        <v>0</v>
      </c>
      <c r="X626" s="270"/>
      <c r="Y626" s="262"/>
      <c r="Z626" s="271" t="s">
        <v>27</v>
      </c>
      <c r="AA626" s="287"/>
      <c r="AB626" s="287"/>
      <c r="AC626" s="272">
        <f t="shared" si="21"/>
        <v>5000000</v>
      </c>
      <c r="AD626" s="272">
        <v>5000000</v>
      </c>
      <c r="AE626" s="272">
        <f t="shared" si="22"/>
        <v>0</v>
      </c>
      <c r="AF626" s="273"/>
      <c r="AG626" s="274"/>
      <c r="AH626" s="273"/>
      <c r="AI626" s="273"/>
      <c r="AJ626" s="274"/>
      <c r="AK626" s="273"/>
      <c r="AL626" s="275"/>
      <c r="AM626" s="290"/>
      <c r="AN626" s="275"/>
      <c r="AO626" s="276">
        <v>5000000</v>
      </c>
      <c r="AP626" s="275"/>
      <c r="AQ626" s="275"/>
      <c r="AR626" s="275"/>
      <c r="AS626" s="275"/>
      <c r="AT626" s="275"/>
      <c r="AU626" s="275"/>
      <c r="AV626" s="275"/>
      <c r="AW626" s="275"/>
      <c r="AX626" s="275"/>
      <c r="AY626" s="275"/>
      <c r="AZ626" s="275"/>
      <c r="BA626" s="275"/>
      <c r="BB626" s="275"/>
      <c r="BC626" s="275"/>
      <c r="BD626" s="275"/>
      <c r="BE626" s="275"/>
      <c r="BF626" s="275"/>
      <c r="BH626" s="277"/>
    </row>
    <row r="627" spans="1:60" ht="16.5" hidden="1" customHeight="1" x14ac:dyDescent="0.3">
      <c r="A627" s="260">
        <v>605</v>
      </c>
      <c r="B627" s="261"/>
      <c r="C627" s="261"/>
      <c r="D627" s="262" t="s">
        <v>15</v>
      </c>
      <c r="E627" s="262" t="s">
        <v>2</v>
      </c>
      <c r="F627" s="263" t="s">
        <v>15</v>
      </c>
      <c r="G627" s="264" t="s">
        <v>2</v>
      </c>
      <c r="H627" s="281"/>
      <c r="I627" s="265"/>
      <c r="J627" s="266" t="s">
        <v>605</v>
      </c>
      <c r="K627" s="262"/>
      <c r="L627" s="262"/>
      <c r="M627" s="262">
        <v>53734</v>
      </c>
      <c r="N627" s="262" t="s">
        <v>22</v>
      </c>
      <c r="O627" s="262" t="s">
        <v>56</v>
      </c>
      <c r="P627" s="262"/>
      <c r="Q627" s="262"/>
      <c r="R627" s="262" t="s">
        <v>19</v>
      </c>
      <c r="S627" s="267" t="s">
        <v>19</v>
      </c>
      <c r="T627" s="268"/>
      <c r="U627" s="269"/>
      <c r="V627" s="269">
        <v>0</v>
      </c>
      <c r="W627" s="278">
        <v>5830000</v>
      </c>
      <c r="X627" s="270"/>
      <c r="Y627" s="262" t="s">
        <v>27</v>
      </c>
      <c r="Z627" s="271" t="s">
        <v>27</v>
      </c>
      <c r="AA627" s="287"/>
      <c r="AB627" s="287"/>
      <c r="AC627" s="272">
        <f t="shared" si="21"/>
        <v>6050000</v>
      </c>
      <c r="AD627" s="272">
        <v>6050000</v>
      </c>
      <c r="AE627" s="272">
        <f t="shared" si="22"/>
        <v>0</v>
      </c>
      <c r="AF627" s="273"/>
      <c r="AG627" s="274"/>
      <c r="AH627" s="273"/>
      <c r="AI627" s="273">
        <v>500000</v>
      </c>
      <c r="AJ627" s="274">
        <v>500000</v>
      </c>
      <c r="AK627" s="273"/>
      <c r="AL627" s="275">
        <v>500000</v>
      </c>
      <c r="AM627" s="290">
        <v>150000</v>
      </c>
      <c r="AN627" s="275"/>
      <c r="AO627" s="276">
        <v>600000</v>
      </c>
      <c r="AP627" s="275"/>
      <c r="AQ627" s="275">
        <v>600000</v>
      </c>
      <c r="AR627" s="275"/>
      <c r="AS627" s="275">
        <v>600000</v>
      </c>
      <c r="AT627" s="275"/>
      <c r="AU627" s="275">
        <v>600000</v>
      </c>
      <c r="AV627" s="275"/>
      <c r="AW627" s="275">
        <v>500000</v>
      </c>
      <c r="AX627" s="275"/>
      <c r="AY627" s="275">
        <v>500000</v>
      </c>
      <c r="AZ627" s="275"/>
      <c r="BA627" s="275">
        <v>500000</v>
      </c>
      <c r="BB627" s="275"/>
      <c r="BC627" s="275">
        <v>500000</v>
      </c>
      <c r="BD627" s="275"/>
      <c r="BE627" s="275">
        <v>1000000</v>
      </c>
      <c r="BF627" s="275"/>
      <c r="BH627" s="277"/>
    </row>
    <row r="628" spans="1:60" ht="16.5" hidden="1" customHeight="1" x14ac:dyDescent="0.3">
      <c r="A628" s="260">
        <v>606</v>
      </c>
      <c r="B628" s="261"/>
      <c r="C628" s="261"/>
      <c r="D628" s="262" t="s">
        <v>15</v>
      </c>
      <c r="E628" s="262" t="s">
        <v>456</v>
      </c>
      <c r="F628" s="263" t="s">
        <v>15</v>
      </c>
      <c r="G628" s="264" t="s">
        <v>456</v>
      </c>
      <c r="H628" s="281"/>
      <c r="I628" s="265"/>
      <c r="J628" s="266" t="s">
        <v>187</v>
      </c>
      <c r="K628" s="262"/>
      <c r="L628" s="262"/>
      <c r="M628" s="262">
        <v>7507</v>
      </c>
      <c r="N628" s="262" t="s">
        <v>22</v>
      </c>
      <c r="O628" s="262" t="s">
        <v>212</v>
      </c>
      <c r="P628" s="262" t="s">
        <v>57</v>
      </c>
      <c r="Q628" s="262" t="s">
        <v>18</v>
      </c>
      <c r="R628" s="262" t="s">
        <v>28</v>
      </c>
      <c r="S628" s="267" t="s">
        <v>28</v>
      </c>
      <c r="T628" s="268"/>
      <c r="U628" s="269">
        <v>47907140</v>
      </c>
      <c r="V628" s="269">
        <v>32878360</v>
      </c>
      <c r="W628" s="278">
        <v>34235200</v>
      </c>
      <c r="X628" s="270"/>
      <c r="Y628" s="262" t="s">
        <v>27</v>
      </c>
      <c r="Z628" s="271" t="s">
        <v>27</v>
      </c>
      <c r="AA628" s="287"/>
      <c r="AB628" s="287"/>
      <c r="AC628" s="272">
        <f t="shared" si="21"/>
        <v>8184400</v>
      </c>
      <c r="AD628" s="272">
        <v>8184400</v>
      </c>
      <c r="AE628" s="272">
        <f t="shared" si="22"/>
        <v>0</v>
      </c>
      <c r="AF628" s="273"/>
      <c r="AG628" s="274"/>
      <c r="AH628" s="273"/>
      <c r="AI628" s="273">
        <v>5000000</v>
      </c>
      <c r="AJ628" s="274">
        <v>5367400</v>
      </c>
      <c r="AK628" s="273"/>
      <c r="AL628" s="275">
        <v>2817000</v>
      </c>
      <c r="AM628" s="290">
        <v>2817000</v>
      </c>
      <c r="AN628" s="275"/>
      <c r="AO628" s="276"/>
      <c r="AP628" s="275"/>
      <c r="AQ628" s="275"/>
      <c r="AR628" s="275"/>
      <c r="AS628" s="275"/>
      <c r="AT628" s="275"/>
      <c r="AU628" s="275"/>
      <c r="AV628" s="275"/>
      <c r="AW628" s="275"/>
      <c r="AX628" s="275"/>
      <c r="AY628" s="275"/>
      <c r="AZ628" s="275"/>
      <c r="BA628" s="275"/>
      <c r="BB628" s="275"/>
      <c r="BC628" s="275"/>
      <c r="BD628" s="275"/>
      <c r="BE628" s="275"/>
      <c r="BF628" s="275"/>
      <c r="BH628" s="277"/>
    </row>
    <row r="629" spans="1:60" ht="16.5" hidden="1" customHeight="1" x14ac:dyDescent="0.3">
      <c r="A629" s="260">
        <v>607</v>
      </c>
      <c r="B629" s="261"/>
      <c r="C629" s="261"/>
      <c r="D629" s="262"/>
      <c r="E629" s="262"/>
      <c r="F629" s="263" t="s">
        <v>15</v>
      </c>
      <c r="G629" s="264" t="s">
        <v>456</v>
      </c>
      <c r="H629" s="281"/>
      <c r="I629" s="265"/>
      <c r="J629" s="266" t="s">
        <v>924</v>
      </c>
      <c r="K629" s="262"/>
      <c r="L629" s="262"/>
      <c r="M629" s="262">
        <v>63425</v>
      </c>
      <c r="N629" s="262"/>
      <c r="O629" s="262"/>
      <c r="P629" s="262"/>
      <c r="Q629" s="262"/>
      <c r="R629" s="262"/>
      <c r="S629" s="267" t="s">
        <v>31</v>
      </c>
      <c r="T629" s="268"/>
      <c r="U629" s="269"/>
      <c r="V629" s="269"/>
      <c r="W629" s="278">
        <v>2180000</v>
      </c>
      <c r="X629" s="270"/>
      <c r="Y629" s="262"/>
      <c r="Z629" s="271" t="s">
        <v>718</v>
      </c>
      <c r="AA629" s="287"/>
      <c r="AB629" s="287"/>
      <c r="AC629" s="272">
        <f t="shared" si="21"/>
        <v>0</v>
      </c>
      <c r="AD629" s="272">
        <v>0</v>
      </c>
      <c r="AE629" s="272">
        <f t="shared" si="22"/>
        <v>0</v>
      </c>
      <c r="AF629" s="273"/>
      <c r="AG629" s="274"/>
      <c r="AH629" s="273"/>
      <c r="AI629" s="273"/>
      <c r="AJ629" s="274"/>
      <c r="AK629" s="273"/>
      <c r="AL629" s="275"/>
      <c r="AM629" s="290"/>
      <c r="AN629" s="275"/>
      <c r="AO629" s="276"/>
      <c r="AP629" s="275"/>
      <c r="AQ629" s="275"/>
      <c r="AR629" s="275"/>
      <c r="AS629" s="275"/>
      <c r="AT629" s="275"/>
      <c r="AU629" s="275"/>
      <c r="AV629" s="275"/>
      <c r="AW629" s="275"/>
      <c r="AX629" s="275"/>
      <c r="AY629" s="275"/>
      <c r="AZ629" s="275"/>
      <c r="BA629" s="275"/>
      <c r="BB629" s="275"/>
      <c r="BC629" s="275"/>
      <c r="BD629" s="275"/>
      <c r="BE629" s="275"/>
      <c r="BF629" s="275"/>
      <c r="BH629" s="277"/>
    </row>
    <row r="630" spans="1:60" ht="16.5" hidden="1" customHeight="1" x14ac:dyDescent="0.3">
      <c r="A630" s="260">
        <v>608</v>
      </c>
      <c r="B630" s="261"/>
      <c r="C630" s="261"/>
      <c r="D630" s="262" t="s">
        <v>15</v>
      </c>
      <c r="E630" s="262" t="s">
        <v>456</v>
      </c>
      <c r="F630" s="263" t="s">
        <v>15</v>
      </c>
      <c r="G630" s="264" t="s">
        <v>456</v>
      </c>
      <c r="H630" s="281"/>
      <c r="I630" s="265"/>
      <c r="J630" s="266" t="s">
        <v>784</v>
      </c>
      <c r="K630" s="262"/>
      <c r="L630" s="262"/>
      <c r="M630" s="262">
        <v>58930</v>
      </c>
      <c r="N630" s="262" t="s">
        <v>22</v>
      </c>
      <c r="O630" s="262" t="s">
        <v>56</v>
      </c>
      <c r="P630" s="262"/>
      <c r="Q630" s="262" t="s">
        <v>30</v>
      </c>
      <c r="R630" s="262" t="s">
        <v>31</v>
      </c>
      <c r="S630" s="267" t="s">
        <v>31</v>
      </c>
      <c r="T630" s="268"/>
      <c r="U630" s="269"/>
      <c r="V630" s="269">
        <v>459000</v>
      </c>
      <c r="W630" s="278">
        <v>456000</v>
      </c>
      <c r="X630" s="270"/>
      <c r="Y630" s="262" t="s">
        <v>27</v>
      </c>
      <c r="Z630" s="271" t="s">
        <v>27</v>
      </c>
      <c r="AA630" s="287"/>
      <c r="AB630" s="287"/>
      <c r="AC630" s="272">
        <f t="shared" si="21"/>
        <v>402000</v>
      </c>
      <c r="AD630" s="272">
        <v>402000</v>
      </c>
      <c r="AE630" s="272">
        <f t="shared" si="22"/>
        <v>0</v>
      </c>
      <c r="AF630" s="273"/>
      <c r="AG630" s="274"/>
      <c r="AH630" s="273"/>
      <c r="AI630" s="273"/>
      <c r="AJ630" s="274"/>
      <c r="AK630" s="273"/>
      <c r="AL630" s="275">
        <v>102000</v>
      </c>
      <c r="AM630" s="290">
        <v>102000</v>
      </c>
      <c r="AN630" s="275"/>
      <c r="AO630" s="276"/>
      <c r="AP630" s="275"/>
      <c r="AQ630" s="275"/>
      <c r="AR630" s="275"/>
      <c r="AS630" s="275">
        <v>300000</v>
      </c>
      <c r="AT630" s="275"/>
      <c r="AU630" s="275"/>
      <c r="AV630" s="275"/>
      <c r="AW630" s="275"/>
      <c r="AX630" s="275"/>
      <c r="AY630" s="275"/>
      <c r="AZ630" s="275"/>
      <c r="BA630" s="275"/>
      <c r="BB630" s="275"/>
      <c r="BC630" s="275"/>
      <c r="BD630" s="275"/>
      <c r="BE630" s="275"/>
      <c r="BF630" s="275"/>
      <c r="BH630" s="277"/>
    </row>
    <row r="631" spans="1:60" ht="16.5" hidden="1" customHeight="1" x14ac:dyDescent="0.3">
      <c r="A631" s="260">
        <v>609</v>
      </c>
      <c r="B631" s="261"/>
      <c r="C631" s="261"/>
      <c r="D631" s="262" t="s">
        <v>15</v>
      </c>
      <c r="E631" s="262" t="s">
        <v>456</v>
      </c>
      <c r="F631" s="263" t="s">
        <v>15</v>
      </c>
      <c r="G631" s="264" t="s">
        <v>456</v>
      </c>
      <c r="H631" s="281"/>
      <c r="I631" s="265"/>
      <c r="J631" s="266" t="s">
        <v>188</v>
      </c>
      <c r="K631" s="262"/>
      <c r="L631" s="262"/>
      <c r="M631" s="262">
        <v>46549</v>
      </c>
      <c r="N631" s="262" t="s">
        <v>53</v>
      </c>
      <c r="O631" s="262" t="s">
        <v>212</v>
      </c>
      <c r="P631" s="262" t="s">
        <v>57</v>
      </c>
      <c r="Q631" s="262" t="s">
        <v>18</v>
      </c>
      <c r="R631" s="262" t="s">
        <v>19</v>
      </c>
      <c r="S631" s="267" t="s">
        <v>19</v>
      </c>
      <c r="T631" s="268" t="s">
        <v>951</v>
      </c>
      <c r="U631" s="269">
        <v>4004820</v>
      </c>
      <c r="V631" s="269">
        <v>3292620</v>
      </c>
      <c r="W631" s="278">
        <v>3299340</v>
      </c>
      <c r="X631" s="270"/>
      <c r="Y631" s="262" t="s">
        <v>27</v>
      </c>
      <c r="Z631" s="271" t="s">
        <v>27</v>
      </c>
      <c r="AA631" s="287"/>
      <c r="AB631" s="287"/>
      <c r="AC631" s="272">
        <f t="shared" si="21"/>
        <v>2250960</v>
      </c>
      <c r="AD631" s="272">
        <v>2250960</v>
      </c>
      <c r="AE631" s="272">
        <f t="shared" si="22"/>
        <v>0</v>
      </c>
      <c r="AF631" s="273">
        <v>110000</v>
      </c>
      <c r="AG631" s="274">
        <v>110000</v>
      </c>
      <c r="AH631" s="273"/>
      <c r="AI631" s="273">
        <v>200000</v>
      </c>
      <c r="AJ631" s="274">
        <v>176600</v>
      </c>
      <c r="AK631" s="273"/>
      <c r="AL631" s="275">
        <v>164360</v>
      </c>
      <c r="AM631" s="290">
        <v>164360</v>
      </c>
      <c r="AN631" s="275"/>
      <c r="AO631" s="276">
        <v>200000</v>
      </c>
      <c r="AP631" s="275"/>
      <c r="AQ631" s="275">
        <v>200000</v>
      </c>
      <c r="AR631" s="275"/>
      <c r="AS631" s="275">
        <v>200000</v>
      </c>
      <c r="AT631" s="275"/>
      <c r="AU631" s="275">
        <v>200000</v>
      </c>
      <c r="AV631" s="275"/>
      <c r="AW631" s="275">
        <v>200000</v>
      </c>
      <c r="AX631" s="275"/>
      <c r="AY631" s="275">
        <v>200000</v>
      </c>
      <c r="AZ631" s="275"/>
      <c r="BA631" s="275">
        <v>200000</v>
      </c>
      <c r="BB631" s="275"/>
      <c r="BC631" s="275">
        <v>200000</v>
      </c>
      <c r="BD631" s="275"/>
      <c r="BE631" s="275">
        <v>200000</v>
      </c>
      <c r="BF631" s="275"/>
      <c r="BH631" s="277"/>
    </row>
    <row r="632" spans="1:60" ht="16.5" hidden="1" customHeight="1" x14ac:dyDescent="0.3">
      <c r="A632" s="260">
        <v>610</v>
      </c>
      <c r="B632" s="261"/>
      <c r="C632" s="261"/>
      <c r="D632" s="262" t="s">
        <v>15</v>
      </c>
      <c r="E632" s="262" t="s">
        <v>456</v>
      </c>
      <c r="F632" s="263" t="s">
        <v>15</v>
      </c>
      <c r="G632" s="264" t="s">
        <v>456</v>
      </c>
      <c r="H632" s="281"/>
      <c r="I632" s="265"/>
      <c r="J632" s="266" t="s">
        <v>189</v>
      </c>
      <c r="K632" s="262"/>
      <c r="L632" s="262"/>
      <c r="M632" s="262">
        <v>5034</v>
      </c>
      <c r="N632" s="262" t="s">
        <v>22</v>
      </c>
      <c r="O632" s="262" t="s">
        <v>212</v>
      </c>
      <c r="P632" s="262" t="s">
        <v>57</v>
      </c>
      <c r="Q632" s="262" t="s">
        <v>18</v>
      </c>
      <c r="R632" s="262" t="s">
        <v>28</v>
      </c>
      <c r="S632" s="267" t="s">
        <v>28</v>
      </c>
      <c r="T632" s="268" t="s">
        <v>951</v>
      </c>
      <c r="U632" s="269">
        <v>146816410</v>
      </c>
      <c r="V632" s="269">
        <v>206510650</v>
      </c>
      <c r="W632" s="278">
        <v>171468390</v>
      </c>
      <c r="X632" s="270"/>
      <c r="Y632" s="262" t="s">
        <v>27</v>
      </c>
      <c r="Z632" s="271" t="s">
        <v>27</v>
      </c>
      <c r="AA632" s="287"/>
      <c r="AB632" s="287"/>
      <c r="AC632" s="272">
        <f t="shared" si="21"/>
        <v>232505560</v>
      </c>
      <c r="AD632" s="272">
        <v>232505560</v>
      </c>
      <c r="AE632" s="272">
        <f t="shared" si="22"/>
        <v>0</v>
      </c>
      <c r="AF632" s="273">
        <v>1054820</v>
      </c>
      <c r="AG632" s="274">
        <v>1054820</v>
      </c>
      <c r="AH632" s="273"/>
      <c r="AI632" s="273"/>
      <c r="AJ632" s="274">
        <v>635240</v>
      </c>
      <c r="AK632" s="273"/>
      <c r="AL632" s="275">
        <v>1815500</v>
      </c>
      <c r="AM632" s="290">
        <v>1815500</v>
      </c>
      <c r="AN632" s="275"/>
      <c r="AO632" s="276">
        <v>29000000</v>
      </c>
      <c r="AP632" s="275"/>
      <c r="AQ632" s="275">
        <v>25000000</v>
      </c>
      <c r="AR632" s="275"/>
      <c r="AS632" s="275">
        <v>20000000</v>
      </c>
      <c r="AT632" s="275"/>
      <c r="AU632" s="275">
        <v>20000000</v>
      </c>
      <c r="AV632" s="275"/>
      <c r="AW632" s="275">
        <v>20000000</v>
      </c>
      <c r="AX632" s="275"/>
      <c r="AY632" s="275">
        <v>25000000</v>
      </c>
      <c r="AZ632" s="275"/>
      <c r="BA632" s="275">
        <v>30000000</v>
      </c>
      <c r="BB632" s="275"/>
      <c r="BC632" s="275">
        <v>30000000</v>
      </c>
      <c r="BD632" s="275"/>
      <c r="BE632" s="275">
        <v>30000000</v>
      </c>
      <c r="BF632" s="275"/>
      <c r="BH632" s="277"/>
    </row>
    <row r="633" spans="1:60" ht="16.5" hidden="1" customHeight="1" x14ac:dyDescent="0.3">
      <c r="A633" s="260">
        <v>611</v>
      </c>
      <c r="B633" s="261"/>
      <c r="C633" s="261"/>
      <c r="D633" s="262" t="s">
        <v>15</v>
      </c>
      <c r="E633" s="262" t="s">
        <v>456</v>
      </c>
      <c r="F633" s="263" t="s">
        <v>15</v>
      </c>
      <c r="G633" s="264" t="s">
        <v>456</v>
      </c>
      <c r="H633" s="281"/>
      <c r="I633" s="265"/>
      <c r="J633" s="266" t="s">
        <v>189</v>
      </c>
      <c r="K633" s="262"/>
      <c r="L633" s="262"/>
      <c r="M633" s="262">
        <v>5034</v>
      </c>
      <c r="N633" s="262" t="s">
        <v>22</v>
      </c>
      <c r="O633" s="262" t="s">
        <v>212</v>
      </c>
      <c r="P633" s="262" t="s">
        <v>57</v>
      </c>
      <c r="Q633" s="262" t="s">
        <v>46</v>
      </c>
      <c r="R633" s="262" t="s">
        <v>47</v>
      </c>
      <c r="S633" s="267" t="s">
        <v>47</v>
      </c>
      <c r="T633" s="268"/>
      <c r="U633" s="269">
        <v>8750000</v>
      </c>
      <c r="V633" s="269">
        <v>17500000</v>
      </c>
      <c r="W633" s="278">
        <v>17500000</v>
      </c>
      <c r="X633" s="270"/>
      <c r="Y633" s="262" t="s">
        <v>27</v>
      </c>
      <c r="Z633" s="271" t="s">
        <v>24</v>
      </c>
      <c r="AA633" s="287"/>
      <c r="AB633" s="287"/>
      <c r="AC633" s="272">
        <f t="shared" si="21"/>
        <v>17500000</v>
      </c>
      <c r="AD633" s="272">
        <v>17500000</v>
      </c>
      <c r="AE633" s="272">
        <f t="shared" si="22"/>
        <v>0</v>
      </c>
      <c r="AF633" s="273"/>
      <c r="AG633" s="274"/>
      <c r="AH633" s="273"/>
      <c r="AI633" s="273"/>
      <c r="AJ633" s="274"/>
      <c r="AK633" s="273"/>
      <c r="AL633" s="275"/>
      <c r="AM633" s="290"/>
      <c r="AN633" s="275"/>
      <c r="AO633" s="276"/>
      <c r="AP633" s="275"/>
      <c r="AQ633" s="275">
        <v>8750000</v>
      </c>
      <c r="AR633" s="275"/>
      <c r="AS633" s="275"/>
      <c r="AT633" s="275"/>
      <c r="AU633" s="275"/>
      <c r="AV633" s="275"/>
      <c r="AW633" s="275"/>
      <c r="AX633" s="275"/>
      <c r="AY633" s="275"/>
      <c r="AZ633" s="275"/>
      <c r="BA633" s="275"/>
      <c r="BB633" s="275"/>
      <c r="BC633" s="275"/>
      <c r="BD633" s="275"/>
      <c r="BE633" s="275">
        <v>8750000</v>
      </c>
      <c r="BF633" s="275"/>
      <c r="BH633" s="277"/>
    </row>
    <row r="634" spans="1:60" ht="16.5" hidden="1" customHeight="1" x14ac:dyDescent="0.3">
      <c r="A634" s="260">
        <v>612</v>
      </c>
      <c r="B634" s="261"/>
      <c r="C634" s="261"/>
      <c r="D634" s="262" t="s">
        <v>15</v>
      </c>
      <c r="E634" s="262" t="s">
        <v>456</v>
      </c>
      <c r="F634" s="263" t="s">
        <v>15</v>
      </c>
      <c r="G634" s="264" t="s">
        <v>456</v>
      </c>
      <c r="H634" s="281"/>
      <c r="I634" s="265"/>
      <c r="J634" s="266" t="s">
        <v>189</v>
      </c>
      <c r="K634" s="262"/>
      <c r="L634" s="262"/>
      <c r="M634" s="262">
        <v>5034</v>
      </c>
      <c r="N634" s="262" t="s">
        <v>22</v>
      </c>
      <c r="O634" s="262" t="s">
        <v>56</v>
      </c>
      <c r="P634" s="262"/>
      <c r="Q634" s="262" t="s">
        <v>44</v>
      </c>
      <c r="R634" s="262" t="s">
        <v>469</v>
      </c>
      <c r="S634" s="267" t="s">
        <v>469</v>
      </c>
      <c r="T634" s="268"/>
      <c r="U634" s="269">
        <v>10000000</v>
      </c>
      <c r="V634" s="269">
        <v>0</v>
      </c>
      <c r="W634" s="278">
        <v>0</v>
      </c>
      <c r="X634" s="270"/>
      <c r="Y634" s="262" t="s">
        <v>25</v>
      </c>
      <c r="Z634" s="271" t="s">
        <v>20</v>
      </c>
      <c r="AA634" s="287"/>
      <c r="AB634" s="287"/>
      <c r="AC634" s="272">
        <f t="shared" si="21"/>
        <v>0</v>
      </c>
      <c r="AD634" s="272">
        <v>0</v>
      </c>
      <c r="AE634" s="272">
        <f t="shared" si="22"/>
        <v>0</v>
      </c>
      <c r="AF634" s="273"/>
      <c r="AG634" s="274"/>
      <c r="AH634" s="273"/>
      <c r="AI634" s="273"/>
      <c r="AJ634" s="274"/>
      <c r="AK634" s="273"/>
      <c r="AL634" s="275"/>
      <c r="AM634" s="290"/>
      <c r="AN634" s="275"/>
      <c r="AO634" s="276"/>
      <c r="AP634" s="275"/>
      <c r="AQ634" s="275"/>
      <c r="AR634" s="275"/>
      <c r="AS634" s="275"/>
      <c r="AT634" s="275"/>
      <c r="AU634" s="275"/>
      <c r="AV634" s="275"/>
      <c r="AW634" s="275"/>
      <c r="AX634" s="275"/>
      <c r="AY634" s="275"/>
      <c r="AZ634" s="275"/>
      <c r="BA634" s="275"/>
      <c r="BB634" s="275"/>
      <c r="BC634" s="275"/>
      <c r="BD634" s="275"/>
      <c r="BE634" s="275"/>
      <c r="BF634" s="275"/>
      <c r="BH634" s="277"/>
    </row>
    <row r="635" spans="1:60" ht="16.5" hidden="1" customHeight="1" x14ac:dyDescent="0.3">
      <c r="A635" s="260">
        <v>613</v>
      </c>
      <c r="B635" s="261"/>
      <c r="C635" s="261"/>
      <c r="D635" s="262" t="s">
        <v>15</v>
      </c>
      <c r="E635" s="262" t="s">
        <v>456</v>
      </c>
      <c r="F635" s="263" t="s">
        <v>15</v>
      </c>
      <c r="G635" s="264" t="s">
        <v>456</v>
      </c>
      <c r="H635" s="281"/>
      <c r="I635" s="265"/>
      <c r="J635" s="266" t="s">
        <v>189</v>
      </c>
      <c r="K635" s="262"/>
      <c r="L635" s="262"/>
      <c r="M635" s="262">
        <v>5034</v>
      </c>
      <c r="N635" s="262" t="s">
        <v>22</v>
      </c>
      <c r="O635" s="262" t="s">
        <v>212</v>
      </c>
      <c r="P635" s="262" t="s">
        <v>57</v>
      </c>
      <c r="Q635" s="262" t="s">
        <v>26</v>
      </c>
      <c r="R635" s="262" t="s">
        <v>468</v>
      </c>
      <c r="S635" s="267" t="s">
        <v>468</v>
      </c>
      <c r="T635" s="268"/>
      <c r="U635" s="269"/>
      <c r="V635" s="269">
        <v>0</v>
      </c>
      <c r="W635" s="278">
        <v>21120000</v>
      </c>
      <c r="X635" s="270"/>
      <c r="Y635" s="262" t="s">
        <v>27</v>
      </c>
      <c r="Z635" s="271" t="s">
        <v>25</v>
      </c>
      <c r="AA635" s="287"/>
      <c r="AB635" s="287"/>
      <c r="AC635" s="272">
        <f t="shared" si="21"/>
        <v>20000000</v>
      </c>
      <c r="AD635" s="272">
        <v>20000000</v>
      </c>
      <c r="AE635" s="272">
        <f t="shared" si="22"/>
        <v>0</v>
      </c>
      <c r="AF635" s="273"/>
      <c r="AG635" s="274"/>
      <c r="AH635" s="273"/>
      <c r="AI635" s="273"/>
      <c r="AJ635" s="274"/>
      <c r="AK635" s="273"/>
      <c r="AL635" s="275"/>
      <c r="AM635" s="290"/>
      <c r="AN635" s="275"/>
      <c r="AO635" s="276"/>
      <c r="AP635" s="275"/>
      <c r="AQ635" s="291">
        <v>10000000</v>
      </c>
      <c r="AR635" s="275"/>
      <c r="AS635" s="275"/>
      <c r="AT635" s="275"/>
      <c r="AU635" s="275"/>
      <c r="AV635" s="275"/>
      <c r="AW635" s="275">
        <v>10000000</v>
      </c>
      <c r="AX635" s="275"/>
      <c r="AY635" s="275"/>
      <c r="AZ635" s="275"/>
      <c r="BA635" s="275"/>
      <c r="BB635" s="275"/>
      <c r="BC635" s="275"/>
      <c r="BD635" s="275"/>
      <c r="BE635" s="275"/>
      <c r="BF635" s="275"/>
      <c r="BH635" s="277"/>
    </row>
    <row r="636" spans="1:60" ht="16.5" hidden="1" customHeight="1" x14ac:dyDescent="0.3">
      <c r="A636" s="260">
        <v>614</v>
      </c>
      <c r="B636" s="261"/>
      <c r="C636" s="261"/>
      <c r="D636" s="262" t="s">
        <v>15</v>
      </c>
      <c r="E636" s="262" t="s">
        <v>456</v>
      </c>
      <c r="F636" s="263" t="s">
        <v>15</v>
      </c>
      <c r="G636" s="264" t="s">
        <v>456</v>
      </c>
      <c r="H636" s="281"/>
      <c r="I636" s="265"/>
      <c r="J636" s="266" t="s">
        <v>189</v>
      </c>
      <c r="K636" s="262"/>
      <c r="L636" s="262"/>
      <c r="M636" s="262">
        <v>5034</v>
      </c>
      <c r="N636" s="262" t="s">
        <v>22</v>
      </c>
      <c r="O636" s="262" t="s">
        <v>35</v>
      </c>
      <c r="P636" s="262"/>
      <c r="Q636" s="262"/>
      <c r="R636" s="262"/>
      <c r="S636" s="267" t="s">
        <v>828</v>
      </c>
      <c r="T636" s="268"/>
      <c r="U636" s="269"/>
      <c r="V636" s="269"/>
      <c r="W636" s="278">
        <v>0</v>
      </c>
      <c r="X636" s="270"/>
      <c r="Y636" s="262"/>
      <c r="Z636" s="271" t="s">
        <v>25</v>
      </c>
      <c r="AA636" s="287"/>
      <c r="AB636" s="287"/>
      <c r="AC636" s="272">
        <f t="shared" si="21"/>
        <v>5000000</v>
      </c>
      <c r="AD636" s="272">
        <v>5000000</v>
      </c>
      <c r="AE636" s="272">
        <f t="shared" si="22"/>
        <v>0</v>
      </c>
      <c r="AF636" s="273"/>
      <c r="AG636" s="274"/>
      <c r="AH636" s="273"/>
      <c r="AI636" s="273"/>
      <c r="AJ636" s="274"/>
      <c r="AK636" s="273"/>
      <c r="AL636" s="275"/>
      <c r="AM636" s="290"/>
      <c r="AN636" s="275"/>
      <c r="AO636" s="276"/>
      <c r="AP636" s="275"/>
      <c r="AQ636" s="275"/>
      <c r="AR636" s="275"/>
      <c r="AS636" s="275"/>
      <c r="AT636" s="275"/>
      <c r="AU636" s="275">
        <v>5000000</v>
      </c>
      <c r="AV636" s="275"/>
      <c r="AW636" s="275"/>
      <c r="AX636" s="275"/>
      <c r="AY636" s="275"/>
      <c r="AZ636" s="275"/>
      <c r="BA636" s="275"/>
      <c r="BB636" s="275"/>
      <c r="BC636" s="275"/>
      <c r="BD636" s="275"/>
      <c r="BE636" s="275"/>
      <c r="BF636" s="275"/>
      <c r="BH636" s="277"/>
    </row>
    <row r="637" spans="1:60" ht="16.5" hidden="1" customHeight="1" x14ac:dyDescent="0.3">
      <c r="A637" s="260">
        <v>615</v>
      </c>
      <c r="B637" s="261"/>
      <c r="C637" s="261"/>
      <c r="D637" s="262" t="s">
        <v>15</v>
      </c>
      <c r="E637" s="262" t="s">
        <v>456</v>
      </c>
      <c r="F637" s="263" t="s">
        <v>15</v>
      </c>
      <c r="G637" s="264" t="s">
        <v>456</v>
      </c>
      <c r="H637" s="281"/>
      <c r="I637" s="265"/>
      <c r="J637" s="266" t="s">
        <v>189</v>
      </c>
      <c r="K637" s="262"/>
      <c r="L637" s="262"/>
      <c r="M637" s="262">
        <v>5034</v>
      </c>
      <c r="N637" s="262" t="s">
        <v>22</v>
      </c>
      <c r="O637" s="262" t="s">
        <v>56</v>
      </c>
      <c r="P637" s="262"/>
      <c r="Q637" s="262" t="s">
        <v>23</v>
      </c>
      <c r="R637" s="262" t="s">
        <v>397</v>
      </c>
      <c r="S637" s="267" t="s">
        <v>823</v>
      </c>
      <c r="T637" s="268"/>
      <c r="U637" s="269"/>
      <c r="V637" s="269">
        <v>1231000</v>
      </c>
      <c r="W637" s="278">
        <v>0</v>
      </c>
      <c r="X637" s="270"/>
      <c r="Y637" s="262" t="s">
        <v>20</v>
      </c>
      <c r="Z637" s="271" t="s">
        <v>27</v>
      </c>
      <c r="AA637" s="287"/>
      <c r="AB637" s="287"/>
      <c r="AC637" s="272">
        <f t="shared" si="21"/>
        <v>300000</v>
      </c>
      <c r="AD637" s="272">
        <v>300000</v>
      </c>
      <c r="AE637" s="272">
        <f t="shared" si="22"/>
        <v>0</v>
      </c>
      <c r="AF637" s="273"/>
      <c r="AG637" s="274"/>
      <c r="AH637" s="273"/>
      <c r="AI637" s="273"/>
      <c r="AJ637" s="274"/>
      <c r="AK637" s="273"/>
      <c r="AL637" s="275"/>
      <c r="AM637" s="290"/>
      <c r="AN637" s="275"/>
      <c r="AO637" s="276">
        <v>300000</v>
      </c>
      <c r="AP637" s="275"/>
      <c r="AQ637" s="275"/>
      <c r="AR637" s="275"/>
      <c r="AS637" s="275"/>
      <c r="AT637" s="275"/>
      <c r="AU637" s="275"/>
      <c r="AV637" s="275"/>
      <c r="AW637" s="275"/>
      <c r="AX637" s="275"/>
      <c r="AY637" s="275"/>
      <c r="AZ637" s="275"/>
      <c r="BA637" s="275"/>
      <c r="BB637" s="275"/>
      <c r="BC637" s="275"/>
      <c r="BD637" s="275"/>
      <c r="BE637" s="275"/>
      <c r="BF637" s="275"/>
      <c r="BH637" s="277"/>
    </row>
    <row r="638" spans="1:60" ht="16.5" hidden="1" customHeight="1" x14ac:dyDescent="0.3">
      <c r="A638" s="260">
        <v>616</v>
      </c>
      <c r="B638" s="261"/>
      <c r="C638" s="261"/>
      <c r="D638" s="262" t="s">
        <v>15</v>
      </c>
      <c r="E638" s="262" t="s">
        <v>456</v>
      </c>
      <c r="F638" s="263" t="s">
        <v>15</v>
      </c>
      <c r="G638" s="264" t="s">
        <v>456</v>
      </c>
      <c r="H638" s="281"/>
      <c r="I638" s="265"/>
      <c r="J638" s="266" t="s">
        <v>321</v>
      </c>
      <c r="K638" s="262"/>
      <c r="L638" s="262"/>
      <c r="M638" s="262">
        <v>10339</v>
      </c>
      <c r="N638" s="262" t="s">
        <v>32</v>
      </c>
      <c r="O638" s="262" t="s">
        <v>56</v>
      </c>
      <c r="P638" s="262"/>
      <c r="Q638" s="262" t="s">
        <v>23</v>
      </c>
      <c r="R638" s="262" t="s">
        <v>397</v>
      </c>
      <c r="S638" s="267" t="s">
        <v>823</v>
      </c>
      <c r="T638" s="268"/>
      <c r="U638" s="269"/>
      <c r="V638" s="269">
        <v>895454545</v>
      </c>
      <c r="W638" s="278">
        <v>947827273</v>
      </c>
      <c r="X638" s="270"/>
      <c r="Y638" s="262" t="s">
        <v>27</v>
      </c>
      <c r="Z638" s="271" t="s">
        <v>562</v>
      </c>
      <c r="AA638" s="287"/>
      <c r="AB638" s="287"/>
      <c r="AC638" s="272">
        <f t="shared" si="21"/>
        <v>900000000</v>
      </c>
      <c r="AD638" s="272">
        <v>900000000</v>
      </c>
      <c r="AE638" s="272">
        <f t="shared" si="22"/>
        <v>0</v>
      </c>
      <c r="AF638" s="273"/>
      <c r="AG638" s="274"/>
      <c r="AH638" s="273"/>
      <c r="AI638" s="273"/>
      <c r="AJ638" s="274"/>
      <c r="AK638" s="273"/>
      <c r="AL638" s="275"/>
      <c r="AM638" s="290"/>
      <c r="AN638" s="275"/>
      <c r="AO638" s="276"/>
      <c r="AP638" s="275"/>
      <c r="AQ638" s="275"/>
      <c r="AR638" s="275"/>
      <c r="AS638" s="275"/>
      <c r="AT638" s="275"/>
      <c r="AU638" s="275">
        <v>600000000</v>
      </c>
      <c r="AV638" s="275"/>
      <c r="AW638" s="275"/>
      <c r="AX638" s="275"/>
      <c r="AY638" s="275"/>
      <c r="AZ638" s="275"/>
      <c r="BA638" s="275"/>
      <c r="BB638" s="275"/>
      <c r="BC638" s="275"/>
      <c r="BD638" s="275"/>
      <c r="BE638" s="275">
        <v>300000000</v>
      </c>
      <c r="BF638" s="275"/>
      <c r="BH638" s="277"/>
    </row>
    <row r="639" spans="1:60" ht="16.5" hidden="1" customHeight="1" x14ac:dyDescent="0.3">
      <c r="A639" s="260">
        <v>617</v>
      </c>
      <c r="B639" s="261"/>
      <c r="C639" s="261"/>
      <c r="D639" s="262" t="s">
        <v>15</v>
      </c>
      <c r="E639" s="262" t="s">
        <v>456</v>
      </c>
      <c r="F639" s="263" t="s">
        <v>15</v>
      </c>
      <c r="G639" s="264" t="s">
        <v>456</v>
      </c>
      <c r="H639" s="281"/>
      <c r="I639" s="265"/>
      <c r="J639" s="266" t="s">
        <v>321</v>
      </c>
      <c r="K639" s="262"/>
      <c r="L639" s="262"/>
      <c r="M639" s="262">
        <v>10339</v>
      </c>
      <c r="N639" s="262" t="s">
        <v>32</v>
      </c>
      <c r="O639" s="262" t="s">
        <v>56</v>
      </c>
      <c r="P639" s="262"/>
      <c r="Q639" s="262" t="s">
        <v>111</v>
      </c>
      <c r="R639" s="262" t="s">
        <v>472</v>
      </c>
      <c r="S639" s="267" t="s">
        <v>824</v>
      </c>
      <c r="T639" s="268"/>
      <c r="U639" s="269"/>
      <c r="V639" s="269">
        <v>935798800</v>
      </c>
      <c r="W639" s="278">
        <v>126718182</v>
      </c>
      <c r="X639" s="270"/>
      <c r="Y639" s="262" t="s">
        <v>27</v>
      </c>
      <c r="Z639" s="271" t="s">
        <v>24</v>
      </c>
      <c r="AA639" s="287"/>
      <c r="AB639" s="287"/>
      <c r="AC639" s="272">
        <f t="shared" si="21"/>
        <v>170000000</v>
      </c>
      <c r="AD639" s="272">
        <v>170000000</v>
      </c>
      <c r="AE639" s="272">
        <f t="shared" si="22"/>
        <v>0</v>
      </c>
      <c r="AF639" s="273"/>
      <c r="AG639" s="274"/>
      <c r="AH639" s="273"/>
      <c r="AI639" s="273"/>
      <c r="AJ639" s="274"/>
      <c r="AK639" s="273"/>
      <c r="AL639" s="275"/>
      <c r="AM639" s="290"/>
      <c r="AN639" s="275"/>
      <c r="AO639" s="276"/>
      <c r="AP639" s="275"/>
      <c r="AQ639" s="275"/>
      <c r="AR639" s="275"/>
      <c r="AS639" s="275"/>
      <c r="AT639" s="275"/>
      <c r="AU639" s="275">
        <v>70000000</v>
      </c>
      <c r="AV639" s="275"/>
      <c r="AW639" s="275"/>
      <c r="AX639" s="275"/>
      <c r="AY639" s="275"/>
      <c r="AZ639" s="275"/>
      <c r="BA639" s="275"/>
      <c r="BB639" s="275"/>
      <c r="BC639" s="275"/>
      <c r="BD639" s="275"/>
      <c r="BE639" s="275">
        <v>100000000</v>
      </c>
      <c r="BF639" s="275"/>
      <c r="BH639" s="277"/>
    </row>
    <row r="640" spans="1:60" ht="16.5" hidden="1" customHeight="1" x14ac:dyDescent="0.3">
      <c r="A640" s="260">
        <v>618</v>
      </c>
      <c r="B640" s="261"/>
      <c r="C640" s="261"/>
      <c r="D640" s="262" t="s">
        <v>15</v>
      </c>
      <c r="E640" s="262" t="s">
        <v>456</v>
      </c>
      <c r="F640" s="263" t="s">
        <v>15</v>
      </c>
      <c r="G640" s="264" t="s">
        <v>456</v>
      </c>
      <c r="H640" s="281"/>
      <c r="I640" s="265"/>
      <c r="J640" s="266" t="s">
        <v>662</v>
      </c>
      <c r="K640" s="262"/>
      <c r="L640" s="262"/>
      <c r="M640" s="262">
        <v>63261</v>
      </c>
      <c r="N640" s="262" t="s">
        <v>22</v>
      </c>
      <c r="O640" s="262" t="s">
        <v>35</v>
      </c>
      <c r="P640" s="262"/>
      <c r="Q640" s="262"/>
      <c r="R640" s="262" t="s">
        <v>476</v>
      </c>
      <c r="S640" s="267" t="s">
        <v>825</v>
      </c>
      <c r="T640" s="268"/>
      <c r="U640" s="269"/>
      <c r="V640" s="269"/>
      <c r="W640" s="278">
        <v>11000000</v>
      </c>
      <c r="X640" s="270"/>
      <c r="Y640" s="262" t="s">
        <v>27</v>
      </c>
      <c r="Z640" s="271" t="s">
        <v>718</v>
      </c>
      <c r="AA640" s="287"/>
      <c r="AB640" s="287"/>
      <c r="AC640" s="272">
        <f t="shared" si="21"/>
        <v>0</v>
      </c>
      <c r="AD640" s="272">
        <v>0</v>
      </c>
      <c r="AE640" s="272">
        <f t="shared" si="22"/>
        <v>0</v>
      </c>
      <c r="AF640" s="273"/>
      <c r="AG640" s="274"/>
      <c r="AH640" s="273"/>
      <c r="AI640" s="273"/>
      <c r="AJ640" s="274"/>
      <c r="AK640" s="273"/>
      <c r="AL640" s="275"/>
      <c r="AM640" s="290"/>
      <c r="AN640" s="275"/>
      <c r="AO640" s="276"/>
      <c r="AP640" s="275"/>
      <c r="AQ640" s="275"/>
      <c r="AR640" s="275"/>
      <c r="AS640" s="275"/>
      <c r="AT640" s="275"/>
      <c r="AU640" s="275"/>
      <c r="AV640" s="275"/>
      <c r="AW640" s="275"/>
      <c r="AX640" s="275"/>
      <c r="AY640" s="275"/>
      <c r="AZ640" s="275"/>
      <c r="BA640" s="275"/>
      <c r="BB640" s="275"/>
      <c r="BC640" s="275"/>
      <c r="BD640" s="275"/>
      <c r="BE640" s="275"/>
      <c r="BF640" s="275"/>
      <c r="BH640" s="277"/>
    </row>
    <row r="641" spans="1:60" ht="16.5" hidden="1" customHeight="1" x14ac:dyDescent="0.3">
      <c r="A641" s="260">
        <v>619</v>
      </c>
      <c r="B641" s="261"/>
      <c r="C641" s="261"/>
      <c r="D641" s="262" t="s">
        <v>15</v>
      </c>
      <c r="E641" s="262" t="s">
        <v>456</v>
      </c>
      <c r="F641" s="263" t="s">
        <v>15</v>
      </c>
      <c r="G641" s="264" t="s">
        <v>456</v>
      </c>
      <c r="H641" s="281"/>
      <c r="I641" s="265"/>
      <c r="J641" s="266" t="s">
        <v>785</v>
      </c>
      <c r="K641" s="262"/>
      <c r="L641" s="262"/>
      <c r="M641" s="262">
        <v>64093</v>
      </c>
      <c r="N641" s="262"/>
      <c r="O641" s="262"/>
      <c r="P641" s="262"/>
      <c r="Q641" s="262"/>
      <c r="R641" s="262" t="s">
        <v>468</v>
      </c>
      <c r="S641" s="267" t="s">
        <v>468</v>
      </c>
      <c r="T641" s="268"/>
      <c r="U641" s="269"/>
      <c r="V641" s="269"/>
      <c r="W641" s="278">
        <v>3005000</v>
      </c>
      <c r="X641" s="270"/>
      <c r="Y641" s="262" t="s">
        <v>27</v>
      </c>
      <c r="Z641" s="271" t="s">
        <v>718</v>
      </c>
      <c r="AA641" s="287"/>
      <c r="AB641" s="287"/>
      <c r="AC641" s="272">
        <f t="shared" si="21"/>
        <v>0</v>
      </c>
      <c r="AD641" s="272">
        <v>0</v>
      </c>
      <c r="AE641" s="272">
        <f t="shared" si="22"/>
        <v>0</v>
      </c>
      <c r="AF641" s="273"/>
      <c r="AG641" s="274"/>
      <c r="AH641" s="273"/>
      <c r="AI641" s="273"/>
      <c r="AJ641" s="274"/>
      <c r="AK641" s="273"/>
      <c r="AL641" s="275"/>
      <c r="AM641" s="290"/>
      <c r="AN641" s="275"/>
      <c r="AO641" s="276"/>
      <c r="AP641" s="275"/>
      <c r="AQ641" s="275"/>
      <c r="AR641" s="275"/>
      <c r="AS641" s="275"/>
      <c r="AT641" s="275"/>
      <c r="AU641" s="275"/>
      <c r="AV641" s="275"/>
      <c r="AW641" s="275"/>
      <c r="AX641" s="275"/>
      <c r="AY641" s="275"/>
      <c r="AZ641" s="275"/>
      <c r="BA641" s="275"/>
      <c r="BB641" s="275"/>
      <c r="BC641" s="275"/>
      <c r="BD641" s="275"/>
      <c r="BE641" s="275"/>
      <c r="BF641" s="275"/>
      <c r="BH641" s="277"/>
    </row>
    <row r="642" spans="1:60" ht="16.5" hidden="1" customHeight="1" x14ac:dyDescent="0.3">
      <c r="A642" s="260">
        <v>620</v>
      </c>
      <c r="B642" s="261"/>
      <c r="C642" s="261"/>
      <c r="D642" s="262" t="s">
        <v>15</v>
      </c>
      <c r="E642" s="262" t="s">
        <v>456</v>
      </c>
      <c r="F642" s="263" t="s">
        <v>15</v>
      </c>
      <c r="G642" s="264" t="s">
        <v>456</v>
      </c>
      <c r="H642" s="281"/>
      <c r="I642" s="265"/>
      <c r="J642" s="266" t="s">
        <v>67</v>
      </c>
      <c r="K642" s="262"/>
      <c r="L642" s="262"/>
      <c r="M642" s="262">
        <v>23529</v>
      </c>
      <c r="N642" s="262" t="s">
        <v>22</v>
      </c>
      <c r="O642" s="262" t="s">
        <v>56</v>
      </c>
      <c r="P642" s="262"/>
      <c r="Q642" s="262" t="s">
        <v>30</v>
      </c>
      <c r="R642" s="262" t="s">
        <v>31</v>
      </c>
      <c r="S642" s="267" t="s">
        <v>31</v>
      </c>
      <c r="T642" s="268"/>
      <c r="U642" s="269">
        <v>5257000</v>
      </c>
      <c r="V642" s="269">
        <v>4224000</v>
      </c>
      <c r="W642" s="278">
        <v>0</v>
      </c>
      <c r="X642" s="270"/>
      <c r="Y642" s="262" t="s">
        <v>74</v>
      </c>
      <c r="Z642" s="271" t="s">
        <v>25</v>
      </c>
      <c r="AA642" s="287"/>
      <c r="AB642" s="287"/>
      <c r="AC642" s="272">
        <f t="shared" si="21"/>
        <v>4000000</v>
      </c>
      <c r="AD642" s="272">
        <v>4000000</v>
      </c>
      <c r="AE642" s="272">
        <f t="shared" si="22"/>
        <v>0</v>
      </c>
      <c r="AF642" s="273"/>
      <c r="AG642" s="274"/>
      <c r="AH642" s="273"/>
      <c r="AI642" s="273"/>
      <c r="AJ642" s="274"/>
      <c r="AK642" s="273"/>
      <c r="AL642" s="275"/>
      <c r="AM642" s="290"/>
      <c r="AN642" s="275"/>
      <c r="AO642" s="276"/>
      <c r="AP642" s="275"/>
      <c r="AQ642" s="275"/>
      <c r="AR642" s="275"/>
      <c r="AS642" s="275"/>
      <c r="AT642" s="275"/>
      <c r="AU642" s="275">
        <v>4000000</v>
      </c>
      <c r="AV642" s="275"/>
      <c r="AW642" s="275"/>
      <c r="AX642" s="275"/>
      <c r="AY642" s="275"/>
      <c r="AZ642" s="275"/>
      <c r="BA642" s="275"/>
      <c r="BB642" s="275"/>
      <c r="BC642" s="275"/>
      <c r="BD642" s="275"/>
      <c r="BE642" s="275"/>
      <c r="BF642" s="275"/>
      <c r="BH642" s="277"/>
    </row>
    <row r="643" spans="1:60" ht="16.5" hidden="1" customHeight="1" x14ac:dyDescent="0.3">
      <c r="A643" s="260">
        <v>621</v>
      </c>
      <c r="B643" s="261"/>
      <c r="C643" s="261"/>
      <c r="D643" s="262" t="s">
        <v>15</v>
      </c>
      <c r="E643" s="262" t="s">
        <v>456</v>
      </c>
      <c r="F643" s="263" t="s">
        <v>15</v>
      </c>
      <c r="G643" s="264" t="s">
        <v>456</v>
      </c>
      <c r="H643" s="281"/>
      <c r="I643" s="265"/>
      <c r="J643" s="266" t="s">
        <v>559</v>
      </c>
      <c r="K643" s="262"/>
      <c r="L643" s="262"/>
      <c r="M643" s="262">
        <v>19263</v>
      </c>
      <c r="N643" s="262" t="s">
        <v>32</v>
      </c>
      <c r="O643" s="262" t="s">
        <v>56</v>
      </c>
      <c r="P643" s="262"/>
      <c r="Q643" s="262" t="s">
        <v>73</v>
      </c>
      <c r="R643" s="262" t="s">
        <v>468</v>
      </c>
      <c r="S643" s="267" t="s">
        <v>468</v>
      </c>
      <c r="T643" s="268"/>
      <c r="U643" s="269"/>
      <c r="V643" s="269">
        <v>800000</v>
      </c>
      <c r="W643" s="278">
        <v>0</v>
      </c>
      <c r="X643" s="270"/>
      <c r="Y643" s="262" t="s">
        <v>20</v>
      </c>
      <c r="Z643" s="271" t="s">
        <v>20</v>
      </c>
      <c r="AA643" s="287"/>
      <c r="AB643" s="287"/>
      <c r="AC643" s="272">
        <f t="shared" si="21"/>
        <v>0</v>
      </c>
      <c r="AD643" s="272">
        <v>0</v>
      </c>
      <c r="AE643" s="272">
        <f t="shared" si="22"/>
        <v>0</v>
      </c>
      <c r="AF643" s="273"/>
      <c r="AG643" s="274"/>
      <c r="AH643" s="273"/>
      <c r="AI643" s="273"/>
      <c r="AJ643" s="274"/>
      <c r="AK643" s="273"/>
      <c r="AL643" s="275"/>
      <c r="AM643" s="290"/>
      <c r="AN643" s="275"/>
      <c r="AO643" s="276"/>
      <c r="AP643" s="275"/>
      <c r="AQ643" s="275"/>
      <c r="AR643" s="275"/>
      <c r="AS643" s="275"/>
      <c r="AT643" s="275"/>
      <c r="AU643" s="275"/>
      <c r="AV643" s="275"/>
      <c r="AW643" s="275"/>
      <c r="AX643" s="275"/>
      <c r="AY643" s="275"/>
      <c r="AZ643" s="275"/>
      <c r="BA643" s="275"/>
      <c r="BB643" s="275"/>
      <c r="BC643" s="275"/>
      <c r="BD643" s="275"/>
      <c r="BE643" s="275"/>
      <c r="BF643" s="275"/>
      <c r="BH643" s="277"/>
    </row>
    <row r="644" spans="1:60" ht="16.5" hidden="1" customHeight="1" x14ac:dyDescent="0.3">
      <c r="A644" s="260">
        <v>622</v>
      </c>
      <c r="B644" s="261"/>
      <c r="C644" s="261"/>
      <c r="D644" s="262" t="s">
        <v>15</v>
      </c>
      <c r="E644" s="262" t="s">
        <v>456</v>
      </c>
      <c r="F644" s="263" t="s">
        <v>15</v>
      </c>
      <c r="G644" s="264" t="s">
        <v>456</v>
      </c>
      <c r="H644" s="281"/>
      <c r="I644" s="265"/>
      <c r="J644" s="266" t="s">
        <v>559</v>
      </c>
      <c r="K644" s="262"/>
      <c r="L644" s="262"/>
      <c r="M644" s="262">
        <v>19263</v>
      </c>
      <c r="N644" s="262" t="s">
        <v>32</v>
      </c>
      <c r="O644" s="262" t="s">
        <v>56</v>
      </c>
      <c r="P644" s="262"/>
      <c r="Q644" s="262" t="s">
        <v>55</v>
      </c>
      <c r="R644" s="262" t="s">
        <v>466</v>
      </c>
      <c r="S644" s="267" t="s">
        <v>829</v>
      </c>
      <c r="T644" s="268"/>
      <c r="U644" s="269"/>
      <c r="V644" s="269">
        <v>17272728</v>
      </c>
      <c r="W644" s="278">
        <v>0</v>
      </c>
      <c r="X644" s="270"/>
      <c r="Y644" s="262" t="s">
        <v>24</v>
      </c>
      <c r="Z644" s="271" t="s">
        <v>718</v>
      </c>
      <c r="AA644" s="287"/>
      <c r="AB644" s="287"/>
      <c r="AC644" s="272">
        <f t="shared" si="21"/>
        <v>0</v>
      </c>
      <c r="AD644" s="272">
        <v>0</v>
      </c>
      <c r="AE644" s="272">
        <f t="shared" si="22"/>
        <v>0</v>
      </c>
      <c r="AF644" s="273"/>
      <c r="AG644" s="274"/>
      <c r="AH644" s="273"/>
      <c r="AI644" s="273"/>
      <c r="AJ644" s="274"/>
      <c r="AK644" s="273"/>
      <c r="AL644" s="275"/>
      <c r="AM644" s="290"/>
      <c r="AN644" s="275"/>
      <c r="AO644" s="276"/>
      <c r="AP644" s="275"/>
      <c r="AQ644" s="275"/>
      <c r="AR644" s="275"/>
      <c r="AS644" s="275"/>
      <c r="AT644" s="275"/>
      <c r="AU644" s="275"/>
      <c r="AV644" s="275"/>
      <c r="AW644" s="275"/>
      <c r="AX644" s="275"/>
      <c r="AY644" s="275"/>
      <c r="AZ644" s="275"/>
      <c r="BA644" s="275"/>
      <c r="BB644" s="275"/>
      <c r="BC644" s="275"/>
      <c r="BD644" s="275"/>
      <c r="BE644" s="275"/>
      <c r="BF644" s="275"/>
      <c r="BH644" s="277"/>
    </row>
    <row r="645" spans="1:60" ht="16.5" hidden="1" customHeight="1" x14ac:dyDescent="0.3">
      <c r="A645" s="260">
        <v>623</v>
      </c>
      <c r="B645" s="261"/>
      <c r="C645" s="261"/>
      <c r="D645" s="262" t="s">
        <v>15</v>
      </c>
      <c r="E645" s="262" t="s">
        <v>456</v>
      </c>
      <c r="F645" s="263" t="s">
        <v>15</v>
      </c>
      <c r="G645" s="264" t="s">
        <v>456</v>
      </c>
      <c r="H645" s="281"/>
      <c r="I645" s="265"/>
      <c r="J645" s="266" t="s">
        <v>936</v>
      </c>
      <c r="K645" s="262"/>
      <c r="L645" s="262"/>
      <c r="M645" s="262">
        <v>19263</v>
      </c>
      <c r="N645" s="262" t="s">
        <v>32</v>
      </c>
      <c r="O645" s="262" t="s">
        <v>56</v>
      </c>
      <c r="P645" s="262"/>
      <c r="Q645" s="262" t="s">
        <v>73</v>
      </c>
      <c r="R645" s="262"/>
      <c r="S645" s="267" t="s">
        <v>828</v>
      </c>
      <c r="T645" s="268"/>
      <c r="U645" s="269"/>
      <c r="V645" s="269"/>
      <c r="W645" s="278">
        <v>0</v>
      </c>
      <c r="X645" s="270"/>
      <c r="Y645" s="262"/>
      <c r="Z645" s="271" t="s">
        <v>27</v>
      </c>
      <c r="AA645" s="287"/>
      <c r="AB645" s="287"/>
      <c r="AC645" s="272">
        <f t="shared" si="21"/>
        <v>4472727</v>
      </c>
      <c r="AD645" s="272">
        <v>4472727</v>
      </c>
      <c r="AE645" s="272">
        <f t="shared" si="22"/>
        <v>0</v>
      </c>
      <c r="AF645" s="273">
        <v>4472727</v>
      </c>
      <c r="AG645" s="274">
        <v>4472727</v>
      </c>
      <c r="AH645" s="273"/>
      <c r="AI645" s="273"/>
      <c r="AJ645" s="274"/>
      <c r="AK645" s="273"/>
      <c r="AL645" s="275"/>
      <c r="AM645" s="290"/>
      <c r="AN645" s="275"/>
      <c r="AO645" s="276"/>
      <c r="AP645" s="275"/>
      <c r="AQ645" s="275"/>
      <c r="AR645" s="275"/>
      <c r="AS645" s="275"/>
      <c r="AT645" s="275"/>
      <c r="AU645" s="275"/>
      <c r="AV645" s="275"/>
      <c r="AW645" s="275"/>
      <c r="AX645" s="275"/>
      <c r="AY645" s="275"/>
      <c r="AZ645" s="275"/>
      <c r="BA645" s="275"/>
      <c r="BB645" s="275"/>
      <c r="BC645" s="275"/>
      <c r="BD645" s="275"/>
      <c r="BE645" s="275"/>
      <c r="BF645" s="275"/>
      <c r="BH645" s="277"/>
    </row>
    <row r="646" spans="1:60" ht="16.5" hidden="1" customHeight="1" x14ac:dyDescent="0.3">
      <c r="A646" s="260">
        <v>624</v>
      </c>
      <c r="B646" s="261"/>
      <c r="C646" s="261"/>
      <c r="D646" s="262" t="s">
        <v>15</v>
      </c>
      <c r="E646" s="262" t="s">
        <v>456</v>
      </c>
      <c r="F646" s="263" t="s">
        <v>15</v>
      </c>
      <c r="G646" s="264" t="s">
        <v>456</v>
      </c>
      <c r="H646" s="281"/>
      <c r="I646" s="265"/>
      <c r="J646" s="266" t="s">
        <v>936</v>
      </c>
      <c r="K646" s="262"/>
      <c r="L646" s="262"/>
      <c r="M646" s="262">
        <v>19263</v>
      </c>
      <c r="N646" s="262" t="s">
        <v>32</v>
      </c>
      <c r="O646" s="262" t="s">
        <v>35</v>
      </c>
      <c r="P646" s="262"/>
      <c r="Q646" s="262" t="s">
        <v>23</v>
      </c>
      <c r="R646" s="262" t="s">
        <v>397</v>
      </c>
      <c r="S646" s="267" t="s">
        <v>823</v>
      </c>
      <c r="T646" s="268"/>
      <c r="U646" s="269"/>
      <c r="V646" s="269">
        <v>38000000</v>
      </c>
      <c r="W646" s="278">
        <v>154127273</v>
      </c>
      <c r="X646" s="270"/>
      <c r="Y646" s="262" t="s">
        <v>27</v>
      </c>
      <c r="Z646" s="271" t="s">
        <v>27</v>
      </c>
      <c r="AA646" s="287"/>
      <c r="AB646" s="287"/>
      <c r="AC646" s="272">
        <f t="shared" si="21"/>
        <v>140145453</v>
      </c>
      <c r="AD646" s="272">
        <v>140145453</v>
      </c>
      <c r="AE646" s="272">
        <f t="shared" si="22"/>
        <v>0</v>
      </c>
      <c r="AF646" s="273"/>
      <c r="AG646" s="274"/>
      <c r="AH646" s="273"/>
      <c r="AI646" s="273"/>
      <c r="AJ646" s="274"/>
      <c r="AK646" s="273"/>
      <c r="AL646" s="275"/>
      <c r="AM646" s="290"/>
      <c r="AN646" s="275"/>
      <c r="AO646" s="276">
        <v>98101817</v>
      </c>
      <c r="AP646" s="275"/>
      <c r="AQ646" s="275"/>
      <c r="AR646" s="275"/>
      <c r="AS646" s="275"/>
      <c r="AT646" s="275"/>
      <c r="AU646" s="275"/>
      <c r="AV646" s="275"/>
      <c r="AW646" s="275"/>
      <c r="AX646" s="275"/>
      <c r="AY646" s="275"/>
      <c r="AZ646" s="275"/>
      <c r="BA646" s="275"/>
      <c r="BB646" s="275"/>
      <c r="BC646" s="275"/>
      <c r="BD646" s="275"/>
      <c r="BE646" s="275">
        <v>42043636</v>
      </c>
      <c r="BF646" s="275"/>
      <c r="BH646" s="277"/>
    </row>
    <row r="647" spans="1:60" ht="16.5" hidden="1" customHeight="1" x14ac:dyDescent="0.3">
      <c r="A647" s="260">
        <v>625</v>
      </c>
      <c r="B647" s="261"/>
      <c r="C647" s="261"/>
      <c r="D647" s="262" t="s">
        <v>15</v>
      </c>
      <c r="E647" s="262" t="s">
        <v>456</v>
      </c>
      <c r="F647" s="263" t="s">
        <v>15</v>
      </c>
      <c r="G647" s="264" t="s">
        <v>456</v>
      </c>
      <c r="H647" s="281"/>
      <c r="I647" s="265"/>
      <c r="J647" s="266" t="s">
        <v>190</v>
      </c>
      <c r="K647" s="262"/>
      <c r="L647" s="262"/>
      <c r="M647" s="262">
        <v>59741</v>
      </c>
      <c r="N647" s="262" t="s">
        <v>32</v>
      </c>
      <c r="O647" s="262" t="s">
        <v>35</v>
      </c>
      <c r="P647" s="262" t="s">
        <v>124</v>
      </c>
      <c r="Q647" s="262"/>
      <c r="R647" s="262" t="s">
        <v>397</v>
      </c>
      <c r="S647" s="267" t="s">
        <v>823</v>
      </c>
      <c r="T647" s="268"/>
      <c r="U647" s="269"/>
      <c r="V647" s="269">
        <v>0</v>
      </c>
      <c r="W647" s="278">
        <v>0</v>
      </c>
      <c r="X647" s="270"/>
      <c r="Y647" s="262" t="s">
        <v>599</v>
      </c>
      <c r="Z647" s="271" t="s">
        <v>599</v>
      </c>
      <c r="AA647" s="287"/>
      <c r="AB647" s="287"/>
      <c r="AC647" s="272">
        <f t="shared" si="21"/>
        <v>100000000</v>
      </c>
      <c r="AD647" s="272">
        <v>100000000</v>
      </c>
      <c r="AE647" s="272">
        <f t="shared" si="22"/>
        <v>0</v>
      </c>
      <c r="AF647" s="273"/>
      <c r="AG647" s="274"/>
      <c r="AH647" s="273"/>
      <c r="AI647" s="273"/>
      <c r="AJ647" s="274"/>
      <c r="AK647" s="273"/>
      <c r="AL647" s="275"/>
      <c r="AM647" s="290"/>
      <c r="AN647" s="275"/>
      <c r="AO647" s="276"/>
      <c r="AP647" s="275"/>
      <c r="AQ647" s="275">
        <v>70000000</v>
      </c>
      <c r="AR647" s="275"/>
      <c r="AS647" s="275"/>
      <c r="AT647" s="275"/>
      <c r="AU647" s="275"/>
      <c r="AV647" s="275"/>
      <c r="AW647" s="275"/>
      <c r="AX647" s="275"/>
      <c r="AY647" s="275"/>
      <c r="AZ647" s="275"/>
      <c r="BA647" s="275"/>
      <c r="BB647" s="275"/>
      <c r="BC647" s="275"/>
      <c r="BD647" s="275"/>
      <c r="BE647" s="275">
        <v>30000000</v>
      </c>
      <c r="BF647" s="275"/>
      <c r="BH647" s="277"/>
    </row>
    <row r="648" spans="1:60" ht="16.5" hidden="1" customHeight="1" x14ac:dyDescent="0.3">
      <c r="A648" s="260">
        <v>626</v>
      </c>
      <c r="B648" s="261"/>
      <c r="C648" s="261"/>
      <c r="D648" s="262" t="s">
        <v>15</v>
      </c>
      <c r="E648" s="262" t="s">
        <v>456</v>
      </c>
      <c r="F648" s="263" t="s">
        <v>15</v>
      </c>
      <c r="G648" s="264" t="s">
        <v>456</v>
      </c>
      <c r="H648" s="281"/>
      <c r="I648" s="265"/>
      <c r="J648" s="266" t="s">
        <v>191</v>
      </c>
      <c r="K648" s="262"/>
      <c r="L648" s="262"/>
      <c r="M648" s="262">
        <v>3608</v>
      </c>
      <c r="N648" s="262" t="s">
        <v>32</v>
      </c>
      <c r="O648" s="262" t="s">
        <v>35</v>
      </c>
      <c r="P648" s="262" t="s">
        <v>124</v>
      </c>
      <c r="Q648" s="262"/>
      <c r="R648" s="262" t="s">
        <v>469</v>
      </c>
      <c r="S648" s="267" t="s">
        <v>469</v>
      </c>
      <c r="T648" s="268"/>
      <c r="U648" s="269"/>
      <c r="V648" s="269">
        <v>0</v>
      </c>
      <c r="W648" s="278">
        <v>0</v>
      </c>
      <c r="X648" s="270"/>
      <c r="Y648" s="262" t="s">
        <v>562</v>
      </c>
      <c r="Z648" s="271" t="s">
        <v>25</v>
      </c>
      <c r="AA648" s="287"/>
      <c r="AB648" s="287"/>
      <c r="AC648" s="272">
        <f t="shared" si="21"/>
        <v>10000000</v>
      </c>
      <c r="AD648" s="272">
        <v>10000000</v>
      </c>
      <c r="AE648" s="272">
        <f t="shared" si="22"/>
        <v>0</v>
      </c>
      <c r="AF648" s="273"/>
      <c r="AG648" s="274"/>
      <c r="AH648" s="273"/>
      <c r="AI648" s="273"/>
      <c r="AJ648" s="274"/>
      <c r="AK648" s="273"/>
      <c r="AL648" s="275"/>
      <c r="AM648" s="290"/>
      <c r="AN648" s="275"/>
      <c r="AO648" s="276"/>
      <c r="AP648" s="275"/>
      <c r="AQ648" s="275"/>
      <c r="AR648" s="275"/>
      <c r="AS648" s="275"/>
      <c r="AT648" s="275"/>
      <c r="AU648" s="275"/>
      <c r="AV648" s="275"/>
      <c r="AW648" s="275"/>
      <c r="AX648" s="275"/>
      <c r="AY648" s="275"/>
      <c r="AZ648" s="275"/>
      <c r="BA648" s="275">
        <v>10000000</v>
      </c>
      <c r="BB648" s="275"/>
      <c r="BC648" s="275"/>
      <c r="BD648" s="275"/>
      <c r="BE648" s="275"/>
      <c r="BF648" s="275"/>
      <c r="BH648" s="277"/>
    </row>
    <row r="649" spans="1:60" ht="16.5" hidden="1" customHeight="1" x14ac:dyDescent="0.3">
      <c r="A649" s="260">
        <v>627</v>
      </c>
      <c r="B649" s="261"/>
      <c r="C649" s="261"/>
      <c r="D649" s="262" t="s">
        <v>15</v>
      </c>
      <c r="E649" s="262" t="s">
        <v>456</v>
      </c>
      <c r="F649" s="263" t="s">
        <v>15</v>
      </c>
      <c r="G649" s="264" t="s">
        <v>456</v>
      </c>
      <c r="H649" s="281"/>
      <c r="I649" s="265"/>
      <c r="J649" s="266" t="s">
        <v>191</v>
      </c>
      <c r="K649" s="262"/>
      <c r="L649" s="262"/>
      <c r="M649" s="262">
        <v>3608</v>
      </c>
      <c r="N649" s="262" t="s">
        <v>32</v>
      </c>
      <c r="O649" s="262" t="s">
        <v>56</v>
      </c>
      <c r="P649" s="262"/>
      <c r="Q649" s="262" t="s">
        <v>26</v>
      </c>
      <c r="R649" s="262" t="s">
        <v>468</v>
      </c>
      <c r="S649" s="267" t="s">
        <v>468</v>
      </c>
      <c r="T649" s="268"/>
      <c r="U649" s="269"/>
      <c r="V649" s="269">
        <v>18000000</v>
      </c>
      <c r="W649" s="278">
        <v>0</v>
      </c>
      <c r="X649" s="270"/>
      <c r="Y649" s="262" t="s">
        <v>24</v>
      </c>
      <c r="Z649" s="271" t="s">
        <v>25</v>
      </c>
      <c r="AA649" s="287"/>
      <c r="AB649" s="287"/>
      <c r="AC649" s="272">
        <f t="shared" si="21"/>
        <v>10000000</v>
      </c>
      <c r="AD649" s="272">
        <v>10000000</v>
      </c>
      <c r="AE649" s="272">
        <f t="shared" si="22"/>
        <v>0</v>
      </c>
      <c r="AF649" s="273"/>
      <c r="AG649" s="274"/>
      <c r="AH649" s="273"/>
      <c r="AI649" s="273"/>
      <c r="AJ649" s="274"/>
      <c r="AK649" s="273"/>
      <c r="AL649" s="275"/>
      <c r="AM649" s="290"/>
      <c r="AN649" s="275"/>
      <c r="AO649" s="276"/>
      <c r="AP649" s="275"/>
      <c r="AQ649" s="275"/>
      <c r="AR649" s="275"/>
      <c r="AS649" s="275"/>
      <c r="AT649" s="275"/>
      <c r="AU649" s="275">
        <v>10000000</v>
      </c>
      <c r="AV649" s="275"/>
      <c r="AW649" s="275"/>
      <c r="AX649" s="275"/>
      <c r="AY649" s="275"/>
      <c r="AZ649" s="275"/>
      <c r="BA649" s="275"/>
      <c r="BB649" s="275"/>
      <c r="BC649" s="275"/>
      <c r="BD649" s="275"/>
      <c r="BE649" s="275"/>
      <c r="BF649" s="275"/>
      <c r="BH649" s="277"/>
    </row>
    <row r="650" spans="1:60" ht="16.5" hidden="1" customHeight="1" x14ac:dyDescent="0.3">
      <c r="A650" s="260">
        <v>628</v>
      </c>
      <c r="B650" s="261"/>
      <c r="C650" s="261"/>
      <c r="D650" s="262" t="s">
        <v>15</v>
      </c>
      <c r="E650" s="262" t="s">
        <v>456</v>
      </c>
      <c r="F650" s="263" t="s">
        <v>15</v>
      </c>
      <c r="G650" s="264" t="s">
        <v>456</v>
      </c>
      <c r="H650" s="281"/>
      <c r="I650" s="265"/>
      <c r="J650" s="266" t="s">
        <v>191</v>
      </c>
      <c r="K650" s="262"/>
      <c r="L650" s="262"/>
      <c r="M650" s="262">
        <v>3608</v>
      </c>
      <c r="N650" s="262" t="s">
        <v>32</v>
      </c>
      <c r="O650" s="262" t="s">
        <v>56</v>
      </c>
      <c r="P650" s="262" t="s">
        <v>124</v>
      </c>
      <c r="Q650" s="262" t="s">
        <v>23</v>
      </c>
      <c r="R650" s="262" t="s">
        <v>397</v>
      </c>
      <c r="S650" s="267" t="s">
        <v>823</v>
      </c>
      <c r="T650" s="268"/>
      <c r="U650" s="269"/>
      <c r="V650" s="269">
        <v>18000000</v>
      </c>
      <c r="W650" s="278">
        <v>0</v>
      </c>
      <c r="X650" s="270"/>
      <c r="Y650" s="262" t="s">
        <v>599</v>
      </c>
      <c r="Z650" s="271" t="s">
        <v>599</v>
      </c>
      <c r="AA650" s="287"/>
      <c r="AB650" s="287"/>
      <c r="AC650" s="272">
        <f t="shared" si="21"/>
        <v>100000000</v>
      </c>
      <c r="AD650" s="272">
        <v>100000000</v>
      </c>
      <c r="AE650" s="272">
        <f t="shared" si="22"/>
        <v>0</v>
      </c>
      <c r="AF650" s="273"/>
      <c r="AG650" s="274"/>
      <c r="AH650" s="273"/>
      <c r="AI650" s="273"/>
      <c r="AJ650" s="274"/>
      <c r="AK650" s="273"/>
      <c r="AL650" s="275"/>
      <c r="AM650" s="290"/>
      <c r="AN650" s="275"/>
      <c r="AO650" s="276"/>
      <c r="AP650" s="275"/>
      <c r="AQ650" s="275">
        <v>70000000</v>
      </c>
      <c r="AR650" s="275"/>
      <c r="AS650" s="275"/>
      <c r="AT650" s="275"/>
      <c r="AU650" s="275"/>
      <c r="AV650" s="275"/>
      <c r="AW650" s="275"/>
      <c r="AX650" s="275"/>
      <c r="AY650" s="275"/>
      <c r="AZ650" s="275"/>
      <c r="BA650" s="275"/>
      <c r="BB650" s="275"/>
      <c r="BC650" s="275"/>
      <c r="BD650" s="275"/>
      <c r="BE650" s="275">
        <v>30000000</v>
      </c>
      <c r="BF650" s="275"/>
      <c r="BH650" s="277"/>
    </row>
    <row r="651" spans="1:60" ht="16.5" hidden="1" customHeight="1" x14ac:dyDescent="0.3">
      <c r="A651" s="260">
        <v>629</v>
      </c>
      <c r="B651" s="261"/>
      <c r="C651" s="261"/>
      <c r="D651" s="262" t="s">
        <v>15</v>
      </c>
      <c r="E651" s="262" t="s">
        <v>456</v>
      </c>
      <c r="F651" s="263" t="s">
        <v>15</v>
      </c>
      <c r="G651" s="264" t="s">
        <v>456</v>
      </c>
      <c r="H651" s="281"/>
      <c r="I651" s="265"/>
      <c r="J651" s="266" t="s">
        <v>786</v>
      </c>
      <c r="K651" s="262"/>
      <c r="L651" s="262"/>
      <c r="M651" s="262">
        <v>3608</v>
      </c>
      <c r="N651" s="262" t="s">
        <v>32</v>
      </c>
      <c r="O651" s="262" t="s">
        <v>56</v>
      </c>
      <c r="P651" s="262"/>
      <c r="Q651" s="262" t="s">
        <v>59</v>
      </c>
      <c r="R651" s="262" t="s">
        <v>476</v>
      </c>
      <c r="S651" s="267" t="s">
        <v>825</v>
      </c>
      <c r="T651" s="268"/>
      <c r="U651" s="269"/>
      <c r="V651" s="269">
        <v>19090909</v>
      </c>
      <c r="W651" s="278">
        <v>0</v>
      </c>
      <c r="X651" s="270"/>
      <c r="Y651" s="262" t="s">
        <v>562</v>
      </c>
      <c r="Z651" s="271" t="s">
        <v>20</v>
      </c>
      <c r="AA651" s="287"/>
      <c r="AB651" s="287"/>
      <c r="AC651" s="272">
        <f t="shared" si="21"/>
        <v>0</v>
      </c>
      <c r="AD651" s="272">
        <v>0</v>
      </c>
      <c r="AE651" s="272">
        <f t="shared" si="22"/>
        <v>0</v>
      </c>
      <c r="AF651" s="273"/>
      <c r="AG651" s="274"/>
      <c r="AH651" s="273"/>
      <c r="AI651" s="273"/>
      <c r="AJ651" s="274"/>
      <c r="AK651" s="273"/>
      <c r="AL651" s="275"/>
      <c r="AM651" s="290"/>
      <c r="AN651" s="275"/>
      <c r="AO651" s="276"/>
      <c r="AP651" s="275"/>
      <c r="AQ651" s="275"/>
      <c r="AR651" s="275"/>
      <c r="AS651" s="275"/>
      <c r="AT651" s="275"/>
      <c r="AU651" s="275"/>
      <c r="AV651" s="275"/>
      <c r="AW651" s="275"/>
      <c r="AX651" s="275"/>
      <c r="AY651" s="275"/>
      <c r="AZ651" s="275"/>
      <c r="BA651" s="275"/>
      <c r="BB651" s="275"/>
      <c r="BC651" s="275"/>
      <c r="BD651" s="275"/>
      <c r="BE651" s="275"/>
      <c r="BF651" s="275"/>
      <c r="BH651" s="277"/>
    </row>
    <row r="652" spans="1:60" ht="16.5" hidden="1" customHeight="1" x14ac:dyDescent="0.3">
      <c r="A652" s="260">
        <v>630</v>
      </c>
      <c r="B652" s="261"/>
      <c r="C652" s="261"/>
      <c r="D652" s="262" t="s">
        <v>15</v>
      </c>
      <c r="E652" s="262" t="s">
        <v>456</v>
      </c>
      <c r="F652" s="263" t="s">
        <v>15</v>
      </c>
      <c r="G652" s="264" t="s">
        <v>456</v>
      </c>
      <c r="H652" s="281"/>
      <c r="I652" s="265"/>
      <c r="J652" s="266" t="s">
        <v>167</v>
      </c>
      <c r="K652" s="262"/>
      <c r="L652" s="262"/>
      <c r="M652" s="262">
        <v>17829</v>
      </c>
      <c r="N652" s="262" t="s">
        <v>22</v>
      </c>
      <c r="O652" s="262" t="s">
        <v>212</v>
      </c>
      <c r="P652" s="262" t="s">
        <v>57</v>
      </c>
      <c r="Q652" s="262" t="s">
        <v>18</v>
      </c>
      <c r="R652" s="262" t="s">
        <v>19</v>
      </c>
      <c r="S652" s="267" t="s">
        <v>19</v>
      </c>
      <c r="T652" s="268"/>
      <c r="U652" s="269">
        <v>5604060</v>
      </c>
      <c r="V652" s="269">
        <v>11085216</v>
      </c>
      <c r="W652" s="278">
        <v>11533482</v>
      </c>
      <c r="X652" s="270"/>
      <c r="Y652" s="262" t="s">
        <v>27</v>
      </c>
      <c r="Z652" s="271" t="s">
        <v>27</v>
      </c>
      <c r="AA652" s="287"/>
      <c r="AB652" s="287"/>
      <c r="AC652" s="272">
        <f t="shared" si="21"/>
        <v>11035140</v>
      </c>
      <c r="AD652" s="272">
        <v>11035140</v>
      </c>
      <c r="AE652" s="272">
        <f t="shared" si="22"/>
        <v>0</v>
      </c>
      <c r="AF652" s="273">
        <v>417140</v>
      </c>
      <c r="AG652" s="274">
        <v>417140</v>
      </c>
      <c r="AH652" s="273"/>
      <c r="AI652" s="273"/>
      <c r="AJ652" s="274">
        <v>889000</v>
      </c>
      <c r="AK652" s="273"/>
      <c r="AL652" s="275">
        <v>729000</v>
      </c>
      <c r="AM652" s="290">
        <v>729000</v>
      </c>
      <c r="AN652" s="275"/>
      <c r="AO652" s="276">
        <v>1000000</v>
      </c>
      <c r="AP652" s="275"/>
      <c r="AQ652" s="275">
        <v>1000000</v>
      </c>
      <c r="AR652" s="275"/>
      <c r="AS652" s="275">
        <v>1000000</v>
      </c>
      <c r="AT652" s="275"/>
      <c r="AU652" s="275">
        <v>1000000</v>
      </c>
      <c r="AV652" s="275"/>
      <c r="AW652" s="275">
        <v>1000000</v>
      </c>
      <c r="AX652" s="275"/>
      <c r="AY652" s="275">
        <v>1000000</v>
      </c>
      <c r="AZ652" s="275"/>
      <c r="BA652" s="275">
        <v>1000000</v>
      </c>
      <c r="BB652" s="275"/>
      <c r="BC652" s="275">
        <v>1000000</v>
      </c>
      <c r="BD652" s="275"/>
      <c r="BE652" s="275">
        <v>1000000</v>
      </c>
      <c r="BF652" s="275"/>
      <c r="BH652" s="277"/>
    </row>
    <row r="653" spans="1:60" ht="16.5" hidden="1" customHeight="1" x14ac:dyDescent="0.3">
      <c r="A653" s="260">
        <v>631</v>
      </c>
      <c r="B653" s="261"/>
      <c r="C653" s="261"/>
      <c r="D653" s="262" t="s">
        <v>15</v>
      </c>
      <c r="E653" s="262" t="s">
        <v>456</v>
      </c>
      <c r="F653" s="263" t="s">
        <v>15</v>
      </c>
      <c r="G653" s="264" t="s">
        <v>456</v>
      </c>
      <c r="H653" s="281"/>
      <c r="I653" s="265"/>
      <c r="J653" s="266" t="s">
        <v>167</v>
      </c>
      <c r="K653" s="262"/>
      <c r="L653" s="262"/>
      <c r="M653" s="262">
        <v>17829</v>
      </c>
      <c r="N653" s="262" t="s">
        <v>22</v>
      </c>
      <c r="O653" s="262" t="s">
        <v>35</v>
      </c>
      <c r="P653" s="262" t="s">
        <v>57</v>
      </c>
      <c r="Q653" s="262" t="s">
        <v>61</v>
      </c>
      <c r="R653" s="262" t="s">
        <v>468</v>
      </c>
      <c r="S653" s="267" t="s">
        <v>468</v>
      </c>
      <c r="T653" s="268"/>
      <c r="U653" s="269"/>
      <c r="V653" s="269">
        <v>0</v>
      </c>
      <c r="W653" s="278">
        <v>0</v>
      </c>
      <c r="X653" s="270"/>
      <c r="Y653" s="262" t="s">
        <v>24</v>
      </c>
      <c r="Z653" s="271" t="s">
        <v>25</v>
      </c>
      <c r="AA653" s="287"/>
      <c r="AB653" s="287"/>
      <c r="AC653" s="272">
        <f t="shared" si="21"/>
        <v>10000000</v>
      </c>
      <c r="AD653" s="272">
        <v>10000000</v>
      </c>
      <c r="AE653" s="272">
        <f t="shared" si="22"/>
        <v>0</v>
      </c>
      <c r="AF653" s="273"/>
      <c r="AG653" s="274"/>
      <c r="AH653" s="273"/>
      <c r="AI653" s="273"/>
      <c r="AJ653" s="274"/>
      <c r="AK653" s="273"/>
      <c r="AL653" s="275"/>
      <c r="AM653" s="290"/>
      <c r="AN653" s="275"/>
      <c r="AO653" s="276"/>
      <c r="AP653" s="275"/>
      <c r="AQ653" s="275"/>
      <c r="AR653" s="275"/>
      <c r="AS653" s="275">
        <v>5000000</v>
      </c>
      <c r="AT653" s="275"/>
      <c r="AU653" s="275"/>
      <c r="AV653" s="275"/>
      <c r="AW653" s="275"/>
      <c r="AX653" s="275"/>
      <c r="AY653" s="275"/>
      <c r="AZ653" s="275"/>
      <c r="BA653" s="275"/>
      <c r="BB653" s="275"/>
      <c r="BC653" s="275"/>
      <c r="BD653" s="275"/>
      <c r="BE653" s="275">
        <v>5000000</v>
      </c>
      <c r="BF653" s="275"/>
      <c r="BH653" s="277"/>
    </row>
    <row r="654" spans="1:60" ht="16.5" hidden="1" customHeight="1" x14ac:dyDescent="0.3">
      <c r="A654" s="260">
        <v>632</v>
      </c>
      <c r="B654" s="261"/>
      <c r="C654" s="261"/>
      <c r="D654" s="262" t="s">
        <v>15</v>
      </c>
      <c r="E654" s="262" t="s">
        <v>456</v>
      </c>
      <c r="F654" s="263" t="s">
        <v>15</v>
      </c>
      <c r="G654" s="264" t="s">
        <v>456</v>
      </c>
      <c r="H654" s="281"/>
      <c r="I654" s="265"/>
      <c r="J654" s="266" t="s">
        <v>673</v>
      </c>
      <c r="K654" s="262"/>
      <c r="L654" s="262"/>
      <c r="M654" s="262">
        <v>3894</v>
      </c>
      <c r="N654" s="262" t="s">
        <v>22</v>
      </c>
      <c r="O654" s="262" t="s">
        <v>35</v>
      </c>
      <c r="P654" s="262"/>
      <c r="Q654" s="262"/>
      <c r="R654" s="262" t="s">
        <v>468</v>
      </c>
      <c r="S654" s="267" t="s">
        <v>468</v>
      </c>
      <c r="T654" s="268"/>
      <c r="U654" s="269"/>
      <c r="V654" s="269"/>
      <c r="W654" s="278">
        <v>10884600</v>
      </c>
      <c r="X654" s="270"/>
      <c r="Y654" s="262" t="s">
        <v>24</v>
      </c>
      <c r="Z654" s="271" t="s">
        <v>24</v>
      </c>
      <c r="AA654" s="287"/>
      <c r="AB654" s="287"/>
      <c r="AC654" s="272">
        <f t="shared" si="21"/>
        <v>10000000</v>
      </c>
      <c r="AD654" s="272">
        <v>10000000</v>
      </c>
      <c r="AE654" s="272">
        <f t="shared" si="22"/>
        <v>0</v>
      </c>
      <c r="AF654" s="273"/>
      <c r="AG654" s="274"/>
      <c r="AH654" s="273"/>
      <c r="AI654" s="273"/>
      <c r="AJ654" s="274"/>
      <c r="AK654" s="273"/>
      <c r="AL654" s="275"/>
      <c r="AM654" s="290"/>
      <c r="AN654" s="275"/>
      <c r="AO654" s="276"/>
      <c r="AP654" s="275"/>
      <c r="AQ654" s="275"/>
      <c r="AR654" s="275"/>
      <c r="AS654" s="275"/>
      <c r="AT654" s="275"/>
      <c r="AU654" s="275"/>
      <c r="AV654" s="275"/>
      <c r="AW654" s="275"/>
      <c r="AX654" s="275"/>
      <c r="AY654" s="275"/>
      <c r="AZ654" s="275"/>
      <c r="BA654" s="275">
        <v>10000000</v>
      </c>
      <c r="BB654" s="275"/>
      <c r="BC654" s="275"/>
      <c r="BD654" s="275"/>
      <c r="BE654" s="275"/>
      <c r="BF654" s="275"/>
      <c r="BH654" s="277"/>
    </row>
    <row r="655" spans="1:60" ht="16.5" hidden="1" customHeight="1" x14ac:dyDescent="0.3">
      <c r="A655" s="260">
        <v>633</v>
      </c>
      <c r="B655" s="261"/>
      <c r="C655" s="261"/>
      <c r="D655" s="262" t="s">
        <v>15</v>
      </c>
      <c r="E655" s="262" t="s">
        <v>456</v>
      </c>
      <c r="F655" s="263" t="s">
        <v>15</v>
      </c>
      <c r="G655" s="264" t="s">
        <v>456</v>
      </c>
      <c r="H655" s="281"/>
      <c r="I655" s="265"/>
      <c r="J655" s="266" t="s">
        <v>673</v>
      </c>
      <c r="K655" s="262"/>
      <c r="L655" s="262"/>
      <c r="M655" s="262">
        <v>3894</v>
      </c>
      <c r="N655" s="262" t="s">
        <v>22</v>
      </c>
      <c r="O655" s="262" t="s">
        <v>35</v>
      </c>
      <c r="P655" s="262"/>
      <c r="Q655" s="262"/>
      <c r="R655" s="262"/>
      <c r="S655" s="267" t="s">
        <v>828</v>
      </c>
      <c r="T655" s="268"/>
      <c r="U655" s="269"/>
      <c r="V655" s="269"/>
      <c r="W655" s="278">
        <v>0</v>
      </c>
      <c r="X655" s="270"/>
      <c r="Y655" s="262"/>
      <c r="Z655" s="271" t="s">
        <v>25</v>
      </c>
      <c r="AA655" s="287"/>
      <c r="AB655" s="287"/>
      <c r="AC655" s="272">
        <f t="shared" si="21"/>
        <v>3000000</v>
      </c>
      <c r="AD655" s="272">
        <v>3000000</v>
      </c>
      <c r="AE655" s="272">
        <f t="shared" si="22"/>
        <v>0</v>
      </c>
      <c r="AF655" s="273"/>
      <c r="AG655" s="274"/>
      <c r="AH655" s="273"/>
      <c r="AI655" s="273"/>
      <c r="AJ655" s="274"/>
      <c r="AK655" s="273"/>
      <c r="AL655" s="275"/>
      <c r="AM655" s="290"/>
      <c r="AN655" s="275"/>
      <c r="AO655" s="276"/>
      <c r="AP655" s="275"/>
      <c r="AQ655" s="291">
        <v>3000000</v>
      </c>
      <c r="AR655" s="275"/>
      <c r="AS655" s="275"/>
      <c r="AT655" s="275"/>
      <c r="AU655" s="275"/>
      <c r="AV655" s="275"/>
      <c r="AW655" s="275"/>
      <c r="AX655" s="275"/>
      <c r="AY655" s="275"/>
      <c r="AZ655" s="275"/>
      <c r="BA655" s="275"/>
      <c r="BB655" s="275"/>
      <c r="BC655" s="275"/>
      <c r="BD655" s="275"/>
      <c r="BE655" s="275"/>
      <c r="BF655" s="275"/>
      <c r="BH655" s="277"/>
    </row>
    <row r="656" spans="1:60" ht="16.5" hidden="1" customHeight="1" x14ac:dyDescent="0.3">
      <c r="A656" s="260">
        <v>634</v>
      </c>
      <c r="B656" s="261"/>
      <c r="C656" s="261"/>
      <c r="D656" s="262" t="s">
        <v>15</v>
      </c>
      <c r="E656" s="262" t="s">
        <v>456</v>
      </c>
      <c r="F656" s="263" t="s">
        <v>15</v>
      </c>
      <c r="G656" s="264" t="s">
        <v>456</v>
      </c>
      <c r="H656" s="281"/>
      <c r="I656" s="265"/>
      <c r="J656" s="266" t="s">
        <v>673</v>
      </c>
      <c r="K656" s="262"/>
      <c r="L656" s="262"/>
      <c r="M656" s="262">
        <v>3894</v>
      </c>
      <c r="N656" s="262" t="s">
        <v>22</v>
      </c>
      <c r="O656" s="262" t="s">
        <v>35</v>
      </c>
      <c r="P656" s="262"/>
      <c r="Q656" s="262"/>
      <c r="R656" s="262"/>
      <c r="S656" s="267" t="s">
        <v>829</v>
      </c>
      <c r="T656" s="268"/>
      <c r="U656" s="269"/>
      <c r="V656" s="269"/>
      <c r="W656" s="278">
        <v>0</v>
      </c>
      <c r="X656" s="270"/>
      <c r="Y656" s="262"/>
      <c r="Z656" s="271" t="s">
        <v>25</v>
      </c>
      <c r="AA656" s="287"/>
      <c r="AB656" s="287"/>
      <c r="AC656" s="272">
        <f t="shared" si="21"/>
        <v>10000000</v>
      </c>
      <c r="AD656" s="272">
        <v>10000000</v>
      </c>
      <c r="AE656" s="272">
        <f t="shared" si="22"/>
        <v>0</v>
      </c>
      <c r="AF656" s="273"/>
      <c r="AG656" s="274"/>
      <c r="AH656" s="273"/>
      <c r="AI656" s="273"/>
      <c r="AJ656" s="274"/>
      <c r="AK656" s="273"/>
      <c r="AL656" s="275"/>
      <c r="AM656" s="290"/>
      <c r="AN656" s="275"/>
      <c r="AO656" s="276"/>
      <c r="AP656" s="275"/>
      <c r="AQ656" s="275"/>
      <c r="AR656" s="275"/>
      <c r="AS656" s="275"/>
      <c r="AT656" s="275"/>
      <c r="AU656" s="275"/>
      <c r="AV656" s="275"/>
      <c r="AW656" s="275"/>
      <c r="AX656" s="275"/>
      <c r="AY656" s="275">
        <v>10000000</v>
      </c>
      <c r="AZ656" s="275"/>
      <c r="BA656" s="275"/>
      <c r="BB656" s="275"/>
      <c r="BC656" s="275"/>
      <c r="BD656" s="275"/>
      <c r="BE656" s="275"/>
      <c r="BF656" s="275"/>
      <c r="BH656" s="277"/>
    </row>
    <row r="657" spans="1:60" ht="16.5" hidden="1" customHeight="1" x14ac:dyDescent="0.3">
      <c r="A657" s="260">
        <v>635</v>
      </c>
      <c r="B657" s="261"/>
      <c r="C657" s="261"/>
      <c r="D657" s="262" t="s">
        <v>15</v>
      </c>
      <c r="E657" s="262" t="s">
        <v>175</v>
      </c>
      <c r="F657" s="263" t="s">
        <v>15</v>
      </c>
      <c r="G657" s="264" t="s">
        <v>456</v>
      </c>
      <c r="H657" s="281"/>
      <c r="I657" s="265"/>
      <c r="J657" s="266" t="s">
        <v>341</v>
      </c>
      <c r="K657" s="262"/>
      <c r="L657" s="262"/>
      <c r="M657" s="262">
        <v>14776</v>
      </c>
      <c r="N657" s="262" t="s">
        <v>22</v>
      </c>
      <c r="O657" s="262" t="s">
        <v>56</v>
      </c>
      <c r="P657" s="262" t="s">
        <v>57</v>
      </c>
      <c r="Q657" s="262" t="s">
        <v>30</v>
      </c>
      <c r="R657" s="262" t="s">
        <v>31</v>
      </c>
      <c r="S657" s="267" t="s">
        <v>31</v>
      </c>
      <c r="T657" s="268"/>
      <c r="U657" s="269">
        <v>2805000</v>
      </c>
      <c r="V657" s="269">
        <v>3270000</v>
      </c>
      <c r="W657" s="278">
        <v>0</v>
      </c>
      <c r="X657" s="270"/>
      <c r="Y657" s="262" t="s">
        <v>24</v>
      </c>
      <c r="Z657" s="271" t="s">
        <v>20</v>
      </c>
      <c r="AA657" s="287"/>
      <c r="AB657" s="287"/>
      <c r="AC657" s="272">
        <f t="shared" si="21"/>
        <v>0</v>
      </c>
      <c r="AD657" s="272">
        <v>0</v>
      </c>
      <c r="AE657" s="272">
        <f t="shared" si="22"/>
        <v>0</v>
      </c>
      <c r="AF657" s="273"/>
      <c r="AG657" s="274"/>
      <c r="AH657" s="273"/>
      <c r="AI657" s="273"/>
      <c r="AJ657" s="274"/>
      <c r="AK657" s="273"/>
      <c r="AL657" s="275"/>
      <c r="AM657" s="290"/>
      <c r="AN657" s="275"/>
      <c r="AO657" s="276"/>
      <c r="AP657" s="275"/>
      <c r="AQ657" s="275"/>
      <c r="AR657" s="275"/>
      <c r="AS657" s="275"/>
      <c r="AT657" s="275"/>
      <c r="AU657" s="275"/>
      <c r="AV657" s="275"/>
      <c r="AW657" s="275"/>
      <c r="AX657" s="275"/>
      <c r="AY657" s="275"/>
      <c r="AZ657" s="275"/>
      <c r="BA657" s="275"/>
      <c r="BB657" s="275"/>
      <c r="BC657" s="275"/>
      <c r="BD657" s="275"/>
      <c r="BE657" s="275"/>
      <c r="BF657" s="275"/>
      <c r="BH657" s="277"/>
    </row>
    <row r="658" spans="1:60" ht="16.5" hidden="1" customHeight="1" x14ac:dyDescent="0.3">
      <c r="A658" s="260">
        <v>636</v>
      </c>
      <c r="B658" s="261"/>
      <c r="C658" s="261"/>
      <c r="D658" s="262" t="s">
        <v>15</v>
      </c>
      <c r="E658" s="262" t="s">
        <v>456</v>
      </c>
      <c r="F658" s="263" t="s">
        <v>15</v>
      </c>
      <c r="G658" s="264" t="s">
        <v>456</v>
      </c>
      <c r="H658" s="281"/>
      <c r="I658" s="265"/>
      <c r="J658" s="266" t="s">
        <v>723</v>
      </c>
      <c r="K658" s="262"/>
      <c r="L658" s="262"/>
      <c r="M658" s="262">
        <v>28980</v>
      </c>
      <c r="N658" s="262" t="s">
        <v>22</v>
      </c>
      <c r="O658" s="262" t="s">
        <v>35</v>
      </c>
      <c r="P658" s="262"/>
      <c r="Q658" s="262"/>
      <c r="R658" s="262"/>
      <c r="S658" s="267" t="s">
        <v>468</v>
      </c>
      <c r="T658" s="268"/>
      <c r="U658" s="269"/>
      <c r="V658" s="269"/>
      <c r="W658" s="278">
        <v>0</v>
      </c>
      <c r="X658" s="270"/>
      <c r="Y658" s="262"/>
      <c r="Z658" s="271" t="s">
        <v>25</v>
      </c>
      <c r="AA658" s="287"/>
      <c r="AB658" s="287"/>
      <c r="AC658" s="272">
        <f t="shared" si="21"/>
        <v>50000000</v>
      </c>
      <c r="AD658" s="272">
        <v>50000000</v>
      </c>
      <c r="AE658" s="272">
        <f t="shared" si="22"/>
        <v>0</v>
      </c>
      <c r="AF658" s="273"/>
      <c r="AG658" s="274"/>
      <c r="AH658" s="273"/>
      <c r="AI658" s="273"/>
      <c r="AJ658" s="274"/>
      <c r="AK658" s="273"/>
      <c r="AL658" s="275"/>
      <c r="AM658" s="290"/>
      <c r="AN658" s="275"/>
      <c r="AO658" s="276"/>
      <c r="AP658" s="275"/>
      <c r="AQ658" s="275"/>
      <c r="AR658" s="275"/>
      <c r="AS658" s="275"/>
      <c r="AT658" s="275"/>
      <c r="AU658" s="275"/>
      <c r="AV658" s="275"/>
      <c r="AW658" s="275"/>
      <c r="AX658" s="275"/>
      <c r="AY658" s="275"/>
      <c r="AZ658" s="275"/>
      <c r="BA658" s="275">
        <v>50000000</v>
      </c>
      <c r="BB658" s="275"/>
      <c r="BC658" s="275"/>
      <c r="BD658" s="275"/>
      <c r="BE658" s="275"/>
      <c r="BF658" s="275"/>
      <c r="BH658" s="277"/>
    </row>
    <row r="659" spans="1:60" ht="16.5" hidden="1" customHeight="1" x14ac:dyDescent="0.3">
      <c r="A659" s="260">
        <v>637</v>
      </c>
      <c r="B659" s="261"/>
      <c r="C659" s="261"/>
      <c r="D659" s="262"/>
      <c r="E659" s="262"/>
      <c r="F659" s="263" t="s">
        <v>15</v>
      </c>
      <c r="G659" s="264" t="s">
        <v>456</v>
      </c>
      <c r="H659" s="281"/>
      <c r="I659" s="265"/>
      <c r="J659" s="266" t="s">
        <v>920</v>
      </c>
      <c r="K659" s="262"/>
      <c r="L659" s="262"/>
      <c r="M659" s="262">
        <v>65842</v>
      </c>
      <c r="N659" s="262"/>
      <c r="O659" s="262"/>
      <c r="P659" s="262"/>
      <c r="Q659" s="262"/>
      <c r="R659" s="262"/>
      <c r="S659" s="267" t="s">
        <v>31</v>
      </c>
      <c r="T659" s="268"/>
      <c r="U659" s="269"/>
      <c r="V659" s="269"/>
      <c r="W659" s="278">
        <v>280000</v>
      </c>
      <c r="X659" s="270"/>
      <c r="Y659" s="262"/>
      <c r="Z659" s="271" t="s">
        <v>718</v>
      </c>
      <c r="AA659" s="287"/>
      <c r="AB659" s="287"/>
      <c r="AC659" s="272">
        <f t="shared" si="21"/>
        <v>0</v>
      </c>
      <c r="AD659" s="272">
        <v>0</v>
      </c>
      <c r="AE659" s="272">
        <f t="shared" si="22"/>
        <v>0</v>
      </c>
      <c r="AF659" s="273"/>
      <c r="AG659" s="274"/>
      <c r="AH659" s="273"/>
      <c r="AI659" s="273"/>
      <c r="AJ659" s="274"/>
      <c r="AK659" s="273"/>
      <c r="AL659" s="275"/>
      <c r="AM659" s="290"/>
      <c r="AN659" s="275"/>
      <c r="AO659" s="276"/>
      <c r="AP659" s="275"/>
      <c r="AQ659" s="275"/>
      <c r="AR659" s="275"/>
      <c r="AS659" s="275"/>
      <c r="AT659" s="275"/>
      <c r="AU659" s="275"/>
      <c r="AV659" s="275"/>
      <c r="AW659" s="275"/>
      <c r="AX659" s="275"/>
      <c r="AY659" s="275"/>
      <c r="AZ659" s="275"/>
      <c r="BA659" s="275"/>
      <c r="BB659" s="275"/>
      <c r="BC659" s="275"/>
      <c r="BD659" s="275"/>
      <c r="BE659" s="275"/>
      <c r="BF659" s="275"/>
      <c r="BH659" s="277"/>
    </row>
    <row r="660" spans="1:60" ht="16.5" hidden="1" customHeight="1" x14ac:dyDescent="0.3">
      <c r="A660" s="260">
        <v>638</v>
      </c>
      <c r="B660" s="261"/>
      <c r="C660" s="261"/>
      <c r="D660" s="262" t="s">
        <v>15</v>
      </c>
      <c r="E660" s="262" t="s">
        <v>175</v>
      </c>
      <c r="F660" s="263" t="s">
        <v>15</v>
      </c>
      <c r="G660" s="264" t="s">
        <v>456</v>
      </c>
      <c r="H660" s="281"/>
      <c r="I660" s="265"/>
      <c r="J660" s="266" t="s">
        <v>168</v>
      </c>
      <c r="K660" s="262"/>
      <c r="L660" s="262"/>
      <c r="M660" s="262">
        <v>4235</v>
      </c>
      <c r="N660" s="262" t="s">
        <v>22</v>
      </c>
      <c r="O660" s="262" t="s">
        <v>35</v>
      </c>
      <c r="P660" s="262" t="s">
        <v>156</v>
      </c>
      <c r="Q660" s="262" t="s">
        <v>46</v>
      </c>
      <c r="R660" s="262" t="s">
        <v>47</v>
      </c>
      <c r="S660" s="267" t="s">
        <v>47</v>
      </c>
      <c r="T660" s="268"/>
      <c r="U660" s="269"/>
      <c r="V660" s="269">
        <v>0</v>
      </c>
      <c r="W660" s="278">
        <v>0</v>
      </c>
      <c r="X660" s="270"/>
      <c r="Y660" s="262" t="s">
        <v>25</v>
      </c>
      <c r="Z660" s="271" t="s">
        <v>25</v>
      </c>
      <c r="AA660" s="287"/>
      <c r="AB660" s="287"/>
      <c r="AC660" s="272">
        <f t="shared" si="21"/>
        <v>0</v>
      </c>
      <c r="AD660" s="272">
        <v>0</v>
      </c>
      <c r="AE660" s="272">
        <f t="shared" si="22"/>
        <v>0</v>
      </c>
      <c r="AF660" s="273"/>
      <c r="AG660" s="274"/>
      <c r="AH660" s="273"/>
      <c r="AI660" s="273"/>
      <c r="AJ660" s="274"/>
      <c r="AK660" s="273"/>
      <c r="AL660" s="275"/>
      <c r="AM660" s="290"/>
      <c r="AN660" s="275"/>
      <c r="AO660" s="276"/>
      <c r="AP660" s="275"/>
      <c r="AQ660" s="275"/>
      <c r="AR660" s="275"/>
      <c r="AS660" s="275"/>
      <c r="AT660" s="275"/>
      <c r="AU660" s="275"/>
      <c r="AV660" s="275"/>
      <c r="AW660" s="275"/>
      <c r="AX660" s="275"/>
      <c r="AY660" s="275"/>
      <c r="AZ660" s="275"/>
      <c r="BA660" s="275"/>
      <c r="BB660" s="275"/>
      <c r="BC660" s="275"/>
      <c r="BD660" s="275"/>
      <c r="BE660" s="275"/>
      <c r="BF660" s="275"/>
      <c r="BH660" s="277"/>
    </row>
    <row r="661" spans="1:60" ht="16.5" hidden="1" customHeight="1" x14ac:dyDescent="0.3">
      <c r="A661" s="260">
        <v>639</v>
      </c>
      <c r="B661" s="261"/>
      <c r="C661" s="261"/>
      <c r="D661" s="262"/>
      <c r="E661" s="262"/>
      <c r="F661" s="263" t="s">
        <v>15</v>
      </c>
      <c r="G661" s="264" t="s">
        <v>456</v>
      </c>
      <c r="H661" s="281"/>
      <c r="I661" s="265"/>
      <c r="J661" s="266" t="s">
        <v>925</v>
      </c>
      <c r="K661" s="262"/>
      <c r="L661" s="262"/>
      <c r="M661" s="262">
        <v>64596</v>
      </c>
      <c r="N661" s="262"/>
      <c r="O661" s="262"/>
      <c r="P661" s="262"/>
      <c r="Q661" s="262"/>
      <c r="R661" s="262"/>
      <c r="S661" s="267" t="s">
        <v>28</v>
      </c>
      <c r="T661" s="268"/>
      <c r="U661" s="269"/>
      <c r="V661" s="269"/>
      <c r="W661" s="278">
        <v>85000</v>
      </c>
      <c r="X661" s="270"/>
      <c r="Y661" s="262"/>
      <c r="Z661" s="271" t="s">
        <v>718</v>
      </c>
      <c r="AA661" s="287"/>
      <c r="AB661" s="287"/>
      <c r="AC661" s="272">
        <f t="shared" si="21"/>
        <v>0</v>
      </c>
      <c r="AD661" s="272">
        <v>0</v>
      </c>
      <c r="AE661" s="272">
        <f t="shared" si="22"/>
        <v>0</v>
      </c>
      <c r="AF661" s="273"/>
      <c r="AG661" s="274"/>
      <c r="AH661" s="273"/>
      <c r="AI661" s="273"/>
      <c r="AJ661" s="274"/>
      <c r="AK661" s="273"/>
      <c r="AL661" s="275"/>
      <c r="AM661" s="290"/>
      <c r="AN661" s="275"/>
      <c r="AO661" s="276"/>
      <c r="AP661" s="275"/>
      <c r="AQ661" s="275"/>
      <c r="AR661" s="275"/>
      <c r="AS661" s="275"/>
      <c r="AT661" s="275"/>
      <c r="AU661" s="275"/>
      <c r="AV661" s="275"/>
      <c r="AW661" s="275"/>
      <c r="AX661" s="275"/>
      <c r="AY661" s="275"/>
      <c r="AZ661" s="275"/>
      <c r="BA661" s="275"/>
      <c r="BB661" s="275"/>
      <c r="BC661" s="275"/>
      <c r="BD661" s="275"/>
      <c r="BE661" s="275"/>
      <c r="BF661" s="275"/>
      <c r="BH661" s="277"/>
    </row>
    <row r="662" spans="1:60" ht="16.5" hidden="1" customHeight="1" x14ac:dyDescent="0.3">
      <c r="A662" s="260">
        <v>640</v>
      </c>
      <c r="B662" s="261"/>
      <c r="C662" s="261"/>
      <c r="D662" s="262" t="s">
        <v>15</v>
      </c>
      <c r="E662" s="262" t="s">
        <v>456</v>
      </c>
      <c r="F662" s="263" t="s">
        <v>15</v>
      </c>
      <c r="G662" s="264" t="s">
        <v>456</v>
      </c>
      <c r="H662" s="281"/>
      <c r="I662" s="265"/>
      <c r="J662" s="266" t="s">
        <v>214</v>
      </c>
      <c r="K662" s="262"/>
      <c r="L662" s="262"/>
      <c r="M662" s="262">
        <v>11297</v>
      </c>
      <c r="N662" s="262" t="s">
        <v>17</v>
      </c>
      <c r="O662" s="262" t="s">
        <v>212</v>
      </c>
      <c r="P662" s="262" t="s">
        <v>57</v>
      </c>
      <c r="Q662" s="262" t="s">
        <v>30</v>
      </c>
      <c r="R662" s="262" t="s">
        <v>31</v>
      </c>
      <c r="S662" s="267" t="s">
        <v>31</v>
      </c>
      <c r="T662" s="268"/>
      <c r="U662" s="269">
        <v>4066000</v>
      </c>
      <c r="V662" s="269">
        <v>5606000</v>
      </c>
      <c r="W662" s="278">
        <v>0</v>
      </c>
      <c r="X662" s="270"/>
      <c r="Y662" s="262" t="s">
        <v>27</v>
      </c>
      <c r="Z662" s="271" t="s">
        <v>27</v>
      </c>
      <c r="AA662" s="287"/>
      <c r="AB662" s="287"/>
      <c r="AC662" s="272">
        <f t="shared" si="21"/>
        <v>5128000</v>
      </c>
      <c r="AD662" s="272">
        <v>5128000</v>
      </c>
      <c r="AE662" s="272">
        <f t="shared" si="22"/>
        <v>0</v>
      </c>
      <c r="AF662" s="273">
        <v>5128000</v>
      </c>
      <c r="AG662" s="274">
        <v>5128000</v>
      </c>
      <c r="AH662" s="273"/>
      <c r="AI662" s="273"/>
      <c r="AJ662" s="274"/>
      <c r="AK662" s="273"/>
      <c r="AL662" s="275"/>
      <c r="AM662" s="290"/>
      <c r="AN662" s="275"/>
      <c r="AO662" s="276"/>
      <c r="AP662" s="275"/>
      <c r="AQ662" s="275"/>
      <c r="AR662" s="275"/>
      <c r="AS662" s="275"/>
      <c r="AT662" s="275"/>
      <c r="AU662" s="275"/>
      <c r="AV662" s="275"/>
      <c r="AW662" s="275"/>
      <c r="AX662" s="275"/>
      <c r="AY662" s="275"/>
      <c r="AZ662" s="275"/>
      <c r="BA662" s="275"/>
      <c r="BB662" s="275"/>
      <c r="BC662" s="275"/>
      <c r="BD662" s="275"/>
      <c r="BE662" s="275"/>
      <c r="BF662" s="275"/>
      <c r="BH662" s="277"/>
    </row>
    <row r="663" spans="1:60" ht="16.5" hidden="1" customHeight="1" x14ac:dyDescent="0.3">
      <c r="A663" s="260">
        <v>641</v>
      </c>
      <c r="B663" s="261"/>
      <c r="C663" s="261"/>
      <c r="D663" s="262" t="s">
        <v>15</v>
      </c>
      <c r="E663" s="262" t="s">
        <v>456</v>
      </c>
      <c r="F663" s="263" t="s">
        <v>15</v>
      </c>
      <c r="G663" s="264" t="s">
        <v>456</v>
      </c>
      <c r="H663" s="281"/>
      <c r="I663" s="265"/>
      <c r="J663" s="266" t="s">
        <v>194</v>
      </c>
      <c r="K663" s="262"/>
      <c r="L663" s="262"/>
      <c r="M663" s="262">
        <v>1375</v>
      </c>
      <c r="N663" s="262" t="s">
        <v>22</v>
      </c>
      <c r="O663" s="262" t="s">
        <v>178</v>
      </c>
      <c r="P663" s="262" t="s">
        <v>156</v>
      </c>
      <c r="Q663" s="262" t="s">
        <v>61</v>
      </c>
      <c r="R663" s="262" t="s">
        <v>468</v>
      </c>
      <c r="S663" s="267" t="s">
        <v>468</v>
      </c>
      <c r="T663" s="268"/>
      <c r="U663" s="269">
        <v>8512000</v>
      </c>
      <c r="V663" s="269">
        <v>0</v>
      </c>
      <c r="W663" s="278">
        <v>0</v>
      </c>
      <c r="X663" s="270"/>
      <c r="Y663" s="262" t="s">
        <v>25</v>
      </c>
      <c r="Z663" s="271" t="s">
        <v>25</v>
      </c>
      <c r="AA663" s="287"/>
      <c r="AB663" s="287"/>
      <c r="AC663" s="272">
        <f t="shared" ref="AC663:AC726" si="23">AG663+AJ663+AM663+AO663+AQ663+AS663+AU663+AW663+AY663+BA663+BC663+BE663</f>
        <v>5000000</v>
      </c>
      <c r="AD663" s="272">
        <v>5000000</v>
      </c>
      <c r="AE663" s="272">
        <f t="shared" ref="AE663:AE726" si="24">AC663-AD663</f>
        <v>0</v>
      </c>
      <c r="AF663" s="273"/>
      <c r="AG663" s="274"/>
      <c r="AH663" s="273"/>
      <c r="AI663" s="273"/>
      <c r="AJ663" s="274"/>
      <c r="AK663" s="273"/>
      <c r="AL663" s="275"/>
      <c r="AM663" s="290"/>
      <c r="AN663" s="275"/>
      <c r="AO663" s="276"/>
      <c r="AP663" s="275"/>
      <c r="AQ663" s="275"/>
      <c r="AR663" s="275"/>
      <c r="AS663" s="275">
        <v>5000000</v>
      </c>
      <c r="AT663" s="275"/>
      <c r="AU663" s="275"/>
      <c r="AV663" s="275"/>
      <c r="AW663" s="275"/>
      <c r="AX663" s="275"/>
      <c r="AY663" s="275"/>
      <c r="AZ663" s="275"/>
      <c r="BA663" s="275"/>
      <c r="BB663" s="275"/>
      <c r="BC663" s="275"/>
      <c r="BD663" s="275"/>
      <c r="BE663" s="275"/>
      <c r="BF663" s="275"/>
      <c r="BH663" s="277"/>
    </row>
    <row r="664" spans="1:60" ht="16.5" hidden="1" customHeight="1" x14ac:dyDescent="0.3">
      <c r="A664" s="260">
        <v>642</v>
      </c>
      <c r="B664" s="261"/>
      <c r="C664" s="261"/>
      <c r="D664" s="262" t="s">
        <v>15</v>
      </c>
      <c r="E664" s="262" t="s">
        <v>456</v>
      </c>
      <c r="F664" s="263" t="s">
        <v>15</v>
      </c>
      <c r="G664" s="264" t="s">
        <v>456</v>
      </c>
      <c r="H664" s="281"/>
      <c r="I664" s="265"/>
      <c r="J664" s="266" t="s">
        <v>194</v>
      </c>
      <c r="K664" s="262"/>
      <c r="L664" s="262"/>
      <c r="M664" s="262">
        <v>1375</v>
      </c>
      <c r="N664" s="262" t="s">
        <v>22</v>
      </c>
      <c r="O664" s="262" t="s">
        <v>35</v>
      </c>
      <c r="P664" s="262"/>
      <c r="Q664" s="262"/>
      <c r="R664" s="262"/>
      <c r="S664" s="267" t="s">
        <v>822</v>
      </c>
      <c r="T664" s="268"/>
      <c r="U664" s="269"/>
      <c r="V664" s="269"/>
      <c r="W664" s="278">
        <v>0</v>
      </c>
      <c r="X664" s="270"/>
      <c r="Y664" s="262"/>
      <c r="Z664" s="271" t="s">
        <v>25</v>
      </c>
      <c r="AA664" s="287"/>
      <c r="AB664" s="287"/>
      <c r="AC664" s="272">
        <f t="shared" si="23"/>
        <v>20000000</v>
      </c>
      <c r="AD664" s="272">
        <v>20000000</v>
      </c>
      <c r="AE664" s="272">
        <f t="shared" si="24"/>
        <v>0</v>
      </c>
      <c r="AF664" s="273"/>
      <c r="AG664" s="274"/>
      <c r="AH664" s="273"/>
      <c r="AI664" s="273"/>
      <c r="AJ664" s="274"/>
      <c r="AK664" s="273"/>
      <c r="AL664" s="275"/>
      <c r="AM664" s="290"/>
      <c r="AN664" s="275"/>
      <c r="AO664" s="276"/>
      <c r="AP664" s="275"/>
      <c r="AQ664" s="275"/>
      <c r="AR664" s="275"/>
      <c r="AS664" s="275">
        <v>5000000</v>
      </c>
      <c r="AT664" s="275"/>
      <c r="AU664" s="275"/>
      <c r="AV664" s="275"/>
      <c r="AW664" s="275"/>
      <c r="AX664" s="275"/>
      <c r="AY664" s="275">
        <v>10000000</v>
      </c>
      <c r="AZ664" s="275"/>
      <c r="BA664" s="275"/>
      <c r="BB664" s="275"/>
      <c r="BC664" s="275"/>
      <c r="BD664" s="275"/>
      <c r="BE664" s="275">
        <v>5000000</v>
      </c>
      <c r="BF664" s="275"/>
      <c r="BH664" s="277"/>
    </row>
    <row r="665" spans="1:60" ht="16.5" hidden="1" customHeight="1" x14ac:dyDescent="0.3">
      <c r="A665" s="260">
        <v>643</v>
      </c>
      <c r="B665" s="261"/>
      <c r="C665" s="261"/>
      <c r="D665" s="262" t="s">
        <v>15</v>
      </c>
      <c r="E665" s="262" t="s">
        <v>456</v>
      </c>
      <c r="F665" s="263" t="s">
        <v>15</v>
      </c>
      <c r="G665" s="264" t="s">
        <v>456</v>
      </c>
      <c r="H665" s="281"/>
      <c r="I665" s="265"/>
      <c r="J665" s="266" t="s">
        <v>992</v>
      </c>
      <c r="K665" s="262"/>
      <c r="L665" s="262"/>
      <c r="M665" s="262">
        <v>3557</v>
      </c>
      <c r="N665" s="262" t="s">
        <v>17</v>
      </c>
      <c r="O665" s="262" t="s">
        <v>56</v>
      </c>
      <c r="P665" s="262" t="s">
        <v>156</v>
      </c>
      <c r="Q665" s="262" t="s">
        <v>18</v>
      </c>
      <c r="R665" s="262" t="s">
        <v>19</v>
      </c>
      <c r="S665" s="267" t="s">
        <v>31</v>
      </c>
      <c r="T665" s="268"/>
      <c r="U665" s="269"/>
      <c r="V665" s="269">
        <v>25552000</v>
      </c>
      <c r="W665" s="278">
        <v>24150000</v>
      </c>
      <c r="X665" s="270"/>
      <c r="Y665" s="262" t="s">
        <v>27</v>
      </c>
      <c r="Z665" s="271" t="s">
        <v>27</v>
      </c>
      <c r="AA665" s="287"/>
      <c r="AB665" s="287"/>
      <c r="AC665" s="272">
        <f t="shared" si="23"/>
        <v>4000000</v>
      </c>
      <c r="AD665" s="272">
        <v>4000000</v>
      </c>
      <c r="AE665" s="272">
        <f t="shared" si="24"/>
        <v>0</v>
      </c>
      <c r="AF665" s="273"/>
      <c r="AG665" s="274"/>
      <c r="AH665" s="273"/>
      <c r="AI665" s="273">
        <v>20000000</v>
      </c>
      <c r="AJ665" s="274"/>
      <c r="AK665" s="273"/>
      <c r="AL665" s="275"/>
      <c r="AM665" s="290"/>
      <c r="AN665" s="275"/>
      <c r="AO665" s="276"/>
      <c r="AP665" s="275"/>
      <c r="AQ665" s="275"/>
      <c r="AR665" s="275"/>
      <c r="AS665" s="275"/>
      <c r="AT665" s="275"/>
      <c r="AU665" s="275"/>
      <c r="AV665" s="275"/>
      <c r="AW665" s="275"/>
      <c r="AX665" s="275"/>
      <c r="AY665" s="275"/>
      <c r="AZ665" s="275"/>
      <c r="BA665" s="275"/>
      <c r="BB665" s="275"/>
      <c r="BC665" s="275"/>
      <c r="BD665" s="275"/>
      <c r="BE665" s="275">
        <v>4000000</v>
      </c>
      <c r="BF665" s="275"/>
      <c r="BH665" s="277"/>
    </row>
    <row r="666" spans="1:60" ht="16.5" hidden="1" customHeight="1" x14ac:dyDescent="0.3">
      <c r="A666" s="260">
        <v>644</v>
      </c>
      <c r="B666" s="261"/>
      <c r="C666" s="261"/>
      <c r="D666" s="262" t="s">
        <v>15</v>
      </c>
      <c r="E666" s="262" t="s">
        <v>456</v>
      </c>
      <c r="F666" s="263" t="s">
        <v>15</v>
      </c>
      <c r="G666" s="264" t="s">
        <v>456</v>
      </c>
      <c r="H666" s="281"/>
      <c r="I666" s="265"/>
      <c r="J666" s="266" t="s">
        <v>216</v>
      </c>
      <c r="K666" s="262"/>
      <c r="L666" s="262"/>
      <c r="M666" s="262">
        <v>18757</v>
      </c>
      <c r="N666" s="262" t="s">
        <v>32</v>
      </c>
      <c r="O666" s="262" t="s">
        <v>178</v>
      </c>
      <c r="P666" s="262"/>
      <c r="Q666" s="262" t="s">
        <v>26</v>
      </c>
      <c r="R666" s="262" t="s">
        <v>468</v>
      </c>
      <c r="S666" s="267" t="s">
        <v>468</v>
      </c>
      <c r="T666" s="268"/>
      <c r="U666" s="269">
        <v>13454545</v>
      </c>
      <c r="V666" s="269">
        <v>0</v>
      </c>
      <c r="W666" s="278">
        <v>0</v>
      </c>
      <c r="X666" s="270"/>
      <c r="Y666" s="262" t="s">
        <v>25</v>
      </c>
      <c r="Z666" s="271" t="s">
        <v>25</v>
      </c>
      <c r="AA666" s="287"/>
      <c r="AB666" s="287"/>
      <c r="AC666" s="272">
        <f t="shared" si="23"/>
        <v>5000000</v>
      </c>
      <c r="AD666" s="272">
        <v>5000000</v>
      </c>
      <c r="AE666" s="272">
        <f t="shared" si="24"/>
        <v>0</v>
      </c>
      <c r="AF666" s="273"/>
      <c r="AG666" s="274"/>
      <c r="AH666" s="273"/>
      <c r="AI666" s="273"/>
      <c r="AJ666" s="274"/>
      <c r="AK666" s="273"/>
      <c r="AL666" s="275"/>
      <c r="AM666" s="290"/>
      <c r="AN666" s="275"/>
      <c r="AO666" s="276"/>
      <c r="AP666" s="275"/>
      <c r="AQ666" s="291">
        <v>5000000</v>
      </c>
      <c r="AR666" s="275"/>
      <c r="AS666" s="275"/>
      <c r="AT666" s="275"/>
      <c r="AU666" s="275"/>
      <c r="AV666" s="275"/>
      <c r="AW666" s="275"/>
      <c r="AX666" s="275"/>
      <c r="AY666" s="275"/>
      <c r="AZ666" s="275"/>
      <c r="BA666" s="275"/>
      <c r="BB666" s="275"/>
      <c r="BC666" s="275"/>
      <c r="BD666" s="275"/>
      <c r="BE666" s="275"/>
      <c r="BF666" s="275"/>
      <c r="BH666" s="277"/>
    </row>
    <row r="667" spans="1:60" ht="16.5" hidden="1" customHeight="1" x14ac:dyDescent="0.3">
      <c r="A667" s="260">
        <v>645</v>
      </c>
      <c r="B667" s="261"/>
      <c r="C667" s="261"/>
      <c r="D667" s="262"/>
      <c r="E667" s="262"/>
      <c r="F667" s="263" t="s">
        <v>15</v>
      </c>
      <c r="G667" s="264" t="s">
        <v>456</v>
      </c>
      <c r="H667" s="281"/>
      <c r="I667" s="265"/>
      <c r="J667" s="266" t="s">
        <v>724</v>
      </c>
      <c r="K667" s="262"/>
      <c r="L667" s="262"/>
      <c r="M667" s="262">
        <v>16030</v>
      </c>
      <c r="N667" s="262"/>
      <c r="O667" s="262"/>
      <c r="P667" s="262"/>
      <c r="Q667" s="262"/>
      <c r="R667" s="262"/>
      <c r="S667" s="267" t="s">
        <v>19</v>
      </c>
      <c r="T667" s="268"/>
      <c r="U667" s="269"/>
      <c r="V667" s="269"/>
      <c r="W667" s="278">
        <v>4470000</v>
      </c>
      <c r="X667" s="270"/>
      <c r="Y667" s="262"/>
      <c r="Z667" s="271" t="s">
        <v>718</v>
      </c>
      <c r="AA667" s="287"/>
      <c r="AB667" s="287"/>
      <c r="AC667" s="272">
        <f t="shared" si="23"/>
        <v>0</v>
      </c>
      <c r="AD667" s="272">
        <v>0</v>
      </c>
      <c r="AE667" s="272">
        <f t="shared" si="24"/>
        <v>0</v>
      </c>
      <c r="AF667" s="273"/>
      <c r="AG667" s="274"/>
      <c r="AH667" s="273"/>
      <c r="AI667" s="273"/>
      <c r="AJ667" s="274"/>
      <c r="AK667" s="273"/>
      <c r="AL667" s="275"/>
      <c r="AM667" s="290"/>
      <c r="AN667" s="275"/>
      <c r="AO667" s="276"/>
      <c r="AP667" s="275"/>
      <c r="AQ667" s="275"/>
      <c r="AR667" s="275"/>
      <c r="AS667" s="275"/>
      <c r="AT667" s="275"/>
      <c r="AU667" s="275"/>
      <c r="AV667" s="275"/>
      <c r="AW667" s="275"/>
      <c r="AX667" s="275"/>
      <c r="AY667" s="275"/>
      <c r="AZ667" s="275"/>
      <c r="BA667" s="275"/>
      <c r="BB667" s="275"/>
      <c r="BC667" s="275"/>
      <c r="BD667" s="275"/>
      <c r="BE667" s="275"/>
      <c r="BF667" s="275"/>
      <c r="BH667" s="277"/>
    </row>
    <row r="668" spans="1:60" ht="16.5" hidden="1" customHeight="1" x14ac:dyDescent="0.3">
      <c r="A668" s="260">
        <v>646</v>
      </c>
      <c r="B668" s="261"/>
      <c r="C668" s="261"/>
      <c r="D668" s="262" t="s">
        <v>15</v>
      </c>
      <c r="E668" s="262" t="s">
        <v>456</v>
      </c>
      <c r="F668" s="263" t="s">
        <v>15</v>
      </c>
      <c r="G668" s="264" t="s">
        <v>456</v>
      </c>
      <c r="H668" s="281"/>
      <c r="I668" s="265"/>
      <c r="J668" s="266" t="s">
        <v>724</v>
      </c>
      <c r="K668" s="262"/>
      <c r="L668" s="262"/>
      <c r="M668" s="262">
        <v>16030</v>
      </c>
      <c r="N668" s="262" t="s">
        <v>22</v>
      </c>
      <c r="O668" s="262" t="s">
        <v>56</v>
      </c>
      <c r="P668" s="262"/>
      <c r="Q668" s="262" t="s">
        <v>30</v>
      </c>
      <c r="R668" s="262" t="s">
        <v>31</v>
      </c>
      <c r="S668" s="267" t="s">
        <v>31</v>
      </c>
      <c r="T668" s="268"/>
      <c r="U668" s="269"/>
      <c r="V668" s="269">
        <v>4230000</v>
      </c>
      <c r="W668" s="278">
        <v>0</v>
      </c>
      <c r="X668" s="270"/>
      <c r="Y668" s="262" t="s">
        <v>20</v>
      </c>
      <c r="Z668" s="271" t="s">
        <v>25</v>
      </c>
      <c r="AA668" s="287"/>
      <c r="AB668" s="287"/>
      <c r="AC668" s="272">
        <f t="shared" si="23"/>
        <v>4000000</v>
      </c>
      <c r="AD668" s="272">
        <v>4000000</v>
      </c>
      <c r="AE668" s="272">
        <f t="shared" si="24"/>
        <v>0</v>
      </c>
      <c r="AF668" s="273"/>
      <c r="AG668" s="274"/>
      <c r="AH668" s="273"/>
      <c r="AI668" s="273"/>
      <c r="AJ668" s="274"/>
      <c r="AK668" s="273"/>
      <c r="AL668" s="275"/>
      <c r="AM668" s="290"/>
      <c r="AN668" s="275"/>
      <c r="AO668" s="276"/>
      <c r="AP668" s="275"/>
      <c r="AQ668" s="275"/>
      <c r="AR668" s="275"/>
      <c r="AS668" s="275"/>
      <c r="AT668" s="275"/>
      <c r="AU668" s="275"/>
      <c r="AV668" s="275"/>
      <c r="AW668" s="275"/>
      <c r="AX668" s="275"/>
      <c r="AY668" s="275"/>
      <c r="AZ668" s="275"/>
      <c r="BA668" s="275"/>
      <c r="BB668" s="275"/>
      <c r="BC668" s="275"/>
      <c r="BD668" s="275"/>
      <c r="BE668" s="275">
        <v>4000000</v>
      </c>
      <c r="BF668" s="275"/>
      <c r="BH668" s="277"/>
    </row>
    <row r="669" spans="1:60" ht="16.5" hidden="1" customHeight="1" x14ac:dyDescent="0.3">
      <c r="A669" s="260">
        <v>647</v>
      </c>
      <c r="B669" s="261"/>
      <c r="C669" s="261"/>
      <c r="D669" s="262" t="s">
        <v>15</v>
      </c>
      <c r="E669" s="262" t="s">
        <v>456</v>
      </c>
      <c r="F669" s="263" t="s">
        <v>15</v>
      </c>
      <c r="G669" s="264" t="s">
        <v>456</v>
      </c>
      <c r="H669" s="281"/>
      <c r="I669" s="265"/>
      <c r="J669" s="266" t="s">
        <v>724</v>
      </c>
      <c r="K669" s="262"/>
      <c r="L669" s="262"/>
      <c r="M669" s="262">
        <v>16030</v>
      </c>
      <c r="N669" s="262" t="s">
        <v>22</v>
      </c>
      <c r="O669" s="262" t="s">
        <v>35</v>
      </c>
      <c r="P669" s="262"/>
      <c r="Q669" s="262"/>
      <c r="R669" s="262"/>
      <c r="S669" s="267" t="s">
        <v>822</v>
      </c>
      <c r="T669" s="268"/>
      <c r="U669" s="269"/>
      <c r="V669" s="269"/>
      <c r="W669" s="278">
        <v>0</v>
      </c>
      <c r="X669" s="270"/>
      <c r="Y669" s="262" t="s">
        <v>20</v>
      </c>
      <c r="Z669" s="271" t="s">
        <v>25</v>
      </c>
      <c r="AA669" s="287"/>
      <c r="AB669" s="287"/>
      <c r="AC669" s="272">
        <f t="shared" si="23"/>
        <v>5000000</v>
      </c>
      <c r="AD669" s="272">
        <v>5000000</v>
      </c>
      <c r="AE669" s="272">
        <f t="shared" si="24"/>
        <v>0</v>
      </c>
      <c r="AF669" s="273"/>
      <c r="AG669" s="274"/>
      <c r="AH669" s="273"/>
      <c r="AI669" s="273"/>
      <c r="AJ669" s="274"/>
      <c r="AK669" s="273"/>
      <c r="AL669" s="275"/>
      <c r="AM669" s="290"/>
      <c r="AN669" s="275"/>
      <c r="AO669" s="276"/>
      <c r="AP669" s="275"/>
      <c r="AQ669" s="275"/>
      <c r="AR669" s="275"/>
      <c r="AS669" s="275"/>
      <c r="AT669" s="275"/>
      <c r="AU669" s="275"/>
      <c r="AV669" s="275"/>
      <c r="AW669" s="275"/>
      <c r="AX669" s="275"/>
      <c r="AY669" s="275"/>
      <c r="AZ669" s="275"/>
      <c r="BA669" s="275">
        <v>5000000</v>
      </c>
      <c r="BB669" s="275"/>
      <c r="BC669" s="275"/>
      <c r="BD669" s="275"/>
      <c r="BE669" s="275"/>
      <c r="BF669" s="275"/>
      <c r="BH669" s="277"/>
    </row>
    <row r="670" spans="1:60" ht="16.5" hidden="1" customHeight="1" x14ac:dyDescent="0.3">
      <c r="A670" s="260">
        <v>648</v>
      </c>
      <c r="B670" s="261"/>
      <c r="C670" s="261"/>
      <c r="D670" s="262" t="s">
        <v>15</v>
      </c>
      <c r="E670" s="262" t="s">
        <v>456</v>
      </c>
      <c r="F670" s="263" t="s">
        <v>15</v>
      </c>
      <c r="G670" s="264" t="s">
        <v>456</v>
      </c>
      <c r="H670" s="281"/>
      <c r="I670" s="265"/>
      <c r="J670" s="266" t="s">
        <v>787</v>
      </c>
      <c r="K670" s="262"/>
      <c r="L670" s="262"/>
      <c r="M670" s="262">
        <v>58931</v>
      </c>
      <c r="N670" s="262" t="s">
        <v>22</v>
      </c>
      <c r="O670" s="262" t="s">
        <v>56</v>
      </c>
      <c r="P670" s="262"/>
      <c r="Q670" s="262" t="s">
        <v>30</v>
      </c>
      <c r="R670" s="262" t="s">
        <v>31</v>
      </c>
      <c r="S670" s="267" t="s">
        <v>31</v>
      </c>
      <c r="T670" s="268"/>
      <c r="U670" s="269"/>
      <c r="V670" s="269">
        <v>237000</v>
      </c>
      <c r="W670" s="278">
        <v>222000</v>
      </c>
      <c r="X670" s="270"/>
      <c r="Y670" s="262" t="s">
        <v>27</v>
      </c>
      <c r="Z670" s="271" t="s">
        <v>27</v>
      </c>
      <c r="AA670" s="287"/>
      <c r="AB670" s="287"/>
      <c r="AC670" s="272">
        <f t="shared" si="23"/>
        <v>359000</v>
      </c>
      <c r="AD670" s="272">
        <v>359000</v>
      </c>
      <c r="AE670" s="272">
        <f t="shared" si="24"/>
        <v>0</v>
      </c>
      <c r="AF670" s="273"/>
      <c r="AG670" s="274"/>
      <c r="AH670" s="273"/>
      <c r="AI670" s="273"/>
      <c r="AJ670" s="274">
        <v>159000</v>
      </c>
      <c r="AK670" s="273"/>
      <c r="AL670" s="275"/>
      <c r="AM670" s="290"/>
      <c r="AN670" s="275"/>
      <c r="AO670" s="276"/>
      <c r="AP670" s="275"/>
      <c r="AQ670" s="275"/>
      <c r="AR670" s="275"/>
      <c r="AS670" s="275">
        <v>200000</v>
      </c>
      <c r="AT670" s="275"/>
      <c r="AU670" s="275"/>
      <c r="AV670" s="275"/>
      <c r="AW670" s="275"/>
      <c r="AX670" s="275"/>
      <c r="AY670" s="275"/>
      <c r="AZ670" s="275"/>
      <c r="BA670" s="275"/>
      <c r="BB670" s="275"/>
      <c r="BC670" s="275"/>
      <c r="BD670" s="275"/>
      <c r="BE670" s="275"/>
      <c r="BF670" s="275"/>
      <c r="BH670" s="277"/>
    </row>
    <row r="671" spans="1:60" ht="16.5" hidden="1" customHeight="1" x14ac:dyDescent="0.3">
      <c r="A671" s="260">
        <v>649</v>
      </c>
      <c r="B671" s="261"/>
      <c r="C671" s="261"/>
      <c r="D671" s="262" t="s">
        <v>15</v>
      </c>
      <c r="E671" s="262" t="s">
        <v>456</v>
      </c>
      <c r="F671" s="263" t="s">
        <v>15</v>
      </c>
      <c r="G671" s="264" t="s">
        <v>456</v>
      </c>
      <c r="H671" s="281"/>
      <c r="I671" s="265"/>
      <c r="J671" s="266" t="s">
        <v>788</v>
      </c>
      <c r="K671" s="262"/>
      <c r="L671" s="262"/>
      <c r="M671" s="262">
        <v>1573</v>
      </c>
      <c r="N671" s="262" t="s">
        <v>22</v>
      </c>
      <c r="O671" s="262" t="s">
        <v>56</v>
      </c>
      <c r="P671" s="262"/>
      <c r="Q671" s="262" t="s">
        <v>30</v>
      </c>
      <c r="R671" s="262" t="s">
        <v>31</v>
      </c>
      <c r="S671" s="267" t="s">
        <v>31</v>
      </c>
      <c r="T671" s="268"/>
      <c r="U671" s="269"/>
      <c r="V671" s="269">
        <v>1815000</v>
      </c>
      <c r="W671" s="278">
        <v>1350000</v>
      </c>
      <c r="X671" s="270"/>
      <c r="Y671" s="262" t="s">
        <v>20</v>
      </c>
      <c r="Z671" s="271" t="s">
        <v>25</v>
      </c>
      <c r="AA671" s="287"/>
      <c r="AB671" s="287"/>
      <c r="AC671" s="272">
        <f t="shared" si="23"/>
        <v>1000000</v>
      </c>
      <c r="AD671" s="272">
        <v>1000000</v>
      </c>
      <c r="AE671" s="272">
        <f t="shared" si="24"/>
        <v>0</v>
      </c>
      <c r="AF671" s="273"/>
      <c r="AG671" s="274"/>
      <c r="AH671" s="273"/>
      <c r="AI671" s="273"/>
      <c r="AJ671" s="274"/>
      <c r="AK671" s="273"/>
      <c r="AL671" s="275"/>
      <c r="AM671" s="290"/>
      <c r="AN671" s="275"/>
      <c r="AO671" s="276"/>
      <c r="AP671" s="275"/>
      <c r="AQ671" s="275"/>
      <c r="AR671" s="275"/>
      <c r="AS671" s="275"/>
      <c r="AT671" s="275"/>
      <c r="AU671" s="275"/>
      <c r="AV671" s="275"/>
      <c r="AW671" s="275"/>
      <c r="AX671" s="275"/>
      <c r="AY671" s="275"/>
      <c r="AZ671" s="275"/>
      <c r="BA671" s="275"/>
      <c r="BB671" s="275"/>
      <c r="BC671" s="275"/>
      <c r="BD671" s="275"/>
      <c r="BE671" s="275">
        <v>1000000</v>
      </c>
      <c r="BF671" s="275"/>
      <c r="BH671" s="277"/>
    </row>
    <row r="672" spans="1:60" ht="16.5" hidden="1" customHeight="1" x14ac:dyDescent="0.3">
      <c r="A672" s="260">
        <v>650</v>
      </c>
      <c r="B672" s="261"/>
      <c r="C672" s="261"/>
      <c r="D672" s="262" t="s">
        <v>15</v>
      </c>
      <c r="E672" s="262" t="s">
        <v>456</v>
      </c>
      <c r="F672" s="263" t="s">
        <v>15</v>
      </c>
      <c r="G672" s="264" t="s">
        <v>456</v>
      </c>
      <c r="H672" s="281"/>
      <c r="I672" s="265"/>
      <c r="J672" s="266" t="s">
        <v>219</v>
      </c>
      <c r="K672" s="262"/>
      <c r="L672" s="262"/>
      <c r="M672" s="262">
        <v>54321</v>
      </c>
      <c r="N672" s="262" t="s">
        <v>32</v>
      </c>
      <c r="O672" s="262" t="s">
        <v>35</v>
      </c>
      <c r="P672" s="262" t="s">
        <v>156</v>
      </c>
      <c r="Q672" s="262" t="s">
        <v>18</v>
      </c>
      <c r="R672" s="262" t="s">
        <v>19</v>
      </c>
      <c r="S672" s="267" t="s">
        <v>19</v>
      </c>
      <c r="T672" s="268"/>
      <c r="U672" s="269" t="s">
        <v>154</v>
      </c>
      <c r="V672" s="269">
        <v>0</v>
      </c>
      <c r="W672" s="278">
        <v>0</v>
      </c>
      <c r="X672" s="270"/>
      <c r="Y672" s="262" t="s">
        <v>25</v>
      </c>
      <c r="Z672" s="271" t="s">
        <v>25</v>
      </c>
      <c r="AA672" s="287"/>
      <c r="AB672" s="287"/>
      <c r="AC672" s="272">
        <f t="shared" si="23"/>
        <v>5000000</v>
      </c>
      <c r="AD672" s="272">
        <v>5000000</v>
      </c>
      <c r="AE672" s="272">
        <f t="shared" si="24"/>
        <v>0</v>
      </c>
      <c r="AF672" s="273"/>
      <c r="AG672" s="274"/>
      <c r="AH672" s="273"/>
      <c r="AI672" s="273"/>
      <c r="AJ672" s="274"/>
      <c r="AK672" s="273"/>
      <c r="AL672" s="275"/>
      <c r="AM672" s="290"/>
      <c r="AN672" s="275"/>
      <c r="AO672" s="276"/>
      <c r="AP672" s="275"/>
      <c r="AQ672" s="275"/>
      <c r="AR672" s="275"/>
      <c r="AS672" s="275"/>
      <c r="AT672" s="275"/>
      <c r="AU672" s="275"/>
      <c r="AV672" s="275"/>
      <c r="AW672" s="275"/>
      <c r="AX672" s="275"/>
      <c r="AY672" s="275"/>
      <c r="AZ672" s="275"/>
      <c r="BA672" s="275"/>
      <c r="BB672" s="275"/>
      <c r="BC672" s="275"/>
      <c r="BD672" s="275"/>
      <c r="BE672" s="275">
        <v>5000000</v>
      </c>
      <c r="BF672" s="275"/>
      <c r="BH672" s="277"/>
    </row>
    <row r="673" spans="1:60" ht="16.5" hidden="1" customHeight="1" x14ac:dyDescent="0.3">
      <c r="A673" s="260">
        <v>651</v>
      </c>
      <c r="B673" s="261"/>
      <c r="C673" s="261"/>
      <c r="D673" s="262" t="s">
        <v>15</v>
      </c>
      <c r="E673" s="262" t="s">
        <v>456</v>
      </c>
      <c r="F673" s="263" t="s">
        <v>15</v>
      </c>
      <c r="G673" s="264" t="s">
        <v>456</v>
      </c>
      <c r="H673" s="281"/>
      <c r="I673" s="265"/>
      <c r="J673" s="266" t="s">
        <v>981</v>
      </c>
      <c r="K673" s="262"/>
      <c r="L673" s="262"/>
      <c r="M673" s="262">
        <v>19027</v>
      </c>
      <c r="N673" s="262"/>
      <c r="O673" s="262"/>
      <c r="P673" s="262"/>
      <c r="Q673" s="262"/>
      <c r="R673" s="262"/>
      <c r="S673" s="267" t="s">
        <v>19</v>
      </c>
      <c r="T673" s="268"/>
      <c r="U673" s="269"/>
      <c r="V673" s="269"/>
      <c r="W673" s="278">
        <v>0</v>
      </c>
      <c r="X673" s="270"/>
      <c r="Y673" s="262"/>
      <c r="Z673" s="271" t="s">
        <v>27</v>
      </c>
      <c r="AA673" s="287"/>
      <c r="AB673" s="287"/>
      <c r="AC673" s="272">
        <f t="shared" si="23"/>
        <v>2000000</v>
      </c>
      <c r="AD673" s="272">
        <v>2000000</v>
      </c>
      <c r="AE673" s="272">
        <f t="shared" si="24"/>
        <v>0</v>
      </c>
      <c r="AF673" s="273"/>
      <c r="AG673" s="274"/>
      <c r="AH673" s="273"/>
      <c r="AI673" s="273"/>
      <c r="AJ673" s="274"/>
      <c r="AK673" s="273"/>
      <c r="AL673" s="275"/>
      <c r="AM673" s="290"/>
      <c r="AN673" s="275"/>
      <c r="AO673" s="276">
        <v>2000000</v>
      </c>
      <c r="AP673" s="275"/>
      <c r="AQ673" s="275"/>
      <c r="AR673" s="275"/>
      <c r="AS673" s="275"/>
      <c r="AT673" s="275"/>
      <c r="AU673" s="275"/>
      <c r="AV673" s="275"/>
      <c r="AW673" s="275"/>
      <c r="AX673" s="275"/>
      <c r="AY673" s="275"/>
      <c r="AZ673" s="275"/>
      <c r="BA673" s="275"/>
      <c r="BB673" s="275"/>
      <c r="BC673" s="275"/>
      <c r="BD673" s="275"/>
      <c r="BE673" s="275"/>
      <c r="BF673" s="275"/>
      <c r="BH673" s="277"/>
    </row>
    <row r="674" spans="1:60" ht="16.5" hidden="1" customHeight="1" x14ac:dyDescent="0.3">
      <c r="A674" s="260">
        <v>652</v>
      </c>
      <c r="B674" s="261"/>
      <c r="C674" s="261"/>
      <c r="D674" s="262" t="s">
        <v>15</v>
      </c>
      <c r="E674" s="262" t="s">
        <v>456</v>
      </c>
      <c r="F674" s="263" t="s">
        <v>15</v>
      </c>
      <c r="G674" s="264" t="s">
        <v>456</v>
      </c>
      <c r="H674" s="281"/>
      <c r="I674" s="265"/>
      <c r="J674" s="266" t="s">
        <v>347</v>
      </c>
      <c r="K674" s="262"/>
      <c r="L674" s="262"/>
      <c r="M674" s="262">
        <v>1558</v>
      </c>
      <c r="N674" s="262" t="s">
        <v>53</v>
      </c>
      <c r="O674" s="262" t="s">
        <v>212</v>
      </c>
      <c r="P674" s="262"/>
      <c r="Q674" s="262" t="s">
        <v>18</v>
      </c>
      <c r="R674" s="262" t="s">
        <v>28</v>
      </c>
      <c r="S674" s="267" t="s">
        <v>28</v>
      </c>
      <c r="T674" s="268" t="s">
        <v>951</v>
      </c>
      <c r="U674" s="269">
        <v>51650500</v>
      </c>
      <c r="V674" s="269">
        <v>0</v>
      </c>
      <c r="W674" s="278">
        <v>28034200</v>
      </c>
      <c r="X674" s="270"/>
      <c r="Y674" s="262" t="s">
        <v>27</v>
      </c>
      <c r="Z674" s="271" t="s">
        <v>27</v>
      </c>
      <c r="AA674" s="287"/>
      <c r="AB674" s="287"/>
      <c r="AC674" s="272">
        <f t="shared" si="23"/>
        <v>41023545</v>
      </c>
      <c r="AD674" s="272">
        <v>41023545</v>
      </c>
      <c r="AE674" s="272">
        <f t="shared" si="24"/>
        <v>0</v>
      </c>
      <c r="AF674" s="273">
        <v>3259545</v>
      </c>
      <c r="AG674" s="274">
        <v>3259545</v>
      </c>
      <c r="AH674" s="273"/>
      <c r="AI674" s="273">
        <v>3000000</v>
      </c>
      <c r="AJ674" s="274">
        <v>865000</v>
      </c>
      <c r="AK674" s="273"/>
      <c r="AL674" s="275">
        <v>899000</v>
      </c>
      <c r="AM674" s="290">
        <v>899000</v>
      </c>
      <c r="AN674" s="275"/>
      <c r="AO674" s="276">
        <v>4000000</v>
      </c>
      <c r="AP674" s="275"/>
      <c r="AQ674" s="275">
        <v>4000000</v>
      </c>
      <c r="AR674" s="275"/>
      <c r="AS674" s="275">
        <v>5000000</v>
      </c>
      <c r="AT674" s="275"/>
      <c r="AU674" s="275">
        <v>3000000</v>
      </c>
      <c r="AV674" s="275"/>
      <c r="AW674" s="275">
        <v>3000000</v>
      </c>
      <c r="AX674" s="275"/>
      <c r="AY674" s="275">
        <v>4000000</v>
      </c>
      <c r="AZ674" s="275"/>
      <c r="BA674" s="275">
        <v>4000000</v>
      </c>
      <c r="BB674" s="275"/>
      <c r="BC674" s="275">
        <v>4000000</v>
      </c>
      <c r="BD674" s="275"/>
      <c r="BE674" s="275">
        <v>5000000</v>
      </c>
      <c r="BF674" s="275"/>
      <c r="BH674" s="277"/>
    </row>
    <row r="675" spans="1:60" ht="16.5" hidden="1" customHeight="1" x14ac:dyDescent="0.3">
      <c r="A675" s="260">
        <v>653</v>
      </c>
      <c r="B675" s="261"/>
      <c r="C675" s="261"/>
      <c r="D675" s="262" t="s">
        <v>15</v>
      </c>
      <c r="E675" s="262" t="s">
        <v>456</v>
      </c>
      <c r="F675" s="263" t="s">
        <v>15</v>
      </c>
      <c r="G675" s="264" t="s">
        <v>456</v>
      </c>
      <c r="H675" s="281"/>
      <c r="I675" s="265"/>
      <c r="J675" s="266" t="s">
        <v>347</v>
      </c>
      <c r="K675" s="262"/>
      <c r="L675" s="262"/>
      <c r="M675" s="262">
        <v>1558</v>
      </c>
      <c r="N675" s="262" t="s">
        <v>53</v>
      </c>
      <c r="O675" s="262" t="s">
        <v>212</v>
      </c>
      <c r="P675" s="262"/>
      <c r="Q675" s="262" t="s">
        <v>18</v>
      </c>
      <c r="R675" s="262" t="s">
        <v>19</v>
      </c>
      <c r="S675" s="267" t="s">
        <v>19</v>
      </c>
      <c r="T675" s="268"/>
      <c r="U675" s="269"/>
      <c r="V675" s="269">
        <v>59866260</v>
      </c>
      <c r="W675" s="278">
        <v>4976500</v>
      </c>
      <c r="X675" s="270"/>
      <c r="Y675" s="262" t="s">
        <v>27</v>
      </c>
      <c r="Z675" s="271" t="s">
        <v>25</v>
      </c>
      <c r="AA675" s="287"/>
      <c r="AB675" s="287"/>
      <c r="AC675" s="272">
        <f t="shared" si="23"/>
        <v>5000000</v>
      </c>
      <c r="AD675" s="272">
        <v>5000000</v>
      </c>
      <c r="AE675" s="272">
        <f t="shared" si="24"/>
        <v>0</v>
      </c>
      <c r="AF675" s="273"/>
      <c r="AG675" s="274"/>
      <c r="AH675" s="273"/>
      <c r="AI675" s="273"/>
      <c r="AJ675" s="274"/>
      <c r="AK675" s="273"/>
      <c r="AL675" s="275"/>
      <c r="AM675" s="290"/>
      <c r="AN675" s="275"/>
      <c r="AO675" s="276"/>
      <c r="AP675" s="275"/>
      <c r="AQ675" s="275"/>
      <c r="AR675" s="275"/>
      <c r="AS675" s="275">
        <v>2500000</v>
      </c>
      <c r="AT675" s="275"/>
      <c r="AU675" s="275"/>
      <c r="AV675" s="275"/>
      <c r="AW675" s="275"/>
      <c r="AX675" s="275"/>
      <c r="AY675" s="275"/>
      <c r="AZ675" s="275"/>
      <c r="BA675" s="275"/>
      <c r="BB675" s="275"/>
      <c r="BC675" s="275">
        <v>2500000</v>
      </c>
      <c r="BD675" s="275"/>
      <c r="BE675" s="275"/>
      <c r="BF675" s="275"/>
      <c r="BH675" s="277"/>
    </row>
    <row r="676" spans="1:60" ht="16.5" hidden="1" customHeight="1" x14ac:dyDescent="0.3">
      <c r="A676" s="260">
        <v>654</v>
      </c>
      <c r="B676" s="261"/>
      <c r="C676" s="261"/>
      <c r="D676" s="262" t="s">
        <v>15</v>
      </c>
      <c r="E676" s="262" t="s">
        <v>456</v>
      </c>
      <c r="F676" s="263" t="s">
        <v>15</v>
      </c>
      <c r="G676" s="264" t="s">
        <v>456</v>
      </c>
      <c r="H676" s="281"/>
      <c r="I676" s="265"/>
      <c r="J676" s="266" t="s">
        <v>347</v>
      </c>
      <c r="K676" s="262"/>
      <c r="L676" s="262"/>
      <c r="M676" s="262">
        <v>1558</v>
      </c>
      <c r="N676" s="262" t="s">
        <v>22</v>
      </c>
      <c r="O676" s="262" t="s">
        <v>35</v>
      </c>
      <c r="P676" s="262"/>
      <c r="Q676" s="262"/>
      <c r="R676" s="262" t="s">
        <v>468</v>
      </c>
      <c r="S676" s="267" t="s">
        <v>468</v>
      </c>
      <c r="T676" s="268"/>
      <c r="U676" s="269"/>
      <c r="V676" s="269"/>
      <c r="W676" s="278">
        <v>3670000</v>
      </c>
      <c r="X676" s="270"/>
      <c r="Y676" s="262" t="s">
        <v>27</v>
      </c>
      <c r="Z676" s="271" t="s">
        <v>25</v>
      </c>
      <c r="AA676" s="287"/>
      <c r="AB676" s="287"/>
      <c r="AC676" s="272">
        <f t="shared" si="23"/>
        <v>3000000</v>
      </c>
      <c r="AD676" s="272">
        <v>3000000</v>
      </c>
      <c r="AE676" s="272">
        <f t="shared" si="24"/>
        <v>0</v>
      </c>
      <c r="AF676" s="273"/>
      <c r="AG676" s="274"/>
      <c r="AH676" s="273"/>
      <c r="AI676" s="273"/>
      <c r="AJ676" s="274"/>
      <c r="AK676" s="273"/>
      <c r="AL676" s="275"/>
      <c r="AM676" s="290"/>
      <c r="AN676" s="275"/>
      <c r="AO676" s="276"/>
      <c r="AP676" s="275"/>
      <c r="AQ676" s="291">
        <v>3000000</v>
      </c>
      <c r="AR676" s="275"/>
      <c r="AS676" s="275"/>
      <c r="AT676" s="275"/>
      <c r="AU676" s="275"/>
      <c r="AV676" s="275"/>
      <c r="AW676" s="275"/>
      <c r="AX676" s="275"/>
      <c r="AY676" s="275"/>
      <c r="AZ676" s="275"/>
      <c r="BA676" s="275"/>
      <c r="BB676" s="275"/>
      <c r="BC676" s="275"/>
      <c r="BD676" s="275"/>
      <c r="BE676" s="275"/>
      <c r="BF676" s="275"/>
      <c r="BH676" s="277"/>
    </row>
    <row r="677" spans="1:60" ht="16.5" hidden="1" customHeight="1" x14ac:dyDescent="0.3">
      <c r="A677" s="260">
        <v>655</v>
      </c>
      <c r="B677" s="261"/>
      <c r="C677" s="261"/>
      <c r="D677" s="262" t="s">
        <v>15</v>
      </c>
      <c r="E677" s="262" t="s">
        <v>456</v>
      </c>
      <c r="F677" s="263" t="s">
        <v>15</v>
      </c>
      <c r="G677" s="264" t="s">
        <v>456</v>
      </c>
      <c r="H677" s="281"/>
      <c r="I677" s="265"/>
      <c r="J677" s="266" t="s">
        <v>347</v>
      </c>
      <c r="K677" s="262"/>
      <c r="L677" s="262"/>
      <c r="M677" s="262">
        <v>1558</v>
      </c>
      <c r="N677" s="262" t="s">
        <v>53</v>
      </c>
      <c r="O677" s="262" t="s">
        <v>35</v>
      </c>
      <c r="P677" s="262"/>
      <c r="Q677" s="262" t="s">
        <v>18</v>
      </c>
      <c r="R677" s="262" t="s">
        <v>470</v>
      </c>
      <c r="S677" s="267" t="s">
        <v>822</v>
      </c>
      <c r="T677" s="268"/>
      <c r="U677" s="269"/>
      <c r="V677" s="269">
        <v>0</v>
      </c>
      <c r="W677" s="278">
        <v>454545</v>
      </c>
      <c r="X677" s="270"/>
      <c r="Y677" s="262" t="s">
        <v>27</v>
      </c>
      <c r="Z677" s="271" t="s">
        <v>25</v>
      </c>
      <c r="AA677" s="287"/>
      <c r="AB677" s="287"/>
      <c r="AC677" s="272">
        <f t="shared" si="23"/>
        <v>500000</v>
      </c>
      <c r="AD677" s="272">
        <v>500000</v>
      </c>
      <c r="AE677" s="272">
        <f t="shared" si="24"/>
        <v>0</v>
      </c>
      <c r="AF677" s="273"/>
      <c r="AG677" s="274"/>
      <c r="AH677" s="273"/>
      <c r="AI677" s="273"/>
      <c r="AJ677" s="274"/>
      <c r="AK677" s="273"/>
      <c r="AL677" s="275"/>
      <c r="AM677" s="290"/>
      <c r="AN677" s="275"/>
      <c r="AO677" s="276"/>
      <c r="AP677" s="275"/>
      <c r="AQ677" s="291">
        <v>500000</v>
      </c>
      <c r="AR677" s="275"/>
      <c r="AS677" s="275"/>
      <c r="AT677" s="275"/>
      <c r="AU677" s="275"/>
      <c r="AV677" s="275"/>
      <c r="AW677" s="275"/>
      <c r="AX677" s="275"/>
      <c r="AY677" s="275"/>
      <c r="AZ677" s="275"/>
      <c r="BA677" s="275"/>
      <c r="BB677" s="275"/>
      <c r="BC677" s="275"/>
      <c r="BD677" s="275"/>
      <c r="BE677" s="275"/>
      <c r="BF677" s="275"/>
      <c r="BH677" s="277"/>
    </row>
    <row r="678" spans="1:60" ht="16.5" hidden="1" customHeight="1" x14ac:dyDescent="0.3">
      <c r="A678" s="260">
        <v>656</v>
      </c>
      <c r="B678" s="261"/>
      <c r="C678" s="261"/>
      <c r="D678" s="262" t="s">
        <v>15</v>
      </c>
      <c r="E678" s="262" t="s">
        <v>456</v>
      </c>
      <c r="F678" s="263" t="s">
        <v>15</v>
      </c>
      <c r="G678" s="264" t="s">
        <v>456</v>
      </c>
      <c r="H678" s="281"/>
      <c r="I678" s="265"/>
      <c r="J678" s="266" t="s">
        <v>348</v>
      </c>
      <c r="K678" s="262"/>
      <c r="L678" s="262"/>
      <c r="M678" s="262">
        <v>27811</v>
      </c>
      <c r="N678" s="262" t="s">
        <v>42</v>
      </c>
      <c r="O678" s="262" t="s">
        <v>56</v>
      </c>
      <c r="P678" s="262" t="s">
        <v>57</v>
      </c>
      <c r="Q678" s="262" t="s">
        <v>18</v>
      </c>
      <c r="R678" s="262" t="s">
        <v>19</v>
      </c>
      <c r="S678" s="267" t="s">
        <v>19</v>
      </c>
      <c r="T678" s="268"/>
      <c r="U678" s="269"/>
      <c r="V678" s="269">
        <v>4570000</v>
      </c>
      <c r="W678" s="278">
        <v>0</v>
      </c>
      <c r="X678" s="270"/>
      <c r="Y678" s="262" t="s">
        <v>24</v>
      </c>
      <c r="Z678" s="271" t="s">
        <v>25</v>
      </c>
      <c r="AA678" s="287"/>
      <c r="AB678" s="287"/>
      <c r="AC678" s="272">
        <f t="shared" si="23"/>
        <v>1000000</v>
      </c>
      <c r="AD678" s="272">
        <v>1000000</v>
      </c>
      <c r="AE678" s="272">
        <f t="shared" si="24"/>
        <v>0</v>
      </c>
      <c r="AF678" s="273"/>
      <c r="AG678" s="274"/>
      <c r="AH678" s="273"/>
      <c r="AI678" s="273"/>
      <c r="AJ678" s="274"/>
      <c r="AK678" s="273"/>
      <c r="AL678" s="275"/>
      <c r="AM678" s="290"/>
      <c r="AN678" s="275"/>
      <c r="AO678" s="276"/>
      <c r="AP678" s="275"/>
      <c r="AQ678" s="275"/>
      <c r="AR678" s="275"/>
      <c r="AS678" s="275">
        <v>1000000</v>
      </c>
      <c r="AT678" s="275"/>
      <c r="AU678" s="275"/>
      <c r="AV678" s="275"/>
      <c r="AW678" s="275"/>
      <c r="AX678" s="275"/>
      <c r="AY678" s="275"/>
      <c r="AZ678" s="275"/>
      <c r="BA678" s="275"/>
      <c r="BB678" s="275"/>
      <c r="BC678" s="275"/>
      <c r="BD678" s="275"/>
      <c r="BE678" s="275"/>
      <c r="BF678" s="275"/>
      <c r="BH678" s="277"/>
    </row>
    <row r="679" spans="1:60" ht="16.5" hidden="1" customHeight="1" x14ac:dyDescent="0.3">
      <c r="A679" s="260">
        <v>657</v>
      </c>
      <c r="B679" s="261"/>
      <c r="C679" s="261"/>
      <c r="D679" s="262" t="s">
        <v>15</v>
      </c>
      <c r="E679" s="262" t="s">
        <v>456</v>
      </c>
      <c r="F679" s="263" t="s">
        <v>15</v>
      </c>
      <c r="G679" s="264" t="s">
        <v>456</v>
      </c>
      <c r="H679" s="281"/>
      <c r="I679" s="265"/>
      <c r="J679" s="266" t="s">
        <v>348</v>
      </c>
      <c r="K679" s="262"/>
      <c r="L679" s="262"/>
      <c r="M679" s="262">
        <v>27811</v>
      </c>
      <c r="N679" s="262" t="s">
        <v>42</v>
      </c>
      <c r="O679" s="262" t="s">
        <v>56</v>
      </c>
      <c r="P679" s="262"/>
      <c r="Q679" s="262" t="s">
        <v>18</v>
      </c>
      <c r="R679" s="262" t="s">
        <v>19</v>
      </c>
      <c r="S679" s="267" t="s">
        <v>19</v>
      </c>
      <c r="T679" s="268"/>
      <c r="U679" s="269">
        <v>5679000</v>
      </c>
      <c r="V679" s="269">
        <v>0</v>
      </c>
      <c r="W679" s="278">
        <v>8080600</v>
      </c>
      <c r="X679" s="270"/>
      <c r="Y679" s="262" t="s">
        <v>27</v>
      </c>
      <c r="Z679" s="271" t="s">
        <v>25</v>
      </c>
      <c r="AA679" s="287"/>
      <c r="AB679" s="287"/>
      <c r="AC679" s="272">
        <f t="shared" si="23"/>
        <v>500000</v>
      </c>
      <c r="AD679" s="272">
        <v>500000</v>
      </c>
      <c r="AE679" s="272">
        <f t="shared" si="24"/>
        <v>0</v>
      </c>
      <c r="AF679" s="273"/>
      <c r="AG679" s="274"/>
      <c r="AH679" s="273"/>
      <c r="AI679" s="273"/>
      <c r="AJ679" s="274"/>
      <c r="AK679" s="273"/>
      <c r="AL679" s="275"/>
      <c r="AM679" s="290"/>
      <c r="AN679" s="275"/>
      <c r="AO679" s="276"/>
      <c r="AP679" s="275"/>
      <c r="AQ679" s="275"/>
      <c r="AR679" s="275"/>
      <c r="AS679" s="275">
        <v>500000</v>
      </c>
      <c r="AT679" s="275"/>
      <c r="AU679" s="275"/>
      <c r="AV679" s="275"/>
      <c r="AW679" s="275"/>
      <c r="AX679" s="275"/>
      <c r="AY679" s="275"/>
      <c r="AZ679" s="275"/>
      <c r="BA679" s="275"/>
      <c r="BB679" s="275"/>
      <c r="BC679" s="275"/>
      <c r="BD679" s="275"/>
      <c r="BE679" s="275"/>
      <c r="BF679" s="275"/>
      <c r="BH679" s="277"/>
    </row>
    <row r="680" spans="1:60" ht="16.5" hidden="1" customHeight="1" x14ac:dyDescent="0.3">
      <c r="A680" s="260">
        <v>658</v>
      </c>
      <c r="B680" s="261"/>
      <c r="C680" s="261"/>
      <c r="D680" s="262" t="s">
        <v>15</v>
      </c>
      <c r="E680" s="262" t="s">
        <v>456</v>
      </c>
      <c r="F680" s="263" t="s">
        <v>15</v>
      </c>
      <c r="G680" s="264" t="s">
        <v>456</v>
      </c>
      <c r="H680" s="281"/>
      <c r="I680" s="265"/>
      <c r="J680" s="266" t="s">
        <v>349</v>
      </c>
      <c r="K680" s="262"/>
      <c r="L680" s="262"/>
      <c r="M680" s="262">
        <v>53409</v>
      </c>
      <c r="N680" s="262" t="s">
        <v>22</v>
      </c>
      <c r="O680" s="262" t="s">
        <v>56</v>
      </c>
      <c r="P680" s="262"/>
      <c r="Q680" s="262" t="s">
        <v>18</v>
      </c>
      <c r="R680" s="262" t="s">
        <v>19</v>
      </c>
      <c r="S680" s="267" t="s">
        <v>19</v>
      </c>
      <c r="T680" s="268"/>
      <c r="U680" s="269">
        <v>531000</v>
      </c>
      <c r="V680" s="269">
        <v>0</v>
      </c>
      <c r="W680" s="278">
        <v>288000</v>
      </c>
      <c r="X680" s="270"/>
      <c r="Y680" s="262" t="s">
        <v>24</v>
      </c>
      <c r="Z680" s="271" t="s">
        <v>27</v>
      </c>
      <c r="AA680" s="287"/>
      <c r="AB680" s="287"/>
      <c r="AC680" s="272">
        <f t="shared" si="23"/>
        <v>1111000</v>
      </c>
      <c r="AD680" s="272">
        <v>1111000</v>
      </c>
      <c r="AE680" s="272">
        <f t="shared" si="24"/>
        <v>0</v>
      </c>
      <c r="AF680" s="273">
        <v>111000</v>
      </c>
      <c r="AG680" s="274">
        <v>111000</v>
      </c>
      <c r="AH680" s="273"/>
      <c r="AI680" s="273"/>
      <c r="AJ680" s="274"/>
      <c r="AK680" s="273"/>
      <c r="AL680" s="275"/>
      <c r="AM680" s="290"/>
      <c r="AN680" s="275"/>
      <c r="AO680" s="276"/>
      <c r="AP680" s="275"/>
      <c r="AQ680" s="275"/>
      <c r="AR680" s="275"/>
      <c r="AS680" s="275">
        <v>1000000</v>
      </c>
      <c r="AT680" s="275"/>
      <c r="AU680" s="275"/>
      <c r="AV680" s="275"/>
      <c r="AW680" s="275"/>
      <c r="AX680" s="275"/>
      <c r="AY680" s="275"/>
      <c r="AZ680" s="275"/>
      <c r="BA680" s="275"/>
      <c r="BB680" s="275"/>
      <c r="BC680" s="275"/>
      <c r="BD680" s="275"/>
      <c r="BE680" s="275"/>
      <c r="BF680" s="275"/>
      <c r="BH680" s="277"/>
    </row>
    <row r="681" spans="1:60" ht="16.5" hidden="1" customHeight="1" x14ac:dyDescent="0.3">
      <c r="A681" s="260">
        <v>659</v>
      </c>
      <c r="B681" s="261"/>
      <c r="C681" s="261"/>
      <c r="D681" s="262"/>
      <c r="E681" s="262"/>
      <c r="F681" s="263" t="s">
        <v>15</v>
      </c>
      <c r="G681" s="264" t="s">
        <v>456</v>
      </c>
      <c r="H681" s="281"/>
      <c r="I681" s="265"/>
      <c r="J681" s="266" t="s">
        <v>220</v>
      </c>
      <c r="K681" s="262"/>
      <c r="L681" s="262"/>
      <c r="M681" s="262">
        <v>7701</v>
      </c>
      <c r="N681" s="262"/>
      <c r="O681" s="262"/>
      <c r="P681" s="262"/>
      <c r="Q681" s="262"/>
      <c r="R681" s="262"/>
      <c r="S681" s="267" t="s">
        <v>28</v>
      </c>
      <c r="T681" s="268"/>
      <c r="U681" s="269"/>
      <c r="V681" s="269"/>
      <c r="W681" s="278">
        <v>826000</v>
      </c>
      <c r="X681" s="270"/>
      <c r="Y681" s="262"/>
      <c r="Z681" s="271" t="s">
        <v>718</v>
      </c>
      <c r="AA681" s="287"/>
      <c r="AB681" s="287"/>
      <c r="AC681" s="272">
        <f t="shared" si="23"/>
        <v>0</v>
      </c>
      <c r="AD681" s="272">
        <v>0</v>
      </c>
      <c r="AE681" s="272">
        <f t="shared" si="24"/>
        <v>0</v>
      </c>
      <c r="AF681" s="273"/>
      <c r="AG681" s="274"/>
      <c r="AH681" s="273"/>
      <c r="AI681" s="273"/>
      <c r="AJ681" s="274"/>
      <c r="AK681" s="273"/>
      <c r="AL681" s="275"/>
      <c r="AM681" s="290"/>
      <c r="AN681" s="275"/>
      <c r="AO681" s="276"/>
      <c r="AP681" s="275"/>
      <c r="AQ681" s="275"/>
      <c r="AR681" s="275"/>
      <c r="AS681" s="275"/>
      <c r="AT681" s="275"/>
      <c r="AU681" s="275"/>
      <c r="AV681" s="275"/>
      <c r="AW681" s="275"/>
      <c r="AX681" s="275"/>
      <c r="AY681" s="275"/>
      <c r="AZ681" s="275"/>
      <c r="BA681" s="275"/>
      <c r="BB681" s="275"/>
      <c r="BC681" s="275"/>
      <c r="BD681" s="275"/>
      <c r="BE681" s="275"/>
      <c r="BF681" s="275"/>
      <c r="BH681" s="277"/>
    </row>
    <row r="682" spans="1:60" ht="16.5" hidden="1" customHeight="1" x14ac:dyDescent="0.3">
      <c r="A682" s="260">
        <v>660</v>
      </c>
      <c r="B682" s="261"/>
      <c r="C682" s="261"/>
      <c r="D682" s="262" t="s">
        <v>15</v>
      </c>
      <c r="E682" s="262" t="s">
        <v>456</v>
      </c>
      <c r="F682" s="263" t="s">
        <v>15</v>
      </c>
      <c r="G682" s="264" t="s">
        <v>456</v>
      </c>
      <c r="H682" s="281"/>
      <c r="I682" s="265"/>
      <c r="J682" s="266" t="s">
        <v>220</v>
      </c>
      <c r="K682" s="262"/>
      <c r="L682" s="262"/>
      <c r="M682" s="262">
        <v>7701</v>
      </c>
      <c r="N682" s="262" t="s">
        <v>32</v>
      </c>
      <c r="O682" s="262" t="s">
        <v>35</v>
      </c>
      <c r="P682" s="262"/>
      <c r="Q682" s="262"/>
      <c r="R682" s="262" t="s">
        <v>19</v>
      </c>
      <c r="S682" s="267" t="s">
        <v>19</v>
      </c>
      <c r="T682" s="268"/>
      <c r="U682" s="269"/>
      <c r="V682" s="269">
        <v>0</v>
      </c>
      <c r="W682" s="278">
        <v>0</v>
      </c>
      <c r="X682" s="270"/>
      <c r="Y682" s="262" t="s">
        <v>27</v>
      </c>
      <c r="Z682" s="271" t="s">
        <v>25</v>
      </c>
      <c r="AA682" s="287"/>
      <c r="AB682" s="287"/>
      <c r="AC682" s="272">
        <f t="shared" si="23"/>
        <v>1000000</v>
      </c>
      <c r="AD682" s="272">
        <v>1000000</v>
      </c>
      <c r="AE682" s="272">
        <f t="shared" si="24"/>
        <v>0</v>
      </c>
      <c r="AF682" s="273"/>
      <c r="AG682" s="274"/>
      <c r="AH682" s="273"/>
      <c r="AI682" s="273"/>
      <c r="AJ682" s="274"/>
      <c r="AK682" s="273"/>
      <c r="AL682" s="275"/>
      <c r="AM682" s="290"/>
      <c r="AN682" s="275"/>
      <c r="AO682" s="276"/>
      <c r="AP682" s="275"/>
      <c r="AQ682" s="291">
        <v>1000000</v>
      </c>
      <c r="AR682" s="275"/>
      <c r="AS682" s="275"/>
      <c r="AT682" s="275"/>
      <c r="AU682" s="275"/>
      <c r="AV682" s="275"/>
      <c r="AW682" s="275"/>
      <c r="AX682" s="275"/>
      <c r="AY682" s="275"/>
      <c r="AZ682" s="275"/>
      <c r="BA682" s="275"/>
      <c r="BB682" s="275"/>
      <c r="BC682" s="275"/>
      <c r="BD682" s="275"/>
      <c r="BE682" s="275"/>
      <c r="BF682" s="275"/>
      <c r="BH682" s="277"/>
    </row>
    <row r="683" spans="1:60" ht="16.5" hidden="1" customHeight="1" x14ac:dyDescent="0.3">
      <c r="A683" s="260">
        <v>661</v>
      </c>
      <c r="B683" s="261"/>
      <c r="C683" s="261"/>
      <c r="D683" s="262" t="s">
        <v>15</v>
      </c>
      <c r="E683" s="262" t="s">
        <v>456</v>
      </c>
      <c r="F683" s="263" t="s">
        <v>15</v>
      </c>
      <c r="G683" s="264" t="s">
        <v>456</v>
      </c>
      <c r="H683" s="281"/>
      <c r="I683" s="265"/>
      <c r="J683" s="266" t="s">
        <v>220</v>
      </c>
      <c r="K683" s="262"/>
      <c r="L683" s="262"/>
      <c r="M683" s="262">
        <v>7701</v>
      </c>
      <c r="N683" s="262" t="s">
        <v>32</v>
      </c>
      <c r="O683" s="262" t="s">
        <v>56</v>
      </c>
      <c r="P683" s="262" t="s">
        <v>57</v>
      </c>
      <c r="Q683" s="262" t="s">
        <v>30</v>
      </c>
      <c r="R683" s="262" t="s">
        <v>31</v>
      </c>
      <c r="S683" s="267" t="s">
        <v>31</v>
      </c>
      <c r="T683" s="268"/>
      <c r="U683" s="269">
        <v>18555500</v>
      </c>
      <c r="V683" s="269">
        <v>18735000</v>
      </c>
      <c r="W683" s="278">
        <v>0</v>
      </c>
      <c r="X683" s="270"/>
      <c r="Y683" s="262" t="s">
        <v>24</v>
      </c>
      <c r="Z683" s="271" t="s">
        <v>25</v>
      </c>
      <c r="AA683" s="287"/>
      <c r="AB683" s="287"/>
      <c r="AC683" s="272">
        <f t="shared" si="23"/>
        <v>19000000</v>
      </c>
      <c r="AD683" s="272">
        <v>19000000</v>
      </c>
      <c r="AE683" s="272">
        <f t="shared" si="24"/>
        <v>0</v>
      </c>
      <c r="AF683" s="273"/>
      <c r="AG683" s="274"/>
      <c r="AH683" s="273"/>
      <c r="AI683" s="273"/>
      <c r="AJ683" s="274"/>
      <c r="AK683" s="273"/>
      <c r="AL683" s="275"/>
      <c r="AM683" s="290"/>
      <c r="AN683" s="275"/>
      <c r="AO683" s="276"/>
      <c r="AP683" s="275"/>
      <c r="AQ683" s="275"/>
      <c r="AR683" s="275"/>
      <c r="AS683" s="275"/>
      <c r="AT683" s="275"/>
      <c r="AU683" s="275"/>
      <c r="AV683" s="275"/>
      <c r="AW683" s="275"/>
      <c r="AX683" s="275"/>
      <c r="AY683" s="275"/>
      <c r="AZ683" s="275"/>
      <c r="BA683" s="275"/>
      <c r="BB683" s="275"/>
      <c r="BC683" s="275"/>
      <c r="BD683" s="275"/>
      <c r="BE683" s="275">
        <v>19000000</v>
      </c>
      <c r="BF683" s="275"/>
      <c r="BH683" s="277"/>
    </row>
    <row r="684" spans="1:60" ht="16.5" hidden="1" customHeight="1" x14ac:dyDescent="0.3">
      <c r="A684" s="260">
        <v>662</v>
      </c>
      <c r="B684" s="261"/>
      <c r="C684" s="261"/>
      <c r="D684" s="262" t="s">
        <v>15</v>
      </c>
      <c r="E684" s="262" t="s">
        <v>456</v>
      </c>
      <c r="F684" s="263" t="s">
        <v>15</v>
      </c>
      <c r="G684" s="264" t="s">
        <v>456</v>
      </c>
      <c r="H684" s="281"/>
      <c r="I684" s="265"/>
      <c r="J684" s="266" t="s">
        <v>220</v>
      </c>
      <c r="K684" s="262"/>
      <c r="L684" s="262"/>
      <c r="M684" s="262">
        <v>7701</v>
      </c>
      <c r="N684" s="262" t="s">
        <v>32</v>
      </c>
      <c r="O684" s="262" t="s">
        <v>56</v>
      </c>
      <c r="P684" s="262" t="s">
        <v>57</v>
      </c>
      <c r="Q684" s="262" t="s">
        <v>26</v>
      </c>
      <c r="R684" s="262" t="s">
        <v>468</v>
      </c>
      <c r="S684" s="267" t="s">
        <v>468</v>
      </c>
      <c r="T684" s="268"/>
      <c r="U684" s="269">
        <v>20730000</v>
      </c>
      <c r="V684" s="269">
        <v>31495000</v>
      </c>
      <c r="W684" s="278">
        <v>27415000</v>
      </c>
      <c r="X684" s="270"/>
      <c r="Y684" s="262" t="s">
        <v>27</v>
      </c>
      <c r="Z684" s="271" t="s">
        <v>27</v>
      </c>
      <c r="AA684" s="287"/>
      <c r="AB684" s="287"/>
      <c r="AC684" s="272">
        <f t="shared" si="23"/>
        <v>6530000</v>
      </c>
      <c r="AD684" s="272">
        <v>6530000</v>
      </c>
      <c r="AE684" s="272">
        <f t="shared" si="24"/>
        <v>0</v>
      </c>
      <c r="AF684" s="273"/>
      <c r="AG684" s="274"/>
      <c r="AH684" s="273"/>
      <c r="AI684" s="273"/>
      <c r="AJ684" s="274"/>
      <c r="AK684" s="273"/>
      <c r="AL684" s="275">
        <v>4530000</v>
      </c>
      <c r="AM684" s="290">
        <v>4530000</v>
      </c>
      <c r="AN684" s="275"/>
      <c r="AO684" s="276"/>
      <c r="AP684" s="275"/>
      <c r="AQ684" s="275"/>
      <c r="AR684" s="275"/>
      <c r="AS684" s="275"/>
      <c r="AT684" s="275"/>
      <c r="AU684" s="275"/>
      <c r="AV684" s="275"/>
      <c r="AW684" s="275"/>
      <c r="AX684" s="275"/>
      <c r="AY684" s="275">
        <v>2000000</v>
      </c>
      <c r="AZ684" s="275"/>
      <c r="BA684" s="275"/>
      <c r="BB684" s="275"/>
      <c r="BC684" s="275"/>
      <c r="BD684" s="275"/>
      <c r="BE684" s="275"/>
      <c r="BF684" s="275"/>
      <c r="BH684" s="277"/>
    </row>
    <row r="685" spans="1:60" ht="16.5" hidden="1" customHeight="1" x14ac:dyDescent="0.3">
      <c r="A685" s="260">
        <v>663</v>
      </c>
      <c r="B685" s="261"/>
      <c r="C685" s="261"/>
      <c r="D685" s="262" t="s">
        <v>15</v>
      </c>
      <c r="E685" s="262" t="s">
        <v>456</v>
      </c>
      <c r="F685" s="263" t="s">
        <v>15</v>
      </c>
      <c r="G685" s="264" t="s">
        <v>456</v>
      </c>
      <c r="H685" s="281"/>
      <c r="I685" s="265"/>
      <c r="J685" s="266" t="s">
        <v>220</v>
      </c>
      <c r="K685" s="262"/>
      <c r="L685" s="262"/>
      <c r="M685" s="262">
        <v>7701</v>
      </c>
      <c r="N685" s="262" t="s">
        <v>32</v>
      </c>
      <c r="O685" s="262" t="s">
        <v>35</v>
      </c>
      <c r="P685" s="262"/>
      <c r="Q685" s="262"/>
      <c r="R685" s="262"/>
      <c r="S685" s="267" t="s">
        <v>834</v>
      </c>
      <c r="T685" s="268"/>
      <c r="U685" s="269"/>
      <c r="V685" s="269"/>
      <c r="W685" s="278">
        <v>0</v>
      </c>
      <c r="X685" s="270"/>
      <c r="Y685" s="262"/>
      <c r="Z685" s="271" t="s">
        <v>25</v>
      </c>
      <c r="AA685" s="287"/>
      <c r="AB685" s="287"/>
      <c r="AC685" s="272">
        <f t="shared" si="23"/>
        <v>2000000</v>
      </c>
      <c r="AD685" s="272">
        <v>2000000</v>
      </c>
      <c r="AE685" s="272">
        <f t="shared" si="24"/>
        <v>0</v>
      </c>
      <c r="AF685" s="273"/>
      <c r="AG685" s="274"/>
      <c r="AH685" s="273"/>
      <c r="AI685" s="273"/>
      <c r="AJ685" s="274"/>
      <c r="AK685" s="273"/>
      <c r="AL685" s="275"/>
      <c r="AM685" s="290"/>
      <c r="AN685" s="275"/>
      <c r="AO685" s="276"/>
      <c r="AP685" s="275"/>
      <c r="AQ685" s="275"/>
      <c r="AR685" s="275"/>
      <c r="AS685" s="275"/>
      <c r="AT685" s="275"/>
      <c r="AU685" s="275"/>
      <c r="AV685" s="275"/>
      <c r="AW685" s="275"/>
      <c r="AX685" s="275"/>
      <c r="AY685" s="275">
        <v>2000000</v>
      </c>
      <c r="AZ685" s="275"/>
      <c r="BA685" s="275"/>
      <c r="BB685" s="275"/>
      <c r="BC685" s="275"/>
      <c r="BD685" s="275"/>
      <c r="BE685" s="275"/>
      <c r="BF685" s="275"/>
      <c r="BH685" s="277"/>
    </row>
    <row r="686" spans="1:60" ht="16.5" hidden="1" customHeight="1" x14ac:dyDescent="0.3">
      <c r="A686" s="260">
        <v>664</v>
      </c>
      <c r="B686" s="261"/>
      <c r="C686" s="261"/>
      <c r="D686" s="262" t="s">
        <v>15</v>
      </c>
      <c r="E686" s="262" t="s">
        <v>456</v>
      </c>
      <c r="F686" s="263" t="s">
        <v>15</v>
      </c>
      <c r="G686" s="264" t="s">
        <v>456</v>
      </c>
      <c r="H686" s="281"/>
      <c r="I686" s="265"/>
      <c r="J686" s="266" t="s">
        <v>223</v>
      </c>
      <c r="K686" s="262"/>
      <c r="L686" s="262"/>
      <c r="M686" s="262">
        <v>16328</v>
      </c>
      <c r="N686" s="262" t="s">
        <v>32</v>
      </c>
      <c r="O686" s="262" t="s">
        <v>56</v>
      </c>
      <c r="P686" s="262" t="s">
        <v>57</v>
      </c>
      <c r="Q686" s="262" t="s">
        <v>30</v>
      </c>
      <c r="R686" s="262" t="s">
        <v>31</v>
      </c>
      <c r="S686" s="267" t="s">
        <v>31</v>
      </c>
      <c r="T686" s="268"/>
      <c r="U686" s="269"/>
      <c r="V686" s="269">
        <v>4800000</v>
      </c>
      <c r="W686" s="278">
        <v>0</v>
      </c>
      <c r="X686" s="270"/>
      <c r="Y686" s="262" t="s">
        <v>599</v>
      </c>
      <c r="Z686" s="271" t="s">
        <v>25</v>
      </c>
      <c r="AA686" s="287"/>
      <c r="AB686" s="287"/>
      <c r="AC686" s="272">
        <f t="shared" si="23"/>
        <v>5000000</v>
      </c>
      <c r="AD686" s="272">
        <v>5000000</v>
      </c>
      <c r="AE686" s="272">
        <f t="shared" si="24"/>
        <v>0</v>
      </c>
      <c r="AF686" s="273"/>
      <c r="AG686" s="274"/>
      <c r="AH686" s="273"/>
      <c r="AI686" s="273"/>
      <c r="AJ686" s="274"/>
      <c r="AK686" s="273"/>
      <c r="AL686" s="275"/>
      <c r="AM686" s="290"/>
      <c r="AN686" s="275"/>
      <c r="AO686" s="276"/>
      <c r="AP686" s="275"/>
      <c r="AQ686" s="275"/>
      <c r="AR686" s="275"/>
      <c r="AS686" s="275">
        <v>2500000</v>
      </c>
      <c r="AT686" s="275"/>
      <c r="AU686" s="275"/>
      <c r="AV686" s="275"/>
      <c r="AW686" s="275"/>
      <c r="AX686" s="275"/>
      <c r="AY686" s="275"/>
      <c r="AZ686" s="275"/>
      <c r="BA686" s="275">
        <v>2500000</v>
      </c>
      <c r="BB686" s="275"/>
      <c r="BC686" s="275"/>
      <c r="BD686" s="275"/>
      <c r="BE686" s="275"/>
      <c r="BF686" s="275"/>
      <c r="BH686" s="277"/>
    </row>
    <row r="687" spans="1:60" ht="16.5" hidden="1" customHeight="1" x14ac:dyDescent="0.3">
      <c r="A687" s="260">
        <v>665</v>
      </c>
      <c r="B687" s="261"/>
      <c r="C687" s="261"/>
      <c r="D687" s="262" t="s">
        <v>15</v>
      </c>
      <c r="E687" s="262" t="s">
        <v>456</v>
      </c>
      <c r="F687" s="263" t="s">
        <v>15</v>
      </c>
      <c r="G687" s="264" t="s">
        <v>456</v>
      </c>
      <c r="H687" s="281"/>
      <c r="I687" s="265"/>
      <c r="J687" s="266" t="s">
        <v>223</v>
      </c>
      <c r="K687" s="262"/>
      <c r="L687" s="262"/>
      <c r="M687" s="262">
        <v>16328</v>
      </c>
      <c r="N687" s="262" t="s">
        <v>32</v>
      </c>
      <c r="O687" s="262" t="s">
        <v>35</v>
      </c>
      <c r="P687" s="262" t="s">
        <v>57</v>
      </c>
      <c r="Q687" s="262" t="s">
        <v>26</v>
      </c>
      <c r="R687" s="262" t="s">
        <v>468</v>
      </c>
      <c r="S687" s="267" t="s">
        <v>468</v>
      </c>
      <c r="T687" s="268"/>
      <c r="U687" s="269">
        <v>8000000</v>
      </c>
      <c r="V687" s="269">
        <v>0</v>
      </c>
      <c r="W687" s="278">
        <v>0</v>
      </c>
      <c r="X687" s="270"/>
      <c r="Y687" s="262" t="s">
        <v>25</v>
      </c>
      <c r="Z687" s="271" t="s">
        <v>25</v>
      </c>
      <c r="AA687" s="287"/>
      <c r="AB687" s="287"/>
      <c r="AC687" s="272">
        <f t="shared" si="23"/>
        <v>3000000</v>
      </c>
      <c r="AD687" s="272">
        <v>3000000</v>
      </c>
      <c r="AE687" s="272">
        <f t="shared" si="24"/>
        <v>0</v>
      </c>
      <c r="AF687" s="273"/>
      <c r="AG687" s="274"/>
      <c r="AH687" s="273"/>
      <c r="AI687" s="273"/>
      <c r="AJ687" s="274"/>
      <c r="AK687" s="273"/>
      <c r="AL687" s="275"/>
      <c r="AM687" s="290"/>
      <c r="AN687" s="275"/>
      <c r="AO687" s="276"/>
      <c r="AP687" s="275"/>
      <c r="AQ687" s="275"/>
      <c r="AR687" s="275"/>
      <c r="AS687" s="275"/>
      <c r="AT687" s="275"/>
      <c r="AU687" s="275">
        <v>3000000</v>
      </c>
      <c r="AV687" s="275"/>
      <c r="AW687" s="275"/>
      <c r="AX687" s="275"/>
      <c r="AY687" s="275"/>
      <c r="AZ687" s="275"/>
      <c r="BA687" s="275"/>
      <c r="BB687" s="275"/>
      <c r="BC687" s="275"/>
      <c r="BD687" s="275"/>
      <c r="BE687" s="275"/>
      <c r="BF687" s="275"/>
      <c r="BH687" s="277"/>
    </row>
    <row r="688" spans="1:60" ht="16.5" hidden="1" customHeight="1" x14ac:dyDescent="0.3">
      <c r="A688" s="260">
        <v>666</v>
      </c>
      <c r="B688" s="261"/>
      <c r="C688" s="261"/>
      <c r="D688" s="262" t="s">
        <v>15</v>
      </c>
      <c r="E688" s="262" t="s">
        <v>456</v>
      </c>
      <c r="F688" s="263" t="s">
        <v>15</v>
      </c>
      <c r="G688" s="264" t="s">
        <v>456</v>
      </c>
      <c r="H688" s="281"/>
      <c r="I688" s="265"/>
      <c r="J688" s="266" t="s">
        <v>1028</v>
      </c>
      <c r="K688" s="262"/>
      <c r="L688" s="262"/>
      <c r="M688" s="262">
        <v>61357</v>
      </c>
      <c r="N688" s="262" t="s">
        <v>32</v>
      </c>
      <c r="O688" s="262" t="s">
        <v>212</v>
      </c>
      <c r="P688" s="262"/>
      <c r="Q688" s="262" t="s">
        <v>224</v>
      </c>
      <c r="R688" s="262" t="s">
        <v>467</v>
      </c>
      <c r="S688" s="267" t="s">
        <v>826</v>
      </c>
      <c r="T688" s="268"/>
      <c r="U688" s="269"/>
      <c r="V688" s="269">
        <v>7200000</v>
      </c>
      <c r="W688" s="278">
        <v>19200000</v>
      </c>
      <c r="X688" s="270"/>
      <c r="Y688" s="262" t="s">
        <v>27</v>
      </c>
      <c r="Z688" s="271" t="s">
        <v>27</v>
      </c>
      <c r="AA688" s="287"/>
      <c r="AB688" s="287"/>
      <c r="AC688" s="272">
        <f t="shared" si="23"/>
        <v>19440000</v>
      </c>
      <c r="AD688" s="272">
        <v>19440000</v>
      </c>
      <c r="AE688" s="272">
        <f t="shared" si="24"/>
        <v>0</v>
      </c>
      <c r="AF688" s="273"/>
      <c r="AG688" s="274"/>
      <c r="AH688" s="273"/>
      <c r="AI688" s="273"/>
      <c r="AJ688" s="274">
        <v>13440000</v>
      </c>
      <c r="AK688" s="273"/>
      <c r="AL688" s="275"/>
      <c r="AM688" s="290"/>
      <c r="AN688" s="275"/>
      <c r="AO688" s="276"/>
      <c r="AP688" s="275"/>
      <c r="AQ688" s="275"/>
      <c r="AR688" s="275"/>
      <c r="AS688" s="275"/>
      <c r="AT688" s="275"/>
      <c r="AU688" s="275"/>
      <c r="AV688" s="275"/>
      <c r="AW688" s="275"/>
      <c r="AX688" s="275"/>
      <c r="AY688" s="275"/>
      <c r="AZ688" s="275"/>
      <c r="BA688" s="275"/>
      <c r="BB688" s="275"/>
      <c r="BC688" s="275"/>
      <c r="BD688" s="275"/>
      <c r="BE688" s="275">
        <v>6000000</v>
      </c>
      <c r="BF688" s="275"/>
      <c r="BH688" s="277"/>
    </row>
    <row r="689" spans="1:60" ht="16.5" hidden="1" customHeight="1" x14ac:dyDescent="0.3">
      <c r="A689" s="260">
        <v>667</v>
      </c>
      <c r="B689" s="261"/>
      <c r="C689" s="261"/>
      <c r="D689" s="262" t="s">
        <v>15</v>
      </c>
      <c r="E689" s="262" t="s">
        <v>456</v>
      </c>
      <c r="F689" s="263" t="s">
        <v>15</v>
      </c>
      <c r="G689" s="264" t="s">
        <v>456</v>
      </c>
      <c r="H689" s="281"/>
      <c r="I689" s="265"/>
      <c r="J689" s="266" t="s">
        <v>225</v>
      </c>
      <c r="K689" s="262"/>
      <c r="L689" s="262"/>
      <c r="M689" s="262">
        <v>4345</v>
      </c>
      <c r="N689" s="262" t="s">
        <v>32</v>
      </c>
      <c r="O689" s="262" t="s">
        <v>35</v>
      </c>
      <c r="P689" s="262" t="s">
        <v>156</v>
      </c>
      <c r="Q689" s="262" t="s">
        <v>18</v>
      </c>
      <c r="R689" s="262" t="s">
        <v>19</v>
      </c>
      <c r="S689" s="267" t="s">
        <v>19</v>
      </c>
      <c r="T689" s="268"/>
      <c r="U689" s="269" t="s">
        <v>154</v>
      </c>
      <c r="V689" s="269">
        <v>0</v>
      </c>
      <c r="W689" s="278">
        <v>0</v>
      </c>
      <c r="X689" s="270"/>
      <c r="Y689" s="262" t="s">
        <v>25</v>
      </c>
      <c r="Z689" s="271" t="s">
        <v>25</v>
      </c>
      <c r="AA689" s="287"/>
      <c r="AB689" s="287"/>
      <c r="AC689" s="272">
        <f t="shared" si="23"/>
        <v>20000000</v>
      </c>
      <c r="AD689" s="272">
        <v>20000000</v>
      </c>
      <c r="AE689" s="272">
        <f t="shared" si="24"/>
        <v>0</v>
      </c>
      <c r="AF689" s="273"/>
      <c r="AG689" s="274"/>
      <c r="AH689" s="273"/>
      <c r="AI689" s="273"/>
      <c r="AJ689" s="274"/>
      <c r="AK689" s="273"/>
      <c r="AL689" s="275"/>
      <c r="AM689" s="290"/>
      <c r="AN689" s="275"/>
      <c r="AO689" s="276"/>
      <c r="AP689" s="275"/>
      <c r="AQ689" s="275">
        <v>10000000</v>
      </c>
      <c r="AR689" s="275"/>
      <c r="AS689" s="275"/>
      <c r="AT689" s="275"/>
      <c r="AU689" s="275"/>
      <c r="AV689" s="275"/>
      <c r="AW689" s="275"/>
      <c r="AX689" s="275"/>
      <c r="AY689" s="275"/>
      <c r="AZ689" s="275"/>
      <c r="BA689" s="275">
        <v>10000000</v>
      </c>
      <c r="BB689" s="275"/>
      <c r="BC689" s="275"/>
      <c r="BD689" s="275"/>
      <c r="BE689" s="275"/>
      <c r="BF689" s="275"/>
      <c r="BH689" s="277"/>
    </row>
    <row r="690" spans="1:60" ht="16.5" hidden="1" customHeight="1" x14ac:dyDescent="0.3">
      <c r="A690" s="260">
        <v>668</v>
      </c>
      <c r="B690" s="261"/>
      <c r="C690" s="261"/>
      <c r="D690" s="262" t="s">
        <v>15</v>
      </c>
      <c r="E690" s="262" t="s">
        <v>456</v>
      </c>
      <c r="F690" s="263" t="s">
        <v>15</v>
      </c>
      <c r="G690" s="264" t="s">
        <v>456</v>
      </c>
      <c r="H690" s="281"/>
      <c r="I690" s="265"/>
      <c r="J690" s="266" t="s">
        <v>225</v>
      </c>
      <c r="K690" s="262"/>
      <c r="L690" s="262"/>
      <c r="M690" s="262">
        <v>4345</v>
      </c>
      <c r="N690" s="262" t="s">
        <v>32</v>
      </c>
      <c r="O690" s="262" t="s">
        <v>56</v>
      </c>
      <c r="P690" s="262"/>
      <c r="Q690" s="262" t="s">
        <v>30</v>
      </c>
      <c r="R690" s="262" t="s">
        <v>31</v>
      </c>
      <c r="S690" s="267" t="s">
        <v>31</v>
      </c>
      <c r="T690" s="268"/>
      <c r="U690" s="269">
        <v>6105000</v>
      </c>
      <c r="V690" s="269">
        <v>5714600</v>
      </c>
      <c r="W690" s="278">
        <v>6250200</v>
      </c>
      <c r="X690" s="270"/>
      <c r="Y690" s="262" t="s">
        <v>27</v>
      </c>
      <c r="Z690" s="271" t="s">
        <v>24</v>
      </c>
      <c r="AA690" s="287"/>
      <c r="AB690" s="287"/>
      <c r="AC690" s="272">
        <f t="shared" si="23"/>
        <v>8000000</v>
      </c>
      <c r="AD690" s="272">
        <v>8000000</v>
      </c>
      <c r="AE690" s="272">
        <f t="shared" si="24"/>
        <v>0</v>
      </c>
      <c r="AF690" s="273"/>
      <c r="AG690" s="274"/>
      <c r="AH690" s="273"/>
      <c r="AI690" s="273"/>
      <c r="AJ690" s="274"/>
      <c r="AK690" s="273"/>
      <c r="AL690" s="275"/>
      <c r="AM690" s="290"/>
      <c r="AN690" s="275"/>
      <c r="AO690" s="276"/>
      <c r="AP690" s="275"/>
      <c r="AQ690" s="275"/>
      <c r="AR690" s="275"/>
      <c r="AS690" s="275"/>
      <c r="AT690" s="275"/>
      <c r="AU690" s="275"/>
      <c r="AV690" s="275"/>
      <c r="AW690" s="275"/>
      <c r="AX690" s="275"/>
      <c r="AY690" s="275"/>
      <c r="AZ690" s="275"/>
      <c r="BA690" s="275"/>
      <c r="BB690" s="275"/>
      <c r="BC690" s="275">
        <v>8000000</v>
      </c>
      <c r="BD690" s="275"/>
      <c r="BE690" s="275"/>
      <c r="BF690" s="275"/>
      <c r="BH690" s="277"/>
    </row>
    <row r="691" spans="1:60" ht="16.5" hidden="1" customHeight="1" x14ac:dyDescent="0.3">
      <c r="A691" s="260">
        <v>669</v>
      </c>
      <c r="B691" s="261"/>
      <c r="C691" s="261"/>
      <c r="D691" s="262" t="s">
        <v>15</v>
      </c>
      <c r="E691" s="262" t="s">
        <v>456</v>
      </c>
      <c r="F691" s="263" t="s">
        <v>15</v>
      </c>
      <c r="G691" s="264" t="s">
        <v>456</v>
      </c>
      <c r="H691" s="281"/>
      <c r="I691" s="265"/>
      <c r="J691" s="266" t="s">
        <v>225</v>
      </c>
      <c r="K691" s="262"/>
      <c r="L691" s="262"/>
      <c r="M691" s="262">
        <v>4345</v>
      </c>
      <c r="N691" s="262" t="s">
        <v>32</v>
      </c>
      <c r="O691" s="262" t="s">
        <v>56</v>
      </c>
      <c r="P691" s="262"/>
      <c r="Q691" s="262" t="s">
        <v>23</v>
      </c>
      <c r="R691" s="262" t="s">
        <v>397</v>
      </c>
      <c r="S691" s="267" t="s">
        <v>823</v>
      </c>
      <c r="T691" s="268"/>
      <c r="U691" s="269" t="s">
        <v>154</v>
      </c>
      <c r="V691" s="269">
        <v>0</v>
      </c>
      <c r="W691" s="278">
        <v>0</v>
      </c>
      <c r="X691" s="270"/>
      <c r="Y691" s="262" t="s">
        <v>562</v>
      </c>
      <c r="Z691" s="271" t="s">
        <v>25</v>
      </c>
      <c r="AA691" s="287"/>
      <c r="AB691" s="287"/>
      <c r="AC691" s="272">
        <f t="shared" si="23"/>
        <v>30000000</v>
      </c>
      <c r="AD691" s="272">
        <v>30000000</v>
      </c>
      <c r="AE691" s="272">
        <f t="shared" si="24"/>
        <v>0</v>
      </c>
      <c r="AF691" s="273"/>
      <c r="AG691" s="274"/>
      <c r="AH691" s="273"/>
      <c r="AI691" s="273"/>
      <c r="AJ691" s="274"/>
      <c r="AK691" s="273"/>
      <c r="AL691" s="275"/>
      <c r="AM691" s="290"/>
      <c r="AN691" s="275"/>
      <c r="AO691" s="276"/>
      <c r="AP691" s="275"/>
      <c r="AQ691" s="291">
        <v>10000000</v>
      </c>
      <c r="AR691" s="275"/>
      <c r="AS691" s="275"/>
      <c r="AT691" s="275"/>
      <c r="AU691" s="275"/>
      <c r="AV691" s="275"/>
      <c r="AW691" s="275"/>
      <c r="AX691" s="275"/>
      <c r="AY691" s="275"/>
      <c r="AZ691" s="275"/>
      <c r="BA691" s="275"/>
      <c r="BB691" s="275"/>
      <c r="BC691" s="275"/>
      <c r="BD691" s="275"/>
      <c r="BE691" s="275">
        <v>20000000</v>
      </c>
      <c r="BF691" s="275"/>
      <c r="BH691" s="277"/>
    </row>
    <row r="692" spans="1:60" ht="16.5" hidden="1" customHeight="1" x14ac:dyDescent="0.3">
      <c r="A692" s="260">
        <v>670</v>
      </c>
      <c r="B692" s="261"/>
      <c r="C692" s="261"/>
      <c r="D692" s="262" t="s">
        <v>15</v>
      </c>
      <c r="E692" s="262" t="s">
        <v>175</v>
      </c>
      <c r="F692" s="263" t="s">
        <v>15</v>
      </c>
      <c r="G692" s="264" t="s">
        <v>456</v>
      </c>
      <c r="H692" s="281"/>
      <c r="I692" s="265"/>
      <c r="J692" s="266" t="s">
        <v>176</v>
      </c>
      <c r="K692" s="262"/>
      <c r="L692" s="262"/>
      <c r="M692" s="262">
        <v>30162</v>
      </c>
      <c r="N692" s="262" t="s">
        <v>32</v>
      </c>
      <c r="O692" s="262" t="s">
        <v>56</v>
      </c>
      <c r="P692" s="262" t="s">
        <v>124</v>
      </c>
      <c r="Q692" s="262" t="s">
        <v>18</v>
      </c>
      <c r="R692" s="262" t="s">
        <v>19</v>
      </c>
      <c r="S692" s="267" t="s">
        <v>19</v>
      </c>
      <c r="T692" s="268"/>
      <c r="U692" s="269"/>
      <c r="V692" s="269">
        <v>0</v>
      </c>
      <c r="W692" s="278">
        <v>6500000</v>
      </c>
      <c r="X692" s="270"/>
      <c r="Y692" s="262" t="s">
        <v>25</v>
      </c>
      <c r="Z692" s="271" t="s">
        <v>25</v>
      </c>
      <c r="AA692" s="287"/>
      <c r="AB692" s="287"/>
      <c r="AC692" s="272">
        <f t="shared" si="23"/>
        <v>0</v>
      </c>
      <c r="AD692" s="272">
        <v>0</v>
      </c>
      <c r="AE692" s="272">
        <f t="shared" si="24"/>
        <v>0</v>
      </c>
      <c r="AF692" s="273"/>
      <c r="AG692" s="274"/>
      <c r="AH692" s="273"/>
      <c r="AI692" s="273"/>
      <c r="AJ692" s="274"/>
      <c r="AK692" s="273"/>
      <c r="AL692" s="275"/>
      <c r="AM692" s="290"/>
      <c r="AN692" s="275"/>
      <c r="AO692" s="276"/>
      <c r="AP692" s="275"/>
      <c r="AQ692" s="275"/>
      <c r="AR692" s="275"/>
      <c r="AS692" s="275"/>
      <c r="AT692" s="275"/>
      <c r="AU692" s="275"/>
      <c r="AV692" s="275"/>
      <c r="AW692" s="275"/>
      <c r="AX692" s="275"/>
      <c r="AY692" s="275"/>
      <c r="AZ692" s="275"/>
      <c r="BA692" s="275"/>
      <c r="BB692" s="275"/>
      <c r="BC692" s="275"/>
      <c r="BD692" s="275"/>
      <c r="BE692" s="275"/>
      <c r="BF692" s="275"/>
      <c r="BH692" s="277"/>
    </row>
    <row r="693" spans="1:60" ht="16.5" hidden="1" customHeight="1" x14ac:dyDescent="0.3">
      <c r="A693" s="260">
        <v>671</v>
      </c>
      <c r="B693" s="261"/>
      <c r="C693" s="261"/>
      <c r="D693" s="262" t="s">
        <v>15</v>
      </c>
      <c r="E693" s="262" t="s">
        <v>175</v>
      </c>
      <c r="F693" s="263" t="s">
        <v>15</v>
      </c>
      <c r="G693" s="264" t="s">
        <v>456</v>
      </c>
      <c r="H693" s="281"/>
      <c r="I693" s="265"/>
      <c r="J693" s="266" t="s">
        <v>176</v>
      </c>
      <c r="K693" s="262"/>
      <c r="L693" s="262"/>
      <c r="M693" s="262">
        <v>30162</v>
      </c>
      <c r="N693" s="262" t="s">
        <v>32</v>
      </c>
      <c r="O693" s="262" t="s">
        <v>212</v>
      </c>
      <c r="P693" s="262" t="s">
        <v>124</v>
      </c>
      <c r="Q693" s="262" t="s">
        <v>18</v>
      </c>
      <c r="R693" s="262" t="s">
        <v>19</v>
      </c>
      <c r="S693" s="267" t="s">
        <v>19</v>
      </c>
      <c r="T693" s="268"/>
      <c r="U693" s="269">
        <v>9800000</v>
      </c>
      <c r="V693" s="269">
        <v>6500000</v>
      </c>
      <c r="W693" s="278">
        <v>0</v>
      </c>
      <c r="X693" s="270"/>
      <c r="Y693" s="262" t="s">
        <v>27</v>
      </c>
      <c r="Z693" s="271" t="s">
        <v>718</v>
      </c>
      <c r="AA693" s="287"/>
      <c r="AB693" s="287"/>
      <c r="AC693" s="272">
        <f t="shared" si="23"/>
        <v>0</v>
      </c>
      <c r="AD693" s="272">
        <v>0</v>
      </c>
      <c r="AE693" s="272">
        <f t="shared" si="24"/>
        <v>0</v>
      </c>
      <c r="AF693" s="273"/>
      <c r="AG693" s="274"/>
      <c r="AH693" s="273"/>
      <c r="AI693" s="273"/>
      <c r="AJ693" s="274"/>
      <c r="AK693" s="273"/>
      <c r="AL693" s="275"/>
      <c r="AM693" s="290"/>
      <c r="AN693" s="275"/>
      <c r="AO693" s="276"/>
      <c r="AP693" s="275"/>
      <c r="AQ693" s="275"/>
      <c r="AR693" s="275"/>
      <c r="AS693" s="275"/>
      <c r="AT693" s="275"/>
      <c r="AU693" s="275"/>
      <c r="AV693" s="275"/>
      <c r="AW693" s="275"/>
      <c r="AX693" s="275"/>
      <c r="AY693" s="275"/>
      <c r="AZ693" s="275"/>
      <c r="BA693" s="275"/>
      <c r="BB693" s="275"/>
      <c r="BC693" s="275"/>
      <c r="BD693" s="275"/>
      <c r="BE693" s="275"/>
      <c r="BF693" s="275"/>
      <c r="BH693" s="277"/>
    </row>
    <row r="694" spans="1:60" ht="16.5" hidden="1" customHeight="1" x14ac:dyDescent="0.3">
      <c r="A694" s="260">
        <v>672</v>
      </c>
      <c r="B694" s="261"/>
      <c r="C694" s="261"/>
      <c r="D694" s="262" t="s">
        <v>15</v>
      </c>
      <c r="E694" s="262" t="s">
        <v>0</v>
      </c>
      <c r="F694" s="263" t="s">
        <v>15</v>
      </c>
      <c r="G694" s="264" t="s">
        <v>456</v>
      </c>
      <c r="H694" s="281"/>
      <c r="I694" s="265"/>
      <c r="J694" s="266" t="s">
        <v>226</v>
      </c>
      <c r="K694" s="262"/>
      <c r="L694" s="262"/>
      <c r="M694" s="262">
        <v>7261</v>
      </c>
      <c r="N694" s="262" t="s">
        <v>32</v>
      </c>
      <c r="O694" s="262" t="s">
        <v>56</v>
      </c>
      <c r="P694" s="262" t="s">
        <v>57</v>
      </c>
      <c r="Q694" s="262" t="s">
        <v>44</v>
      </c>
      <c r="R694" s="262" t="s">
        <v>28</v>
      </c>
      <c r="S694" s="267" t="s">
        <v>28</v>
      </c>
      <c r="T694" s="268"/>
      <c r="U694" s="269" t="s">
        <v>154</v>
      </c>
      <c r="V694" s="269">
        <v>6211636</v>
      </c>
      <c r="W694" s="278">
        <v>3330363</v>
      </c>
      <c r="X694" s="270"/>
      <c r="Y694" s="262" t="s">
        <v>27</v>
      </c>
      <c r="Z694" s="271" t="s">
        <v>24</v>
      </c>
      <c r="AA694" s="287"/>
      <c r="AB694" s="287"/>
      <c r="AC694" s="272">
        <f t="shared" si="23"/>
        <v>180000000</v>
      </c>
      <c r="AD694" s="272">
        <v>180000000</v>
      </c>
      <c r="AE694" s="272">
        <f t="shared" si="24"/>
        <v>0</v>
      </c>
      <c r="AF694" s="273"/>
      <c r="AG694" s="274"/>
      <c r="AH694" s="273"/>
      <c r="AI694" s="273">
        <v>10000000</v>
      </c>
      <c r="AJ694" s="274"/>
      <c r="AK694" s="273"/>
      <c r="AL694" s="275"/>
      <c r="AM694" s="290"/>
      <c r="AN694" s="275"/>
      <c r="AO694" s="276">
        <v>20000000</v>
      </c>
      <c r="AP694" s="275"/>
      <c r="AQ694" s="275">
        <v>20000000</v>
      </c>
      <c r="AR694" s="275"/>
      <c r="AS694" s="275">
        <v>20000000</v>
      </c>
      <c r="AT694" s="275"/>
      <c r="AU694" s="275">
        <v>20000000</v>
      </c>
      <c r="AV694" s="275"/>
      <c r="AW694" s="275">
        <v>20000000</v>
      </c>
      <c r="AX694" s="275"/>
      <c r="AY694" s="275">
        <v>20000000</v>
      </c>
      <c r="AZ694" s="275"/>
      <c r="BA694" s="275">
        <v>20000000</v>
      </c>
      <c r="BB694" s="275"/>
      <c r="BC694" s="275">
        <v>20000000</v>
      </c>
      <c r="BD694" s="275"/>
      <c r="BE694" s="275">
        <v>20000000</v>
      </c>
      <c r="BF694" s="275"/>
      <c r="BH694" s="277"/>
    </row>
    <row r="695" spans="1:60" ht="16.5" hidden="1" customHeight="1" x14ac:dyDescent="0.3">
      <c r="A695" s="260">
        <v>673</v>
      </c>
      <c r="B695" s="261"/>
      <c r="C695" s="261"/>
      <c r="D695" s="262" t="s">
        <v>15</v>
      </c>
      <c r="E695" s="262" t="s">
        <v>0</v>
      </c>
      <c r="F695" s="263" t="s">
        <v>15</v>
      </c>
      <c r="G695" s="264" t="s">
        <v>456</v>
      </c>
      <c r="H695" s="281"/>
      <c r="I695" s="265"/>
      <c r="J695" s="266" t="s">
        <v>226</v>
      </c>
      <c r="K695" s="262"/>
      <c r="L695" s="262"/>
      <c r="M695" s="262">
        <v>7261</v>
      </c>
      <c r="N695" s="262" t="s">
        <v>32</v>
      </c>
      <c r="O695" s="262" t="s">
        <v>56</v>
      </c>
      <c r="P695" s="262"/>
      <c r="Q695" s="262"/>
      <c r="R695" s="262" t="s">
        <v>28</v>
      </c>
      <c r="S695" s="267" t="s">
        <v>28</v>
      </c>
      <c r="T695" s="268"/>
      <c r="U695" s="269"/>
      <c r="V695" s="269"/>
      <c r="W695" s="278">
        <v>0</v>
      </c>
      <c r="X695" s="270"/>
      <c r="Y695" s="262" t="s">
        <v>24</v>
      </c>
      <c r="Z695" s="271" t="s">
        <v>562</v>
      </c>
      <c r="AA695" s="287"/>
      <c r="AB695" s="287"/>
      <c r="AC695" s="272">
        <f t="shared" si="23"/>
        <v>0</v>
      </c>
      <c r="AD695" s="272">
        <v>0</v>
      </c>
      <c r="AE695" s="272">
        <f t="shared" si="24"/>
        <v>0</v>
      </c>
      <c r="AF695" s="273"/>
      <c r="AG695" s="274"/>
      <c r="AH695" s="273"/>
      <c r="AI695" s="273"/>
      <c r="AJ695" s="274"/>
      <c r="AK695" s="273"/>
      <c r="AL695" s="275"/>
      <c r="AM695" s="290"/>
      <c r="AN695" s="275"/>
      <c r="AO695" s="276"/>
      <c r="AP695" s="275"/>
      <c r="AQ695" s="275"/>
      <c r="AR695" s="275"/>
      <c r="AS695" s="275"/>
      <c r="AT695" s="275"/>
      <c r="AU695" s="275"/>
      <c r="AV695" s="275"/>
      <c r="AW695" s="275"/>
      <c r="AX695" s="275"/>
      <c r="AY695" s="275"/>
      <c r="AZ695" s="275"/>
      <c r="BA695" s="275"/>
      <c r="BB695" s="275"/>
      <c r="BC695" s="275"/>
      <c r="BD695" s="275"/>
      <c r="BE695" s="275"/>
      <c r="BF695" s="275"/>
      <c r="BH695" s="277"/>
    </row>
    <row r="696" spans="1:60" ht="16.5" hidden="1" customHeight="1" x14ac:dyDescent="0.3">
      <c r="A696" s="260">
        <v>674</v>
      </c>
      <c r="B696" s="261"/>
      <c r="C696" s="261"/>
      <c r="D696" s="262" t="s">
        <v>15</v>
      </c>
      <c r="E696" s="262" t="s">
        <v>0</v>
      </c>
      <c r="F696" s="263" t="s">
        <v>15</v>
      </c>
      <c r="G696" s="264" t="s">
        <v>456</v>
      </c>
      <c r="H696" s="281"/>
      <c r="I696" s="265"/>
      <c r="J696" s="266" t="s">
        <v>226</v>
      </c>
      <c r="K696" s="262"/>
      <c r="L696" s="262"/>
      <c r="M696" s="262">
        <v>7261</v>
      </c>
      <c r="N696" s="262" t="s">
        <v>32</v>
      </c>
      <c r="O696" s="262" t="s">
        <v>56</v>
      </c>
      <c r="P696" s="262" t="s">
        <v>57</v>
      </c>
      <c r="Q696" s="262" t="s">
        <v>18</v>
      </c>
      <c r="R696" s="262" t="s">
        <v>19</v>
      </c>
      <c r="S696" s="267" t="s">
        <v>19</v>
      </c>
      <c r="T696" s="268"/>
      <c r="U696" s="269">
        <v>70460813</v>
      </c>
      <c r="V696" s="269">
        <v>0</v>
      </c>
      <c r="W696" s="278">
        <v>0</v>
      </c>
      <c r="X696" s="270"/>
      <c r="Y696" s="262" t="s">
        <v>21</v>
      </c>
      <c r="Z696" s="271" t="s">
        <v>27</v>
      </c>
      <c r="AA696" s="287"/>
      <c r="AB696" s="287"/>
      <c r="AC696" s="272">
        <f t="shared" si="23"/>
        <v>1715000</v>
      </c>
      <c r="AD696" s="272">
        <v>1715000</v>
      </c>
      <c r="AE696" s="272">
        <f t="shared" si="24"/>
        <v>0</v>
      </c>
      <c r="AF696" s="273"/>
      <c r="AG696" s="274">
        <v>620000</v>
      </c>
      <c r="AH696" s="273"/>
      <c r="AI696" s="273"/>
      <c r="AJ696" s="274"/>
      <c r="AK696" s="273"/>
      <c r="AL696" s="275">
        <v>1095000</v>
      </c>
      <c r="AM696" s="290">
        <v>1095000</v>
      </c>
      <c r="AN696" s="275"/>
      <c r="AO696" s="276"/>
      <c r="AP696" s="275"/>
      <c r="AQ696" s="275"/>
      <c r="AR696" s="275"/>
      <c r="AS696" s="275"/>
      <c r="AT696" s="275"/>
      <c r="AU696" s="275"/>
      <c r="AV696" s="275"/>
      <c r="AW696" s="275"/>
      <c r="AX696" s="275"/>
      <c r="AY696" s="275"/>
      <c r="AZ696" s="275"/>
      <c r="BA696" s="275"/>
      <c r="BB696" s="275"/>
      <c r="BC696" s="275"/>
      <c r="BD696" s="275"/>
      <c r="BE696" s="275"/>
      <c r="BF696" s="275"/>
      <c r="BH696" s="277"/>
    </row>
    <row r="697" spans="1:60" ht="16.5" hidden="1" customHeight="1" x14ac:dyDescent="0.3">
      <c r="A697" s="260">
        <v>675</v>
      </c>
      <c r="B697" s="261"/>
      <c r="C697" s="261"/>
      <c r="D697" s="262" t="s">
        <v>15</v>
      </c>
      <c r="E697" s="262" t="s">
        <v>0</v>
      </c>
      <c r="F697" s="263" t="s">
        <v>15</v>
      </c>
      <c r="G697" s="264" t="s">
        <v>456</v>
      </c>
      <c r="H697" s="281"/>
      <c r="I697" s="265"/>
      <c r="J697" s="266" t="s">
        <v>226</v>
      </c>
      <c r="K697" s="262"/>
      <c r="L697" s="262"/>
      <c r="M697" s="262">
        <v>7261</v>
      </c>
      <c r="N697" s="262" t="s">
        <v>32</v>
      </c>
      <c r="O697" s="262" t="s">
        <v>56</v>
      </c>
      <c r="P697" s="262" t="s">
        <v>57</v>
      </c>
      <c r="Q697" s="262" t="s">
        <v>26</v>
      </c>
      <c r="R697" s="262" t="s">
        <v>478</v>
      </c>
      <c r="S697" s="267" t="s">
        <v>478</v>
      </c>
      <c r="T697" s="268"/>
      <c r="U697" s="269">
        <v>11818182</v>
      </c>
      <c r="V697" s="269">
        <v>12180000</v>
      </c>
      <c r="W697" s="278">
        <v>14645000</v>
      </c>
      <c r="X697" s="270"/>
      <c r="Y697" s="262" t="s">
        <v>27</v>
      </c>
      <c r="Z697" s="271" t="s">
        <v>24</v>
      </c>
      <c r="AA697" s="287"/>
      <c r="AB697" s="287"/>
      <c r="AC697" s="272">
        <f t="shared" si="23"/>
        <v>20000000</v>
      </c>
      <c r="AD697" s="272">
        <v>20000000</v>
      </c>
      <c r="AE697" s="272">
        <f t="shared" si="24"/>
        <v>0</v>
      </c>
      <c r="AF697" s="273"/>
      <c r="AG697" s="274"/>
      <c r="AH697" s="273"/>
      <c r="AI697" s="273"/>
      <c r="AJ697" s="274"/>
      <c r="AK697" s="273"/>
      <c r="AL697" s="275"/>
      <c r="AM697" s="290"/>
      <c r="AN697" s="275"/>
      <c r="AO697" s="276"/>
      <c r="AP697" s="275"/>
      <c r="AQ697" s="291">
        <v>20000000</v>
      </c>
      <c r="AR697" s="275"/>
      <c r="AS697" s="275"/>
      <c r="AT697" s="275"/>
      <c r="AU697" s="275"/>
      <c r="AV697" s="275"/>
      <c r="AW697" s="275"/>
      <c r="AX697" s="275"/>
      <c r="AY697" s="275"/>
      <c r="AZ697" s="275"/>
      <c r="BA697" s="275"/>
      <c r="BB697" s="275"/>
      <c r="BC697" s="275"/>
      <c r="BD697" s="275"/>
      <c r="BE697" s="275"/>
      <c r="BF697" s="275"/>
      <c r="BH697" s="277"/>
    </row>
    <row r="698" spans="1:60" ht="16.5" hidden="1" customHeight="1" x14ac:dyDescent="0.3">
      <c r="A698" s="260">
        <v>676</v>
      </c>
      <c r="B698" s="261"/>
      <c r="C698" s="261"/>
      <c r="D698" s="262" t="s">
        <v>15</v>
      </c>
      <c r="E698" s="262" t="s">
        <v>0</v>
      </c>
      <c r="F698" s="263" t="s">
        <v>15</v>
      </c>
      <c r="G698" s="264" t="s">
        <v>456</v>
      </c>
      <c r="H698" s="281"/>
      <c r="I698" s="265"/>
      <c r="J698" s="266" t="s">
        <v>226</v>
      </c>
      <c r="K698" s="262"/>
      <c r="L698" s="262"/>
      <c r="M698" s="262">
        <v>7261</v>
      </c>
      <c r="N698" s="262" t="s">
        <v>32</v>
      </c>
      <c r="O698" s="262" t="s">
        <v>35</v>
      </c>
      <c r="P698" s="262" t="s">
        <v>156</v>
      </c>
      <c r="Q698" s="262" t="s">
        <v>75</v>
      </c>
      <c r="R698" s="262" t="s">
        <v>471</v>
      </c>
      <c r="S698" s="267" t="s">
        <v>831</v>
      </c>
      <c r="T698" s="268"/>
      <c r="U698" s="269"/>
      <c r="V698" s="269">
        <v>0</v>
      </c>
      <c r="W698" s="278">
        <v>20060000</v>
      </c>
      <c r="X698" s="270"/>
      <c r="Y698" s="262" t="s">
        <v>27</v>
      </c>
      <c r="Z698" s="271" t="s">
        <v>27</v>
      </c>
      <c r="AA698" s="287"/>
      <c r="AB698" s="287"/>
      <c r="AC698" s="272">
        <f t="shared" si="23"/>
        <v>110000</v>
      </c>
      <c r="AD698" s="272">
        <v>110000</v>
      </c>
      <c r="AE698" s="272">
        <f t="shared" si="24"/>
        <v>0</v>
      </c>
      <c r="AF698" s="273"/>
      <c r="AG698" s="274"/>
      <c r="AH698" s="273"/>
      <c r="AI698" s="273">
        <v>20000000</v>
      </c>
      <c r="AJ698" s="274">
        <v>110000</v>
      </c>
      <c r="AK698" s="273"/>
      <c r="AL698" s="275"/>
      <c r="AM698" s="290"/>
      <c r="AN698" s="275"/>
      <c r="AO698" s="276"/>
      <c r="AP698" s="275"/>
      <c r="AQ698" s="275"/>
      <c r="AR698" s="275"/>
      <c r="AS698" s="275"/>
      <c r="AT698" s="275"/>
      <c r="AU698" s="275"/>
      <c r="AV698" s="275"/>
      <c r="AW698" s="275"/>
      <c r="AX698" s="275"/>
      <c r="AY698" s="275"/>
      <c r="AZ698" s="275"/>
      <c r="BA698" s="275"/>
      <c r="BB698" s="275"/>
      <c r="BC698" s="275"/>
      <c r="BD698" s="275"/>
      <c r="BE698" s="275"/>
      <c r="BF698" s="275"/>
      <c r="BH698" s="277"/>
    </row>
    <row r="699" spans="1:60" ht="16.5" hidden="1" customHeight="1" x14ac:dyDescent="0.3">
      <c r="A699" s="260">
        <v>677</v>
      </c>
      <c r="B699" s="261"/>
      <c r="C699" s="261"/>
      <c r="D699" s="262" t="s">
        <v>15</v>
      </c>
      <c r="E699" s="262" t="s">
        <v>456</v>
      </c>
      <c r="F699" s="263" t="s">
        <v>15</v>
      </c>
      <c r="G699" s="264" t="s">
        <v>456</v>
      </c>
      <c r="H699" s="281"/>
      <c r="I699" s="265"/>
      <c r="J699" s="266" t="s">
        <v>722</v>
      </c>
      <c r="K699" s="262"/>
      <c r="L699" s="262"/>
      <c r="M699" s="262">
        <v>3238</v>
      </c>
      <c r="N699" s="262" t="s">
        <v>32</v>
      </c>
      <c r="O699" s="262" t="s">
        <v>35</v>
      </c>
      <c r="P699" s="262"/>
      <c r="Q699" s="262"/>
      <c r="R699" s="262"/>
      <c r="S699" s="267" t="s">
        <v>468</v>
      </c>
      <c r="T699" s="268"/>
      <c r="U699" s="269"/>
      <c r="V699" s="269"/>
      <c r="W699" s="278">
        <v>0</v>
      </c>
      <c r="X699" s="270"/>
      <c r="Y699" s="262"/>
      <c r="Z699" s="271" t="s">
        <v>27</v>
      </c>
      <c r="AA699" s="287"/>
      <c r="AB699" s="287"/>
      <c r="AC699" s="272">
        <f t="shared" si="23"/>
        <v>5000000</v>
      </c>
      <c r="AD699" s="272">
        <v>5000000</v>
      </c>
      <c r="AE699" s="272">
        <f t="shared" si="24"/>
        <v>0</v>
      </c>
      <c r="AF699" s="273"/>
      <c r="AG699" s="274"/>
      <c r="AH699" s="273"/>
      <c r="AI699" s="273"/>
      <c r="AJ699" s="274"/>
      <c r="AK699" s="273"/>
      <c r="AL699" s="275"/>
      <c r="AM699" s="290"/>
      <c r="AN699" s="275"/>
      <c r="AO699" s="276"/>
      <c r="AP699" s="275"/>
      <c r="AQ699" s="275"/>
      <c r="AR699" s="275"/>
      <c r="AS699" s="275"/>
      <c r="AT699" s="275"/>
      <c r="AU699" s="275"/>
      <c r="AV699" s="275"/>
      <c r="AW699" s="275"/>
      <c r="AX699" s="275"/>
      <c r="AY699" s="275"/>
      <c r="AZ699" s="275"/>
      <c r="BA699" s="275">
        <v>5000000</v>
      </c>
      <c r="BB699" s="275"/>
      <c r="BC699" s="275"/>
      <c r="BD699" s="275"/>
      <c r="BE699" s="275"/>
      <c r="BF699" s="275"/>
      <c r="BH699" s="277"/>
    </row>
    <row r="700" spans="1:60" ht="16.5" hidden="1" customHeight="1" x14ac:dyDescent="0.3">
      <c r="A700" s="260">
        <v>678</v>
      </c>
      <c r="B700" s="261"/>
      <c r="C700" s="261"/>
      <c r="D700" s="262" t="s">
        <v>15</v>
      </c>
      <c r="E700" s="262" t="s">
        <v>456</v>
      </c>
      <c r="F700" s="263" t="s">
        <v>15</v>
      </c>
      <c r="G700" s="264" t="s">
        <v>456</v>
      </c>
      <c r="H700" s="281"/>
      <c r="I700" s="265"/>
      <c r="J700" s="266" t="s">
        <v>722</v>
      </c>
      <c r="K700" s="262"/>
      <c r="L700" s="262"/>
      <c r="M700" s="262">
        <v>3238</v>
      </c>
      <c r="N700" s="262"/>
      <c r="O700" s="262"/>
      <c r="P700" s="262"/>
      <c r="Q700" s="262"/>
      <c r="R700" s="262"/>
      <c r="S700" s="267" t="s">
        <v>468</v>
      </c>
      <c r="T700" s="268"/>
      <c r="U700" s="269"/>
      <c r="V700" s="269"/>
      <c r="W700" s="278">
        <v>12418725</v>
      </c>
      <c r="X700" s="270"/>
      <c r="Y700" s="262"/>
      <c r="Z700" s="271" t="s">
        <v>718</v>
      </c>
      <c r="AA700" s="287"/>
      <c r="AB700" s="287"/>
      <c r="AC700" s="272">
        <f t="shared" si="23"/>
        <v>0</v>
      </c>
      <c r="AD700" s="272">
        <v>0</v>
      </c>
      <c r="AE700" s="272">
        <f t="shared" si="24"/>
        <v>0</v>
      </c>
      <c r="AF700" s="273"/>
      <c r="AG700" s="274"/>
      <c r="AH700" s="273"/>
      <c r="AI700" s="273"/>
      <c r="AJ700" s="274"/>
      <c r="AK700" s="273"/>
      <c r="AL700" s="275"/>
      <c r="AM700" s="290"/>
      <c r="AN700" s="275"/>
      <c r="AO700" s="276"/>
      <c r="AP700" s="275"/>
      <c r="AQ700" s="275"/>
      <c r="AR700" s="275"/>
      <c r="AS700" s="275"/>
      <c r="AT700" s="275"/>
      <c r="AU700" s="275"/>
      <c r="AV700" s="275"/>
      <c r="AW700" s="275"/>
      <c r="AX700" s="275"/>
      <c r="AY700" s="275"/>
      <c r="AZ700" s="275"/>
      <c r="BA700" s="275"/>
      <c r="BB700" s="275"/>
      <c r="BC700" s="275"/>
      <c r="BD700" s="275"/>
      <c r="BE700" s="275"/>
      <c r="BF700" s="275"/>
      <c r="BH700" s="277"/>
    </row>
    <row r="701" spans="1:60" ht="16.5" hidden="1" customHeight="1" x14ac:dyDescent="0.3">
      <c r="A701" s="260">
        <v>679</v>
      </c>
      <c r="B701" s="261"/>
      <c r="C701" s="261"/>
      <c r="D701" s="262" t="s">
        <v>15</v>
      </c>
      <c r="E701" s="262" t="s">
        <v>456</v>
      </c>
      <c r="F701" s="263" t="s">
        <v>15</v>
      </c>
      <c r="G701" s="264" t="s">
        <v>456</v>
      </c>
      <c r="H701" s="281"/>
      <c r="I701" s="265"/>
      <c r="J701" s="266" t="s">
        <v>722</v>
      </c>
      <c r="K701" s="262"/>
      <c r="L701" s="262"/>
      <c r="M701" s="262">
        <v>3238</v>
      </c>
      <c r="N701" s="262" t="s">
        <v>32</v>
      </c>
      <c r="O701" s="262" t="s">
        <v>35</v>
      </c>
      <c r="P701" s="262"/>
      <c r="Q701" s="262"/>
      <c r="R701" s="262"/>
      <c r="S701" s="267" t="s">
        <v>823</v>
      </c>
      <c r="T701" s="268"/>
      <c r="U701" s="269"/>
      <c r="V701" s="269"/>
      <c r="W701" s="278">
        <v>0</v>
      </c>
      <c r="X701" s="270"/>
      <c r="Y701" s="262"/>
      <c r="Z701" s="271" t="s">
        <v>599</v>
      </c>
      <c r="AA701" s="287"/>
      <c r="AB701" s="287"/>
      <c r="AC701" s="272">
        <f t="shared" si="23"/>
        <v>200000000</v>
      </c>
      <c r="AD701" s="272">
        <v>200000000</v>
      </c>
      <c r="AE701" s="272">
        <f t="shared" si="24"/>
        <v>0</v>
      </c>
      <c r="AF701" s="273"/>
      <c r="AG701" s="274"/>
      <c r="AH701" s="273"/>
      <c r="AI701" s="273"/>
      <c r="AJ701" s="274"/>
      <c r="AK701" s="273"/>
      <c r="AL701" s="275"/>
      <c r="AM701" s="290"/>
      <c r="AN701" s="275"/>
      <c r="AO701" s="276"/>
      <c r="AP701" s="275"/>
      <c r="AQ701" s="275"/>
      <c r="AR701" s="275"/>
      <c r="AS701" s="275"/>
      <c r="AT701" s="275"/>
      <c r="AU701" s="275">
        <v>100000000</v>
      </c>
      <c r="AV701" s="275"/>
      <c r="AW701" s="275"/>
      <c r="AX701" s="275"/>
      <c r="AY701" s="275"/>
      <c r="AZ701" s="275"/>
      <c r="BA701" s="275"/>
      <c r="BB701" s="275"/>
      <c r="BC701" s="275">
        <v>100000000</v>
      </c>
      <c r="BD701" s="275"/>
      <c r="BE701" s="275"/>
      <c r="BF701" s="275"/>
      <c r="BH701" s="277"/>
    </row>
    <row r="702" spans="1:60" ht="16.5" hidden="1" customHeight="1" x14ac:dyDescent="0.3">
      <c r="A702" s="260">
        <v>680</v>
      </c>
      <c r="B702" s="261"/>
      <c r="C702" s="261"/>
      <c r="D702" s="262" t="s">
        <v>15</v>
      </c>
      <c r="E702" s="262" t="s">
        <v>456</v>
      </c>
      <c r="F702" s="263" t="s">
        <v>15</v>
      </c>
      <c r="G702" s="264" t="s">
        <v>456</v>
      </c>
      <c r="H702" s="281"/>
      <c r="I702" s="265"/>
      <c r="J702" s="266" t="s">
        <v>722</v>
      </c>
      <c r="K702" s="262"/>
      <c r="L702" s="262"/>
      <c r="M702" s="262">
        <v>3238</v>
      </c>
      <c r="N702" s="262"/>
      <c r="O702" s="262"/>
      <c r="P702" s="262"/>
      <c r="Q702" s="262"/>
      <c r="R702" s="262"/>
      <c r="S702" s="267" t="s">
        <v>830</v>
      </c>
      <c r="T702" s="268"/>
      <c r="U702" s="269"/>
      <c r="V702" s="269"/>
      <c r="W702" s="278">
        <v>4800000</v>
      </c>
      <c r="X702" s="270"/>
      <c r="Y702" s="262"/>
      <c r="Z702" s="271" t="s">
        <v>718</v>
      </c>
      <c r="AA702" s="287"/>
      <c r="AB702" s="287"/>
      <c r="AC702" s="272">
        <f t="shared" si="23"/>
        <v>0</v>
      </c>
      <c r="AD702" s="272">
        <v>0</v>
      </c>
      <c r="AE702" s="272">
        <f t="shared" si="24"/>
        <v>0</v>
      </c>
      <c r="AF702" s="273"/>
      <c r="AG702" s="274"/>
      <c r="AH702" s="273"/>
      <c r="AI702" s="273"/>
      <c r="AJ702" s="274"/>
      <c r="AK702" s="273"/>
      <c r="AL702" s="275"/>
      <c r="AM702" s="290"/>
      <c r="AN702" s="275"/>
      <c r="AO702" s="276"/>
      <c r="AP702" s="275"/>
      <c r="AQ702" s="275"/>
      <c r="AR702" s="275"/>
      <c r="AS702" s="275"/>
      <c r="AT702" s="275"/>
      <c r="AU702" s="275"/>
      <c r="AV702" s="275"/>
      <c r="AW702" s="275"/>
      <c r="AX702" s="275"/>
      <c r="AY702" s="275"/>
      <c r="AZ702" s="275"/>
      <c r="BA702" s="275"/>
      <c r="BB702" s="275"/>
      <c r="BC702" s="275"/>
      <c r="BD702" s="275"/>
      <c r="BE702" s="275"/>
      <c r="BF702" s="275"/>
      <c r="BH702" s="277"/>
    </row>
    <row r="703" spans="1:60" ht="16.5" hidden="1" customHeight="1" x14ac:dyDescent="0.3">
      <c r="A703" s="260">
        <v>681</v>
      </c>
      <c r="B703" s="261"/>
      <c r="C703" s="261"/>
      <c r="D703" s="262" t="s">
        <v>15</v>
      </c>
      <c r="E703" s="262" t="s">
        <v>175</v>
      </c>
      <c r="F703" s="263" t="s">
        <v>15</v>
      </c>
      <c r="G703" s="264" t="s">
        <v>456</v>
      </c>
      <c r="H703" s="281"/>
      <c r="I703" s="265"/>
      <c r="J703" s="266" t="s">
        <v>994</v>
      </c>
      <c r="K703" s="262"/>
      <c r="L703" s="262"/>
      <c r="M703" s="262">
        <v>66089</v>
      </c>
      <c r="N703" s="262" t="s">
        <v>32</v>
      </c>
      <c r="O703" s="262" t="s">
        <v>35</v>
      </c>
      <c r="P703" s="262"/>
      <c r="Q703" s="262"/>
      <c r="R703" s="262"/>
      <c r="S703" s="267" t="s">
        <v>28</v>
      </c>
      <c r="T703" s="268"/>
      <c r="U703" s="269"/>
      <c r="V703" s="269"/>
      <c r="W703" s="278">
        <v>0</v>
      </c>
      <c r="X703" s="270"/>
      <c r="Y703" s="262"/>
      <c r="Z703" s="271" t="s">
        <v>27</v>
      </c>
      <c r="AA703" s="287"/>
      <c r="AB703" s="287"/>
      <c r="AC703" s="272">
        <f t="shared" si="23"/>
        <v>193575000</v>
      </c>
      <c r="AD703" s="272">
        <v>193575000</v>
      </c>
      <c r="AE703" s="272">
        <f t="shared" si="24"/>
        <v>0</v>
      </c>
      <c r="AF703" s="273"/>
      <c r="AG703" s="274"/>
      <c r="AH703" s="273"/>
      <c r="AI703" s="273"/>
      <c r="AJ703" s="274"/>
      <c r="AK703" s="273"/>
      <c r="AL703" s="275"/>
      <c r="AM703" s="290"/>
      <c r="AN703" s="275"/>
      <c r="AO703" s="276"/>
      <c r="AP703" s="275"/>
      <c r="AQ703" s="275">
        <v>96787500</v>
      </c>
      <c r="AR703" s="275"/>
      <c r="AS703" s="275"/>
      <c r="AT703" s="275"/>
      <c r="AU703" s="275"/>
      <c r="AV703" s="275"/>
      <c r="AW703" s="275"/>
      <c r="AX703" s="275"/>
      <c r="AY703" s="275"/>
      <c r="AZ703" s="275"/>
      <c r="BA703" s="275"/>
      <c r="BB703" s="275"/>
      <c r="BC703" s="275"/>
      <c r="BD703" s="275"/>
      <c r="BE703" s="275">
        <v>96787500</v>
      </c>
      <c r="BF703" s="275"/>
      <c r="BH703" s="277"/>
    </row>
    <row r="704" spans="1:60" ht="16.5" hidden="1" customHeight="1" x14ac:dyDescent="0.3">
      <c r="A704" s="260">
        <v>682</v>
      </c>
      <c r="B704" s="261"/>
      <c r="C704" s="261"/>
      <c r="D704" s="262"/>
      <c r="E704" s="262"/>
      <c r="F704" s="263" t="s">
        <v>15</v>
      </c>
      <c r="G704" s="264" t="s">
        <v>456</v>
      </c>
      <c r="H704" s="281"/>
      <c r="I704" s="265"/>
      <c r="J704" s="266" t="s">
        <v>177</v>
      </c>
      <c r="K704" s="262"/>
      <c r="L704" s="262"/>
      <c r="M704" s="262">
        <v>16615</v>
      </c>
      <c r="N704" s="262" t="s">
        <v>32</v>
      </c>
      <c r="O704" s="262" t="s">
        <v>178</v>
      </c>
      <c r="P704" s="262" t="s">
        <v>124</v>
      </c>
      <c r="Q704" s="262" t="s">
        <v>46</v>
      </c>
      <c r="R704" s="262" t="s">
        <v>47</v>
      </c>
      <c r="S704" s="267" t="s">
        <v>47</v>
      </c>
      <c r="T704" s="268"/>
      <c r="U704" s="269">
        <v>312559869</v>
      </c>
      <c r="V704" s="269">
        <v>0</v>
      </c>
      <c r="W704" s="278">
        <v>0</v>
      </c>
      <c r="X704" s="270"/>
      <c r="Y704" s="262" t="s">
        <v>74</v>
      </c>
      <c r="Z704" s="271" t="s">
        <v>21</v>
      </c>
      <c r="AA704" s="287"/>
      <c r="AB704" s="287"/>
      <c r="AC704" s="272">
        <f t="shared" si="23"/>
        <v>0</v>
      </c>
      <c r="AD704" s="272">
        <v>0</v>
      </c>
      <c r="AE704" s="272">
        <f t="shared" si="24"/>
        <v>0</v>
      </c>
      <c r="AF704" s="273"/>
      <c r="AG704" s="274"/>
      <c r="AH704" s="273"/>
      <c r="AI704" s="273"/>
      <c r="AJ704" s="274"/>
      <c r="AK704" s="273"/>
      <c r="AL704" s="275"/>
      <c r="AM704" s="290"/>
      <c r="AN704" s="275"/>
      <c r="AO704" s="276"/>
      <c r="AP704" s="275"/>
      <c r="AQ704" s="275"/>
      <c r="AR704" s="275"/>
      <c r="AS704" s="275"/>
      <c r="AT704" s="275"/>
      <c r="AU704" s="275"/>
      <c r="AV704" s="275"/>
      <c r="AW704" s="275"/>
      <c r="AX704" s="275"/>
      <c r="AY704" s="275"/>
      <c r="AZ704" s="275"/>
      <c r="BA704" s="275"/>
      <c r="BB704" s="275"/>
      <c r="BC704" s="275"/>
      <c r="BD704" s="275"/>
      <c r="BE704" s="275"/>
      <c r="BF704" s="275"/>
      <c r="BH704" s="277"/>
    </row>
    <row r="705" spans="1:60" ht="16.5" hidden="1" customHeight="1" x14ac:dyDescent="0.3">
      <c r="A705" s="260">
        <v>683</v>
      </c>
      <c r="B705" s="261"/>
      <c r="C705" s="261"/>
      <c r="D705" s="262" t="s">
        <v>15</v>
      </c>
      <c r="E705" s="262" t="s">
        <v>456</v>
      </c>
      <c r="F705" s="263" t="s">
        <v>15</v>
      </c>
      <c r="G705" s="264" t="s">
        <v>456</v>
      </c>
      <c r="H705" s="281"/>
      <c r="I705" s="265"/>
      <c r="J705" s="266" t="s">
        <v>350</v>
      </c>
      <c r="K705" s="262"/>
      <c r="L705" s="262"/>
      <c r="M705" s="262">
        <v>16482</v>
      </c>
      <c r="N705" s="262" t="s">
        <v>32</v>
      </c>
      <c r="O705" s="262" t="s">
        <v>56</v>
      </c>
      <c r="P705" s="262" t="s">
        <v>57</v>
      </c>
      <c r="Q705" s="262" t="s">
        <v>30</v>
      </c>
      <c r="R705" s="262" t="s">
        <v>31</v>
      </c>
      <c r="S705" s="267" t="s">
        <v>31</v>
      </c>
      <c r="T705" s="268"/>
      <c r="U705" s="269">
        <v>16663500</v>
      </c>
      <c r="V705" s="269">
        <v>9230000</v>
      </c>
      <c r="W705" s="278">
        <v>15874000</v>
      </c>
      <c r="X705" s="270"/>
      <c r="Y705" s="262" t="s">
        <v>24</v>
      </c>
      <c r="Z705" s="271" t="s">
        <v>24</v>
      </c>
      <c r="AA705" s="287"/>
      <c r="AB705" s="287"/>
      <c r="AC705" s="272">
        <f t="shared" si="23"/>
        <v>8000000</v>
      </c>
      <c r="AD705" s="272">
        <v>8000000</v>
      </c>
      <c r="AE705" s="272">
        <f t="shared" si="24"/>
        <v>0</v>
      </c>
      <c r="AF705" s="273"/>
      <c r="AG705" s="274"/>
      <c r="AH705" s="273"/>
      <c r="AI705" s="273"/>
      <c r="AJ705" s="274"/>
      <c r="AK705" s="273"/>
      <c r="AL705" s="275"/>
      <c r="AM705" s="290"/>
      <c r="AN705" s="275"/>
      <c r="AO705" s="276"/>
      <c r="AP705" s="275"/>
      <c r="AQ705" s="275"/>
      <c r="AR705" s="275"/>
      <c r="AS705" s="275">
        <v>4000000</v>
      </c>
      <c r="AT705" s="275"/>
      <c r="AU705" s="275"/>
      <c r="AV705" s="275"/>
      <c r="AW705" s="275"/>
      <c r="AX705" s="275"/>
      <c r="AY705" s="275"/>
      <c r="AZ705" s="275"/>
      <c r="BA705" s="275">
        <v>4000000</v>
      </c>
      <c r="BB705" s="275"/>
      <c r="BC705" s="275"/>
      <c r="BD705" s="275"/>
      <c r="BE705" s="275"/>
      <c r="BF705" s="275"/>
      <c r="BH705" s="277"/>
    </row>
    <row r="706" spans="1:60" ht="16.5" hidden="1" customHeight="1" x14ac:dyDescent="0.3">
      <c r="A706" s="260">
        <v>684</v>
      </c>
      <c r="B706" s="261"/>
      <c r="C706" s="261"/>
      <c r="D706" s="262"/>
      <c r="E706" s="262"/>
      <c r="F706" s="263" t="s">
        <v>15</v>
      </c>
      <c r="G706" s="264" t="s">
        <v>456</v>
      </c>
      <c r="H706" s="281"/>
      <c r="I706" s="265"/>
      <c r="J706" s="266" t="s">
        <v>350</v>
      </c>
      <c r="K706" s="262"/>
      <c r="L706" s="262"/>
      <c r="M706" s="262">
        <v>16482</v>
      </c>
      <c r="N706" s="262"/>
      <c r="O706" s="262"/>
      <c r="P706" s="262"/>
      <c r="Q706" s="262"/>
      <c r="R706" s="262"/>
      <c r="S706" s="267" t="s">
        <v>478</v>
      </c>
      <c r="T706" s="268"/>
      <c r="U706" s="269"/>
      <c r="V706" s="269"/>
      <c r="W706" s="278">
        <v>7000000</v>
      </c>
      <c r="X706" s="270"/>
      <c r="Y706" s="262"/>
      <c r="Z706" s="271" t="s">
        <v>718</v>
      </c>
      <c r="AA706" s="287"/>
      <c r="AB706" s="287"/>
      <c r="AC706" s="272">
        <f t="shared" si="23"/>
        <v>0</v>
      </c>
      <c r="AD706" s="272">
        <v>0</v>
      </c>
      <c r="AE706" s="272">
        <f t="shared" si="24"/>
        <v>0</v>
      </c>
      <c r="AF706" s="273"/>
      <c r="AG706" s="274"/>
      <c r="AH706" s="273"/>
      <c r="AI706" s="273"/>
      <c r="AJ706" s="274"/>
      <c r="AK706" s="273"/>
      <c r="AL706" s="275"/>
      <c r="AM706" s="290"/>
      <c r="AN706" s="275"/>
      <c r="AO706" s="276"/>
      <c r="AP706" s="275"/>
      <c r="AQ706" s="275"/>
      <c r="AR706" s="275"/>
      <c r="AS706" s="275"/>
      <c r="AT706" s="275"/>
      <c r="AU706" s="275"/>
      <c r="AV706" s="275"/>
      <c r="AW706" s="275"/>
      <c r="AX706" s="275"/>
      <c r="AY706" s="275"/>
      <c r="AZ706" s="275"/>
      <c r="BA706" s="275"/>
      <c r="BB706" s="275"/>
      <c r="BC706" s="275"/>
      <c r="BD706" s="275"/>
      <c r="BE706" s="275"/>
      <c r="BF706" s="275"/>
      <c r="BH706" s="277"/>
    </row>
    <row r="707" spans="1:60" ht="16.5" hidden="1" customHeight="1" x14ac:dyDescent="0.3">
      <c r="A707" s="260">
        <v>685</v>
      </c>
      <c r="B707" s="261"/>
      <c r="C707" s="261"/>
      <c r="D707" s="262" t="s">
        <v>15</v>
      </c>
      <c r="E707" s="262" t="s">
        <v>456</v>
      </c>
      <c r="F707" s="263" t="s">
        <v>15</v>
      </c>
      <c r="G707" s="264" t="s">
        <v>456</v>
      </c>
      <c r="H707" s="281"/>
      <c r="I707" s="265"/>
      <c r="J707" s="266" t="s">
        <v>350</v>
      </c>
      <c r="K707" s="262"/>
      <c r="L707" s="262"/>
      <c r="M707" s="262">
        <v>16482</v>
      </c>
      <c r="N707" s="262" t="s">
        <v>32</v>
      </c>
      <c r="O707" s="262" t="s">
        <v>35</v>
      </c>
      <c r="P707" s="262"/>
      <c r="Q707" s="262"/>
      <c r="R707" s="262"/>
      <c r="S707" s="267" t="s">
        <v>834</v>
      </c>
      <c r="T707" s="268"/>
      <c r="U707" s="269"/>
      <c r="V707" s="269"/>
      <c r="W707" s="278">
        <v>0</v>
      </c>
      <c r="X707" s="270"/>
      <c r="Y707" s="262"/>
      <c r="Z707" s="271" t="s">
        <v>25</v>
      </c>
      <c r="AA707" s="287"/>
      <c r="AB707" s="287"/>
      <c r="AC707" s="272">
        <f t="shared" si="23"/>
        <v>5000000</v>
      </c>
      <c r="AD707" s="272">
        <v>5000000</v>
      </c>
      <c r="AE707" s="272">
        <f t="shared" si="24"/>
        <v>0</v>
      </c>
      <c r="AF707" s="273"/>
      <c r="AG707" s="274"/>
      <c r="AH707" s="273"/>
      <c r="AI707" s="273"/>
      <c r="AJ707" s="274"/>
      <c r="AK707" s="273"/>
      <c r="AL707" s="275"/>
      <c r="AM707" s="290"/>
      <c r="AN707" s="275"/>
      <c r="AO707" s="276"/>
      <c r="AP707" s="275"/>
      <c r="AQ707" s="275"/>
      <c r="AR707" s="275"/>
      <c r="AS707" s="275"/>
      <c r="AT707" s="275"/>
      <c r="AU707" s="275">
        <v>5000000</v>
      </c>
      <c r="AV707" s="275"/>
      <c r="AW707" s="275"/>
      <c r="AX707" s="275"/>
      <c r="AY707" s="275"/>
      <c r="AZ707" s="275"/>
      <c r="BA707" s="275"/>
      <c r="BB707" s="275"/>
      <c r="BC707" s="275"/>
      <c r="BD707" s="275"/>
      <c r="BE707" s="275"/>
      <c r="BF707" s="275"/>
      <c r="BH707" s="277"/>
    </row>
    <row r="708" spans="1:60" ht="16.5" hidden="1" customHeight="1" x14ac:dyDescent="0.3">
      <c r="A708" s="260">
        <v>686</v>
      </c>
      <c r="B708" s="261"/>
      <c r="C708" s="261"/>
      <c r="D708" s="262"/>
      <c r="E708" s="262"/>
      <c r="F708" s="263" t="s">
        <v>15</v>
      </c>
      <c r="G708" s="264" t="s">
        <v>456</v>
      </c>
      <c r="H708" s="281"/>
      <c r="I708" s="265"/>
      <c r="J708" s="266" t="s">
        <v>923</v>
      </c>
      <c r="K708" s="262"/>
      <c r="L708" s="262"/>
      <c r="M708" s="262">
        <v>23654</v>
      </c>
      <c r="N708" s="262"/>
      <c r="O708" s="262"/>
      <c r="P708" s="262"/>
      <c r="Q708" s="262"/>
      <c r="R708" s="262"/>
      <c r="S708" s="267" t="s">
        <v>823</v>
      </c>
      <c r="T708" s="268"/>
      <c r="U708" s="269"/>
      <c r="V708" s="269"/>
      <c r="W708" s="278">
        <v>2061376</v>
      </c>
      <c r="X708" s="270"/>
      <c r="Y708" s="262"/>
      <c r="Z708" s="271" t="s">
        <v>718</v>
      </c>
      <c r="AA708" s="287"/>
      <c r="AB708" s="287"/>
      <c r="AC708" s="272">
        <f t="shared" si="23"/>
        <v>0</v>
      </c>
      <c r="AD708" s="272">
        <v>0</v>
      </c>
      <c r="AE708" s="272">
        <f t="shared" si="24"/>
        <v>0</v>
      </c>
      <c r="AF708" s="273"/>
      <c r="AG708" s="274"/>
      <c r="AH708" s="273"/>
      <c r="AI708" s="273"/>
      <c r="AJ708" s="274"/>
      <c r="AK708" s="273"/>
      <c r="AL708" s="275"/>
      <c r="AM708" s="290"/>
      <c r="AN708" s="275"/>
      <c r="AO708" s="276"/>
      <c r="AP708" s="275"/>
      <c r="AQ708" s="275"/>
      <c r="AR708" s="275"/>
      <c r="AS708" s="275"/>
      <c r="AT708" s="275"/>
      <c r="AU708" s="275"/>
      <c r="AV708" s="275"/>
      <c r="AW708" s="275"/>
      <c r="AX708" s="275"/>
      <c r="AY708" s="275"/>
      <c r="AZ708" s="275"/>
      <c r="BA708" s="275"/>
      <c r="BB708" s="275"/>
      <c r="BC708" s="275"/>
      <c r="BD708" s="275"/>
      <c r="BE708" s="275"/>
      <c r="BF708" s="275"/>
      <c r="BH708" s="277"/>
    </row>
    <row r="709" spans="1:60" ht="16.5" hidden="1" customHeight="1" x14ac:dyDescent="0.3">
      <c r="A709" s="260">
        <v>687</v>
      </c>
      <c r="B709" s="261"/>
      <c r="C709" s="261"/>
      <c r="D709" s="262" t="s">
        <v>15</v>
      </c>
      <c r="E709" s="262" t="s">
        <v>456</v>
      </c>
      <c r="F709" s="263" t="s">
        <v>15</v>
      </c>
      <c r="G709" s="264" t="s">
        <v>456</v>
      </c>
      <c r="H709" s="281"/>
      <c r="I709" s="265"/>
      <c r="J709" s="266" t="s">
        <v>675</v>
      </c>
      <c r="K709" s="262"/>
      <c r="L709" s="262"/>
      <c r="M709" s="262">
        <v>63779</v>
      </c>
      <c r="N709" s="262" t="s">
        <v>22</v>
      </c>
      <c r="O709" s="262" t="s">
        <v>35</v>
      </c>
      <c r="P709" s="262"/>
      <c r="Q709" s="262"/>
      <c r="R709" s="262" t="s">
        <v>28</v>
      </c>
      <c r="S709" s="267" t="s">
        <v>28</v>
      </c>
      <c r="T709" s="268"/>
      <c r="U709" s="269"/>
      <c r="V709" s="269"/>
      <c r="W709" s="278">
        <v>8000000</v>
      </c>
      <c r="X709" s="270"/>
      <c r="Y709" s="262" t="s">
        <v>27</v>
      </c>
      <c r="Z709" s="271" t="s">
        <v>24</v>
      </c>
      <c r="AA709" s="287"/>
      <c r="AB709" s="287"/>
      <c r="AC709" s="272">
        <f t="shared" si="23"/>
        <v>8000000</v>
      </c>
      <c r="AD709" s="272">
        <v>8000000</v>
      </c>
      <c r="AE709" s="272">
        <f t="shared" si="24"/>
        <v>0</v>
      </c>
      <c r="AF709" s="273"/>
      <c r="AG709" s="274"/>
      <c r="AH709" s="273"/>
      <c r="AI709" s="273"/>
      <c r="AJ709" s="274"/>
      <c r="AK709" s="273"/>
      <c r="AL709" s="275"/>
      <c r="AM709" s="290"/>
      <c r="AN709" s="275"/>
      <c r="AO709" s="276"/>
      <c r="AP709" s="275"/>
      <c r="AQ709" s="275"/>
      <c r="AR709" s="275"/>
      <c r="AS709" s="275"/>
      <c r="AT709" s="275"/>
      <c r="AU709" s="275"/>
      <c r="AV709" s="275"/>
      <c r="AW709" s="275"/>
      <c r="AX709" s="275"/>
      <c r="AY709" s="275"/>
      <c r="AZ709" s="275"/>
      <c r="BA709" s="275">
        <v>8000000</v>
      </c>
      <c r="BB709" s="275"/>
      <c r="BC709" s="275"/>
      <c r="BD709" s="275"/>
      <c r="BE709" s="275"/>
      <c r="BF709" s="275"/>
      <c r="BH709" s="277"/>
    </row>
    <row r="710" spans="1:60" ht="16.5" hidden="1" customHeight="1" x14ac:dyDescent="0.3">
      <c r="A710" s="260">
        <v>688</v>
      </c>
      <c r="B710" s="261"/>
      <c r="C710" s="261"/>
      <c r="D710" s="262" t="s">
        <v>15</v>
      </c>
      <c r="E710" s="262" t="s">
        <v>456</v>
      </c>
      <c r="F710" s="263" t="s">
        <v>15</v>
      </c>
      <c r="G710" s="264" t="s">
        <v>456</v>
      </c>
      <c r="H710" s="281"/>
      <c r="I710" s="265"/>
      <c r="J710" s="266" t="s">
        <v>991</v>
      </c>
      <c r="K710" s="262"/>
      <c r="L710" s="262"/>
      <c r="M710" s="262">
        <v>24980</v>
      </c>
      <c r="N710" s="262"/>
      <c r="O710" s="262" t="s">
        <v>35</v>
      </c>
      <c r="P710" s="262"/>
      <c r="Q710" s="262"/>
      <c r="R710" s="262"/>
      <c r="S710" s="267" t="s">
        <v>468</v>
      </c>
      <c r="T710" s="268"/>
      <c r="U710" s="269"/>
      <c r="V710" s="269"/>
      <c r="W710" s="278"/>
      <c r="X710" s="270"/>
      <c r="Y710" s="262"/>
      <c r="Z710" s="271" t="s">
        <v>27</v>
      </c>
      <c r="AA710" s="287"/>
      <c r="AB710" s="287"/>
      <c r="AC710" s="272">
        <f t="shared" si="23"/>
        <v>4000000</v>
      </c>
      <c r="AD710" s="272">
        <v>4000000</v>
      </c>
      <c r="AE710" s="272">
        <f t="shared" si="24"/>
        <v>0</v>
      </c>
      <c r="AF710" s="273"/>
      <c r="AG710" s="274"/>
      <c r="AH710" s="273"/>
      <c r="AI710" s="273"/>
      <c r="AJ710" s="274"/>
      <c r="AK710" s="273"/>
      <c r="AL710" s="275"/>
      <c r="AM710" s="290"/>
      <c r="AN710" s="275"/>
      <c r="AO710" s="276"/>
      <c r="AP710" s="275"/>
      <c r="AQ710" s="275"/>
      <c r="AR710" s="275"/>
      <c r="AS710" s="275">
        <v>4000000</v>
      </c>
      <c r="AT710" s="275"/>
      <c r="AU710" s="275"/>
      <c r="AV710" s="275"/>
      <c r="AW710" s="275"/>
      <c r="AX710" s="275"/>
      <c r="AY710" s="275"/>
      <c r="AZ710" s="275"/>
      <c r="BA710" s="275"/>
      <c r="BB710" s="275"/>
      <c r="BC710" s="275"/>
      <c r="BD710" s="275"/>
      <c r="BE710" s="275"/>
      <c r="BF710" s="275"/>
      <c r="BH710" s="277"/>
    </row>
    <row r="711" spans="1:60" ht="16.5" hidden="1" customHeight="1" x14ac:dyDescent="0.3">
      <c r="A711" s="260">
        <v>689</v>
      </c>
      <c r="B711" s="261"/>
      <c r="C711" s="261"/>
      <c r="D711" s="262" t="s">
        <v>15</v>
      </c>
      <c r="E711" s="262" t="s">
        <v>456</v>
      </c>
      <c r="F711" s="263" t="s">
        <v>15</v>
      </c>
      <c r="G711" s="264" t="s">
        <v>456</v>
      </c>
      <c r="H711" s="281"/>
      <c r="I711" s="265"/>
      <c r="J711" s="266" t="s">
        <v>676</v>
      </c>
      <c r="K711" s="262"/>
      <c r="L711" s="262"/>
      <c r="M711" s="262">
        <v>63780</v>
      </c>
      <c r="N711" s="262" t="s">
        <v>22</v>
      </c>
      <c r="O711" s="262" t="s">
        <v>35</v>
      </c>
      <c r="P711" s="262"/>
      <c r="Q711" s="262"/>
      <c r="R711" s="262" t="s">
        <v>28</v>
      </c>
      <c r="S711" s="267" t="s">
        <v>28</v>
      </c>
      <c r="T711" s="268"/>
      <c r="U711" s="269"/>
      <c r="V711" s="269"/>
      <c r="W711" s="278">
        <v>24220000</v>
      </c>
      <c r="X711" s="270"/>
      <c r="Y711" s="262" t="s">
        <v>27</v>
      </c>
      <c r="Z711" s="271" t="s">
        <v>24</v>
      </c>
      <c r="AA711" s="287"/>
      <c r="AB711" s="287"/>
      <c r="AC711" s="272">
        <f t="shared" si="23"/>
        <v>20000000</v>
      </c>
      <c r="AD711" s="272">
        <v>20000000</v>
      </c>
      <c r="AE711" s="272">
        <f t="shared" si="24"/>
        <v>0</v>
      </c>
      <c r="AF711" s="273"/>
      <c r="AG711" s="274"/>
      <c r="AH711" s="273"/>
      <c r="AI711" s="273"/>
      <c r="AJ711" s="274"/>
      <c r="AK711" s="273"/>
      <c r="AL711" s="275"/>
      <c r="AM711" s="290"/>
      <c r="AN711" s="275"/>
      <c r="AO711" s="276"/>
      <c r="AP711" s="275"/>
      <c r="AQ711" s="275"/>
      <c r="AR711" s="275"/>
      <c r="AS711" s="275"/>
      <c r="AT711" s="275"/>
      <c r="AU711" s="275"/>
      <c r="AV711" s="275"/>
      <c r="AW711" s="275"/>
      <c r="AX711" s="275"/>
      <c r="AY711" s="275"/>
      <c r="AZ711" s="275"/>
      <c r="BA711" s="275">
        <v>20000000</v>
      </c>
      <c r="BB711" s="275"/>
      <c r="BC711" s="275"/>
      <c r="BD711" s="275"/>
      <c r="BE711" s="275"/>
      <c r="BF711" s="275"/>
      <c r="BH711" s="277"/>
    </row>
    <row r="712" spans="1:60" ht="16.5" hidden="1" customHeight="1" x14ac:dyDescent="0.3">
      <c r="A712" s="260">
        <v>690</v>
      </c>
      <c r="B712" s="261"/>
      <c r="C712" s="261"/>
      <c r="D712" s="262" t="s">
        <v>15</v>
      </c>
      <c r="E712" s="262" t="s">
        <v>456</v>
      </c>
      <c r="F712" s="263" t="s">
        <v>15</v>
      </c>
      <c r="G712" s="264" t="s">
        <v>456</v>
      </c>
      <c r="H712" s="281"/>
      <c r="I712" s="265"/>
      <c r="J712" s="266" t="s">
        <v>202</v>
      </c>
      <c r="K712" s="262"/>
      <c r="L712" s="262"/>
      <c r="M712" s="262">
        <v>23778</v>
      </c>
      <c r="N712" s="262" t="s">
        <v>32</v>
      </c>
      <c r="O712" s="262" t="s">
        <v>56</v>
      </c>
      <c r="P712" s="262" t="s">
        <v>124</v>
      </c>
      <c r="Q712" s="262"/>
      <c r="R712" s="262" t="s">
        <v>469</v>
      </c>
      <c r="S712" s="267" t="s">
        <v>469</v>
      </c>
      <c r="T712" s="268"/>
      <c r="U712" s="269"/>
      <c r="V712" s="269"/>
      <c r="W712" s="278">
        <v>18300000</v>
      </c>
      <c r="X712" s="270"/>
      <c r="Y712" s="262" t="s">
        <v>27</v>
      </c>
      <c r="Z712" s="271" t="s">
        <v>24</v>
      </c>
      <c r="AA712" s="287"/>
      <c r="AB712" s="287"/>
      <c r="AC712" s="272">
        <f t="shared" si="23"/>
        <v>60000000</v>
      </c>
      <c r="AD712" s="272">
        <v>60000000</v>
      </c>
      <c r="AE712" s="272">
        <f t="shared" si="24"/>
        <v>0</v>
      </c>
      <c r="AF712" s="273"/>
      <c r="AG712" s="274"/>
      <c r="AH712" s="273"/>
      <c r="AI712" s="273"/>
      <c r="AJ712" s="274"/>
      <c r="AK712" s="273"/>
      <c r="AL712" s="275"/>
      <c r="AM712" s="290"/>
      <c r="AN712" s="275"/>
      <c r="AO712" s="276"/>
      <c r="AP712" s="275"/>
      <c r="AQ712" s="275"/>
      <c r="AR712" s="275"/>
      <c r="AS712" s="275"/>
      <c r="AT712" s="275"/>
      <c r="AU712" s="275">
        <v>40000000</v>
      </c>
      <c r="AV712" s="275"/>
      <c r="AW712" s="275"/>
      <c r="AX712" s="275"/>
      <c r="AY712" s="275"/>
      <c r="AZ712" s="275"/>
      <c r="BA712" s="275"/>
      <c r="BB712" s="275"/>
      <c r="BC712" s="275">
        <v>20000000</v>
      </c>
      <c r="BD712" s="275"/>
      <c r="BE712" s="275"/>
      <c r="BF712" s="275"/>
      <c r="BH712" s="277"/>
    </row>
    <row r="713" spans="1:60" ht="16.5" hidden="1" customHeight="1" x14ac:dyDescent="0.3">
      <c r="A713" s="260">
        <v>691</v>
      </c>
      <c r="B713" s="261"/>
      <c r="C713" s="261"/>
      <c r="D713" s="262" t="s">
        <v>15</v>
      </c>
      <c r="E713" s="262" t="s">
        <v>237</v>
      </c>
      <c r="F713" s="263" t="s">
        <v>15</v>
      </c>
      <c r="G713" s="264" t="s">
        <v>456</v>
      </c>
      <c r="H713" s="281"/>
      <c r="I713" s="265"/>
      <c r="J713" s="266" t="s">
        <v>202</v>
      </c>
      <c r="K713" s="262"/>
      <c r="L713" s="262"/>
      <c r="M713" s="262">
        <v>23778</v>
      </c>
      <c r="N713" s="262" t="s">
        <v>32</v>
      </c>
      <c r="O713" s="262" t="s">
        <v>56</v>
      </c>
      <c r="P713" s="262" t="s">
        <v>124</v>
      </c>
      <c r="Q713" s="262" t="s">
        <v>23</v>
      </c>
      <c r="R713" s="262" t="s">
        <v>397</v>
      </c>
      <c r="S713" s="267" t="s">
        <v>823</v>
      </c>
      <c r="T713" s="268"/>
      <c r="U713" s="269"/>
      <c r="V713" s="269">
        <v>319090910</v>
      </c>
      <c r="W713" s="278">
        <v>305700000</v>
      </c>
      <c r="X713" s="270"/>
      <c r="Y713" s="262" t="s">
        <v>27</v>
      </c>
      <c r="Z713" s="271" t="s">
        <v>24</v>
      </c>
      <c r="AA713" s="287"/>
      <c r="AB713" s="287"/>
      <c r="AC713" s="272">
        <f t="shared" si="23"/>
        <v>263000000</v>
      </c>
      <c r="AD713" s="272">
        <v>263000000</v>
      </c>
      <c r="AE713" s="272">
        <f t="shared" si="24"/>
        <v>0</v>
      </c>
      <c r="AF713" s="273"/>
      <c r="AG713" s="274"/>
      <c r="AH713" s="273"/>
      <c r="AI713" s="273"/>
      <c r="AJ713" s="274"/>
      <c r="AK713" s="273"/>
      <c r="AL713" s="275"/>
      <c r="AM713" s="290"/>
      <c r="AN713" s="275"/>
      <c r="AO713" s="276"/>
      <c r="AP713" s="275"/>
      <c r="AQ713" s="275"/>
      <c r="AR713" s="275"/>
      <c r="AS713" s="275"/>
      <c r="AT713" s="275"/>
      <c r="AU713" s="275">
        <v>184100000</v>
      </c>
      <c r="AV713" s="275"/>
      <c r="AW713" s="275"/>
      <c r="AX713" s="275"/>
      <c r="AY713" s="275"/>
      <c r="AZ713" s="275"/>
      <c r="BA713" s="275"/>
      <c r="BB713" s="275"/>
      <c r="BC713" s="275">
        <v>78900000</v>
      </c>
      <c r="BD713" s="275"/>
      <c r="BE713" s="275"/>
      <c r="BF713" s="275"/>
      <c r="BH713" s="277"/>
    </row>
    <row r="714" spans="1:60" ht="16.5" hidden="1" customHeight="1" x14ac:dyDescent="0.3">
      <c r="A714" s="260">
        <v>692</v>
      </c>
      <c r="B714" s="261"/>
      <c r="C714" s="261"/>
      <c r="D714" s="262" t="s">
        <v>15</v>
      </c>
      <c r="E714" s="262" t="s">
        <v>237</v>
      </c>
      <c r="F714" s="263" t="s">
        <v>15</v>
      </c>
      <c r="G714" s="264" t="s">
        <v>237</v>
      </c>
      <c r="H714" s="281"/>
      <c r="I714" s="265"/>
      <c r="J714" s="266" t="s">
        <v>626</v>
      </c>
      <c r="K714" s="262"/>
      <c r="L714" s="262"/>
      <c r="M714" s="262">
        <v>61792</v>
      </c>
      <c r="N714" s="262" t="s">
        <v>22</v>
      </c>
      <c r="O714" s="262" t="s">
        <v>56</v>
      </c>
      <c r="P714" s="262"/>
      <c r="Q714" s="262" t="s">
        <v>30</v>
      </c>
      <c r="R714" s="262" t="s">
        <v>31</v>
      </c>
      <c r="S714" s="267" t="s">
        <v>31</v>
      </c>
      <c r="T714" s="268"/>
      <c r="U714" s="269"/>
      <c r="V714" s="269">
        <v>3350000</v>
      </c>
      <c r="W714" s="278">
        <v>3550000</v>
      </c>
      <c r="X714" s="270"/>
      <c r="Y714" s="262" t="s">
        <v>20</v>
      </c>
      <c r="Z714" s="271" t="s">
        <v>20</v>
      </c>
      <c r="AA714" s="287"/>
      <c r="AB714" s="287"/>
      <c r="AC714" s="272">
        <f t="shared" si="23"/>
        <v>0</v>
      </c>
      <c r="AD714" s="272">
        <v>0</v>
      </c>
      <c r="AE714" s="272">
        <f t="shared" si="24"/>
        <v>0</v>
      </c>
      <c r="AF714" s="273"/>
      <c r="AG714" s="274"/>
      <c r="AH714" s="273"/>
      <c r="AI714" s="273"/>
      <c r="AJ714" s="274"/>
      <c r="AK714" s="273"/>
      <c r="AL714" s="275"/>
      <c r="AM714" s="290"/>
      <c r="AN714" s="275"/>
      <c r="AO714" s="276"/>
      <c r="AP714" s="275"/>
      <c r="AQ714" s="275"/>
      <c r="AR714" s="275"/>
      <c r="AS714" s="275"/>
      <c r="AT714" s="275"/>
      <c r="AU714" s="275"/>
      <c r="AV714" s="275"/>
      <c r="AW714" s="275"/>
      <c r="AX714" s="275"/>
      <c r="AY714" s="275"/>
      <c r="AZ714" s="275"/>
      <c r="BA714" s="275"/>
      <c r="BB714" s="275"/>
      <c r="BC714" s="275"/>
      <c r="BD714" s="275"/>
      <c r="BE714" s="275"/>
      <c r="BF714" s="275"/>
      <c r="BH714" s="277"/>
    </row>
    <row r="715" spans="1:60" ht="16.5" hidden="1" customHeight="1" x14ac:dyDescent="0.3">
      <c r="A715" s="260">
        <v>693</v>
      </c>
      <c r="B715" s="261"/>
      <c r="C715" s="261"/>
      <c r="D715" s="262" t="s">
        <v>15</v>
      </c>
      <c r="E715" s="262" t="s">
        <v>237</v>
      </c>
      <c r="F715" s="263" t="s">
        <v>15</v>
      </c>
      <c r="G715" s="264" t="s">
        <v>237</v>
      </c>
      <c r="H715" s="281"/>
      <c r="I715" s="265"/>
      <c r="J715" s="266" t="s">
        <v>239</v>
      </c>
      <c r="K715" s="262"/>
      <c r="L715" s="262"/>
      <c r="M715" s="262">
        <v>61353</v>
      </c>
      <c r="N715" s="262" t="s">
        <v>22</v>
      </c>
      <c r="O715" s="262" t="s">
        <v>56</v>
      </c>
      <c r="P715" s="262" t="s">
        <v>57</v>
      </c>
      <c r="Q715" s="262" t="s">
        <v>30</v>
      </c>
      <c r="R715" s="262" t="s">
        <v>31</v>
      </c>
      <c r="S715" s="267" t="s">
        <v>31</v>
      </c>
      <c r="T715" s="268"/>
      <c r="U715" s="269"/>
      <c r="V715" s="269">
        <v>6167000</v>
      </c>
      <c r="W715" s="278">
        <v>5256000</v>
      </c>
      <c r="X715" s="270"/>
      <c r="Y715" s="262" t="s">
        <v>27</v>
      </c>
      <c r="Z715" s="271" t="s">
        <v>24</v>
      </c>
      <c r="AA715" s="287"/>
      <c r="AB715" s="287"/>
      <c r="AC715" s="272">
        <f t="shared" si="23"/>
        <v>6000000</v>
      </c>
      <c r="AD715" s="272">
        <v>6000000</v>
      </c>
      <c r="AE715" s="272">
        <f t="shared" si="24"/>
        <v>0</v>
      </c>
      <c r="AF715" s="273"/>
      <c r="AG715" s="274"/>
      <c r="AH715" s="273"/>
      <c r="AI715" s="273"/>
      <c r="AJ715" s="274"/>
      <c r="AK715" s="273"/>
      <c r="AL715" s="275"/>
      <c r="AM715" s="290"/>
      <c r="AN715" s="275"/>
      <c r="AO715" s="276"/>
      <c r="AP715" s="275"/>
      <c r="AQ715" s="275"/>
      <c r="AR715" s="275"/>
      <c r="AS715" s="275"/>
      <c r="AT715" s="275"/>
      <c r="AU715" s="275"/>
      <c r="AV715" s="275"/>
      <c r="AW715" s="275"/>
      <c r="AX715" s="275"/>
      <c r="AY715" s="275"/>
      <c r="AZ715" s="275"/>
      <c r="BA715" s="275">
        <v>6000000</v>
      </c>
      <c r="BB715" s="275"/>
      <c r="BC715" s="275"/>
      <c r="BD715" s="275"/>
      <c r="BE715" s="275"/>
      <c r="BF715" s="275"/>
      <c r="BH715" s="277"/>
    </row>
    <row r="716" spans="1:60" ht="16.5" hidden="1" customHeight="1" x14ac:dyDescent="0.3">
      <c r="A716" s="260">
        <v>694</v>
      </c>
      <c r="B716" s="261"/>
      <c r="C716" s="261"/>
      <c r="D716" s="262" t="s">
        <v>15</v>
      </c>
      <c r="E716" s="262" t="s">
        <v>237</v>
      </c>
      <c r="F716" s="263" t="s">
        <v>15</v>
      </c>
      <c r="G716" s="264" t="s">
        <v>237</v>
      </c>
      <c r="H716" s="281"/>
      <c r="I716" s="265"/>
      <c r="J716" s="266" t="s">
        <v>239</v>
      </c>
      <c r="K716" s="262"/>
      <c r="L716" s="262"/>
      <c r="M716" s="262">
        <v>61353</v>
      </c>
      <c r="N716" s="262" t="s">
        <v>22</v>
      </c>
      <c r="O716" s="262" t="s">
        <v>35</v>
      </c>
      <c r="P716" s="262" t="s">
        <v>57</v>
      </c>
      <c r="Q716" s="262"/>
      <c r="R716" s="262"/>
      <c r="S716" s="267" t="s">
        <v>828</v>
      </c>
      <c r="T716" s="268"/>
      <c r="U716" s="269"/>
      <c r="V716" s="269"/>
      <c r="W716" s="278">
        <v>0</v>
      </c>
      <c r="X716" s="270"/>
      <c r="Y716" s="262"/>
      <c r="Z716" s="271" t="s">
        <v>25</v>
      </c>
      <c r="AA716" s="287"/>
      <c r="AB716" s="287"/>
      <c r="AC716" s="272">
        <f t="shared" si="23"/>
        <v>10000000</v>
      </c>
      <c r="AD716" s="272">
        <v>10000000</v>
      </c>
      <c r="AE716" s="272">
        <f t="shared" si="24"/>
        <v>0</v>
      </c>
      <c r="AF716" s="273"/>
      <c r="AG716" s="274"/>
      <c r="AH716" s="273"/>
      <c r="AI716" s="273"/>
      <c r="AJ716" s="274"/>
      <c r="AK716" s="273"/>
      <c r="AL716" s="275"/>
      <c r="AM716" s="290"/>
      <c r="AN716" s="275"/>
      <c r="AO716" s="276"/>
      <c r="AP716" s="275"/>
      <c r="AQ716" s="275">
        <v>10000000</v>
      </c>
      <c r="AR716" s="275"/>
      <c r="AS716" s="275"/>
      <c r="AT716" s="275"/>
      <c r="AU716" s="275"/>
      <c r="AV716" s="275"/>
      <c r="AW716" s="275"/>
      <c r="AX716" s="275"/>
      <c r="AY716" s="275"/>
      <c r="AZ716" s="275"/>
      <c r="BA716" s="275"/>
      <c r="BB716" s="275"/>
      <c r="BC716" s="275"/>
      <c r="BD716" s="275"/>
      <c r="BE716" s="275"/>
      <c r="BF716" s="275"/>
      <c r="BH716" s="277"/>
    </row>
    <row r="717" spans="1:60" ht="16.5" hidden="1" customHeight="1" x14ac:dyDescent="0.3">
      <c r="A717" s="260">
        <v>695</v>
      </c>
      <c r="B717" s="261"/>
      <c r="C717" s="261"/>
      <c r="D717" s="262" t="s">
        <v>15</v>
      </c>
      <c r="E717" s="262" t="s">
        <v>237</v>
      </c>
      <c r="F717" s="263" t="s">
        <v>15</v>
      </c>
      <c r="G717" s="264" t="s">
        <v>237</v>
      </c>
      <c r="H717" s="281"/>
      <c r="I717" s="265"/>
      <c r="J717" s="266" t="s">
        <v>239</v>
      </c>
      <c r="K717" s="262"/>
      <c r="L717" s="262"/>
      <c r="M717" s="262">
        <v>61353</v>
      </c>
      <c r="N717" s="262" t="s">
        <v>22</v>
      </c>
      <c r="O717" s="262" t="s">
        <v>35</v>
      </c>
      <c r="P717" s="262" t="s">
        <v>57</v>
      </c>
      <c r="Q717" s="262"/>
      <c r="R717" s="262"/>
      <c r="S717" s="267" t="s">
        <v>830</v>
      </c>
      <c r="T717" s="268"/>
      <c r="U717" s="269"/>
      <c r="V717" s="269"/>
      <c r="W717" s="278">
        <v>0</v>
      </c>
      <c r="X717" s="270"/>
      <c r="Y717" s="262"/>
      <c r="Z717" s="271" t="s">
        <v>25</v>
      </c>
      <c r="AA717" s="287"/>
      <c r="AB717" s="287"/>
      <c r="AC717" s="272">
        <f t="shared" si="23"/>
        <v>6000000</v>
      </c>
      <c r="AD717" s="272">
        <v>6000000</v>
      </c>
      <c r="AE717" s="272">
        <f t="shared" si="24"/>
        <v>0</v>
      </c>
      <c r="AF717" s="273"/>
      <c r="AG717" s="274"/>
      <c r="AH717" s="273"/>
      <c r="AI717" s="273"/>
      <c r="AJ717" s="274"/>
      <c r="AK717" s="273"/>
      <c r="AL717" s="275"/>
      <c r="AM717" s="290"/>
      <c r="AN717" s="275"/>
      <c r="AO717" s="276"/>
      <c r="AP717" s="275"/>
      <c r="AQ717" s="275"/>
      <c r="AR717" s="275"/>
      <c r="AS717" s="275"/>
      <c r="AT717" s="275"/>
      <c r="AU717" s="275"/>
      <c r="AV717" s="275"/>
      <c r="AW717" s="275"/>
      <c r="AX717" s="275"/>
      <c r="AY717" s="275">
        <v>6000000</v>
      </c>
      <c r="AZ717" s="275"/>
      <c r="BA717" s="275"/>
      <c r="BB717" s="275"/>
      <c r="BC717" s="275"/>
      <c r="BD717" s="275"/>
      <c r="BE717" s="275"/>
      <c r="BF717" s="275"/>
      <c r="BH717" s="277"/>
    </row>
    <row r="718" spans="1:60" ht="16.5" hidden="1" customHeight="1" x14ac:dyDescent="0.3">
      <c r="A718" s="260">
        <v>696</v>
      </c>
      <c r="B718" s="261"/>
      <c r="C718" s="261"/>
      <c r="D718" s="262" t="s">
        <v>15</v>
      </c>
      <c r="E718" s="262" t="s">
        <v>237</v>
      </c>
      <c r="F718" s="263" t="s">
        <v>15</v>
      </c>
      <c r="G718" s="264" t="s">
        <v>237</v>
      </c>
      <c r="H718" s="281"/>
      <c r="I718" s="265"/>
      <c r="J718" s="266" t="s">
        <v>240</v>
      </c>
      <c r="K718" s="262"/>
      <c r="L718" s="262"/>
      <c r="M718" s="262">
        <v>3864</v>
      </c>
      <c r="N718" s="262" t="s">
        <v>22</v>
      </c>
      <c r="O718" s="262" t="s">
        <v>212</v>
      </c>
      <c r="P718" s="262" t="s">
        <v>57</v>
      </c>
      <c r="Q718" s="262" t="s">
        <v>63</v>
      </c>
      <c r="R718" s="262" t="s">
        <v>28</v>
      </c>
      <c r="S718" s="267" t="s">
        <v>28</v>
      </c>
      <c r="T718" s="268" t="s">
        <v>951</v>
      </c>
      <c r="U718" s="269">
        <v>65070380</v>
      </c>
      <c r="V718" s="269">
        <v>33831666</v>
      </c>
      <c r="W718" s="278">
        <v>32602320</v>
      </c>
      <c r="X718" s="270"/>
      <c r="Y718" s="262" t="s">
        <v>27</v>
      </c>
      <c r="Z718" s="271" t="s">
        <v>27</v>
      </c>
      <c r="AA718" s="287"/>
      <c r="AB718" s="287"/>
      <c r="AC718" s="272">
        <f t="shared" si="23"/>
        <v>35242600</v>
      </c>
      <c r="AD718" s="272">
        <v>35242600</v>
      </c>
      <c r="AE718" s="272">
        <f t="shared" si="24"/>
        <v>0</v>
      </c>
      <c r="AF718" s="273">
        <v>3500000</v>
      </c>
      <c r="AG718" s="274">
        <v>363000</v>
      </c>
      <c r="AH718" s="273"/>
      <c r="AI718" s="273">
        <v>3500000</v>
      </c>
      <c r="AJ718" s="274">
        <v>1456400</v>
      </c>
      <c r="AK718" s="273" t="s">
        <v>928</v>
      </c>
      <c r="AL718" s="275">
        <v>3500000</v>
      </c>
      <c r="AM718" s="290">
        <v>1923200</v>
      </c>
      <c r="AN718" s="275"/>
      <c r="AO718" s="276">
        <v>3500000</v>
      </c>
      <c r="AP718" s="275"/>
      <c r="AQ718" s="275">
        <v>3500000</v>
      </c>
      <c r="AR718" s="275"/>
      <c r="AS718" s="275">
        <v>3500000</v>
      </c>
      <c r="AT718" s="275"/>
      <c r="AU718" s="275">
        <v>3500000</v>
      </c>
      <c r="AV718" s="275"/>
      <c r="AW718" s="275">
        <v>3500000</v>
      </c>
      <c r="AX718" s="275"/>
      <c r="AY718" s="275">
        <v>3500000</v>
      </c>
      <c r="AZ718" s="275"/>
      <c r="BA718" s="275">
        <v>3500000</v>
      </c>
      <c r="BB718" s="275"/>
      <c r="BC718" s="275">
        <v>3500000</v>
      </c>
      <c r="BD718" s="275"/>
      <c r="BE718" s="275">
        <v>3500000</v>
      </c>
      <c r="BF718" s="275"/>
      <c r="BH718" s="277"/>
    </row>
    <row r="719" spans="1:60" ht="16.5" hidden="1" customHeight="1" x14ac:dyDescent="0.3">
      <c r="A719" s="260">
        <v>697</v>
      </c>
      <c r="B719" s="261"/>
      <c r="C719" s="261"/>
      <c r="D719" s="262" t="s">
        <v>15</v>
      </c>
      <c r="E719" s="262" t="s">
        <v>237</v>
      </c>
      <c r="F719" s="263" t="s">
        <v>15</v>
      </c>
      <c r="G719" s="264" t="s">
        <v>237</v>
      </c>
      <c r="H719" s="281"/>
      <c r="I719" s="265"/>
      <c r="J719" s="266" t="s">
        <v>240</v>
      </c>
      <c r="K719" s="262"/>
      <c r="L719" s="262"/>
      <c r="M719" s="262">
        <v>3864</v>
      </c>
      <c r="N719" s="262"/>
      <c r="O719" s="262"/>
      <c r="P719" s="262"/>
      <c r="Q719" s="262"/>
      <c r="R719" s="262"/>
      <c r="S719" s="267" t="s">
        <v>478</v>
      </c>
      <c r="T719" s="268"/>
      <c r="U719" s="269"/>
      <c r="V719" s="269"/>
      <c r="W719" s="278">
        <v>2500000</v>
      </c>
      <c r="X719" s="270"/>
      <c r="Y719" s="262"/>
      <c r="Z719" s="271" t="s">
        <v>718</v>
      </c>
      <c r="AA719" s="287"/>
      <c r="AB719" s="287"/>
      <c r="AC719" s="272">
        <f t="shared" si="23"/>
        <v>0</v>
      </c>
      <c r="AD719" s="272">
        <v>0</v>
      </c>
      <c r="AE719" s="272">
        <f t="shared" si="24"/>
        <v>0</v>
      </c>
      <c r="AF719" s="273"/>
      <c r="AG719" s="274"/>
      <c r="AH719" s="273"/>
      <c r="AI719" s="273"/>
      <c r="AJ719" s="274"/>
      <c r="AK719" s="273"/>
      <c r="AL719" s="275"/>
      <c r="AM719" s="290"/>
      <c r="AN719" s="275"/>
      <c r="AO719" s="276"/>
      <c r="AP719" s="275"/>
      <c r="AQ719" s="275"/>
      <c r="AR719" s="275"/>
      <c r="AS719" s="275"/>
      <c r="AT719" s="275"/>
      <c r="AU719" s="275"/>
      <c r="AV719" s="275"/>
      <c r="AW719" s="275"/>
      <c r="AX719" s="275"/>
      <c r="AY719" s="275"/>
      <c r="AZ719" s="275"/>
      <c r="BA719" s="275"/>
      <c r="BB719" s="275"/>
      <c r="BC719" s="275"/>
      <c r="BD719" s="275"/>
      <c r="BE719" s="275"/>
      <c r="BF719" s="275"/>
      <c r="BH719" s="277"/>
    </row>
    <row r="720" spans="1:60" ht="16.5" hidden="1" customHeight="1" x14ac:dyDescent="0.3">
      <c r="A720" s="260">
        <v>698</v>
      </c>
      <c r="B720" s="261"/>
      <c r="C720" s="261"/>
      <c r="D720" s="262" t="s">
        <v>15</v>
      </c>
      <c r="E720" s="262" t="s">
        <v>237</v>
      </c>
      <c r="F720" s="263" t="s">
        <v>15</v>
      </c>
      <c r="G720" s="264" t="s">
        <v>237</v>
      </c>
      <c r="H720" s="281"/>
      <c r="I720" s="265"/>
      <c r="J720" s="266" t="s">
        <v>240</v>
      </c>
      <c r="K720" s="262"/>
      <c r="L720" s="262"/>
      <c r="M720" s="262">
        <v>3864</v>
      </c>
      <c r="N720" s="262" t="s">
        <v>22</v>
      </c>
      <c r="O720" s="262" t="s">
        <v>56</v>
      </c>
      <c r="P720" s="262" t="s">
        <v>57</v>
      </c>
      <c r="Q720" s="262" t="s">
        <v>23</v>
      </c>
      <c r="R720" s="262" t="s">
        <v>397</v>
      </c>
      <c r="S720" s="267" t="s">
        <v>823</v>
      </c>
      <c r="T720" s="268"/>
      <c r="U720" s="269"/>
      <c r="V720" s="269">
        <v>1700000</v>
      </c>
      <c r="W720" s="278">
        <v>0</v>
      </c>
      <c r="X720" s="270"/>
      <c r="Y720" s="262" t="s">
        <v>25</v>
      </c>
      <c r="Z720" s="271" t="s">
        <v>20</v>
      </c>
      <c r="AA720" s="287"/>
      <c r="AB720" s="287"/>
      <c r="AC720" s="272">
        <f t="shared" si="23"/>
        <v>0</v>
      </c>
      <c r="AD720" s="272">
        <v>0</v>
      </c>
      <c r="AE720" s="272">
        <f t="shared" si="24"/>
        <v>0</v>
      </c>
      <c r="AF720" s="273"/>
      <c r="AG720" s="274"/>
      <c r="AH720" s="273"/>
      <c r="AI720" s="273"/>
      <c r="AJ720" s="274"/>
      <c r="AK720" s="273"/>
      <c r="AL720" s="275"/>
      <c r="AM720" s="290"/>
      <c r="AN720" s="275"/>
      <c r="AO720" s="276"/>
      <c r="AP720" s="275"/>
      <c r="AQ720" s="275"/>
      <c r="AR720" s="275"/>
      <c r="AS720" s="275"/>
      <c r="AT720" s="275"/>
      <c r="AU720" s="275"/>
      <c r="AV720" s="275"/>
      <c r="AW720" s="275"/>
      <c r="AX720" s="275"/>
      <c r="AY720" s="275"/>
      <c r="AZ720" s="275"/>
      <c r="BA720" s="275"/>
      <c r="BB720" s="275"/>
      <c r="BC720" s="275"/>
      <c r="BD720" s="275"/>
      <c r="BE720" s="275"/>
      <c r="BF720" s="275"/>
      <c r="BH720" s="277"/>
    </row>
    <row r="721" spans="1:60" ht="16.5" hidden="1" customHeight="1" x14ac:dyDescent="0.3">
      <c r="A721" s="260">
        <v>699</v>
      </c>
      <c r="B721" s="261"/>
      <c r="C721" s="261"/>
      <c r="D721" s="262"/>
      <c r="E721" s="262"/>
      <c r="F721" s="263" t="s">
        <v>15</v>
      </c>
      <c r="G721" s="264" t="s">
        <v>237</v>
      </c>
      <c r="H721" s="281"/>
      <c r="I721" s="265"/>
      <c r="J721" s="266" t="s">
        <v>240</v>
      </c>
      <c r="K721" s="262"/>
      <c r="L721" s="262"/>
      <c r="M721" s="262">
        <v>3864</v>
      </c>
      <c r="N721" s="262" t="s">
        <v>22</v>
      </c>
      <c r="O721" s="262" t="s">
        <v>35</v>
      </c>
      <c r="P721" s="262" t="s">
        <v>57</v>
      </c>
      <c r="Q721" s="262"/>
      <c r="R721" s="262" t="s">
        <v>479</v>
      </c>
      <c r="S721" s="267" t="s">
        <v>829</v>
      </c>
      <c r="T721" s="268"/>
      <c r="U721" s="269"/>
      <c r="V721" s="269"/>
      <c r="W721" s="278">
        <v>0</v>
      </c>
      <c r="X721" s="270"/>
      <c r="Y721" s="262" t="s">
        <v>25</v>
      </c>
      <c r="Z721" s="271" t="s">
        <v>25</v>
      </c>
      <c r="AA721" s="287"/>
      <c r="AB721" s="287"/>
      <c r="AC721" s="272">
        <f t="shared" si="23"/>
        <v>20000000</v>
      </c>
      <c r="AD721" s="272">
        <v>20000000</v>
      </c>
      <c r="AE721" s="272">
        <f t="shared" si="24"/>
        <v>0</v>
      </c>
      <c r="AF721" s="273"/>
      <c r="AG721" s="274"/>
      <c r="AH721" s="273"/>
      <c r="AI721" s="273"/>
      <c r="AJ721" s="274"/>
      <c r="AK721" s="273"/>
      <c r="AL721" s="275"/>
      <c r="AM721" s="290"/>
      <c r="AN721" s="275"/>
      <c r="AO721" s="276"/>
      <c r="AP721" s="275"/>
      <c r="AQ721" s="275">
        <v>20000000</v>
      </c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/>
      <c r="BD721" s="275"/>
      <c r="BE721" s="275"/>
      <c r="BF721" s="275"/>
      <c r="BH721" s="277"/>
    </row>
    <row r="722" spans="1:60" ht="16.5" hidden="1" customHeight="1" x14ac:dyDescent="0.3">
      <c r="A722" s="260">
        <v>700</v>
      </c>
      <c r="B722" s="261"/>
      <c r="C722" s="261"/>
      <c r="D722" s="262" t="s">
        <v>15</v>
      </c>
      <c r="E722" s="262" t="s">
        <v>237</v>
      </c>
      <c r="F722" s="263" t="s">
        <v>15</v>
      </c>
      <c r="G722" s="264" t="s">
        <v>237</v>
      </c>
      <c r="H722" s="281"/>
      <c r="I722" s="265"/>
      <c r="J722" s="266" t="s">
        <v>241</v>
      </c>
      <c r="K722" s="262"/>
      <c r="L722" s="262"/>
      <c r="M722" s="262">
        <v>3864</v>
      </c>
      <c r="N722" s="262"/>
      <c r="O722" s="262"/>
      <c r="P722" s="262"/>
      <c r="Q722" s="262"/>
      <c r="R722" s="262"/>
      <c r="S722" s="267" t="s">
        <v>31</v>
      </c>
      <c r="T722" s="268"/>
      <c r="U722" s="269"/>
      <c r="V722" s="269"/>
      <c r="W722" s="278">
        <v>0</v>
      </c>
      <c r="X722" s="270"/>
      <c r="Y722" s="262"/>
      <c r="Z722" s="271" t="s">
        <v>27</v>
      </c>
      <c r="AA722" s="287"/>
      <c r="AB722" s="287"/>
      <c r="AC722" s="272">
        <f t="shared" si="23"/>
        <v>5000000</v>
      </c>
      <c r="AD722" s="272">
        <v>5000000</v>
      </c>
      <c r="AE722" s="272">
        <f t="shared" si="24"/>
        <v>0</v>
      </c>
      <c r="AF722" s="273"/>
      <c r="AG722" s="274"/>
      <c r="AH722" s="273"/>
      <c r="AI722" s="273"/>
      <c r="AJ722" s="274"/>
      <c r="AK722" s="273"/>
      <c r="AL722" s="275"/>
      <c r="AM722" s="290"/>
      <c r="AN722" s="275"/>
      <c r="AO722" s="276"/>
      <c r="AP722" s="275"/>
      <c r="AQ722" s="275"/>
      <c r="AR722" s="275"/>
      <c r="AS722" s="275"/>
      <c r="AT722" s="275"/>
      <c r="AU722" s="275"/>
      <c r="AV722" s="275"/>
      <c r="AW722" s="275"/>
      <c r="AX722" s="275"/>
      <c r="AY722" s="275"/>
      <c r="AZ722" s="275"/>
      <c r="BA722" s="275"/>
      <c r="BB722" s="275"/>
      <c r="BC722" s="275">
        <v>5000000</v>
      </c>
      <c r="BD722" s="275"/>
      <c r="BE722" s="275"/>
      <c r="BF722" s="275"/>
      <c r="BH722" s="277"/>
    </row>
    <row r="723" spans="1:60" ht="16.5" hidden="1" customHeight="1" x14ac:dyDescent="0.3">
      <c r="A723" s="260">
        <v>701</v>
      </c>
      <c r="B723" s="261"/>
      <c r="C723" s="261"/>
      <c r="D723" s="262" t="s">
        <v>15</v>
      </c>
      <c r="E723" s="262" t="s">
        <v>237</v>
      </c>
      <c r="F723" s="263" t="s">
        <v>15</v>
      </c>
      <c r="G723" s="264" t="s">
        <v>237</v>
      </c>
      <c r="H723" s="281"/>
      <c r="I723" s="265"/>
      <c r="J723" s="266" t="s">
        <v>241</v>
      </c>
      <c r="K723" s="262"/>
      <c r="L723" s="262"/>
      <c r="M723" s="262">
        <v>3864</v>
      </c>
      <c r="N723" s="262" t="s">
        <v>22</v>
      </c>
      <c r="O723" s="262" t="s">
        <v>56</v>
      </c>
      <c r="P723" s="262" t="s">
        <v>57</v>
      </c>
      <c r="Q723" s="262" t="s">
        <v>30</v>
      </c>
      <c r="R723" s="262" t="s">
        <v>31</v>
      </c>
      <c r="S723" s="267" t="s">
        <v>31</v>
      </c>
      <c r="T723" s="268"/>
      <c r="U723" s="269" t="s">
        <v>154</v>
      </c>
      <c r="V723" s="269">
        <v>24924000</v>
      </c>
      <c r="W723" s="278">
        <v>17699000</v>
      </c>
      <c r="X723" s="270"/>
      <c r="Y723" s="262" t="s">
        <v>24</v>
      </c>
      <c r="Z723" s="271" t="s">
        <v>24</v>
      </c>
      <c r="AA723" s="287"/>
      <c r="AB723" s="287"/>
      <c r="AC723" s="272">
        <f t="shared" si="23"/>
        <v>9000000</v>
      </c>
      <c r="AD723" s="272">
        <v>9000000</v>
      </c>
      <c r="AE723" s="272">
        <f t="shared" si="24"/>
        <v>0</v>
      </c>
      <c r="AF723" s="273"/>
      <c r="AG723" s="274"/>
      <c r="AH723" s="273"/>
      <c r="AI723" s="273"/>
      <c r="AJ723" s="274"/>
      <c r="AK723" s="273"/>
      <c r="AL723" s="275"/>
      <c r="AM723" s="290"/>
      <c r="AN723" s="275"/>
      <c r="AO723" s="276"/>
      <c r="AP723" s="275"/>
      <c r="AQ723" s="275"/>
      <c r="AR723" s="275"/>
      <c r="AS723" s="275"/>
      <c r="AT723" s="275"/>
      <c r="AU723" s="275"/>
      <c r="AV723" s="275"/>
      <c r="AW723" s="275"/>
      <c r="AX723" s="275"/>
      <c r="AY723" s="275"/>
      <c r="AZ723" s="275"/>
      <c r="BA723" s="275"/>
      <c r="BB723" s="275"/>
      <c r="BC723" s="275"/>
      <c r="BD723" s="275"/>
      <c r="BE723" s="275">
        <v>9000000</v>
      </c>
      <c r="BF723" s="275"/>
      <c r="BH723" s="277"/>
    </row>
    <row r="724" spans="1:60" ht="16.5" hidden="1" customHeight="1" x14ac:dyDescent="0.3">
      <c r="A724" s="260">
        <v>702</v>
      </c>
      <c r="B724" s="261"/>
      <c r="C724" s="261"/>
      <c r="D724" s="262" t="s">
        <v>15</v>
      </c>
      <c r="E724" s="262" t="s">
        <v>237</v>
      </c>
      <c r="F724" s="263" t="s">
        <v>15</v>
      </c>
      <c r="G724" s="264" t="s">
        <v>237</v>
      </c>
      <c r="H724" s="281"/>
      <c r="I724" s="265"/>
      <c r="J724" s="266" t="s">
        <v>763</v>
      </c>
      <c r="K724" s="262"/>
      <c r="L724" s="262"/>
      <c r="M724" s="262">
        <v>3864</v>
      </c>
      <c r="N724" s="262" t="s">
        <v>22</v>
      </c>
      <c r="O724" s="262" t="s">
        <v>35</v>
      </c>
      <c r="P724" s="262" t="s">
        <v>57</v>
      </c>
      <c r="Q724" s="262"/>
      <c r="R724" s="262"/>
      <c r="S724" s="267" t="s">
        <v>468</v>
      </c>
      <c r="T724" s="268"/>
      <c r="U724" s="269"/>
      <c r="V724" s="269"/>
      <c r="W724" s="278">
        <v>0</v>
      </c>
      <c r="X724" s="270"/>
      <c r="Y724" s="262"/>
      <c r="Z724" s="271" t="s">
        <v>25</v>
      </c>
      <c r="AA724" s="287"/>
      <c r="AB724" s="287"/>
      <c r="AC724" s="272">
        <f t="shared" si="23"/>
        <v>20000000</v>
      </c>
      <c r="AD724" s="272">
        <v>20000000</v>
      </c>
      <c r="AE724" s="272">
        <f t="shared" si="24"/>
        <v>0</v>
      </c>
      <c r="AF724" s="273"/>
      <c r="AG724" s="274"/>
      <c r="AH724" s="273"/>
      <c r="AI724" s="273"/>
      <c r="AJ724" s="274"/>
      <c r="AK724" s="273"/>
      <c r="AL724" s="275"/>
      <c r="AM724" s="290"/>
      <c r="AN724" s="275"/>
      <c r="AO724" s="276"/>
      <c r="AP724" s="275"/>
      <c r="AQ724" s="275">
        <v>20000000</v>
      </c>
      <c r="AR724" s="275"/>
      <c r="AS724" s="275"/>
      <c r="AT724" s="275"/>
      <c r="AU724" s="275"/>
      <c r="AV724" s="275"/>
      <c r="AW724" s="275"/>
      <c r="AX724" s="275"/>
      <c r="AY724" s="275"/>
      <c r="AZ724" s="275"/>
      <c r="BA724" s="275"/>
      <c r="BB724" s="275"/>
      <c r="BC724" s="275"/>
      <c r="BD724" s="275"/>
      <c r="BE724" s="275"/>
      <c r="BF724" s="275"/>
      <c r="BH724" s="277"/>
    </row>
    <row r="725" spans="1:60" ht="16.5" hidden="1" customHeight="1" x14ac:dyDescent="0.3">
      <c r="A725" s="260">
        <v>703</v>
      </c>
      <c r="B725" s="261"/>
      <c r="C725" s="261"/>
      <c r="D725" s="262" t="s">
        <v>15</v>
      </c>
      <c r="E725" s="262" t="s">
        <v>237</v>
      </c>
      <c r="F725" s="263" t="s">
        <v>15</v>
      </c>
      <c r="G725" s="264" t="s">
        <v>237</v>
      </c>
      <c r="H725" s="281"/>
      <c r="I725" s="265"/>
      <c r="J725" s="266" t="s">
        <v>763</v>
      </c>
      <c r="K725" s="262"/>
      <c r="L725" s="262"/>
      <c r="M725" s="262">
        <v>3864</v>
      </c>
      <c r="N725" s="262" t="s">
        <v>22</v>
      </c>
      <c r="O725" s="262" t="s">
        <v>35</v>
      </c>
      <c r="P725" s="262" t="s">
        <v>57</v>
      </c>
      <c r="Q725" s="262"/>
      <c r="R725" s="262"/>
      <c r="S725" s="267" t="s">
        <v>822</v>
      </c>
      <c r="T725" s="268"/>
      <c r="U725" s="269"/>
      <c r="V725" s="269"/>
      <c r="W725" s="278">
        <v>0</v>
      </c>
      <c r="X725" s="270"/>
      <c r="Y725" s="262"/>
      <c r="Z725" s="271" t="s">
        <v>25</v>
      </c>
      <c r="AA725" s="287"/>
      <c r="AB725" s="287"/>
      <c r="AC725" s="272">
        <f t="shared" si="23"/>
        <v>20000000</v>
      </c>
      <c r="AD725" s="272">
        <v>20000000</v>
      </c>
      <c r="AE725" s="272">
        <f t="shared" si="24"/>
        <v>0</v>
      </c>
      <c r="AF725" s="273"/>
      <c r="AG725" s="274"/>
      <c r="AH725" s="273"/>
      <c r="AI725" s="273"/>
      <c r="AJ725" s="274"/>
      <c r="AK725" s="273"/>
      <c r="AL725" s="275"/>
      <c r="AM725" s="290"/>
      <c r="AN725" s="275"/>
      <c r="AO725" s="276"/>
      <c r="AP725" s="275"/>
      <c r="AQ725" s="275">
        <v>20000000</v>
      </c>
      <c r="AR725" s="275"/>
      <c r="AS725" s="275"/>
      <c r="AT725" s="275"/>
      <c r="AU725" s="275"/>
      <c r="AV725" s="275"/>
      <c r="AW725" s="275"/>
      <c r="AX725" s="275"/>
      <c r="AY725" s="275"/>
      <c r="AZ725" s="275"/>
      <c r="BA725" s="275"/>
      <c r="BB725" s="275"/>
      <c r="BC725" s="275"/>
      <c r="BD725" s="275"/>
      <c r="BE725" s="275"/>
      <c r="BF725" s="275"/>
      <c r="BH725" s="277"/>
    </row>
    <row r="726" spans="1:60" ht="16.5" hidden="1" customHeight="1" x14ac:dyDescent="0.3">
      <c r="A726" s="260">
        <v>704</v>
      </c>
      <c r="B726" s="261"/>
      <c r="C726" s="261"/>
      <c r="D726" s="262" t="s">
        <v>15</v>
      </c>
      <c r="E726" s="262" t="s">
        <v>237</v>
      </c>
      <c r="F726" s="263" t="s">
        <v>15</v>
      </c>
      <c r="G726" s="264" t="s">
        <v>237</v>
      </c>
      <c r="H726" s="281"/>
      <c r="I726" s="265"/>
      <c r="J726" s="266" t="s">
        <v>763</v>
      </c>
      <c r="K726" s="262"/>
      <c r="L726" s="262"/>
      <c r="M726" s="262">
        <v>3864</v>
      </c>
      <c r="N726" s="262" t="s">
        <v>22</v>
      </c>
      <c r="O726" s="262" t="s">
        <v>35</v>
      </c>
      <c r="P726" s="262" t="s">
        <v>57</v>
      </c>
      <c r="Q726" s="262"/>
      <c r="R726" s="262"/>
      <c r="S726" s="267" t="s">
        <v>830</v>
      </c>
      <c r="T726" s="268"/>
      <c r="U726" s="269"/>
      <c r="V726" s="269"/>
      <c r="W726" s="278">
        <v>0</v>
      </c>
      <c r="X726" s="270"/>
      <c r="Y726" s="262"/>
      <c r="Z726" s="271" t="s">
        <v>25</v>
      </c>
      <c r="AA726" s="287"/>
      <c r="AB726" s="287"/>
      <c r="AC726" s="272">
        <f t="shared" si="23"/>
        <v>10000000</v>
      </c>
      <c r="AD726" s="272">
        <v>10000000</v>
      </c>
      <c r="AE726" s="272">
        <f t="shared" si="24"/>
        <v>0</v>
      </c>
      <c r="AF726" s="273"/>
      <c r="AG726" s="274"/>
      <c r="AH726" s="273"/>
      <c r="AI726" s="273"/>
      <c r="AJ726" s="274"/>
      <c r="AK726" s="273"/>
      <c r="AL726" s="275"/>
      <c r="AM726" s="290"/>
      <c r="AN726" s="275"/>
      <c r="AO726" s="276"/>
      <c r="AP726" s="275"/>
      <c r="AQ726" s="275"/>
      <c r="AR726" s="275"/>
      <c r="AS726" s="275"/>
      <c r="AT726" s="275"/>
      <c r="AU726" s="275"/>
      <c r="AV726" s="275"/>
      <c r="AW726" s="275"/>
      <c r="AX726" s="275"/>
      <c r="AY726" s="275">
        <v>10000000</v>
      </c>
      <c r="AZ726" s="275"/>
      <c r="BA726" s="275"/>
      <c r="BB726" s="275"/>
      <c r="BC726" s="275"/>
      <c r="BD726" s="275"/>
      <c r="BE726" s="275"/>
      <c r="BF726" s="275"/>
      <c r="BH726" s="277"/>
    </row>
    <row r="727" spans="1:60" ht="16.5" hidden="1" customHeight="1" x14ac:dyDescent="0.3">
      <c r="A727" s="260">
        <v>705</v>
      </c>
      <c r="B727" s="261"/>
      <c r="C727" s="261"/>
      <c r="D727" s="262" t="s">
        <v>15</v>
      </c>
      <c r="E727" s="262" t="s">
        <v>237</v>
      </c>
      <c r="F727" s="263" t="s">
        <v>15</v>
      </c>
      <c r="G727" s="264" t="s">
        <v>237</v>
      </c>
      <c r="H727" s="281"/>
      <c r="I727" s="265"/>
      <c r="J727" s="266" t="s">
        <v>764</v>
      </c>
      <c r="K727" s="262"/>
      <c r="L727" s="262"/>
      <c r="M727" s="262">
        <v>3864</v>
      </c>
      <c r="N727" s="262" t="s">
        <v>22</v>
      </c>
      <c r="O727" s="262" t="s">
        <v>35</v>
      </c>
      <c r="P727" s="262" t="s">
        <v>57</v>
      </c>
      <c r="Q727" s="262"/>
      <c r="R727" s="262"/>
      <c r="S727" s="267" t="s">
        <v>468</v>
      </c>
      <c r="T727" s="268"/>
      <c r="U727" s="269"/>
      <c r="V727" s="269"/>
      <c r="W727" s="278">
        <v>0</v>
      </c>
      <c r="X727" s="270"/>
      <c r="Y727" s="262"/>
      <c r="Z727" s="271" t="s">
        <v>25</v>
      </c>
      <c r="AA727" s="287"/>
      <c r="AB727" s="287"/>
      <c r="AC727" s="272">
        <f t="shared" ref="AC727:AC790" si="25">AG727+AJ727+AM727+AO727+AQ727+AS727+AU727+AW727+AY727+BA727+BC727+BE727</f>
        <v>15000000</v>
      </c>
      <c r="AD727" s="272">
        <v>15000000</v>
      </c>
      <c r="AE727" s="272">
        <f t="shared" ref="AE727:AE790" si="26">AC727-AD727</f>
        <v>0</v>
      </c>
      <c r="AF727" s="273"/>
      <c r="AG727" s="274"/>
      <c r="AH727" s="273"/>
      <c r="AI727" s="273"/>
      <c r="AJ727" s="274"/>
      <c r="AK727" s="273"/>
      <c r="AL727" s="275"/>
      <c r="AM727" s="290"/>
      <c r="AN727" s="275"/>
      <c r="AO727" s="276"/>
      <c r="AP727" s="275"/>
      <c r="AQ727" s="291">
        <v>15000000</v>
      </c>
      <c r="AR727" s="275"/>
      <c r="AS727" s="275"/>
      <c r="AT727" s="275"/>
      <c r="AU727" s="275"/>
      <c r="AV727" s="275"/>
      <c r="AW727" s="275"/>
      <c r="AX727" s="275"/>
      <c r="AY727" s="275"/>
      <c r="AZ727" s="275"/>
      <c r="BA727" s="275"/>
      <c r="BB727" s="275"/>
      <c r="BC727" s="275"/>
      <c r="BD727" s="275"/>
      <c r="BE727" s="275"/>
      <c r="BF727" s="275"/>
      <c r="BH727" s="277"/>
    </row>
    <row r="728" spans="1:60" ht="16.5" hidden="1" customHeight="1" x14ac:dyDescent="0.3">
      <c r="A728" s="260">
        <v>706</v>
      </c>
      <c r="B728" s="261"/>
      <c r="C728" s="261"/>
      <c r="D728" s="262" t="s">
        <v>15</v>
      </c>
      <c r="E728" s="262" t="s">
        <v>237</v>
      </c>
      <c r="F728" s="263" t="s">
        <v>15</v>
      </c>
      <c r="G728" s="264" t="s">
        <v>237</v>
      </c>
      <c r="H728" s="281"/>
      <c r="I728" s="265"/>
      <c r="J728" s="266" t="s">
        <v>242</v>
      </c>
      <c r="K728" s="262"/>
      <c r="L728" s="262"/>
      <c r="M728" s="262">
        <v>6191</v>
      </c>
      <c r="N728" s="262" t="s">
        <v>22</v>
      </c>
      <c r="O728" s="262" t="s">
        <v>35</v>
      </c>
      <c r="P728" s="262" t="s">
        <v>57</v>
      </c>
      <c r="Q728" s="262"/>
      <c r="R728" s="262" t="s">
        <v>19</v>
      </c>
      <c r="S728" s="267" t="s">
        <v>19</v>
      </c>
      <c r="T728" s="268"/>
      <c r="U728" s="269"/>
      <c r="V728" s="269"/>
      <c r="W728" s="278">
        <v>760000</v>
      </c>
      <c r="X728" s="270"/>
      <c r="Y728" s="262" t="s">
        <v>27</v>
      </c>
      <c r="Z728" s="271" t="s">
        <v>24</v>
      </c>
      <c r="AA728" s="287"/>
      <c r="AB728" s="287"/>
      <c r="AC728" s="272">
        <f t="shared" si="25"/>
        <v>1000000</v>
      </c>
      <c r="AD728" s="272">
        <v>1000000</v>
      </c>
      <c r="AE728" s="272">
        <f t="shared" si="26"/>
        <v>0</v>
      </c>
      <c r="AF728" s="273"/>
      <c r="AG728" s="274"/>
      <c r="AH728" s="273"/>
      <c r="AI728" s="273"/>
      <c r="AJ728" s="274"/>
      <c r="AK728" s="273"/>
      <c r="AL728" s="275"/>
      <c r="AM728" s="290"/>
      <c r="AN728" s="275"/>
      <c r="AO728" s="276"/>
      <c r="AP728" s="275"/>
      <c r="AQ728" s="275">
        <v>1000000</v>
      </c>
      <c r="AR728" s="275"/>
      <c r="AS728" s="275"/>
      <c r="AT728" s="275"/>
      <c r="AU728" s="275"/>
      <c r="AV728" s="275"/>
      <c r="AW728" s="275"/>
      <c r="AX728" s="275"/>
      <c r="AY728" s="275"/>
      <c r="AZ728" s="275"/>
      <c r="BA728" s="275"/>
      <c r="BB728" s="275"/>
      <c r="BC728" s="275"/>
      <c r="BD728" s="275"/>
      <c r="BE728" s="275"/>
      <c r="BF728" s="275"/>
      <c r="BH728" s="277"/>
    </row>
    <row r="729" spans="1:60" ht="16.5" hidden="1" customHeight="1" x14ac:dyDescent="0.3">
      <c r="A729" s="260">
        <v>707</v>
      </c>
      <c r="B729" s="261"/>
      <c r="C729" s="261"/>
      <c r="D729" s="262" t="s">
        <v>15</v>
      </c>
      <c r="E729" s="262" t="s">
        <v>237</v>
      </c>
      <c r="F729" s="263" t="s">
        <v>15</v>
      </c>
      <c r="G729" s="264" t="s">
        <v>237</v>
      </c>
      <c r="H729" s="281"/>
      <c r="I729" s="265"/>
      <c r="J729" s="266" t="s">
        <v>242</v>
      </c>
      <c r="K729" s="262"/>
      <c r="L729" s="262"/>
      <c r="M729" s="262">
        <v>6191</v>
      </c>
      <c r="N729" s="262" t="s">
        <v>22</v>
      </c>
      <c r="O729" s="262" t="s">
        <v>56</v>
      </c>
      <c r="P729" s="262" t="s">
        <v>57</v>
      </c>
      <c r="Q729" s="262" t="s">
        <v>30</v>
      </c>
      <c r="R729" s="262" t="s">
        <v>31</v>
      </c>
      <c r="S729" s="267" t="s">
        <v>31</v>
      </c>
      <c r="T729" s="268"/>
      <c r="U729" s="269"/>
      <c r="V729" s="269">
        <v>1870000</v>
      </c>
      <c r="W729" s="278">
        <v>2880000</v>
      </c>
      <c r="X729" s="270"/>
      <c r="Y729" s="262" t="s">
        <v>24</v>
      </c>
      <c r="Z729" s="271" t="s">
        <v>24</v>
      </c>
      <c r="AA729" s="287"/>
      <c r="AB729" s="287"/>
      <c r="AC729" s="272">
        <f t="shared" si="25"/>
        <v>2000000</v>
      </c>
      <c r="AD729" s="272">
        <v>2000000</v>
      </c>
      <c r="AE729" s="272">
        <f t="shared" si="26"/>
        <v>0</v>
      </c>
      <c r="AF729" s="273"/>
      <c r="AG729" s="274"/>
      <c r="AH729" s="273"/>
      <c r="AI729" s="273"/>
      <c r="AJ729" s="274"/>
      <c r="AK729" s="273"/>
      <c r="AL729" s="275"/>
      <c r="AM729" s="290"/>
      <c r="AN729" s="275"/>
      <c r="AO729" s="276"/>
      <c r="AP729" s="275"/>
      <c r="AQ729" s="275"/>
      <c r="AR729" s="275"/>
      <c r="AS729" s="275"/>
      <c r="AT729" s="275"/>
      <c r="AU729" s="275"/>
      <c r="AV729" s="275"/>
      <c r="AW729" s="275"/>
      <c r="AX729" s="275"/>
      <c r="AY729" s="275"/>
      <c r="AZ729" s="275"/>
      <c r="BA729" s="275"/>
      <c r="BB729" s="275"/>
      <c r="BC729" s="275"/>
      <c r="BD729" s="275"/>
      <c r="BE729" s="275">
        <v>2000000</v>
      </c>
      <c r="BF729" s="275"/>
      <c r="BH729" s="277"/>
    </row>
    <row r="730" spans="1:60" ht="16.5" hidden="1" customHeight="1" x14ac:dyDescent="0.3">
      <c r="A730" s="260">
        <v>708</v>
      </c>
      <c r="B730" s="261"/>
      <c r="C730" s="261"/>
      <c r="D730" s="262" t="s">
        <v>15</v>
      </c>
      <c r="E730" s="262" t="s">
        <v>237</v>
      </c>
      <c r="F730" s="263" t="s">
        <v>15</v>
      </c>
      <c r="G730" s="264" t="s">
        <v>237</v>
      </c>
      <c r="H730" s="281"/>
      <c r="I730" s="265"/>
      <c r="J730" s="266" t="s">
        <v>242</v>
      </c>
      <c r="K730" s="262"/>
      <c r="L730" s="262"/>
      <c r="M730" s="262">
        <v>6191</v>
      </c>
      <c r="N730" s="262" t="s">
        <v>22</v>
      </c>
      <c r="O730" s="262" t="s">
        <v>35</v>
      </c>
      <c r="P730" s="262" t="s">
        <v>57</v>
      </c>
      <c r="Q730" s="262"/>
      <c r="R730" s="262"/>
      <c r="S730" s="267" t="s">
        <v>830</v>
      </c>
      <c r="T730" s="268"/>
      <c r="U730" s="269"/>
      <c r="V730" s="269"/>
      <c r="W730" s="278">
        <v>0</v>
      </c>
      <c r="X730" s="270"/>
      <c r="Y730" s="262"/>
      <c r="Z730" s="271" t="s">
        <v>25</v>
      </c>
      <c r="AA730" s="287"/>
      <c r="AB730" s="287"/>
      <c r="AC730" s="272">
        <f t="shared" si="25"/>
        <v>10000000</v>
      </c>
      <c r="AD730" s="272">
        <v>10000000</v>
      </c>
      <c r="AE730" s="272">
        <f t="shared" si="26"/>
        <v>0</v>
      </c>
      <c r="AF730" s="273"/>
      <c r="AG730" s="274"/>
      <c r="AH730" s="273"/>
      <c r="AI730" s="273"/>
      <c r="AJ730" s="274"/>
      <c r="AK730" s="273"/>
      <c r="AL730" s="275"/>
      <c r="AM730" s="290"/>
      <c r="AN730" s="275"/>
      <c r="AO730" s="276"/>
      <c r="AP730" s="275"/>
      <c r="AQ730" s="275"/>
      <c r="AR730" s="275"/>
      <c r="AS730" s="275"/>
      <c r="AT730" s="275"/>
      <c r="AU730" s="275"/>
      <c r="AV730" s="275"/>
      <c r="AW730" s="275"/>
      <c r="AX730" s="275"/>
      <c r="AY730" s="275">
        <v>10000000</v>
      </c>
      <c r="AZ730" s="275"/>
      <c r="BA730" s="275"/>
      <c r="BB730" s="275"/>
      <c r="BC730" s="275"/>
      <c r="BD730" s="275"/>
      <c r="BE730" s="275"/>
      <c r="BF730" s="275"/>
      <c r="BH730" s="277"/>
    </row>
    <row r="731" spans="1:60" ht="16.5" hidden="1" customHeight="1" x14ac:dyDescent="0.3">
      <c r="A731" s="260">
        <v>709</v>
      </c>
      <c r="B731" s="261"/>
      <c r="C731" s="261"/>
      <c r="D731" s="262" t="s">
        <v>15</v>
      </c>
      <c r="E731" s="262" t="s">
        <v>237</v>
      </c>
      <c r="F731" s="263" t="s">
        <v>15</v>
      </c>
      <c r="G731" s="264" t="s">
        <v>237</v>
      </c>
      <c r="H731" s="281"/>
      <c r="I731" s="265"/>
      <c r="J731" s="266" t="s">
        <v>242</v>
      </c>
      <c r="K731" s="262"/>
      <c r="L731" s="262"/>
      <c r="M731" s="262">
        <v>6191</v>
      </c>
      <c r="N731" s="262" t="s">
        <v>22</v>
      </c>
      <c r="O731" s="262" t="s">
        <v>56</v>
      </c>
      <c r="P731" s="262"/>
      <c r="Q731" s="262" t="s">
        <v>55</v>
      </c>
      <c r="R731" s="262" t="s">
        <v>466</v>
      </c>
      <c r="S731" s="267" t="s">
        <v>829</v>
      </c>
      <c r="T731" s="268"/>
      <c r="U731" s="269"/>
      <c r="V731" s="269">
        <v>2000000</v>
      </c>
      <c r="W731" s="278">
        <v>0</v>
      </c>
      <c r="X731" s="270"/>
      <c r="Y731" s="262" t="s">
        <v>20</v>
      </c>
      <c r="Z731" s="271" t="s">
        <v>20</v>
      </c>
      <c r="AA731" s="287"/>
      <c r="AB731" s="287"/>
      <c r="AC731" s="272">
        <f t="shared" si="25"/>
        <v>0</v>
      </c>
      <c r="AD731" s="272">
        <v>0</v>
      </c>
      <c r="AE731" s="272">
        <f t="shared" si="26"/>
        <v>0</v>
      </c>
      <c r="AF731" s="273"/>
      <c r="AG731" s="274"/>
      <c r="AH731" s="273"/>
      <c r="AI731" s="273"/>
      <c r="AJ731" s="274"/>
      <c r="AK731" s="273"/>
      <c r="AL731" s="275"/>
      <c r="AM731" s="290"/>
      <c r="AN731" s="275"/>
      <c r="AO731" s="276"/>
      <c r="AP731" s="275"/>
      <c r="AQ731" s="275"/>
      <c r="AR731" s="275"/>
      <c r="AS731" s="275"/>
      <c r="AT731" s="275"/>
      <c r="AU731" s="275"/>
      <c r="AV731" s="275"/>
      <c r="AW731" s="275"/>
      <c r="AX731" s="275"/>
      <c r="AY731" s="275"/>
      <c r="AZ731" s="275"/>
      <c r="BA731" s="275"/>
      <c r="BB731" s="275"/>
      <c r="BC731" s="275"/>
      <c r="BD731" s="275"/>
      <c r="BE731" s="275"/>
      <c r="BF731" s="275"/>
      <c r="BH731" s="277"/>
    </row>
    <row r="732" spans="1:60" ht="16.5" hidden="1" customHeight="1" x14ac:dyDescent="0.3">
      <c r="A732" s="260">
        <v>710</v>
      </c>
      <c r="B732" s="261"/>
      <c r="C732" s="261"/>
      <c r="D732" s="262" t="s">
        <v>15</v>
      </c>
      <c r="E732" s="262" t="s">
        <v>237</v>
      </c>
      <c r="F732" s="263" t="s">
        <v>15</v>
      </c>
      <c r="G732" s="264" t="s">
        <v>237</v>
      </c>
      <c r="H732" s="281"/>
      <c r="I732" s="265"/>
      <c r="J732" s="266" t="s">
        <v>765</v>
      </c>
      <c r="K732" s="262"/>
      <c r="L732" s="262"/>
      <c r="M732" s="262">
        <v>20729</v>
      </c>
      <c r="N732" s="262" t="s">
        <v>22</v>
      </c>
      <c r="O732" s="262" t="s">
        <v>35</v>
      </c>
      <c r="P732" s="262" t="s">
        <v>57</v>
      </c>
      <c r="Q732" s="262"/>
      <c r="R732" s="262"/>
      <c r="S732" s="267" t="s">
        <v>822</v>
      </c>
      <c r="T732" s="268"/>
      <c r="U732" s="269"/>
      <c r="V732" s="269"/>
      <c r="W732" s="278">
        <v>0</v>
      </c>
      <c r="X732" s="270"/>
      <c r="Y732" s="262"/>
      <c r="Z732" s="271" t="s">
        <v>25</v>
      </c>
      <c r="AA732" s="287"/>
      <c r="AB732" s="287"/>
      <c r="AC732" s="272">
        <f t="shared" si="25"/>
        <v>10000000</v>
      </c>
      <c r="AD732" s="272">
        <v>10000000</v>
      </c>
      <c r="AE732" s="272">
        <f t="shared" si="26"/>
        <v>0</v>
      </c>
      <c r="AF732" s="273"/>
      <c r="AG732" s="274"/>
      <c r="AH732" s="273"/>
      <c r="AI732" s="273"/>
      <c r="AJ732" s="274"/>
      <c r="AK732" s="273"/>
      <c r="AL732" s="275"/>
      <c r="AM732" s="290"/>
      <c r="AN732" s="275"/>
      <c r="AO732" s="276"/>
      <c r="AP732" s="275"/>
      <c r="AQ732" s="291">
        <v>10000000</v>
      </c>
      <c r="AR732" s="275"/>
      <c r="AS732" s="275"/>
      <c r="AT732" s="275"/>
      <c r="AU732" s="275"/>
      <c r="AV732" s="275"/>
      <c r="AW732" s="275"/>
      <c r="AX732" s="275"/>
      <c r="AY732" s="275"/>
      <c r="AZ732" s="275"/>
      <c r="BA732" s="275"/>
      <c r="BB732" s="275"/>
      <c r="BC732" s="275"/>
      <c r="BD732" s="275"/>
      <c r="BE732" s="275"/>
      <c r="BF732" s="275"/>
      <c r="BH732" s="277"/>
    </row>
    <row r="733" spans="1:60" ht="16.5" hidden="1" customHeight="1" x14ac:dyDescent="0.3">
      <c r="A733" s="260">
        <v>711</v>
      </c>
      <c r="B733" s="261"/>
      <c r="C733" s="261"/>
      <c r="D733" s="262" t="s">
        <v>15</v>
      </c>
      <c r="E733" s="262" t="s">
        <v>237</v>
      </c>
      <c r="F733" s="263" t="s">
        <v>15</v>
      </c>
      <c r="G733" s="264" t="s">
        <v>237</v>
      </c>
      <c r="H733" s="281"/>
      <c r="I733" s="265"/>
      <c r="J733" s="266" t="s">
        <v>765</v>
      </c>
      <c r="K733" s="262"/>
      <c r="L733" s="262"/>
      <c r="M733" s="262">
        <v>20729</v>
      </c>
      <c r="N733" s="262" t="s">
        <v>22</v>
      </c>
      <c r="O733" s="262" t="s">
        <v>35</v>
      </c>
      <c r="P733" s="262" t="s">
        <v>57</v>
      </c>
      <c r="Q733" s="262"/>
      <c r="R733" s="262"/>
      <c r="S733" s="267" t="s">
        <v>830</v>
      </c>
      <c r="T733" s="268"/>
      <c r="U733" s="269"/>
      <c r="V733" s="269"/>
      <c r="W733" s="278">
        <v>0</v>
      </c>
      <c r="X733" s="270"/>
      <c r="Y733" s="262"/>
      <c r="Z733" s="271" t="s">
        <v>25</v>
      </c>
      <c r="AA733" s="287"/>
      <c r="AB733" s="287"/>
      <c r="AC733" s="272">
        <f t="shared" si="25"/>
        <v>10000000</v>
      </c>
      <c r="AD733" s="272">
        <v>10000000</v>
      </c>
      <c r="AE733" s="272">
        <f t="shared" si="26"/>
        <v>0</v>
      </c>
      <c r="AF733" s="273"/>
      <c r="AG733" s="274"/>
      <c r="AH733" s="273"/>
      <c r="AI733" s="273"/>
      <c r="AJ733" s="274"/>
      <c r="AK733" s="273"/>
      <c r="AL733" s="275"/>
      <c r="AM733" s="290"/>
      <c r="AN733" s="275"/>
      <c r="AO733" s="276"/>
      <c r="AP733" s="275"/>
      <c r="AQ733" s="275"/>
      <c r="AR733" s="275"/>
      <c r="AS733" s="275"/>
      <c r="AT733" s="275"/>
      <c r="AU733" s="275"/>
      <c r="AV733" s="275"/>
      <c r="AW733" s="275"/>
      <c r="AX733" s="275"/>
      <c r="AY733" s="275">
        <v>10000000</v>
      </c>
      <c r="AZ733" s="275"/>
      <c r="BA733" s="275"/>
      <c r="BB733" s="275"/>
      <c r="BC733" s="275"/>
      <c r="BD733" s="275"/>
      <c r="BE733" s="275"/>
      <c r="BF733" s="275"/>
      <c r="BH733" s="277"/>
    </row>
    <row r="734" spans="1:60" ht="16.5" hidden="1" customHeight="1" x14ac:dyDescent="0.3">
      <c r="A734" s="260">
        <v>712</v>
      </c>
      <c r="B734" s="261"/>
      <c r="C734" s="261"/>
      <c r="D734" s="262" t="s">
        <v>15</v>
      </c>
      <c r="E734" s="262" t="s">
        <v>237</v>
      </c>
      <c r="F734" s="263" t="s">
        <v>15</v>
      </c>
      <c r="G734" s="264" t="s">
        <v>237</v>
      </c>
      <c r="H734" s="281"/>
      <c r="I734" s="265"/>
      <c r="J734" s="266" t="s">
        <v>243</v>
      </c>
      <c r="K734" s="262"/>
      <c r="L734" s="262"/>
      <c r="M734" s="262">
        <v>20729</v>
      </c>
      <c r="N734" s="262" t="s">
        <v>22</v>
      </c>
      <c r="O734" s="262" t="s">
        <v>56</v>
      </c>
      <c r="P734" s="262" t="s">
        <v>57</v>
      </c>
      <c r="Q734" s="262" t="s">
        <v>55</v>
      </c>
      <c r="R734" s="262" t="s">
        <v>466</v>
      </c>
      <c r="S734" s="267" t="s">
        <v>829</v>
      </c>
      <c r="T734" s="268"/>
      <c r="U734" s="269"/>
      <c r="V734" s="269">
        <v>8500000</v>
      </c>
      <c r="W734" s="278">
        <v>0</v>
      </c>
      <c r="X734" s="270"/>
      <c r="Y734" s="262" t="s">
        <v>562</v>
      </c>
      <c r="Z734" s="271" t="s">
        <v>562</v>
      </c>
      <c r="AA734" s="287"/>
      <c r="AB734" s="287"/>
      <c r="AC734" s="272">
        <f t="shared" si="25"/>
        <v>0</v>
      </c>
      <c r="AD734" s="272">
        <v>0</v>
      </c>
      <c r="AE734" s="272">
        <f t="shared" si="26"/>
        <v>0</v>
      </c>
      <c r="AF734" s="273"/>
      <c r="AG734" s="274"/>
      <c r="AH734" s="273"/>
      <c r="AI734" s="273"/>
      <c r="AJ734" s="274"/>
      <c r="AK734" s="273"/>
      <c r="AL734" s="275"/>
      <c r="AM734" s="290"/>
      <c r="AN734" s="275"/>
      <c r="AO734" s="276"/>
      <c r="AP734" s="275"/>
      <c r="AQ734" s="275"/>
      <c r="AR734" s="275"/>
      <c r="AS734" s="275"/>
      <c r="AT734" s="275"/>
      <c r="AU734" s="275"/>
      <c r="AV734" s="275"/>
      <c r="AW734" s="275"/>
      <c r="AX734" s="275"/>
      <c r="AY734" s="275"/>
      <c r="AZ734" s="275"/>
      <c r="BA734" s="275"/>
      <c r="BB734" s="275"/>
      <c r="BC734" s="275"/>
      <c r="BD734" s="275"/>
      <c r="BE734" s="275"/>
      <c r="BF734" s="275"/>
      <c r="BH734" s="277"/>
    </row>
    <row r="735" spans="1:60" ht="16.5" hidden="1" customHeight="1" x14ac:dyDescent="0.3">
      <c r="A735" s="260">
        <v>713</v>
      </c>
      <c r="B735" s="261"/>
      <c r="C735" s="261"/>
      <c r="D735" s="262" t="s">
        <v>15</v>
      </c>
      <c r="E735" s="262" t="s">
        <v>237</v>
      </c>
      <c r="F735" s="263" t="s">
        <v>15</v>
      </c>
      <c r="G735" s="264" t="s">
        <v>237</v>
      </c>
      <c r="H735" s="281"/>
      <c r="I735" s="265"/>
      <c r="J735" s="266" t="s">
        <v>967</v>
      </c>
      <c r="K735" s="262"/>
      <c r="L735" s="262"/>
      <c r="M735" s="262">
        <v>20729</v>
      </c>
      <c r="N735" s="262" t="s">
        <v>22</v>
      </c>
      <c r="O735" s="262" t="s">
        <v>35</v>
      </c>
      <c r="P735" s="262" t="s">
        <v>57</v>
      </c>
      <c r="Q735" s="262" t="s">
        <v>54</v>
      </c>
      <c r="R735" s="262"/>
      <c r="S735" s="267" t="s">
        <v>19</v>
      </c>
      <c r="T735" s="268"/>
      <c r="U735" s="269"/>
      <c r="V735" s="269"/>
      <c r="W735" s="278">
        <v>0</v>
      </c>
      <c r="X735" s="270"/>
      <c r="Y735" s="262"/>
      <c r="Z735" s="271" t="s">
        <v>27</v>
      </c>
      <c r="AA735" s="287"/>
      <c r="AB735" s="287"/>
      <c r="AC735" s="272">
        <f t="shared" si="25"/>
        <v>12000000</v>
      </c>
      <c r="AD735" s="272">
        <v>12000000</v>
      </c>
      <c r="AE735" s="272">
        <f t="shared" si="26"/>
        <v>0</v>
      </c>
      <c r="AF735" s="273"/>
      <c r="AG735" s="274"/>
      <c r="AH735" s="273"/>
      <c r="AI735" s="273"/>
      <c r="AJ735" s="274"/>
      <c r="AK735" s="273"/>
      <c r="AL735" s="275"/>
      <c r="AM735" s="290"/>
      <c r="AN735" s="275" t="s">
        <v>988</v>
      </c>
      <c r="AO735" s="276">
        <v>12000000</v>
      </c>
      <c r="AP735" s="275"/>
      <c r="AQ735" s="275"/>
      <c r="AR735" s="275"/>
      <c r="AS735" s="275"/>
      <c r="AT735" s="275"/>
      <c r="AU735" s="275"/>
      <c r="AV735" s="275"/>
      <c r="AW735" s="275"/>
      <c r="AX735" s="275"/>
      <c r="AY735" s="275"/>
      <c r="AZ735" s="275"/>
      <c r="BA735" s="275"/>
      <c r="BB735" s="275"/>
      <c r="BC735" s="275"/>
      <c r="BD735" s="275"/>
      <c r="BE735" s="275"/>
      <c r="BF735" s="275"/>
      <c r="BH735" s="277"/>
    </row>
    <row r="736" spans="1:60" ht="16.5" hidden="1" customHeight="1" x14ac:dyDescent="0.3">
      <c r="A736" s="260">
        <v>714</v>
      </c>
      <c r="B736" s="261"/>
      <c r="C736" s="261"/>
      <c r="D736" s="262" t="s">
        <v>15</v>
      </c>
      <c r="E736" s="262" t="s">
        <v>237</v>
      </c>
      <c r="F736" s="263" t="s">
        <v>15</v>
      </c>
      <c r="G736" s="264" t="s">
        <v>237</v>
      </c>
      <c r="H736" s="281"/>
      <c r="I736" s="265"/>
      <c r="J736" s="266" t="s">
        <v>244</v>
      </c>
      <c r="K736" s="262"/>
      <c r="L736" s="262"/>
      <c r="M736" s="262">
        <v>236</v>
      </c>
      <c r="N736" s="262" t="s">
        <v>22</v>
      </c>
      <c r="O736" s="262" t="s">
        <v>212</v>
      </c>
      <c r="P736" s="262" t="s">
        <v>57</v>
      </c>
      <c r="Q736" s="262" t="s">
        <v>54</v>
      </c>
      <c r="R736" s="262" t="s">
        <v>467</v>
      </c>
      <c r="S736" s="267" t="s">
        <v>826</v>
      </c>
      <c r="T736" s="268"/>
      <c r="U736" s="269">
        <v>19320000</v>
      </c>
      <c r="V736" s="269">
        <v>19935000</v>
      </c>
      <c r="W736" s="278">
        <v>19045000</v>
      </c>
      <c r="X736" s="270"/>
      <c r="Y736" s="262" t="s">
        <v>27</v>
      </c>
      <c r="Z736" s="271" t="s">
        <v>27</v>
      </c>
      <c r="AA736" s="287"/>
      <c r="AB736" s="287"/>
      <c r="AC736" s="272">
        <f t="shared" si="25"/>
        <v>19000000</v>
      </c>
      <c r="AD736" s="272">
        <v>19000000</v>
      </c>
      <c r="AE736" s="272">
        <f t="shared" si="26"/>
        <v>0</v>
      </c>
      <c r="AF736" s="273"/>
      <c r="AG736" s="274"/>
      <c r="AH736" s="273"/>
      <c r="AI736" s="273"/>
      <c r="AJ736" s="274"/>
      <c r="AK736" s="273"/>
      <c r="AL736" s="275">
        <v>19000000</v>
      </c>
      <c r="AM736" s="290">
        <v>19000000</v>
      </c>
      <c r="AN736" s="275"/>
      <c r="AO736" s="276"/>
      <c r="AP736" s="275"/>
      <c r="AQ736" s="275"/>
      <c r="AR736" s="275"/>
      <c r="AS736" s="275"/>
      <c r="AT736" s="275"/>
      <c r="AU736" s="275"/>
      <c r="AV736" s="275"/>
      <c r="AW736" s="275"/>
      <c r="AX736" s="275"/>
      <c r="AY736" s="275"/>
      <c r="AZ736" s="275"/>
      <c r="BA736" s="275"/>
      <c r="BB736" s="275"/>
      <c r="BC736" s="275"/>
      <c r="BD736" s="275"/>
      <c r="BE736" s="275"/>
      <c r="BF736" s="275"/>
      <c r="BH736" s="277"/>
    </row>
    <row r="737" spans="1:60" ht="16.5" hidden="1" customHeight="1" x14ac:dyDescent="0.3">
      <c r="A737" s="260">
        <v>715</v>
      </c>
      <c r="B737" s="261"/>
      <c r="C737" s="261"/>
      <c r="D737" s="262" t="s">
        <v>15</v>
      </c>
      <c r="E737" s="262" t="s">
        <v>237</v>
      </c>
      <c r="F737" s="263" t="s">
        <v>15</v>
      </c>
      <c r="G737" s="264" t="s">
        <v>237</v>
      </c>
      <c r="H737" s="281"/>
      <c r="I737" s="265"/>
      <c r="J737" s="266" t="s">
        <v>245</v>
      </c>
      <c r="K737" s="262"/>
      <c r="L737" s="262"/>
      <c r="M737" s="262">
        <v>20729</v>
      </c>
      <c r="N737" s="262" t="s">
        <v>22</v>
      </c>
      <c r="O737" s="262" t="s">
        <v>212</v>
      </c>
      <c r="P737" s="262" t="s">
        <v>57</v>
      </c>
      <c r="Q737" s="262" t="s">
        <v>63</v>
      </c>
      <c r="R737" s="262" t="s">
        <v>28</v>
      </c>
      <c r="S737" s="267" t="s">
        <v>28</v>
      </c>
      <c r="T737" s="268" t="s">
        <v>951</v>
      </c>
      <c r="U737" s="269">
        <v>176206520</v>
      </c>
      <c r="V737" s="269">
        <v>166379200</v>
      </c>
      <c r="W737" s="278">
        <v>147825700</v>
      </c>
      <c r="X737" s="270"/>
      <c r="Y737" s="262" t="s">
        <v>27</v>
      </c>
      <c r="Z737" s="271" t="s">
        <v>27</v>
      </c>
      <c r="AA737" s="287"/>
      <c r="AB737" s="287"/>
      <c r="AC737" s="272">
        <f t="shared" si="25"/>
        <v>159821300</v>
      </c>
      <c r="AD737" s="272">
        <v>159821300</v>
      </c>
      <c r="AE737" s="272">
        <f t="shared" si="26"/>
        <v>0</v>
      </c>
      <c r="AF737" s="273"/>
      <c r="AG737" s="274"/>
      <c r="AH737" s="273" t="s">
        <v>849</v>
      </c>
      <c r="AI737" s="273">
        <v>54000000</v>
      </c>
      <c r="AJ737" s="274">
        <v>13821300</v>
      </c>
      <c r="AK737" s="273" t="s">
        <v>929</v>
      </c>
      <c r="AL737" s="275"/>
      <c r="AM737" s="290"/>
      <c r="AN737" s="275" t="s">
        <v>1000</v>
      </c>
      <c r="AO737" s="276">
        <v>54000000</v>
      </c>
      <c r="AP737" s="275"/>
      <c r="AQ737" s="275"/>
      <c r="AR737" s="275"/>
      <c r="AS737" s="275">
        <v>23000000</v>
      </c>
      <c r="AT737" s="275"/>
      <c r="AU737" s="275"/>
      <c r="AV737" s="275"/>
      <c r="AW737" s="275">
        <v>23000000</v>
      </c>
      <c r="AX737" s="275"/>
      <c r="AY737" s="275"/>
      <c r="AZ737" s="275"/>
      <c r="BA737" s="275">
        <v>23000000</v>
      </c>
      <c r="BB737" s="275"/>
      <c r="BC737" s="275"/>
      <c r="BD737" s="275"/>
      <c r="BE737" s="275">
        <v>23000000</v>
      </c>
      <c r="BF737" s="275"/>
      <c r="BH737" s="277"/>
    </row>
    <row r="738" spans="1:60" ht="16.5" hidden="1" customHeight="1" x14ac:dyDescent="0.3">
      <c r="A738" s="260">
        <v>716</v>
      </c>
      <c r="B738" s="261"/>
      <c r="C738" s="261"/>
      <c r="D738" s="262"/>
      <c r="E738" s="262"/>
      <c r="F738" s="263" t="s">
        <v>15</v>
      </c>
      <c r="G738" s="264" t="s">
        <v>237</v>
      </c>
      <c r="H738" s="281"/>
      <c r="I738" s="265"/>
      <c r="J738" s="266" t="s">
        <v>245</v>
      </c>
      <c r="K738" s="262"/>
      <c r="L738" s="262"/>
      <c r="M738" s="262">
        <v>20729</v>
      </c>
      <c r="N738" s="262" t="s">
        <v>22</v>
      </c>
      <c r="O738" s="262" t="s">
        <v>56</v>
      </c>
      <c r="P738" s="262" t="s">
        <v>57</v>
      </c>
      <c r="Q738" s="262" t="s">
        <v>61</v>
      </c>
      <c r="R738" s="262" t="s">
        <v>468</v>
      </c>
      <c r="S738" s="267" t="s">
        <v>468</v>
      </c>
      <c r="T738" s="268"/>
      <c r="U738" s="269">
        <v>3520000</v>
      </c>
      <c r="V738" s="269">
        <v>13440000</v>
      </c>
      <c r="W738" s="278">
        <v>0</v>
      </c>
      <c r="X738" s="270"/>
      <c r="Y738" s="262" t="s">
        <v>562</v>
      </c>
      <c r="Z738" s="271" t="s">
        <v>25</v>
      </c>
      <c r="AA738" s="287"/>
      <c r="AB738" s="287"/>
      <c r="AC738" s="272">
        <f t="shared" si="25"/>
        <v>0</v>
      </c>
      <c r="AD738" s="272">
        <v>0</v>
      </c>
      <c r="AE738" s="272">
        <f t="shared" si="26"/>
        <v>0</v>
      </c>
      <c r="AF738" s="273"/>
      <c r="AG738" s="274"/>
      <c r="AH738" s="273"/>
      <c r="AI738" s="273"/>
      <c r="AJ738" s="274"/>
      <c r="AK738" s="273"/>
      <c r="AL738" s="275"/>
      <c r="AM738" s="290"/>
      <c r="AN738" s="275"/>
      <c r="AO738" s="276"/>
      <c r="AP738" s="275"/>
      <c r="AQ738" s="275"/>
      <c r="AR738" s="275"/>
      <c r="AS738" s="275"/>
      <c r="AT738" s="275"/>
      <c r="AU738" s="275"/>
      <c r="AV738" s="275"/>
      <c r="AW738" s="275"/>
      <c r="AX738" s="275"/>
      <c r="AY738" s="275"/>
      <c r="AZ738" s="275"/>
      <c r="BA738" s="275"/>
      <c r="BB738" s="275"/>
      <c r="BC738" s="275"/>
      <c r="BD738" s="275"/>
      <c r="BE738" s="275"/>
      <c r="BF738" s="275"/>
      <c r="BH738" s="277"/>
    </row>
    <row r="739" spans="1:60" ht="16.5" hidden="1" customHeight="1" x14ac:dyDescent="0.3">
      <c r="A739" s="260">
        <v>717</v>
      </c>
      <c r="B739" s="261"/>
      <c r="C739" s="261"/>
      <c r="D739" s="262" t="s">
        <v>15</v>
      </c>
      <c r="E739" s="262" t="s">
        <v>237</v>
      </c>
      <c r="F739" s="263" t="s">
        <v>15</v>
      </c>
      <c r="G739" s="264" t="s">
        <v>237</v>
      </c>
      <c r="H739" s="281"/>
      <c r="I739" s="265"/>
      <c r="J739" s="266" t="s">
        <v>997</v>
      </c>
      <c r="K739" s="262"/>
      <c r="L739" s="262"/>
      <c r="M739" s="262">
        <v>46242</v>
      </c>
      <c r="N739" s="262"/>
      <c r="O739" s="262"/>
      <c r="P739" s="262"/>
      <c r="Q739" s="262"/>
      <c r="R739" s="262"/>
      <c r="S739" s="267" t="s">
        <v>826</v>
      </c>
      <c r="T739" s="268"/>
      <c r="U739" s="269"/>
      <c r="V739" s="269"/>
      <c r="W739" s="278">
        <v>7925393</v>
      </c>
      <c r="X739" s="270"/>
      <c r="Y739" s="262"/>
      <c r="Z739" s="271" t="s">
        <v>27</v>
      </c>
      <c r="AA739" s="287"/>
      <c r="AB739" s="287"/>
      <c r="AC739" s="272">
        <f t="shared" si="25"/>
        <v>6999999</v>
      </c>
      <c r="AD739" s="272">
        <v>6999999</v>
      </c>
      <c r="AE739" s="272">
        <f t="shared" si="26"/>
        <v>0</v>
      </c>
      <c r="AF739" s="273"/>
      <c r="AG739" s="274"/>
      <c r="AH739" s="273"/>
      <c r="AI739" s="273"/>
      <c r="AJ739" s="274"/>
      <c r="AK739" s="273"/>
      <c r="AL739" s="275">
        <v>6999999</v>
      </c>
      <c r="AM739" s="290">
        <v>6999999</v>
      </c>
      <c r="AN739" s="275"/>
      <c r="AO739" s="276"/>
      <c r="AP739" s="275"/>
      <c r="AQ739" s="275"/>
      <c r="AR739" s="275"/>
      <c r="AS739" s="275"/>
      <c r="AT739" s="275"/>
      <c r="AU739" s="275"/>
      <c r="AV739" s="275"/>
      <c r="AW739" s="275"/>
      <c r="AX739" s="275"/>
      <c r="AY739" s="275"/>
      <c r="AZ739" s="275"/>
      <c r="BA739" s="275"/>
      <c r="BB739" s="275"/>
      <c r="BC739" s="275"/>
      <c r="BD739" s="275"/>
      <c r="BE739" s="275"/>
      <c r="BF739" s="275"/>
      <c r="BH739" s="277"/>
    </row>
    <row r="740" spans="1:60" ht="16.5" hidden="1" customHeight="1" x14ac:dyDescent="0.3">
      <c r="A740" s="260">
        <v>718</v>
      </c>
      <c r="B740" s="261"/>
      <c r="C740" s="261"/>
      <c r="D740" s="262" t="s">
        <v>15</v>
      </c>
      <c r="E740" s="262" t="s">
        <v>237</v>
      </c>
      <c r="F740" s="263" t="s">
        <v>15</v>
      </c>
      <c r="G740" s="264" t="s">
        <v>237</v>
      </c>
      <c r="H740" s="281"/>
      <c r="I740" s="265"/>
      <c r="J740" s="266" t="s">
        <v>246</v>
      </c>
      <c r="K740" s="262"/>
      <c r="L740" s="262"/>
      <c r="M740" s="262">
        <v>7747</v>
      </c>
      <c r="N740" s="262" t="s">
        <v>22</v>
      </c>
      <c r="O740" s="262" t="s">
        <v>56</v>
      </c>
      <c r="P740" s="262" t="s">
        <v>124</v>
      </c>
      <c r="Q740" s="262" t="s">
        <v>44</v>
      </c>
      <c r="R740" s="262" t="s">
        <v>469</v>
      </c>
      <c r="S740" s="267" t="s">
        <v>469</v>
      </c>
      <c r="T740" s="268"/>
      <c r="U740" s="269"/>
      <c r="V740" s="269">
        <v>0</v>
      </c>
      <c r="W740" s="278">
        <v>58400000</v>
      </c>
      <c r="X740" s="270"/>
      <c r="Y740" s="262" t="s">
        <v>24</v>
      </c>
      <c r="Z740" s="271" t="s">
        <v>24</v>
      </c>
      <c r="AA740" s="287"/>
      <c r="AB740" s="287"/>
      <c r="AC740" s="272">
        <f t="shared" si="25"/>
        <v>60000000</v>
      </c>
      <c r="AD740" s="272">
        <v>60000000</v>
      </c>
      <c r="AE740" s="272">
        <f t="shared" si="26"/>
        <v>0</v>
      </c>
      <c r="AF740" s="273"/>
      <c r="AG740" s="274"/>
      <c r="AH740" s="273"/>
      <c r="AI740" s="273"/>
      <c r="AJ740" s="274"/>
      <c r="AK740" s="273"/>
      <c r="AL740" s="275"/>
      <c r="AM740" s="290"/>
      <c r="AN740" s="275"/>
      <c r="AO740" s="276"/>
      <c r="AP740" s="275"/>
      <c r="AQ740" s="275"/>
      <c r="AR740" s="275"/>
      <c r="AS740" s="275"/>
      <c r="AT740" s="275"/>
      <c r="AU740" s="275"/>
      <c r="AV740" s="275"/>
      <c r="AW740" s="275"/>
      <c r="AX740" s="275"/>
      <c r="AY740" s="275"/>
      <c r="AZ740" s="275"/>
      <c r="BA740" s="275"/>
      <c r="BB740" s="275"/>
      <c r="BC740" s="275"/>
      <c r="BD740" s="275"/>
      <c r="BE740" s="275">
        <v>60000000</v>
      </c>
      <c r="BF740" s="275"/>
      <c r="BH740" s="277"/>
    </row>
    <row r="741" spans="1:60" ht="16.5" hidden="1" customHeight="1" x14ac:dyDescent="0.3">
      <c r="A741" s="260">
        <v>719</v>
      </c>
      <c r="B741" s="261"/>
      <c r="C741" s="261"/>
      <c r="D741" s="262" t="s">
        <v>15</v>
      </c>
      <c r="E741" s="262" t="s">
        <v>237</v>
      </c>
      <c r="F741" s="263" t="s">
        <v>15</v>
      </c>
      <c r="G741" s="264" t="s">
        <v>237</v>
      </c>
      <c r="H741" s="281"/>
      <c r="I741" s="265"/>
      <c r="J741" s="266" t="s">
        <v>766</v>
      </c>
      <c r="K741" s="262"/>
      <c r="L741" s="262"/>
      <c r="M741" s="262">
        <v>7747</v>
      </c>
      <c r="N741" s="262" t="s">
        <v>22</v>
      </c>
      <c r="O741" s="262" t="s">
        <v>35</v>
      </c>
      <c r="P741" s="262" t="s">
        <v>124</v>
      </c>
      <c r="Q741" s="262"/>
      <c r="R741" s="262"/>
      <c r="S741" s="267" t="s">
        <v>830</v>
      </c>
      <c r="T741" s="268"/>
      <c r="U741" s="269"/>
      <c r="V741" s="269"/>
      <c r="W741" s="278">
        <v>0</v>
      </c>
      <c r="X741" s="270"/>
      <c r="Y741" s="262"/>
      <c r="Z741" s="271" t="s">
        <v>25</v>
      </c>
      <c r="AA741" s="287"/>
      <c r="AB741" s="287"/>
      <c r="AC741" s="272">
        <f t="shared" si="25"/>
        <v>10000000</v>
      </c>
      <c r="AD741" s="272">
        <v>10000000</v>
      </c>
      <c r="AE741" s="272">
        <f t="shared" si="26"/>
        <v>0</v>
      </c>
      <c r="AF741" s="273"/>
      <c r="AG741" s="274"/>
      <c r="AH741" s="273"/>
      <c r="AI741" s="273"/>
      <c r="AJ741" s="274"/>
      <c r="AK741" s="273"/>
      <c r="AL741" s="275"/>
      <c r="AM741" s="290"/>
      <c r="AN741" s="275"/>
      <c r="AO741" s="276"/>
      <c r="AP741" s="275"/>
      <c r="AQ741" s="275"/>
      <c r="AR741" s="275"/>
      <c r="AS741" s="275"/>
      <c r="AT741" s="275"/>
      <c r="AU741" s="275"/>
      <c r="AV741" s="275"/>
      <c r="AW741" s="275"/>
      <c r="AX741" s="275"/>
      <c r="AY741" s="275">
        <v>10000000</v>
      </c>
      <c r="AZ741" s="275"/>
      <c r="BA741" s="275"/>
      <c r="BB741" s="275"/>
      <c r="BC741" s="275"/>
      <c r="BD741" s="275"/>
      <c r="BE741" s="275"/>
      <c r="BF741" s="275"/>
      <c r="BH741" s="277"/>
    </row>
    <row r="742" spans="1:60" ht="16.5" hidden="1" customHeight="1" x14ac:dyDescent="0.3">
      <c r="A742" s="260">
        <v>720</v>
      </c>
      <c r="B742" s="261"/>
      <c r="C742" s="261"/>
      <c r="D742" s="262" t="s">
        <v>15</v>
      </c>
      <c r="E742" s="262" t="s">
        <v>237</v>
      </c>
      <c r="F742" s="263" t="s">
        <v>15</v>
      </c>
      <c r="G742" s="264" t="s">
        <v>237</v>
      </c>
      <c r="H742" s="281"/>
      <c r="I742" s="265"/>
      <c r="J742" s="266" t="s">
        <v>247</v>
      </c>
      <c r="K742" s="262"/>
      <c r="L742" s="262"/>
      <c r="M742" s="262">
        <v>7747</v>
      </c>
      <c r="N742" s="262" t="s">
        <v>22</v>
      </c>
      <c r="O742" s="262" t="s">
        <v>212</v>
      </c>
      <c r="P742" s="262" t="s">
        <v>124</v>
      </c>
      <c r="Q742" s="262" t="s">
        <v>44</v>
      </c>
      <c r="R742" s="262" t="s">
        <v>469</v>
      </c>
      <c r="S742" s="267" t="s">
        <v>469</v>
      </c>
      <c r="T742" s="268"/>
      <c r="U742" s="269">
        <v>127420000</v>
      </c>
      <c r="V742" s="269">
        <v>91400000</v>
      </c>
      <c r="W742" s="278">
        <v>60400000</v>
      </c>
      <c r="X742" s="270"/>
      <c r="Y742" s="262" t="s">
        <v>27</v>
      </c>
      <c r="Z742" s="271" t="s">
        <v>562</v>
      </c>
      <c r="AA742" s="287"/>
      <c r="AB742" s="287"/>
      <c r="AC742" s="272">
        <f t="shared" si="25"/>
        <v>0</v>
      </c>
      <c r="AD742" s="272">
        <v>0</v>
      </c>
      <c r="AE742" s="272">
        <f t="shared" si="26"/>
        <v>0</v>
      </c>
      <c r="AF742" s="273">
        <v>60000000</v>
      </c>
      <c r="AG742" s="274"/>
      <c r="AH742" s="273"/>
      <c r="AI742" s="273"/>
      <c r="AJ742" s="274"/>
      <c r="AK742" s="273"/>
      <c r="AL742" s="275"/>
      <c r="AM742" s="290"/>
      <c r="AN742" s="275"/>
      <c r="AO742" s="276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/>
      <c r="BD742" s="275"/>
      <c r="BE742" s="275"/>
      <c r="BF742" s="275"/>
      <c r="BH742" s="277"/>
    </row>
    <row r="743" spans="1:60" ht="16.5" hidden="1" customHeight="1" x14ac:dyDescent="0.3">
      <c r="A743" s="260">
        <v>721</v>
      </c>
      <c r="B743" s="261"/>
      <c r="C743" s="261"/>
      <c r="D743" s="262" t="s">
        <v>15</v>
      </c>
      <c r="E743" s="262" t="s">
        <v>237</v>
      </c>
      <c r="F743" s="263" t="s">
        <v>15</v>
      </c>
      <c r="G743" s="264" t="s">
        <v>237</v>
      </c>
      <c r="H743" s="281"/>
      <c r="I743" s="265"/>
      <c r="J743" s="266" t="s">
        <v>248</v>
      </c>
      <c r="K743" s="262"/>
      <c r="L743" s="262"/>
      <c r="M743" s="262">
        <v>7747</v>
      </c>
      <c r="N743" s="262" t="s">
        <v>22</v>
      </c>
      <c r="O743" s="262" t="s">
        <v>56</v>
      </c>
      <c r="P743" s="262" t="s">
        <v>124</v>
      </c>
      <c r="Q743" s="262" t="s">
        <v>44</v>
      </c>
      <c r="R743" s="262" t="s">
        <v>469</v>
      </c>
      <c r="S743" s="267" t="s">
        <v>469</v>
      </c>
      <c r="T743" s="268"/>
      <c r="U743" s="269"/>
      <c r="V743" s="269">
        <v>0</v>
      </c>
      <c r="W743" s="278">
        <v>1875000</v>
      </c>
      <c r="X743" s="270"/>
      <c r="Y743" s="262" t="s">
        <v>27</v>
      </c>
      <c r="Z743" s="271" t="s">
        <v>24</v>
      </c>
      <c r="AA743" s="287"/>
      <c r="AB743" s="287"/>
      <c r="AC743" s="272">
        <f t="shared" si="25"/>
        <v>2000000</v>
      </c>
      <c r="AD743" s="272">
        <v>2000000</v>
      </c>
      <c r="AE743" s="272">
        <f t="shared" si="26"/>
        <v>0</v>
      </c>
      <c r="AF743" s="273"/>
      <c r="AG743" s="274"/>
      <c r="AH743" s="273"/>
      <c r="AI743" s="273"/>
      <c r="AJ743" s="274"/>
      <c r="AK743" s="273"/>
      <c r="AL743" s="275"/>
      <c r="AM743" s="290"/>
      <c r="AN743" s="275"/>
      <c r="AO743" s="276"/>
      <c r="AP743" s="275"/>
      <c r="AQ743" s="275"/>
      <c r="AR743" s="275"/>
      <c r="AS743" s="275"/>
      <c r="AT743" s="275"/>
      <c r="AU743" s="275"/>
      <c r="AV743" s="275"/>
      <c r="AW743" s="275"/>
      <c r="AX743" s="275"/>
      <c r="AY743" s="275"/>
      <c r="AZ743" s="275"/>
      <c r="BA743" s="275"/>
      <c r="BB743" s="275"/>
      <c r="BC743" s="275">
        <v>2000000</v>
      </c>
      <c r="BD743" s="275"/>
      <c r="BE743" s="275"/>
      <c r="BF743" s="275"/>
      <c r="BH743" s="277"/>
    </row>
    <row r="744" spans="1:60" ht="16.5" hidden="1" customHeight="1" x14ac:dyDescent="0.3">
      <c r="A744" s="260">
        <v>722</v>
      </c>
      <c r="B744" s="261"/>
      <c r="C744" s="261"/>
      <c r="D744" s="262" t="s">
        <v>15</v>
      </c>
      <c r="E744" s="262" t="s">
        <v>237</v>
      </c>
      <c r="F744" s="263" t="s">
        <v>15</v>
      </c>
      <c r="G744" s="264" t="s">
        <v>237</v>
      </c>
      <c r="H744" s="281"/>
      <c r="I744" s="265"/>
      <c r="J744" s="266" t="s">
        <v>767</v>
      </c>
      <c r="K744" s="262"/>
      <c r="L744" s="262"/>
      <c r="M744" s="262">
        <v>7747</v>
      </c>
      <c r="N744" s="262" t="s">
        <v>22</v>
      </c>
      <c r="O744" s="262" t="s">
        <v>35</v>
      </c>
      <c r="P744" s="262" t="s">
        <v>124</v>
      </c>
      <c r="Q744" s="262"/>
      <c r="R744" s="262"/>
      <c r="S744" s="267" t="s">
        <v>469</v>
      </c>
      <c r="T744" s="268"/>
      <c r="U744" s="269"/>
      <c r="V744" s="269"/>
      <c r="W744" s="278">
        <v>0</v>
      </c>
      <c r="X744" s="270"/>
      <c r="Y744" s="262"/>
      <c r="Z744" s="271" t="s">
        <v>25</v>
      </c>
      <c r="AA744" s="287"/>
      <c r="AB744" s="287"/>
      <c r="AC744" s="272">
        <f t="shared" si="25"/>
        <v>30000000</v>
      </c>
      <c r="AD744" s="272">
        <v>30000000</v>
      </c>
      <c r="AE744" s="272">
        <f t="shared" si="26"/>
        <v>0</v>
      </c>
      <c r="AF744" s="273"/>
      <c r="AG744" s="274"/>
      <c r="AH744" s="273"/>
      <c r="AI744" s="273"/>
      <c r="AJ744" s="274"/>
      <c r="AK744" s="273"/>
      <c r="AL744" s="275"/>
      <c r="AM744" s="290"/>
      <c r="AN744" s="275"/>
      <c r="AO744" s="276"/>
      <c r="AP744" s="275"/>
      <c r="AQ744" s="275"/>
      <c r="AR744" s="275"/>
      <c r="AS744" s="275">
        <v>30000000</v>
      </c>
      <c r="AT744" s="275"/>
      <c r="AU744" s="275"/>
      <c r="AV744" s="275"/>
      <c r="AW744" s="275"/>
      <c r="AX744" s="275"/>
      <c r="AY744" s="275"/>
      <c r="AZ744" s="275"/>
      <c r="BA744" s="275"/>
      <c r="BB744" s="275"/>
      <c r="BC744" s="275"/>
      <c r="BD744" s="275"/>
      <c r="BE744" s="275"/>
      <c r="BF744" s="275"/>
      <c r="BH744" s="277"/>
    </row>
    <row r="745" spans="1:60" ht="16.5" hidden="1" customHeight="1" x14ac:dyDescent="0.3">
      <c r="A745" s="260">
        <v>723</v>
      </c>
      <c r="B745" s="261"/>
      <c r="C745" s="261"/>
      <c r="D745" s="262" t="s">
        <v>15</v>
      </c>
      <c r="E745" s="262" t="s">
        <v>237</v>
      </c>
      <c r="F745" s="263" t="s">
        <v>15</v>
      </c>
      <c r="G745" s="264" t="s">
        <v>237</v>
      </c>
      <c r="H745" s="281"/>
      <c r="I745" s="265"/>
      <c r="J745" s="266" t="s">
        <v>249</v>
      </c>
      <c r="K745" s="262"/>
      <c r="L745" s="262"/>
      <c r="M745" s="262">
        <v>7747</v>
      </c>
      <c r="N745" s="262" t="s">
        <v>22</v>
      </c>
      <c r="O745" s="262" t="s">
        <v>35</v>
      </c>
      <c r="P745" s="262" t="s">
        <v>124</v>
      </c>
      <c r="Q745" s="262" t="s">
        <v>26</v>
      </c>
      <c r="R745" s="262" t="s">
        <v>468</v>
      </c>
      <c r="S745" s="267" t="s">
        <v>468</v>
      </c>
      <c r="T745" s="268"/>
      <c r="U745" s="269"/>
      <c r="V745" s="269">
        <v>18263000</v>
      </c>
      <c r="W745" s="278">
        <v>0</v>
      </c>
      <c r="X745" s="270"/>
      <c r="Y745" s="262" t="s">
        <v>25</v>
      </c>
      <c r="Z745" s="271" t="s">
        <v>25</v>
      </c>
      <c r="AA745" s="287"/>
      <c r="AB745" s="287"/>
      <c r="AC745" s="272">
        <f t="shared" si="25"/>
        <v>10000000</v>
      </c>
      <c r="AD745" s="272">
        <v>10000000</v>
      </c>
      <c r="AE745" s="272">
        <f t="shared" si="26"/>
        <v>0</v>
      </c>
      <c r="AF745" s="273"/>
      <c r="AG745" s="274"/>
      <c r="AH745" s="273"/>
      <c r="AI745" s="273"/>
      <c r="AJ745" s="274"/>
      <c r="AK745" s="273"/>
      <c r="AL745" s="275"/>
      <c r="AM745" s="290"/>
      <c r="AN745" s="275"/>
      <c r="AO745" s="276"/>
      <c r="AP745" s="275"/>
      <c r="AQ745" s="275"/>
      <c r="AR745" s="275"/>
      <c r="AS745" s="275"/>
      <c r="AT745" s="275"/>
      <c r="AU745" s="275"/>
      <c r="AV745" s="275"/>
      <c r="AW745" s="275"/>
      <c r="AX745" s="275"/>
      <c r="AY745" s="275">
        <v>10000000</v>
      </c>
      <c r="AZ745" s="275"/>
      <c r="BA745" s="275"/>
      <c r="BB745" s="275"/>
      <c r="BC745" s="275"/>
      <c r="BD745" s="275"/>
      <c r="BE745" s="275"/>
      <c r="BF745" s="275"/>
      <c r="BH745" s="277"/>
    </row>
    <row r="746" spans="1:60" ht="16.5" hidden="1" customHeight="1" x14ac:dyDescent="0.3">
      <c r="A746" s="260">
        <v>724</v>
      </c>
      <c r="B746" s="261"/>
      <c r="C746" s="261"/>
      <c r="D746" s="262" t="s">
        <v>15</v>
      </c>
      <c r="E746" s="262" t="s">
        <v>237</v>
      </c>
      <c r="F746" s="263" t="s">
        <v>15</v>
      </c>
      <c r="G746" s="264" t="s">
        <v>237</v>
      </c>
      <c r="H746" s="281"/>
      <c r="I746" s="265"/>
      <c r="J746" s="266" t="s">
        <v>768</v>
      </c>
      <c r="K746" s="262"/>
      <c r="L746" s="262"/>
      <c r="M746" s="262">
        <v>342</v>
      </c>
      <c r="N746" s="262" t="s">
        <v>22</v>
      </c>
      <c r="O746" s="262" t="s">
        <v>35</v>
      </c>
      <c r="P746" s="262" t="s">
        <v>124</v>
      </c>
      <c r="Q746" s="262"/>
      <c r="R746" s="262"/>
      <c r="S746" s="267" t="s">
        <v>830</v>
      </c>
      <c r="T746" s="268"/>
      <c r="U746" s="269"/>
      <c r="V746" s="269"/>
      <c r="W746" s="278">
        <v>0</v>
      </c>
      <c r="X746" s="270"/>
      <c r="Y746" s="262"/>
      <c r="Z746" s="271" t="s">
        <v>25</v>
      </c>
      <c r="AA746" s="287"/>
      <c r="AB746" s="287"/>
      <c r="AC746" s="272">
        <f t="shared" si="25"/>
        <v>30000000</v>
      </c>
      <c r="AD746" s="272">
        <v>30000000</v>
      </c>
      <c r="AE746" s="272">
        <f t="shared" si="26"/>
        <v>0</v>
      </c>
      <c r="AF746" s="273"/>
      <c r="AG746" s="274"/>
      <c r="AH746" s="273"/>
      <c r="AI746" s="273"/>
      <c r="AJ746" s="274"/>
      <c r="AK746" s="273"/>
      <c r="AL746" s="275"/>
      <c r="AM746" s="290"/>
      <c r="AN746" s="275"/>
      <c r="AO746" s="276"/>
      <c r="AP746" s="275"/>
      <c r="AQ746" s="275"/>
      <c r="AR746" s="275"/>
      <c r="AS746" s="275"/>
      <c r="AT746" s="275"/>
      <c r="AU746" s="275"/>
      <c r="AV746" s="275"/>
      <c r="AW746" s="275"/>
      <c r="AX746" s="275"/>
      <c r="AY746" s="275">
        <v>30000000</v>
      </c>
      <c r="AZ746" s="275"/>
      <c r="BA746" s="275"/>
      <c r="BB746" s="275"/>
      <c r="BC746" s="275"/>
      <c r="BD746" s="275"/>
      <c r="BE746" s="275"/>
      <c r="BF746" s="275"/>
      <c r="BH746" s="277"/>
    </row>
    <row r="747" spans="1:60" ht="16.5" hidden="1" customHeight="1" x14ac:dyDescent="0.3">
      <c r="A747" s="260">
        <v>725</v>
      </c>
      <c r="B747" s="261"/>
      <c r="C747" s="261"/>
      <c r="D747" s="262" t="s">
        <v>15</v>
      </c>
      <c r="E747" s="262" t="s">
        <v>237</v>
      </c>
      <c r="F747" s="263" t="s">
        <v>15</v>
      </c>
      <c r="G747" s="264" t="s">
        <v>237</v>
      </c>
      <c r="H747" s="281"/>
      <c r="I747" s="265"/>
      <c r="J747" s="266" t="s">
        <v>769</v>
      </c>
      <c r="K747" s="262"/>
      <c r="L747" s="262"/>
      <c r="M747" s="262">
        <v>342</v>
      </c>
      <c r="N747" s="262" t="s">
        <v>22</v>
      </c>
      <c r="O747" s="262" t="s">
        <v>35</v>
      </c>
      <c r="P747" s="262" t="s">
        <v>124</v>
      </c>
      <c r="Q747" s="262"/>
      <c r="R747" s="262"/>
      <c r="S747" s="267" t="s">
        <v>468</v>
      </c>
      <c r="T747" s="268"/>
      <c r="U747" s="269"/>
      <c r="V747" s="269"/>
      <c r="W747" s="278">
        <v>0</v>
      </c>
      <c r="X747" s="270"/>
      <c r="Y747" s="262"/>
      <c r="Z747" s="271" t="s">
        <v>25</v>
      </c>
      <c r="AA747" s="287"/>
      <c r="AB747" s="287"/>
      <c r="AC747" s="272">
        <f t="shared" si="25"/>
        <v>10000000</v>
      </c>
      <c r="AD747" s="272">
        <v>10000000</v>
      </c>
      <c r="AE747" s="272">
        <f t="shared" si="26"/>
        <v>0</v>
      </c>
      <c r="AF747" s="273"/>
      <c r="AG747" s="274"/>
      <c r="AH747" s="273"/>
      <c r="AI747" s="273"/>
      <c r="AJ747" s="274"/>
      <c r="AK747" s="273"/>
      <c r="AL747" s="275"/>
      <c r="AM747" s="290"/>
      <c r="AN747" s="275"/>
      <c r="AO747" s="276"/>
      <c r="AP747" s="275"/>
      <c r="AQ747" s="291">
        <v>10000000</v>
      </c>
      <c r="AR747" s="275"/>
      <c r="AS747" s="275"/>
      <c r="AT747" s="275"/>
      <c r="AU747" s="275"/>
      <c r="AV747" s="275"/>
      <c r="AW747" s="275"/>
      <c r="AX747" s="275"/>
      <c r="AY747" s="275"/>
      <c r="AZ747" s="275"/>
      <c r="BA747" s="275"/>
      <c r="BB747" s="275"/>
      <c r="BC747" s="275"/>
      <c r="BD747" s="275"/>
      <c r="BE747" s="275"/>
      <c r="BF747" s="275"/>
      <c r="BH747" s="277"/>
    </row>
    <row r="748" spans="1:60" ht="16.5" hidden="1" customHeight="1" x14ac:dyDescent="0.3">
      <c r="A748" s="260">
        <v>726</v>
      </c>
      <c r="B748" s="261"/>
      <c r="C748" s="261"/>
      <c r="D748" s="262" t="s">
        <v>15</v>
      </c>
      <c r="E748" s="262" t="s">
        <v>237</v>
      </c>
      <c r="F748" s="263" t="s">
        <v>15</v>
      </c>
      <c r="G748" s="264" t="s">
        <v>237</v>
      </c>
      <c r="H748" s="281"/>
      <c r="I748" s="265"/>
      <c r="J748" s="266" t="s">
        <v>769</v>
      </c>
      <c r="K748" s="262"/>
      <c r="L748" s="262"/>
      <c r="M748" s="262">
        <v>342</v>
      </c>
      <c r="N748" s="262" t="s">
        <v>22</v>
      </c>
      <c r="O748" s="262" t="s">
        <v>35</v>
      </c>
      <c r="P748" s="262" t="s">
        <v>124</v>
      </c>
      <c r="Q748" s="262"/>
      <c r="R748" s="262"/>
      <c r="S748" s="267" t="s">
        <v>822</v>
      </c>
      <c r="T748" s="268"/>
      <c r="U748" s="269"/>
      <c r="V748" s="269"/>
      <c r="W748" s="278">
        <v>0</v>
      </c>
      <c r="X748" s="270"/>
      <c r="Y748" s="262"/>
      <c r="Z748" s="271" t="s">
        <v>25</v>
      </c>
      <c r="AA748" s="287"/>
      <c r="AB748" s="287"/>
      <c r="AC748" s="272">
        <f t="shared" si="25"/>
        <v>10000000</v>
      </c>
      <c r="AD748" s="272">
        <v>10000000</v>
      </c>
      <c r="AE748" s="272">
        <f t="shared" si="26"/>
        <v>0</v>
      </c>
      <c r="AF748" s="273"/>
      <c r="AG748" s="274"/>
      <c r="AH748" s="273"/>
      <c r="AI748" s="273"/>
      <c r="AJ748" s="274"/>
      <c r="AK748" s="273"/>
      <c r="AL748" s="275"/>
      <c r="AM748" s="290"/>
      <c r="AN748" s="275"/>
      <c r="AO748" s="276"/>
      <c r="AP748" s="275"/>
      <c r="AQ748" s="291">
        <v>10000000</v>
      </c>
      <c r="AR748" s="275"/>
      <c r="AS748" s="275"/>
      <c r="AT748" s="275"/>
      <c r="AU748" s="275"/>
      <c r="AV748" s="275"/>
      <c r="AW748" s="275"/>
      <c r="AX748" s="275"/>
      <c r="AY748" s="275"/>
      <c r="AZ748" s="275"/>
      <c r="BA748" s="275"/>
      <c r="BB748" s="275"/>
      <c r="BC748" s="275"/>
      <c r="BD748" s="275"/>
      <c r="BE748" s="275"/>
      <c r="BF748" s="275"/>
      <c r="BH748" s="277"/>
    </row>
    <row r="749" spans="1:60" ht="16.5" hidden="1" customHeight="1" x14ac:dyDescent="0.3">
      <c r="A749" s="260">
        <v>727</v>
      </c>
      <c r="B749" s="261"/>
      <c r="C749" s="261"/>
      <c r="D749" s="262" t="s">
        <v>15</v>
      </c>
      <c r="E749" s="262" t="s">
        <v>237</v>
      </c>
      <c r="F749" s="263" t="s">
        <v>15</v>
      </c>
      <c r="G749" s="264" t="s">
        <v>237</v>
      </c>
      <c r="H749" s="281"/>
      <c r="I749" s="265"/>
      <c r="J749" s="266" t="s">
        <v>770</v>
      </c>
      <c r="K749" s="262"/>
      <c r="L749" s="262"/>
      <c r="M749" s="262">
        <v>342</v>
      </c>
      <c r="N749" s="262" t="s">
        <v>22</v>
      </c>
      <c r="O749" s="262" t="s">
        <v>35</v>
      </c>
      <c r="P749" s="262" t="s">
        <v>124</v>
      </c>
      <c r="Q749" s="262"/>
      <c r="R749" s="262"/>
      <c r="S749" s="267" t="s">
        <v>468</v>
      </c>
      <c r="T749" s="268"/>
      <c r="U749" s="269"/>
      <c r="V749" s="269"/>
      <c r="W749" s="278">
        <v>5390000</v>
      </c>
      <c r="X749" s="270"/>
      <c r="Y749" s="262"/>
      <c r="Z749" s="271" t="s">
        <v>25</v>
      </c>
      <c r="AA749" s="287"/>
      <c r="AB749" s="287"/>
      <c r="AC749" s="272">
        <f t="shared" si="25"/>
        <v>20000000</v>
      </c>
      <c r="AD749" s="272">
        <v>20000000</v>
      </c>
      <c r="AE749" s="272">
        <f t="shared" si="26"/>
        <v>0</v>
      </c>
      <c r="AF749" s="273"/>
      <c r="AG749" s="274"/>
      <c r="AH749" s="273"/>
      <c r="AI749" s="273"/>
      <c r="AJ749" s="274"/>
      <c r="AK749" s="273"/>
      <c r="AL749" s="275"/>
      <c r="AM749" s="290"/>
      <c r="AN749" s="275"/>
      <c r="AO749" s="276"/>
      <c r="AP749" s="275"/>
      <c r="AQ749" s="275"/>
      <c r="AR749" s="275"/>
      <c r="AS749" s="275">
        <v>20000000</v>
      </c>
      <c r="AT749" s="275"/>
      <c r="AU749" s="275"/>
      <c r="AV749" s="275"/>
      <c r="AW749" s="275"/>
      <c r="AX749" s="275"/>
      <c r="AY749" s="275"/>
      <c r="AZ749" s="275"/>
      <c r="BA749" s="275"/>
      <c r="BB749" s="275"/>
      <c r="BC749" s="275"/>
      <c r="BD749" s="275"/>
      <c r="BE749" s="275"/>
      <c r="BF749" s="275"/>
      <c r="BH749" s="277"/>
    </row>
    <row r="750" spans="1:60" ht="16.5" hidden="1" customHeight="1" x14ac:dyDescent="0.3">
      <c r="A750" s="260">
        <v>728</v>
      </c>
      <c r="B750" s="261"/>
      <c r="C750" s="261"/>
      <c r="D750" s="262" t="s">
        <v>15</v>
      </c>
      <c r="E750" s="262" t="s">
        <v>237</v>
      </c>
      <c r="F750" s="263" t="s">
        <v>15</v>
      </c>
      <c r="G750" s="264" t="s">
        <v>237</v>
      </c>
      <c r="H750" s="281"/>
      <c r="I750" s="265"/>
      <c r="J750" s="266" t="s">
        <v>686</v>
      </c>
      <c r="K750" s="262"/>
      <c r="L750" s="262"/>
      <c r="M750" s="262">
        <v>342</v>
      </c>
      <c r="N750" s="262" t="s">
        <v>22</v>
      </c>
      <c r="O750" s="262" t="s">
        <v>35</v>
      </c>
      <c r="P750" s="262"/>
      <c r="Q750" s="262"/>
      <c r="R750" s="262" t="s">
        <v>480</v>
      </c>
      <c r="S750" s="267" t="s">
        <v>480</v>
      </c>
      <c r="T750" s="268"/>
      <c r="U750" s="269"/>
      <c r="V750" s="269"/>
      <c r="W750" s="278">
        <v>0</v>
      </c>
      <c r="X750" s="270"/>
      <c r="Y750" s="262" t="s">
        <v>25</v>
      </c>
      <c r="Z750" s="271" t="s">
        <v>599</v>
      </c>
      <c r="AA750" s="287"/>
      <c r="AB750" s="287"/>
      <c r="AC750" s="272">
        <f t="shared" si="25"/>
        <v>0</v>
      </c>
      <c r="AD750" s="272">
        <v>0</v>
      </c>
      <c r="AE750" s="272">
        <f t="shared" si="26"/>
        <v>0</v>
      </c>
      <c r="AF750" s="273"/>
      <c r="AG750" s="274"/>
      <c r="AH750" s="273"/>
      <c r="AI750" s="273"/>
      <c r="AJ750" s="274"/>
      <c r="AK750" s="273"/>
      <c r="AL750" s="275"/>
      <c r="AM750" s="290"/>
      <c r="AN750" s="275"/>
      <c r="AO750" s="276"/>
      <c r="AP750" s="275"/>
      <c r="AQ750" s="275"/>
      <c r="AR750" s="275"/>
      <c r="AS750" s="275"/>
      <c r="AT750" s="275"/>
      <c r="AU750" s="275"/>
      <c r="AV750" s="275"/>
      <c r="AW750" s="275"/>
      <c r="AX750" s="275"/>
      <c r="AY750" s="275"/>
      <c r="AZ750" s="275"/>
      <c r="BA750" s="275"/>
      <c r="BB750" s="275"/>
      <c r="BC750" s="275"/>
      <c r="BD750" s="275"/>
      <c r="BE750" s="275"/>
      <c r="BF750" s="275"/>
      <c r="BH750" s="277"/>
    </row>
    <row r="751" spans="1:60" ht="16.5" hidden="1" customHeight="1" x14ac:dyDescent="0.3">
      <c r="A751" s="260">
        <v>729</v>
      </c>
      <c r="B751" s="261"/>
      <c r="C751" s="261"/>
      <c r="D751" s="262" t="s">
        <v>15</v>
      </c>
      <c r="E751" s="262" t="s">
        <v>237</v>
      </c>
      <c r="F751" s="263" t="s">
        <v>15</v>
      </c>
      <c r="G751" s="264" t="s">
        <v>237</v>
      </c>
      <c r="H751" s="281"/>
      <c r="I751" s="265"/>
      <c r="J751" s="266" t="s">
        <v>998</v>
      </c>
      <c r="K751" s="262"/>
      <c r="L751" s="262"/>
      <c r="M751" s="262">
        <v>342</v>
      </c>
      <c r="N751" s="262" t="s">
        <v>22</v>
      </c>
      <c r="O751" s="262" t="s">
        <v>35</v>
      </c>
      <c r="P751" s="262" t="s">
        <v>124</v>
      </c>
      <c r="Q751" s="262"/>
      <c r="R751" s="262" t="s">
        <v>469</v>
      </c>
      <c r="S751" s="267" t="s">
        <v>469</v>
      </c>
      <c r="T751" s="268"/>
      <c r="U751" s="269"/>
      <c r="V751" s="269"/>
      <c r="W751" s="278">
        <v>4000000</v>
      </c>
      <c r="X751" s="270"/>
      <c r="Y751" s="262" t="s">
        <v>27</v>
      </c>
      <c r="Z751" s="271" t="s">
        <v>27</v>
      </c>
      <c r="AA751" s="287"/>
      <c r="AB751" s="287"/>
      <c r="AC751" s="272">
        <f t="shared" si="25"/>
        <v>2000000</v>
      </c>
      <c r="AD751" s="272">
        <v>2000000</v>
      </c>
      <c r="AE751" s="272">
        <f t="shared" si="26"/>
        <v>0</v>
      </c>
      <c r="AF751" s="273"/>
      <c r="AG751" s="274"/>
      <c r="AH751" s="273"/>
      <c r="AI751" s="273"/>
      <c r="AJ751" s="274"/>
      <c r="AK751" s="273"/>
      <c r="AL751" s="275"/>
      <c r="AM751" s="290"/>
      <c r="AN751" s="275"/>
      <c r="AO751" s="276"/>
      <c r="AP751" s="275"/>
      <c r="AQ751" s="275">
        <v>2000000</v>
      </c>
      <c r="AR751" s="275"/>
      <c r="AS751" s="275"/>
      <c r="AT751" s="275"/>
      <c r="AU751" s="275"/>
      <c r="AV751" s="275"/>
      <c r="AW751" s="275"/>
      <c r="AX751" s="275"/>
      <c r="AY751" s="275"/>
      <c r="AZ751" s="275"/>
      <c r="BA751" s="275"/>
      <c r="BB751" s="275"/>
      <c r="BC751" s="275"/>
      <c r="BD751" s="275"/>
      <c r="BE751" s="275"/>
      <c r="BF751" s="275"/>
      <c r="BH751" s="277"/>
    </row>
    <row r="752" spans="1:60" ht="16.5" hidden="1" customHeight="1" x14ac:dyDescent="0.3">
      <c r="A752" s="260">
        <v>730</v>
      </c>
      <c r="B752" s="261"/>
      <c r="C752" s="261"/>
      <c r="D752" s="262" t="s">
        <v>15</v>
      </c>
      <c r="E752" s="262" t="s">
        <v>237</v>
      </c>
      <c r="F752" s="263" t="s">
        <v>15</v>
      </c>
      <c r="G752" s="264" t="s">
        <v>237</v>
      </c>
      <c r="H752" s="281"/>
      <c r="I752" s="265"/>
      <c r="J752" s="266" t="s">
        <v>250</v>
      </c>
      <c r="K752" s="262"/>
      <c r="L752" s="262"/>
      <c r="M752" s="262">
        <v>342</v>
      </c>
      <c r="N752" s="262" t="s">
        <v>22</v>
      </c>
      <c r="O752" s="262" t="s">
        <v>56</v>
      </c>
      <c r="P752" s="262" t="s">
        <v>124</v>
      </c>
      <c r="Q752" s="262" t="s">
        <v>44</v>
      </c>
      <c r="R752" s="262" t="s">
        <v>469</v>
      </c>
      <c r="S752" s="267" t="s">
        <v>469</v>
      </c>
      <c r="T752" s="268"/>
      <c r="U752" s="269">
        <v>6000000</v>
      </c>
      <c r="V752" s="269">
        <v>79000000</v>
      </c>
      <c r="W752" s="278">
        <v>0</v>
      </c>
      <c r="X752" s="270"/>
      <c r="Y752" s="262" t="s">
        <v>74</v>
      </c>
      <c r="Z752" s="271" t="s">
        <v>74</v>
      </c>
      <c r="AA752" s="287"/>
      <c r="AB752" s="287"/>
      <c r="AC752" s="272">
        <f t="shared" si="25"/>
        <v>0</v>
      </c>
      <c r="AD752" s="272">
        <v>0</v>
      </c>
      <c r="AE752" s="272">
        <f t="shared" si="26"/>
        <v>0</v>
      </c>
      <c r="AF752" s="273"/>
      <c r="AG752" s="274"/>
      <c r="AH752" s="273"/>
      <c r="AI752" s="273"/>
      <c r="AJ752" s="274"/>
      <c r="AK752" s="273"/>
      <c r="AL752" s="275"/>
      <c r="AM752" s="290"/>
      <c r="AN752" s="275"/>
      <c r="AO752" s="276"/>
      <c r="AP752" s="275"/>
      <c r="AQ752" s="275"/>
      <c r="AR752" s="275"/>
      <c r="AS752" s="275"/>
      <c r="AT752" s="275"/>
      <c r="AU752" s="275"/>
      <c r="AV752" s="275"/>
      <c r="AW752" s="275"/>
      <c r="AX752" s="275"/>
      <c r="AY752" s="275"/>
      <c r="AZ752" s="275"/>
      <c r="BA752" s="275"/>
      <c r="BB752" s="275"/>
      <c r="BC752" s="275"/>
      <c r="BD752" s="275"/>
      <c r="BE752" s="275"/>
      <c r="BF752" s="275"/>
      <c r="BH752" s="277"/>
    </row>
    <row r="753" spans="1:60" ht="16.5" hidden="1" customHeight="1" x14ac:dyDescent="0.3">
      <c r="A753" s="260">
        <v>731</v>
      </c>
      <c r="B753" s="261"/>
      <c r="C753" s="261"/>
      <c r="D753" s="262" t="s">
        <v>15</v>
      </c>
      <c r="E753" s="262" t="s">
        <v>237</v>
      </c>
      <c r="F753" s="263" t="s">
        <v>15</v>
      </c>
      <c r="G753" s="264" t="s">
        <v>237</v>
      </c>
      <c r="H753" s="281"/>
      <c r="I753" s="265"/>
      <c r="J753" s="266" t="s">
        <v>250</v>
      </c>
      <c r="K753" s="262"/>
      <c r="L753" s="262"/>
      <c r="M753" s="262">
        <v>342</v>
      </c>
      <c r="N753" s="262" t="s">
        <v>22</v>
      </c>
      <c r="O753" s="262" t="s">
        <v>56</v>
      </c>
      <c r="P753" s="262" t="s">
        <v>124</v>
      </c>
      <c r="Q753" s="262"/>
      <c r="R753" s="262" t="s">
        <v>468</v>
      </c>
      <c r="S753" s="267" t="s">
        <v>468</v>
      </c>
      <c r="T753" s="268"/>
      <c r="U753" s="269"/>
      <c r="V753" s="269">
        <v>0</v>
      </c>
      <c r="W753" s="278"/>
      <c r="X753" s="270"/>
      <c r="Y753" s="262" t="s">
        <v>74</v>
      </c>
      <c r="Z753" s="271" t="s">
        <v>25</v>
      </c>
      <c r="AA753" s="287"/>
      <c r="AB753" s="287"/>
      <c r="AC753" s="272">
        <f t="shared" si="25"/>
        <v>30000000</v>
      </c>
      <c r="AD753" s="272">
        <v>30000000</v>
      </c>
      <c r="AE753" s="272">
        <f t="shared" si="26"/>
        <v>0</v>
      </c>
      <c r="AF753" s="273"/>
      <c r="AG753" s="274"/>
      <c r="AH753" s="273"/>
      <c r="AI753" s="273"/>
      <c r="AJ753" s="274"/>
      <c r="AK753" s="273"/>
      <c r="AL753" s="275"/>
      <c r="AM753" s="290"/>
      <c r="AN753" s="275"/>
      <c r="AO753" s="276"/>
      <c r="AP753" s="275"/>
      <c r="AQ753" s="275"/>
      <c r="AR753" s="275"/>
      <c r="AS753" s="275"/>
      <c r="AT753" s="275"/>
      <c r="AU753" s="275"/>
      <c r="AV753" s="275"/>
      <c r="AW753" s="275"/>
      <c r="AX753" s="275"/>
      <c r="AY753" s="275"/>
      <c r="AZ753" s="275"/>
      <c r="BA753" s="275"/>
      <c r="BB753" s="275"/>
      <c r="BC753" s="275">
        <v>30000000</v>
      </c>
      <c r="BD753" s="275"/>
      <c r="BE753" s="275"/>
      <c r="BF753" s="275"/>
      <c r="BH753" s="277"/>
    </row>
    <row r="754" spans="1:60" ht="16.5" hidden="1" customHeight="1" x14ac:dyDescent="0.3">
      <c r="A754" s="260">
        <v>732</v>
      </c>
      <c r="B754" s="261"/>
      <c r="C754" s="261"/>
      <c r="D754" s="262" t="s">
        <v>15</v>
      </c>
      <c r="E754" s="262" t="s">
        <v>237</v>
      </c>
      <c r="F754" s="263" t="s">
        <v>15</v>
      </c>
      <c r="G754" s="264" t="s">
        <v>237</v>
      </c>
      <c r="H754" s="281"/>
      <c r="I754" s="265"/>
      <c r="J754" s="266" t="s">
        <v>771</v>
      </c>
      <c r="K754" s="262"/>
      <c r="L754" s="262"/>
      <c r="M754" s="262">
        <v>342</v>
      </c>
      <c r="N754" s="262" t="s">
        <v>22</v>
      </c>
      <c r="O754" s="262" t="s">
        <v>35</v>
      </c>
      <c r="P754" s="262" t="s">
        <v>124</v>
      </c>
      <c r="Q754" s="262"/>
      <c r="R754" s="262"/>
      <c r="S754" s="267" t="s">
        <v>822</v>
      </c>
      <c r="T754" s="268"/>
      <c r="U754" s="269"/>
      <c r="V754" s="269"/>
      <c r="W754" s="278">
        <v>0</v>
      </c>
      <c r="X754" s="270"/>
      <c r="Y754" s="262"/>
      <c r="Z754" s="271" t="s">
        <v>25</v>
      </c>
      <c r="AA754" s="287"/>
      <c r="AB754" s="287"/>
      <c r="AC754" s="272">
        <f t="shared" si="25"/>
        <v>10000000</v>
      </c>
      <c r="AD754" s="272">
        <v>10000000</v>
      </c>
      <c r="AE754" s="272">
        <f t="shared" si="26"/>
        <v>0</v>
      </c>
      <c r="AF754" s="273"/>
      <c r="AG754" s="274"/>
      <c r="AH754" s="273"/>
      <c r="AI754" s="273"/>
      <c r="AJ754" s="274"/>
      <c r="AK754" s="273"/>
      <c r="AL754" s="275"/>
      <c r="AM754" s="290"/>
      <c r="AN754" s="275"/>
      <c r="AO754" s="276"/>
      <c r="AP754" s="275"/>
      <c r="AQ754" s="291">
        <v>10000000</v>
      </c>
      <c r="AR754" s="275"/>
      <c r="AS754" s="275"/>
      <c r="AT754" s="275"/>
      <c r="AU754" s="275"/>
      <c r="AV754" s="275"/>
      <c r="AW754" s="275"/>
      <c r="AX754" s="275"/>
      <c r="AY754" s="275"/>
      <c r="AZ754" s="275"/>
      <c r="BA754" s="275"/>
      <c r="BB754" s="275"/>
      <c r="BC754" s="275"/>
      <c r="BD754" s="275"/>
      <c r="BE754" s="275"/>
      <c r="BF754" s="275"/>
      <c r="BH754" s="277"/>
    </row>
    <row r="755" spans="1:60" ht="16.5" hidden="1" customHeight="1" x14ac:dyDescent="0.3">
      <c r="A755" s="260">
        <v>733</v>
      </c>
      <c r="B755" s="261"/>
      <c r="C755" s="261"/>
      <c r="D755" s="262" t="s">
        <v>15</v>
      </c>
      <c r="E755" s="262" t="s">
        <v>237</v>
      </c>
      <c r="F755" s="263" t="s">
        <v>15</v>
      </c>
      <c r="G755" s="264" t="s">
        <v>237</v>
      </c>
      <c r="H755" s="281"/>
      <c r="I755" s="265"/>
      <c r="J755" s="266" t="s">
        <v>771</v>
      </c>
      <c r="K755" s="262"/>
      <c r="L755" s="262"/>
      <c r="M755" s="262">
        <v>342</v>
      </c>
      <c r="N755" s="262" t="s">
        <v>22</v>
      </c>
      <c r="O755" s="262" t="s">
        <v>35</v>
      </c>
      <c r="P755" s="262" t="s">
        <v>124</v>
      </c>
      <c r="Q755" s="262"/>
      <c r="R755" s="262"/>
      <c r="S755" s="267" t="s">
        <v>828</v>
      </c>
      <c r="T755" s="268"/>
      <c r="U755" s="269"/>
      <c r="V755" s="269"/>
      <c r="W755" s="278">
        <v>0</v>
      </c>
      <c r="X755" s="270"/>
      <c r="Y755" s="262"/>
      <c r="Z755" s="271" t="s">
        <v>25</v>
      </c>
      <c r="AA755" s="287"/>
      <c r="AB755" s="287"/>
      <c r="AC755" s="272">
        <f t="shared" si="25"/>
        <v>30000000</v>
      </c>
      <c r="AD755" s="272">
        <v>30000000</v>
      </c>
      <c r="AE755" s="272">
        <f t="shared" si="26"/>
        <v>0</v>
      </c>
      <c r="AF755" s="273"/>
      <c r="AG755" s="274"/>
      <c r="AH755" s="273"/>
      <c r="AI755" s="273"/>
      <c r="AJ755" s="274"/>
      <c r="AK755" s="273"/>
      <c r="AL755" s="275"/>
      <c r="AM755" s="290"/>
      <c r="AN755" s="275"/>
      <c r="AO755" s="276"/>
      <c r="AP755" s="275"/>
      <c r="AQ755" s="291">
        <v>30000000</v>
      </c>
      <c r="AR755" s="275"/>
      <c r="AS755" s="275"/>
      <c r="AT755" s="275"/>
      <c r="AU755" s="275"/>
      <c r="AV755" s="275"/>
      <c r="AW755" s="275"/>
      <c r="AX755" s="275"/>
      <c r="AY755" s="275"/>
      <c r="AZ755" s="275"/>
      <c r="BA755" s="275"/>
      <c r="BB755" s="275"/>
      <c r="BC755" s="275"/>
      <c r="BD755" s="275"/>
      <c r="BE755" s="275"/>
      <c r="BF755" s="275"/>
      <c r="BH755" s="277"/>
    </row>
    <row r="756" spans="1:60" ht="16.5" hidden="1" customHeight="1" x14ac:dyDescent="0.3">
      <c r="A756" s="260">
        <v>734</v>
      </c>
      <c r="B756" s="261"/>
      <c r="C756" s="261"/>
      <c r="D756" s="262" t="s">
        <v>15</v>
      </c>
      <c r="E756" s="262" t="s">
        <v>237</v>
      </c>
      <c r="F756" s="263" t="s">
        <v>15</v>
      </c>
      <c r="G756" s="264" t="s">
        <v>237</v>
      </c>
      <c r="H756" s="281"/>
      <c r="I756" s="265"/>
      <c r="J756" s="266" t="s">
        <v>968</v>
      </c>
      <c r="K756" s="262"/>
      <c r="L756" s="262"/>
      <c r="M756" s="262">
        <v>342</v>
      </c>
      <c r="N756" s="262" t="s">
        <v>22</v>
      </c>
      <c r="O756" s="262" t="s">
        <v>56</v>
      </c>
      <c r="P756" s="262" t="s">
        <v>124</v>
      </c>
      <c r="Q756" s="262"/>
      <c r="R756" s="262" t="s">
        <v>468</v>
      </c>
      <c r="S756" s="267" t="s">
        <v>468</v>
      </c>
      <c r="T756" s="268"/>
      <c r="U756" s="269"/>
      <c r="V756" s="269">
        <v>0</v>
      </c>
      <c r="W756" s="278">
        <v>35600000</v>
      </c>
      <c r="X756" s="270"/>
      <c r="Y756" s="262" t="s">
        <v>27</v>
      </c>
      <c r="Z756" s="271" t="s">
        <v>27</v>
      </c>
      <c r="AA756" s="287"/>
      <c r="AB756" s="287"/>
      <c r="AC756" s="272">
        <f t="shared" si="25"/>
        <v>22000000</v>
      </c>
      <c r="AD756" s="272">
        <v>22000000</v>
      </c>
      <c r="AE756" s="272">
        <f t="shared" si="26"/>
        <v>0</v>
      </c>
      <c r="AF756" s="273"/>
      <c r="AG756" s="274"/>
      <c r="AH756" s="273"/>
      <c r="AI756" s="273">
        <v>2800000</v>
      </c>
      <c r="AJ756" s="274"/>
      <c r="AK756" s="273" t="s">
        <v>930</v>
      </c>
      <c r="AL756" s="275">
        <v>2800000</v>
      </c>
      <c r="AM756" s="290">
        <v>2800000</v>
      </c>
      <c r="AN756" s="275"/>
      <c r="AO756" s="276">
        <v>4800000</v>
      </c>
      <c r="AP756" s="275"/>
      <c r="AQ756" s="275"/>
      <c r="AR756" s="275"/>
      <c r="AS756" s="275">
        <v>4800000</v>
      </c>
      <c r="AT756" s="275"/>
      <c r="AU756" s="275"/>
      <c r="AV756" s="275"/>
      <c r="AW756" s="275">
        <v>4800000</v>
      </c>
      <c r="AX756" s="275"/>
      <c r="AY756" s="275"/>
      <c r="AZ756" s="275"/>
      <c r="BA756" s="275">
        <v>4800000</v>
      </c>
      <c r="BB756" s="275"/>
      <c r="BC756" s="275"/>
      <c r="BD756" s="275"/>
      <c r="BE756" s="275"/>
      <c r="BF756" s="275"/>
      <c r="BH756" s="277"/>
    </row>
    <row r="757" spans="1:60" ht="16.5" hidden="1" customHeight="1" x14ac:dyDescent="0.3">
      <c r="A757" s="260">
        <v>735</v>
      </c>
      <c r="B757" s="261"/>
      <c r="C757" s="261"/>
      <c r="D757" s="262" t="s">
        <v>15</v>
      </c>
      <c r="E757" s="262" t="s">
        <v>237</v>
      </c>
      <c r="F757" s="263" t="s">
        <v>15</v>
      </c>
      <c r="G757" s="264" t="s">
        <v>237</v>
      </c>
      <c r="H757" s="281"/>
      <c r="I757" s="265"/>
      <c r="J757" s="266" t="s">
        <v>968</v>
      </c>
      <c r="K757" s="262"/>
      <c r="L757" s="262"/>
      <c r="M757" s="262">
        <v>342</v>
      </c>
      <c r="N757" s="262" t="s">
        <v>22</v>
      </c>
      <c r="O757" s="262" t="s">
        <v>56</v>
      </c>
      <c r="P757" s="262" t="s">
        <v>124</v>
      </c>
      <c r="Q757" s="262"/>
      <c r="R757" s="262" t="s">
        <v>468</v>
      </c>
      <c r="S757" s="267" t="s">
        <v>468</v>
      </c>
      <c r="T757" s="268"/>
      <c r="U757" s="269"/>
      <c r="V757" s="269">
        <v>0</v>
      </c>
      <c r="W757" s="278">
        <v>0</v>
      </c>
      <c r="X757" s="270"/>
      <c r="Y757" s="262" t="s">
        <v>27</v>
      </c>
      <c r="Z757" s="271" t="s">
        <v>24</v>
      </c>
      <c r="AA757" s="287"/>
      <c r="AB757" s="287"/>
      <c r="AC757" s="272">
        <f t="shared" si="25"/>
        <v>12000000</v>
      </c>
      <c r="AD757" s="272">
        <v>12000000</v>
      </c>
      <c r="AE757" s="272">
        <f t="shared" si="26"/>
        <v>0</v>
      </c>
      <c r="AF757" s="273"/>
      <c r="AG757" s="274"/>
      <c r="AH757" s="273"/>
      <c r="AI757" s="273"/>
      <c r="AJ757" s="274"/>
      <c r="AK757" s="273"/>
      <c r="AL757" s="275"/>
      <c r="AM757" s="290"/>
      <c r="AN757" s="275"/>
      <c r="AO757" s="276"/>
      <c r="AP757" s="275"/>
      <c r="AQ757" s="275"/>
      <c r="AR757" s="275"/>
      <c r="AS757" s="275"/>
      <c r="AT757" s="275"/>
      <c r="AU757" s="275"/>
      <c r="AV757" s="275"/>
      <c r="AW757" s="275"/>
      <c r="AX757" s="275"/>
      <c r="AY757" s="275"/>
      <c r="AZ757" s="275"/>
      <c r="BA757" s="275"/>
      <c r="BB757" s="275"/>
      <c r="BC757" s="275">
        <v>12000000</v>
      </c>
      <c r="BD757" s="275"/>
      <c r="BE757" s="275"/>
      <c r="BF757" s="275"/>
      <c r="BH757" s="277"/>
    </row>
    <row r="758" spans="1:60" ht="16.5" hidden="1" customHeight="1" x14ac:dyDescent="0.3">
      <c r="A758" s="260">
        <v>736</v>
      </c>
      <c r="B758" s="261"/>
      <c r="C758" s="261"/>
      <c r="D758" s="262" t="s">
        <v>15</v>
      </c>
      <c r="E758" s="262" t="s">
        <v>237</v>
      </c>
      <c r="F758" s="263" t="s">
        <v>15</v>
      </c>
      <c r="G758" s="264" t="s">
        <v>237</v>
      </c>
      <c r="H758" s="281"/>
      <c r="I758" s="265"/>
      <c r="J758" s="266" t="s">
        <v>251</v>
      </c>
      <c r="K758" s="262"/>
      <c r="L758" s="262"/>
      <c r="M758" s="262">
        <v>342</v>
      </c>
      <c r="N758" s="262" t="s">
        <v>22</v>
      </c>
      <c r="O758" s="262" t="s">
        <v>35</v>
      </c>
      <c r="P758" s="262" t="s">
        <v>124</v>
      </c>
      <c r="Q758" s="262" t="s">
        <v>26</v>
      </c>
      <c r="R758" s="262" t="s">
        <v>468</v>
      </c>
      <c r="S758" s="267" t="s">
        <v>468</v>
      </c>
      <c r="T758" s="268"/>
      <c r="U758" s="269">
        <v>4200000</v>
      </c>
      <c r="V758" s="269">
        <v>1600000</v>
      </c>
      <c r="W758" s="278">
        <v>0</v>
      </c>
      <c r="X758" s="270"/>
      <c r="Y758" s="262" t="s">
        <v>24</v>
      </c>
      <c r="Z758" s="271" t="s">
        <v>25</v>
      </c>
      <c r="AA758" s="287"/>
      <c r="AB758" s="287"/>
      <c r="AC758" s="272">
        <f t="shared" si="25"/>
        <v>10000000</v>
      </c>
      <c r="AD758" s="272">
        <v>10000000</v>
      </c>
      <c r="AE758" s="272">
        <f t="shared" si="26"/>
        <v>0</v>
      </c>
      <c r="AF758" s="273"/>
      <c r="AG758" s="274"/>
      <c r="AH758" s="273"/>
      <c r="AI758" s="273"/>
      <c r="AJ758" s="274"/>
      <c r="AK758" s="273"/>
      <c r="AL758" s="275"/>
      <c r="AM758" s="290"/>
      <c r="AN758" s="275"/>
      <c r="AO758" s="276"/>
      <c r="AP758" s="275"/>
      <c r="AQ758" s="291">
        <v>10000000</v>
      </c>
      <c r="AR758" s="275"/>
      <c r="AS758" s="275"/>
      <c r="AT758" s="275"/>
      <c r="AU758" s="275"/>
      <c r="AV758" s="275"/>
      <c r="AW758" s="275"/>
      <c r="AX758" s="275"/>
      <c r="AY758" s="275"/>
      <c r="AZ758" s="275"/>
      <c r="BA758" s="275"/>
      <c r="BB758" s="275"/>
      <c r="BC758" s="275"/>
      <c r="BD758" s="275"/>
      <c r="BE758" s="275"/>
      <c r="BF758" s="275"/>
      <c r="BH758" s="277"/>
    </row>
    <row r="759" spans="1:60" ht="16.5" hidden="1" customHeight="1" x14ac:dyDescent="0.3">
      <c r="A759" s="260">
        <v>737</v>
      </c>
      <c r="B759" s="261"/>
      <c r="C759" s="261"/>
      <c r="D759" s="262" t="s">
        <v>15</v>
      </c>
      <c r="E759" s="262" t="s">
        <v>237</v>
      </c>
      <c r="F759" s="263" t="s">
        <v>15</v>
      </c>
      <c r="G759" s="264" t="s">
        <v>237</v>
      </c>
      <c r="H759" s="281"/>
      <c r="I759" s="265"/>
      <c r="J759" s="266" t="s">
        <v>251</v>
      </c>
      <c r="K759" s="262"/>
      <c r="L759" s="262"/>
      <c r="M759" s="262">
        <v>342</v>
      </c>
      <c r="N759" s="262" t="s">
        <v>22</v>
      </c>
      <c r="O759" s="262" t="s">
        <v>35</v>
      </c>
      <c r="P759" s="262" t="s">
        <v>124</v>
      </c>
      <c r="Q759" s="262"/>
      <c r="R759" s="262" t="s">
        <v>468</v>
      </c>
      <c r="S759" s="267" t="s">
        <v>468</v>
      </c>
      <c r="T759" s="268"/>
      <c r="U759" s="269"/>
      <c r="V759" s="269">
        <v>0</v>
      </c>
      <c r="W759" s="278">
        <v>0</v>
      </c>
      <c r="X759" s="270"/>
      <c r="Y759" s="262" t="s">
        <v>25</v>
      </c>
      <c r="Z759" s="271" t="s">
        <v>25</v>
      </c>
      <c r="AA759" s="287"/>
      <c r="AB759" s="287"/>
      <c r="AC759" s="272">
        <f t="shared" si="25"/>
        <v>20000000</v>
      </c>
      <c r="AD759" s="272">
        <v>20000000</v>
      </c>
      <c r="AE759" s="272">
        <f t="shared" si="26"/>
        <v>0</v>
      </c>
      <c r="AF759" s="273"/>
      <c r="AG759" s="274"/>
      <c r="AH759" s="273"/>
      <c r="AI759" s="273"/>
      <c r="AJ759" s="274"/>
      <c r="AK759" s="273"/>
      <c r="AL759" s="275"/>
      <c r="AM759" s="290"/>
      <c r="AN759" s="275"/>
      <c r="AO759" s="276"/>
      <c r="AP759" s="275"/>
      <c r="AQ759" s="275"/>
      <c r="AR759" s="275"/>
      <c r="AS759" s="275"/>
      <c r="AT759" s="275"/>
      <c r="AU759" s="275">
        <v>20000000</v>
      </c>
      <c r="AV759" s="275"/>
      <c r="AW759" s="275"/>
      <c r="AX759" s="275"/>
      <c r="AY759" s="275"/>
      <c r="AZ759" s="275"/>
      <c r="BA759" s="275"/>
      <c r="BB759" s="275"/>
      <c r="BC759" s="275"/>
      <c r="BD759" s="275"/>
      <c r="BE759" s="275"/>
      <c r="BF759" s="275"/>
      <c r="BH759" s="277"/>
    </row>
    <row r="760" spans="1:60" ht="16.5" hidden="1" customHeight="1" x14ac:dyDescent="0.3">
      <c r="A760" s="260">
        <v>738</v>
      </c>
      <c r="B760" s="261"/>
      <c r="C760" s="261"/>
      <c r="D760" s="262" t="s">
        <v>15</v>
      </c>
      <c r="E760" s="262" t="s">
        <v>237</v>
      </c>
      <c r="F760" s="263" t="s">
        <v>15</v>
      </c>
      <c r="G760" s="264" t="s">
        <v>237</v>
      </c>
      <c r="H760" s="281"/>
      <c r="I760" s="265"/>
      <c r="J760" s="266" t="s">
        <v>60</v>
      </c>
      <c r="K760" s="262"/>
      <c r="L760" s="262"/>
      <c r="M760" s="262">
        <v>3868</v>
      </c>
      <c r="N760" s="262" t="s">
        <v>22</v>
      </c>
      <c r="O760" s="262" t="s">
        <v>35</v>
      </c>
      <c r="P760" s="262" t="s">
        <v>156</v>
      </c>
      <c r="Q760" s="262"/>
      <c r="R760" s="262"/>
      <c r="S760" s="267" t="s">
        <v>822</v>
      </c>
      <c r="T760" s="268"/>
      <c r="U760" s="269"/>
      <c r="V760" s="269"/>
      <c r="W760" s="278">
        <v>0</v>
      </c>
      <c r="X760" s="270"/>
      <c r="Y760" s="262"/>
      <c r="Z760" s="271" t="s">
        <v>25</v>
      </c>
      <c r="AA760" s="287"/>
      <c r="AB760" s="287"/>
      <c r="AC760" s="272">
        <f t="shared" si="25"/>
        <v>20000000</v>
      </c>
      <c r="AD760" s="272">
        <v>20000000</v>
      </c>
      <c r="AE760" s="272">
        <f t="shared" si="26"/>
        <v>0</v>
      </c>
      <c r="AF760" s="273"/>
      <c r="AG760" s="274"/>
      <c r="AH760" s="273"/>
      <c r="AI760" s="273"/>
      <c r="AJ760" s="274"/>
      <c r="AK760" s="273"/>
      <c r="AL760" s="275"/>
      <c r="AM760" s="290"/>
      <c r="AN760" s="275"/>
      <c r="AO760" s="276"/>
      <c r="AP760" s="275"/>
      <c r="AQ760" s="275"/>
      <c r="AR760" s="275"/>
      <c r="AS760" s="275">
        <v>20000000</v>
      </c>
      <c r="AT760" s="275"/>
      <c r="AU760" s="275"/>
      <c r="AV760" s="275"/>
      <c r="AW760" s="275"/>
      <c r="AX760" s="275"/>
      <c r="AY760" s="275"/>
      <c r="AZ760" s="275"/>
      <c r="BA760" s="275"/>
      <c r="BB760" s="275"/>
      <c r="BC760" s="275"/>
      <c r="BD760" s="275"/>
      <c r="BE760" s="275"/>
      <c r="BF760" s="275"/>
      <c r="BH760" s="277"/>
    </row>
    <row r="761" spans="1:60" ht="16.5" hidden="1" customHeight="1" x14ac:dyDescent="0.3">
      <c r="A761" s="260">
        <v>739</v>
      </c>
      <c r="B761" s="261"/>
      <c r="C761" s="261"/>
      <c r="D761" s="262" t="s">
        <v>15</v>
      </c>
      <c r="E761" s="262" t="s">
        <v>237</v>
      </c>
      <c r="F761" s="263" t="s">
        <v>15</v>
      </c>
      <c r="G761" s="264" t="s">
        <v>237</v>
      </c>
      <c r="H761" s="281"/>
      <c r="I761" s="265"/>
      <c r="J761" s="266" t="s">
        <v>60</v>
      </c>
      <c r="K761" s="262"/>
      <c r="L761" s="262"/>
      <c r="M761" s="262">
        <v>3868</v>
      </c>
      <c r="N761" s="262" t="s">
        <v>22</v>
      </c>
      <c r="O761" s="262" t="s">
        <v>56</v>
      </c>
      <c r="P761" s="262"/>
      <c r="Q761" s="262" t="s">
        <v>58</v>
      </c>
      <c r="R761" s="262" t="s">
        <v>470</v>
      </c>
      <c r="S761" s="267" t="s">
        <v>822</v>
      </c>
      <c r="T761" s="268"/>
      <c r="U761" s="269"/>
      <c r="V761" s="269">
        <v>1500000</v>
      </c>
      <c r="W761" s="278">
        <v>0</v>
      </c>
      <c r="X761" s="270"/>
      <c r="Y761" s="262" t="s">
        <v>27</v>
      </c>
      <c r="Z761" s="271" t="s">
        <v>20</v>
      </c>
      <c r="AA761" s="287"/>
      <c r="AB761" s="287"/>
      <c r="AC761" s="272">
        <f t="shared" si="25"/>
        <v>0</v>
      </c>
      <c r="AD761" s="272">
        <v>0</v>
      </c>
      <c r="AE761" s="272">
        <f t="shared" si="26"/>
        <v>0</v>
      </c>
      <c r="AF761" s="273"/>
      <c r="AG761" s="274"/>
      <c r="AH761" s="273"/>
      <c r="AI761" s="273"/>
      <c r="AJ761" s="274"/>
      <c r="AK761" s="273"/>
      <c r="AL761" s="275"/>
      <c r="AM761" s="290"/>
      <c r="AN761" s="275"/>
      <c r="AO761" s="276"/>
      <c r="AP761" s="275"/>
      <c r="AQ761" s="275"/>
      <c r="AR761" s="275"/>
      <c r="AS761" s="275"/>
      <c r="AT761" s="275"/>
      <c r="AU761" s="275"/>
      <c r="AV761" s="275"/>
      <c r="AW761" s="275"/>
      <c r="AX761" s="275"/>
      <c r="AY761" s="275"/>
      <c r="AZ761" s="275"/>
      <c r="BA761" s="275"/>
      <c r="BB761" s="275"/>
      <c r="BC761" s="275"/>
      <c r="BD761" s="275"/>
      <c r="BE761" s="275"/>
      <c r="BF761" s="275"/>
      <c r="BH761" s="277"/>
    </row>
    <row r="762" spans="1:60" ht="16.5" hidden="1" customHeight="1" x14ac:dyDescent="0.3">
      <c r="A762" s="260">
        <v>740</v>
      </c>
      <c r="B762" s="261"/>
      <c r="C762" s="261"/>
      <c r="D762" s="262" t="s">
        <v>15</v>
      </c>
      <c r="E762" s="262" t="s">
        <v>237</v>
      </c>
      <c r="F762" s="263" t="s">
        <v>15</v>
      </c>
      <c r="G762" s="264" t="s">
        <v>237</v>
      </c>
      <c r="H762" s="281"/>
      <c r="I762" s="265"/>
      <c r="J762" s="266" t="s">
        <v>60</v>
      </c>
      <c r="K762" s="262"/>
      <c r="L762" s="262"/>
      <c r="M762" s="262">
        <v>3868</v>
      </c>
      <c r="N762" s="262" t="s">
        <v>22</v>
      </c>
      <c r="O762" s="262" t="s">
        <v>35</v>
      </c>
      <c r="P762" s="262" t="s">
        <v>156</v>
      </c>
      <c r="Q762" s="262"/>
      <c r="R762" s="262"/>
      <c r="S762" s="267" t="s">
        <v>830</v>
      </c>
      <c r="T762" s="268"/>
      <c r="U762" s="269"/>
      <c r="V762" s="269"/>
      <c r="W762" s="278">
        <v>0</v>
      </c>
      <c r="X762" s="270"/>
      <c r="Y762" s="262"/>
      <c r="Z762" s="271" t="s">
        <v>25</v>
      </c>
      <c r="AA762" s="287"/>
      <c r="AB762" s="287"/>
      <c r="AC762" s="272">
        <f t="shared" si="25"/>
        <v>10000000</v>
      </c>
      <c r="AD762" s="272">
        <v>10000000</v>
      </c>
      <c r="AE762" s="272">
        <f t="shared" si="26"/>
        <v>0</v>
      </c>
      <c r="AF762" s="273"/>
      <c r="AG762" s="274"/>
      <c r="AH762" s="273"/>
      <c r="AI762" s="273"/>
      <c r="AJ762" s="274"/>
      <c r="AK762" s="273"/>
      <c r="AL762" s="275"/>
      <c r="AM762" s="290"/>
      <c r="AN762" s="275"/>
      <c r="AO762" s="276"/>
      <c r="AP762" s="275"/>
      <c r="AQ762" s="275"/>
      <c r="AR762" s="275"/>
      <c r="AS762" s="275"/>
      <c r="AT762" s="275"/>
      <c r="AU762" s="275"/>
      <c r="AV762" s="275"/>
      <c r="AW762" s="275"/>
      <c r="AX762" s="275"/>
      <c r="AY762" s="275">
        <v>10000000</v>
      </c>
      <c r="AZ762" s="275"/>
      <c r="BA762" s="275"/>
      <c r="BB762" s="275"/>
      <c r="BC762" s="275"/>
      <c r="BD762" s="275"/>
      <c r="BE762" s="275"/>
      <c r="BF762" s="275"/>
      <c r="BH762" s="277"/>
    </row>
    <row r="763" spans="1:60" ht="16.5" hidden="1" customHeight="1" x14ac:dyDescent="0.3">
      <c r="A763" s="260">
        <v>741</v>
      </c>
      <c r="B763" s="261"/>
      <c r="C763" s="261"/>
      <c r="D763" s="262" t="s">
        <v>15</v>
      </c>
      <c r="E763" s="262" t="s">
        <v>237</v>
      </c>
      <c r="F763" s="263" t="s">
        <v>15</v>
      </c>
      <c r="G763" s="264" t="s">
        <v>237</v>
      </c>
      <c r="H763" s="281"/>
      <c r="I763" s="265"/>
      <c r="J763" s="266" t="s">
        <v>772</v>
      </c>
      <c r="K763" s="262"/>
      <c r="L763" s="262"/>
      <c r="M763" s="262">
        <v>3868</v>
      </c>
      <c r="N763" s="262" t="s">
        <v>22</v>
      </c>
      <c r="O763" s="262" t="s">
        <v>35</v>
      </c>
      <c r="P763" s="262" t="s">
        <v>156</v>
      </c>
      <c r="Q763" s="262"/>
      <c r="R763" s="262"/>
      <c r="S763" s="267" t="s">
        <v>468</v>
      </c>
      <c r="T763" s="268"/>
      <c r="U763" s="269"/>
      <c r="V763" s="269"/>
      <c r="W763" s="278">
        <v>0</v>
      </c>
      <c r="X763" s="270"/>
      <c r="Y763" s="262"/>
      <c r="Z763" s="271" t="s">
        <v>562</v>
      </c>
      <c r="AA763" s="287"/>
      <c r="AB763" s="287"/>
      <c r="AC763" s="272">
        <f t="shared" si="25"/>
        <v>0</v>
      </c>
      <c r="AD763" s="272">
        <v>0</v>
      </c>
      <c r="AE763" s="272">
        <f t="shared" si="26"/>
        <v>0</v>
      </c>
      <c r="AF763" s="273"/>
      <c r="AG763" s="274"/>
      <c r="AH763" s="273"/>
      <c r="AI763" s="273">
        <v>50000000</v>
      </c>
      <c r="AJ763" s="274"/>
      <c r="AK763" s="273"/>
      <c r="AL763" s="275"/>
      <c r="AM763" s="290"/>
      <c r="AN763" s="275"/>
      <c r="AO763" s="276"/>
      <c r="AP763" s="275"/>
      <c r="AQ763" s="275"/>
      <c r="AR763" s="275"/>
      <c r="AS763" s="275"/>
      <c r="AT763" s="275"/>
      <c r="AU763" s="275"/>
      <c r="AV763" s="275"/>
      <c r="AW763" s="275"/>
      <c r="AX763" s="275"/>
      <c r="AY763" s="275"/>
      <c r="AZ763" s="275"/>
      <c r="BA763" s="275"/>
      <c r="BB763" s="275"/>
      <c r="BC763" s="275"/>
      <c r="BD763" s="275"/>
      <c r="BE763" s="275"/>
      <c r="BF763" s="275"/>
      <c r="BH763" s="277"/>
    </row>
    <row r="764" spans="1:60" ht="16.5" hidden="1" customHeight="1" x14ac:dyDescent="0.3">
      <c r="A764" s="260">
        <v>742</v>
      </c>
      <c r="B764" s="261"/>
      <c r="C764" s="261"/>
      <c r="D764" s="262" t="s">
        <v>15</v>
      </c>
      <c r="E764" s="262" t="s">
        <v>237</v>
      </c>
      <c r="F764" s="263" t="s">
        <v>15</v>
      </c>
      <c r="G764" s="264" t="s">
        <v>237</v>
      </c>
      <c r="H764" s="281"/>
      <c r="I764" s="265"/>
      <c r="J764" s="266" t="s">
        <v>481</v>
      </c>
      <c r="K764" s="262"/>
      <c r="L764" s="262"/>
      <c r="M764" s="262">
        <v>3786</v>
      </c>
      <c r="N764" s="262" t="s">
        <v>22</v>
      </c>
      <c r="O764" s="262" t="s">
        <v>35</v>
      </c>
      <c r="P764" s="262" t="s">
        <v>156</v>
      </c>
      <c r="Q764" s="262" t="s">
        <v>30</v>
      </c>
      <c r="R764" s="262" t="s">
        <v>31</v>
      </c>
      <c r="S764" s="267" t="s">
        <v>31</v>
      </c>
      <c r="T764" s="268"/>
      <c r="U764" s="269" t="s">
        <v>154</v>
      </c>
      <c r="V764" s="269">
        <v>0</v>
      </c>
      <c r="W764" s="278">
        <v>0</v>
      </c>
      <c r="X764" s="270"/>
      <c r="Y764" s="262" t="s">
        <v>25</v>
      </c>
      <c r="Z764" s="271" t="s">
        <v>25</v>
      </c>
      <c r="AA764" s="287"/>
      <c r="AB764" s="287"/>
      <c r="AC764" s="272">
        <f t="shared" si="25"/>
        <v>9000000</v>
      </c>
      <c r="AD764" s="272">
        <v>9000000</v>
      </c>
      <c r="AE764" s="272">
        <f t="shared" si="26"/>
        <v>0</v>
      </c>
      <c r="AF764" s="273"/>
      <c r="AG764" s="274"/>
      <c r="AH764" s="273"/>
      <c r="AI764" s="273"/>
      <c r="AJ764" s="274"/>
      <c r="AK764" s="273"/>
      <c r="AL764" s="275"/>
      <c r="AM764" s="290"/>
      <c r="AN764" s="275"/>
      <c r="AO764" s="276"/>
      <c r="AP764" s="275"/>
      <c r="AQ764" s="275"/>
      <c r="AR764" s="275"/>
      <c r="AS764" s="275"/>
      <c r="AT764" s="275"/>
      <c r="AU764" s="275"/>
      <c r="AV764" s="275"/>
      <c r="AW764" s="275"/>
      <c r="AX764" s="275"/>
      <c r="AY764" s="275">
        <v>9000000</v>
      </c>
      <c r="AZ764" s="275"/>
      <c r="BA764" s="275"/>
      <c r="BB764" s="275"/>
      <c r="BC764" s="275"/>
      <c r="BD764" s="275"/>
      <c r="BE764" s="275"/>
      <c r="BF764" s="275"/>
      <c r="BH764" s="277"/>
    </row>
    <row r="765" spans="1:60" ht="16.5" hidden="1" customHeight="1" x14ac:dyDescent="0.3">
      <c r="A765" s="260">
        <v>743</v>
      </c>
      <c r="B765" s="261"/>
      <c r="C765" s="261"/>
      <c r="D765" s="262" t="s">
        <v>15</v>
      </c>
      <c r="E765" s="262" t="s">
        <v>237</v>
      </c>
      <c r="F765" s="263" t="s">
        <v>15</v>
      </c>
      <c r="G765" s="264" t="s">
        <v>237</v>
      </c>
      <c r="H765" s="281"/>
      <c r="I765" s="265"/>
      <c r="J765" s="266" t="s">
        <v>481</v>
      </c>
      <c r="K765" s="262"/>
      <c r="L765" s="262"/>
      <c r="M765" s="262">
        <v>3786</v>
      </c>
      <c r="N765" s="262" t="s">
        <v>22</v>
      </c>
      <c r="O765" s="262" t="s">
        <v>35</v>
      </c>
      <c r="P765" s="262" t="s">
        <v>156</v>
      </c>
      <c r="Q765" s="262"/>
      <c r="R765" s="262" t="s">
        <v>47</v>
      </c>
      <c r="S765" s="267" t="s">
        <v>47</v>
      </c>
      <c r="T765" s="268"/>
      <c r="U765" s="269" t="s">
        <v>154</v>
      </c>
      <c r="V765" s="269">
        <v>0</v>
      </c>
      <c r="W765" s="278">
        <v>0</v>
      </c>
      <c r="X765" s="270"/>
      <c r="Y765" s="262" t="s">
        <v>25</v>
      </c>
      <c r="Z765" s="271" t="s">
        <v>25</v>
      </c>
      <c r="AA765" s="287"/>
      <c r="AB765" s="287"/>
      <c r="AC765" s="272">
        <f t="shared" si="25"/>
        <v>30000000</v>
      </c>
      <c r="AD765" s="272">
        <v>30000000</v>
      </c>
      <c r="AE765" s="272">
        <f t="shared" si="26"/>
        <v>0</v>
      </c>
      <c r="AF765" s="273"/>
      <c r="AG765" s="274"/>
      <c r="AH765" s="273"/>
      <c r="AI765" s="273"/>
      <c r="AJ765" s="274"/>
      <c r="AK765" s="273"/>
      <c r="AL765" s="275"/>
      <c r="AM765" s="290"/>
      <c r="AN765" s="275"/>
      <c r="AO765" s="276"/>
      <c r="AP765" s="275"/>
      <c r="AQ765" s="275"/>
      <c r="AR765" s="275"/>
      <c r="AS765" s="275"/>
      <c r="AT765" s="275"/>
      <c r="AU765" s="275"/>
      <c r="AV765" s="275"/>
      <c r="AW765" s="275"/>
      <c r="AX765" s="275"/>
      <c r="AY765" s="275">
        <v>30000000</v>
      </c>
      <c r="AZ765" s="275"/>
      <c r="BA765" s="275"/>
      <c r="BB765" s="275"/>
      <c r="BC765" s="275"/>
      <c r="BD765" s="275"/>
      <c r="BE765" s="275"/>
      <c r="BF765" s="275"/>
      <c r="BH765" s="277"/>
    </row>
    <row r="766" spans="1:60" ht="16.5" hidden="1" customHeight="1" x14ac:dyDescent="0.3">
      <c r="A766" s="260">
        <v>744</v>
      </c>
      <c r="B766" s="261"/>
      <c r="C766" s="261"/>
      <c r="D766" s="262" t="s">
        <v>15</v>
      </c>
      <c r="E766" s="262" t="s">
        <v>237</v>
      </c>
      <c r="F766" s="263" t="s">
        <v>15</v>
      </c>
      <c r="G766" s="264" t="s">
        <v>237</v>
      </c>
      <c r="H766" s="281"/>
      <c r="I766" s="265"/>
      <c r="J766" s="266" t="s">
        <v>481</v>
      </c>
      <c r="K766" s="262"/>
      <c r="L766" s="262"/>
      <c r="M766" s="262">
        <v>3786</v>
      </c>
      <c r="N766" s="262" t="s">
        <v>22</v>
      </c>
      <c r="O766" s="262" t="s">
        <v>35</v>
      </c>
      <c r="P766" s="262" t="s">
        <v>156</v>
      </c>
      <c r="Q766" s="262"/>
      <c r="R766" s="262"/>
      <c r="S766" s="267" t="s">
        <v>822</v>
      </c>
      <c r="T766" s="268"/>
      <c r="U766" s="269"/>
      <c r="V766" s="269"/>
      <c r="W766" s="278">
        <v>0</v>
      </c>
      <c r="X766" s="270"/>
      <c r="Y766" s="262"/>
      <c r="Z766" s="271" t="s">
        <v>25</v>
      </c>
      <c r="AA766" s="287"/>
      <c r="AB766" s="287"/>
      <c r="AC766" s="272">
        <f t="shared" si="25"/>
        <v>20000000</v>
      </c>
      <c r="AD766" s="272">
        <v>20000000</v>
      </c>
      <c r="AE766" s="272">
        <f t="shared" si="26"/>
        <v>0</v>
      </c>
      <c r="AF766" s="273"/>
      <c r="AG766" s="274"/>
      <c r="AH766" s="273"/>
      <c r="AI766" s="273"/>
      <c r="AJ766" s="274"/>
      <c r="AK766" s="273"/>
      <c r="AL766" s="275"/>
      <c r="AM766" s="290"/>
      <c r="AN766" s="275"/>
      <c r="AO766" s="276"/>
      <c r="AP766" s="275"/>
      <c r="AQ766" s="275"/>
      <c r="AR766" s="275"/>
      <c r="AS766" s="275">
        <v>20000000</v>
      </c>
      <c r="AT766" s="275"/>
      <c r="AU766" s="275"/>
      <c r="AV766" s="275"/>
      <c r="AW766" s="275"/>
      <c r="AX766" s="275"/>
      <c r="AY766" s="275"/>
      <c r="AZ766" s="275"/>
      <c r="BA766" s="275"/>
      <c r="BB766" s="275"/>
      <c r="BC766" s="275"/>
      <c r="BD766" s="275"/>
      <c r="BE766" s="275"/>
      <c r="BF766" s="275"/>
      <c r="BH766" s="277"/>
    </row>
    <row r="767" spans="1:60" ht="16.5" hidden="1" customHeight="1" x14ac:dyDescent="0.3">
      <c r="A767" s="260">
        <v>745</v>
      </c>
      <c r="B767" s="261"/>
      <c r="C767" s="261"/>
      <c r="D767" s="262" t="s">
        <v>15</v>
      </c>
      <c r="E767" s="262" t="s">
        <v>237</v>
      </c>
      <c r="F767" s="263" t="s">
        <v>15</v>
      </c>
      <c r="G767" s="264" t="s">
        <v>237</v>
      </c>
      <c r="H767" s="281"/>
      <c r="I767" s="265"/>
      <c r="J767" s="266" t="s">
        <v>481</v>
      </c>
      <c r="K767" s="262"/>
      <c r="L767" s="262"/>
      <c r="M767" s="262">
        <v>3786</v>
      </c>
      <c r="N767" s="262" t="s">
        <v>22</v>
      </c>
      <c r="O767" s="262" t="s">
        <v>35</v>
      </c>
      <c r="P767" s="262" t="s">
        <v>156</v>
      </c>
      <c r="Q767" s="262"/>
      <c r="R767" s="262"/>
      <c r="S767" s="267" t="s">
        <v>830</v>
      </c>
      <c r="T767" s="268"/>
      <c r="U767" s="269"/>
      <c r="V767" s="269"/>
      <c r="W767" s="278">
        <v>0</v>
      </c>
      <c r="X767" s="270"/>
      <c r="Y767" s="262"/>
      <c r="Z767" s="271" t="s">
        <v>25</v>
      </c>
      <c r="AA767" s="287"/>
      <c r="AB767" s="287"/>
      <c r="AC767" s="272">
        <f t="shared" si="25"/>
        <v>10000000</v>
      </c>
      <c r="AD767" s="272">
        <v>10000000</v>
      </c>
      <c r="AE767" s="272">
        <f t="shared" si="26"/>
        <v>0</v>
      </c>
      <c r="AF767" s="273"/>
      <c r="AG767" s="274"/>
      <c r="AH767" s="273"/>
      <c r="AI767" s="273"/>
      <c r="AJ767" s="274"/>
      <c r="AK767" s="273"/>
      <c r="AL767" s="275"/>
      <c r="AM767" s="290"/>
      <c r="AN767" s="275"/>
      <c r="AO767" s="276"/>
      <c r="AP767" s="275"/>
      <c r="AQ767" s="275"/>
      <c r="AR767" s="275"/>
      <c r="AS767" s="275"/>
      <c r="AT767" s="275"/>
      <c r="AU767" s="275"/>
      <c r="AV767" s="275"/>
      <c r="AW767" s="275"/>
      <c r="AX767" s="275"/>
      <c r="AY767" s="275">
        <v>10000000</v>
      </c>
      <c r="AZ767" s="275"/>
      <c r="BA767" s="275"/>
      <c r="BB767" s="275"/>
      <c r="BC767" s="275"/>
      <c r="BD767" s="275"/>
      <c r="BE767" s="275"/>
      <c r="BF767" s="275"/>
      <c r="BH767" s="277"/>
    </row>
    <row r="768" spans="1:60" ht="16.5" hidden="1" customHeight="1" x14ac:dyDescent="0.3">
      <c r="A768" s="260">
        <v>746</v>
      </c>
      <c r="B768" s="261"/>
      <c r="C768" s="261"/>
      <c r="D768" s="262" t="s">
        <v>15</v>
      </c>
      <c r="E768" s="262" t="s">
        <v>237</v>
      </c>
      <c r="F768" s="263" t="s">
        <v>15</v>
      </c>
      <c r="G768" s="264" t="s">
        <v>237</v>
      </c>
      <c r="H768" s="281"/>
      <c r="I768" s="265"/>
      <c r="J768" s="266" t="s">
        <v>252</v>
      </c>
      <c r="K768" s="262"/>
      <c r="L768" s="262"/>
      <c r="M768" s="262">
        <v>979</v>
      </c>
      <c r="N768" s="262" t="s">
        <v>22</v>
      </c>
      <c r="O768" s="262" t="s">
        <v>56</v>
      </c>
      <c r="P768" s="262" t="s">
        <v>57</v>
      </c>
      <c r="Q768" s="262" t="s">
        <v>30</v>
      </c>
      <c r="R768" s="262" t="s">
        <v>31</v>
      </c>
      <c r="S768" s="267" t="s">
        <v>31</v>
      </c>
      <c r="T768" s="268"/>
      <c r="U768" s="269"/>
      <c r="V768" s="269">
        <v>11920000</v>
      </c>
      <c r="W768" s="278">
        <v>11180000</v>
      </c>
      <c r="X768" s="270"/>
      <c r="Y768" s="262" t="s">
        <v>27</v>
      </c>
      <c r="Z768" s="271" t="s">
        <v>24</v>
      </c>
      <c r="AA768" s="287"/>
      <c r="AB768" s="287"/>
      <c r="AC768" s="272">
        <f t="shared" si="25"/>
        <v>10000000</v>
      </c>
      <c r="AD768" s="272">
        <v>10000000</v>
      </c>
      <c r="AE768" s="272">
        <f t="shared" si="26"/>
        <v>0</v>
      </c>
      <c r="AF768" s="273"/>
      <c r="AG768" s="274"/>
      <c r="AH768" s="273"/>
      <c r="AI768" s="273"/>
      <c r="AJ768" s="274"/>
      <c r="AK768" s="273"/>
      <c r="AL768" s="275"/>
      <c r="AM768" s="290"/>
      <c r="AN768" s="275"/>
      <c r="AO768" s="276"/>
      <c r="AP768" s="275"/>
      <c r="AQ768" s="275"/>
      <c r="AR768" s="275"/>
      <c r="AS768" s="275"/>
      <c r="AT768" s="275"/>
      <c r="AU768" s="275"/>
      <c r="AV768" s="275"/>
      <c r="AW768" s="275">
        <v>10000000</v>
      </c>
      <c r="AX768" s="275"/>
      <c r="AY768" s="275"/>
      <c r="AZ768" s="275"/>
      <c r="BA768" s="275"/>
      <c r="BB768" s="275"/>
      <c r="BC768" s="275"/>
      <c r="BD768" s="275"/>
      <c r="BE768" s="275"/>
      <c r="BF768" s="275"/>
      <c r="BH768" s="277"/>
    </row>
    <row r="769" spans="1:60" ht="16.5" hidden="1" customHeight="1" x14ac:dyDescent="0.3">
      <c r="A769" s="260">
        <v>747</v>
      </c>
      <c r="B769" s="261"/>
      <c r="C769" s="261"/>
      <c r="D769" s="262" t="s">
        <v>15</v>
      </c>
      <c r="E769" s="262" t="s">
        <v>237</v>
      </c>
      <c r="F769" s="263" t="s">
        <v>15</v>
      </c>
      <c r="G769" s="264" t="s">
        <v>237</v>
      </c>
      <c r="H769" s="281"/>
      <c r="I769" s="265"/>
      <c r="J769" s="266" t="s">
        <v>252</v>
      </c>
      <c r="K769" s="262"/>
      <c r="L769" s="262"/>
      <c r="M769" s="262">
        <v>979</v>
      </c>
      <c r="N769" s="262" t="s">
        <v>22</v>
      </c>
      <c r="O769" s="262" t="s">
        <v>56</v>
      </c>
      <c r="P769" s="262" t="s">
        <v>57</v>
      </c>
      <c r="Q769" s="262" t="s">
        <v>26</v>
      </c>
      <c r="R769" s="262" t="s">
        <v>468</v>
      </c>
      <c r="S769" s="267" t="s">
        <v>468</v>
      </c>
      <c r="T769" s="268"/>
      <c r="U769" s="269"/>
      <c r="V769" s="269">
        <v>6252000</v>
      </c>
      <c r="W769" s="278">
        <v>4380000</v>
      </c>
      <c r="X769" s="270"/>
      <c r="Y769" s="262" t="s">
        <v>27</v>
      </c>
      <c r="Z769" s="271" t="s">
        <v>24</v>
      </c>
      <c r="AA769" s="287"/>
      <c r="AB769" s="287"/>
      <c r="AC769" s="272">
        <f t="shared" si="25"/>
        <v>0</v>
      </c>
      <c r="AD769" s="272">
        <v>0</v>
      </c>
      <c r="AE769" s="272">
        <f t="shared" si="26"/>
        <v>0</v>
      </c>
      <c r="AF769" s="273"/>
      <c r="AG769" s="274"/>
      <c r="AH769" s="273"/>
      <c r="AI769" s="273"/>
      <c r="AJ769" s="274"/>
      <c r="AK769" s="273"/>
      <c r="AL769" s="275"/>
      <c r="AM769" s="290"/>
      <c r="AN769" s="275"/>
      <c r="AO769" s="276"/>
      <c r="AP769" s="275"/>
      <c r="AQ769" s="275"/>
      <c r="AR769" s="275"/>
      <c r="AS769" s="275"/>
      <c r="AT769" s="275"/>
      <c r="AU769" s="275"/>
      <c r="AV769" s="275"/>
      <c r="AW769" s="275"/>
      <c r="AX769" s="275"/>
      <c r="AY769" s="275"/>
      <c r="AZ769" s="275"/>
      <c r="BA769" s="275"/>
      <c r="BB769" s="275"/>
      <c r="BC769" s="275"/>
      <c r="BD769" s="275"/>
      <c r="BE769" s="275"/>
      <c r="BF769" s="275"/>
      <c r="BH769" s="277"/>
    </row>
    <row r="770" spans="1:60" ht="16.5" hidden="1" customHeight="1" x14ac:dyDescent="0.3">
      <c r="A770" s="260">
        <v>748</v>
      </c>
      <c r="B770" s="261"/>
      <c r="C770" s="261"/>
      <c r="D770" s="262" t="s">
        <v>15</v>
      </c>
      <c r="E770" s="262" t="s">
        <v>237</v>
      </c>
      <c r="F770" s="263" t="s">
        <v>15</v>
      </c>
      <c r="G770" s="264" t="s">
        <v>237</v>
      </c>
      <c r="H770" s="281"/>
      <c r="I770" s="265"/>
      <c r="J770" s="266" t="s">
        <v>252</v>
      </c>
      <c r="K770" s="262"/>
      <c r="L770" s="262"/>
      <c r="M770" s="262">
        <v>979</v>
      </c>
      <c r="N770" s="262" t="s">
        <v>22</v>
      </c>
      <c r="O770" s="262" t="s">
        <v>35</v>
      </c>
      <c r="P770" s="262" t="s">
        <v>57</v>
      </c>
      <c r="Q770" s="262" t="s">
        <v>26</v>
      </c>
      <c r="R770" s="262" t="s">
        <v>468</v>
      </c>
      <c r="S770" s="267" t="s">
        <v>468</v>
      </c>
      <c r="T770" s="268"/>
      <c r="U770" s="269"/>
      <c r="V770" s="269">
        <v>0</v>
      </c>
      <c r="W770" s="278">
        <v>0</v>
      </c>
      <c r="X770" s="270"/>
      <c r="Y770" s="262" t="s">
        <v>562</v>
      </c>
      <c r="Z770" s="271" t="s">
        <v>562</v>
      </c>
      <c r="AA770" s="287"/>
      <c r="AB770" s="287"/>
      <c r="AC770" s="272">
        <f t="shared" si="25"/>
        <v>0</v>
      </c>
      <c r="AD770" s="272">
        <v>0</v>
      </c>
      <c r="AE770" s="272">
        <f t="shared" si="26"/>
        <v>0</v>
      </c>
      <c r="AF770" s="273"/>
      <c r="AG770" s="274"/>
      <c r="AH770" s="273"/>
      <c r="AI770" s="273"/>
      <c r="AJ770" s="274"/>
      <c r="AK770" s="273"/>
      <c r="AL770" s="275"/>
      <c r="AM770" s="290"/>
      <c r="AN770" s="275"/>
      <c r="AO770" s="276"/>
      <c r="AP770" s="275"/>
      <c r="AQ770" s="275"/>
      <c r="AR770" s="275"/>
      <c r="AS770" s="275"/>
      <c r="AT770" s="275"/>
      <c r="AU770" s="275"/>
      <c r="AV770" s="275"/>
      <c r="AW770" s="275"/>
      <c r="AX770" s="275"/>
      <c r="AY770" s="275"/>
      <c r="AZ770" s="275"/>
      <c r="BA770" s="275"/>
      <c r="BB770" s="275"/>
      <c r="BC770" s="275"/>
      <c r="BD770" s="275"/>
      <c r="BE770" s="275"/>
      <c r="BF770" s="275"/>
      <c r="BH770" s="277"/>
    </row>
    <row r="771" spans="1:60" ht="16.5" hidden="1" customHeight="1" x14ac:dyDescent="0.3">
      <c r="A771" s="260">
        <v>749</v>
      </c>
      <c r="B771" s="261"/>
      <c r="C771" s="261"/>
      <c r="D771" s="262" t="s">
        <v>15</v>
      </c>
      <c r="E771" s="262" t="s">
        <v>237</v>
      </c>
      <c r="F771" s="263" t="s">
        <v>15</v>
      </c>
      <c r="G771" s="264" t="s">
        <v>237</v>
      </c>
      <c r="H771" s="281"/>
      <c r="I771" s="265"/>
      <c r="J771" s="266" t="s">
        <v>252</v>
      </c>
      <c r="K771" s="262"/>
      <c r="L771" s="262"/>
      <c r="M771" s="262">
        <v>979</v>
      </c>
      <c r="N771" s="262" t="s">
        <v>22</v>
      </c>
      <c r="O771" s="262" t="s">
        <v>35</v>
      </c>
      <c r="P771" s="262" t="s">
        <v>57</v>
      </c>
      <c r="Q771" s="262"/>
      <c r="R771" s="262"/>
      <c r="S771" s="267" t="s">
        <v>830</v>
      </c>
      <c r="T771" s="268"/>
      <c r="U771" s="269"/>
      <c r="V771" s="269"/>
      <c r="W771" s="278">
        <v>0</v>
      </c>
      <c r="X771" s="270"/>
      <c r="Y771" s="262"/>
      <c r="Z771" s="271" t="s">
        <v>25</v>
      </c>
      <c r="AA771" s="287"/>
      <c r="AB771" s="287"/>
      <c r="AC771" s="272">
        <f t="shared" si="25"/>
        <v>10000000</v>
      </c>
      <c r="AD771" s="272">
        <v>10000000</v>
      </c>
      <c r="AE771" s="272">
        <f t="shared" si="26"/>
        <v>0</v>
      </c>
      <c r="AF771" s="273"/>
      <c r="AG771" s="274"/>
      <c r="AH771" s="273"/>
      <c r="AI771" s="273"/>
      <c r="AJ771" s="274"/>
      <c r="AK771" s="273"/>
      <c r="AL771" s="275"/>
      <c r="AM771" s="290"/>
      <c r="AN771" s="275"/>
      <c r="AO771" s="276"/>
      <c r="AP771" s="275"/>
      <c r="AQ771" s="275"/>
      <c r="AR771" s="275"/>
      <c r="AS771" s="275"/>
      <c r="AT771" s="275"/>
      <c r="AU771" s="275"/>
      <c r="AV771" s="275"/>
      <c r="AW771" s="275"/>
      <c r="AX771" s="275"/>
      <c r="AY771" s="275">
        <v>10000000</v>
      </c>
      <c r="AZ771" s="275"/>
      <c r="BA771" s="275"/>
      <c r="BB771" s="275"/>
      <c r="BC771" s="275"/>
      <c r="BD771" s="275"/>
      <c r="BE771" s="275"/>
      <c r="BF771" s="275"/>
      <c r="BH771" s="277"/>
    </row>
    <row r="772" spans="1:60" ht="16.5" hidden="1" customHeight="1" x14ac:dyDescent="0.3">
      <c r="A772" s="260">
        <v>750</v>
      </c>
      <c r="B772" s="261"/>
      <c r="C772" s="261"/>
      <c r="D772" s="262" t="s">
        <v>15</v>
      </c>
      <c r="E772" s="262" t="s">
        <v>237</v>
      </c>
      <c r="F772" s="263" t="s">
        <v>15</v>
      </c>
      <c r="G772" s="264" t="s">
        <v>237</v>
      </c>
      <c r="H772" s="281"/>
      <c r="I772" s="265"/>
      <c r="J772" s="266" t="s">
        <v>254</v>
      </c>
      <c r="K772" s="262"/>
      <c r="L772" s="262"/>
      <c r="M772" s="262">
        <v>52052</v>
      </c>
      <c r="N772" s="262" t="s">
        <v>17</v>
      </c>
      <c r="O772" s="262" t="s">
        <v>56</v>
      </c>
      <c r="P772" s="262" t="s">
        <v>156</v>
      </c>
      <c r="Q772" s="262" t="s">
        <v>30</v>
      </c>
      <c r="R772" s="262" t="s">
        <v>31</v>
      </c>
      <c r="S772" s="267" t="s">
        <v>31</v>
      </c>
      <c r="T772" s="268"/>
      <c r="U772" s="269">
        <v>2436000</v>
      </c>
      <c r="V772" s="269">
        <v>0</v>
      </c>
      <c r="W772" s="278">
        <v>0</v>
      </c>
      <c r="X772" s="270"/>
      <c r="Y772" s="262" t="s">
        <v>24</v>
      </c>
      <c r="Z772" s="271" t="s">
        <v>24</v>
      </c>
      <c r="AA772" s="287"/>
      <c r="AB772" s="287"/>
      <c r="AC772" s="272">
        <f t="shared" si="25"/>
        <v>1000000</v>
      </c>
      <c r="AD772" s="272">
        <v>1000000</v>
      </c>
      <c r="AE772" s="272">
        <f t="shared" si="26"/>
        <v>0</v>
      </c>
      <c r="AF772" s="273"/>
      <c r="AG772" s="274"/>
      <c r="AH772" s="273"/>
      <c r="AI772" s="273"/>
      <c r="AJ772" s="274"/>
      <c r="AK772" s="273"/>
      <c r="AL772" s="275"/>
      <c r="AM772" s="290"/>
      <c r="AN772" s="275"/>
      <c r="AO772" s="276"/>
      <c r="AP772" s="275"/>
      <c r="AQ772" s="275"/>
      <c r="AR772" s="275"/>
      <c r="AS772" s="275">
        <v>500000</v>
      </c>
      <c r="AT772" s="275"/>
      <c r="AU772" s="275"/>
      <c r="AV772" s="275"/>
      <c r="AW772" s="275"/>
      <c r="AX772" s="275"/>
      <c r="AY772" s="275"/>
      <c r="AZ772" s="275"/>
      <c r="BA772" s="275"/>
      <c r="BB772" s="275"/>
      <c r="BC772" s="275"/>
      <c r="BD772" s="275"/>
      <c r="BE772" s="275">
        <v>500000</v>
      </c>
      <c r="BF772" s="275"/>
      <c r="BH772" s="277"/>
    </row>
    <row r="773" spans="1:60" ht="16.5" hidden="1" customHeight="1" x14ac:dyDescent="0.3">
      <c r="A773" s="260">
        <v>751</v>
      </c>
      <c r="B773" s="261"/>
      <c r="C773" s="261"/>
      <c r="D773" s="262" t="s">
        <v>15</v>
      </c>
      <c r="E773" s="262" t="s">
        <v>237</v>
      </c>
      <c r="F773" s="263" t="s">
        <v>15</v>
      </c>
      <c r="G773" s="264" t="s">
        <v>237</v>
      </c>
      <c r="H773" s="281"/>
      <c r="I773" s="265"/>
      <c r="J773" s="266" t="s">
        <v>773</v>
      </c>
      <c r="K773" s="262"/>
      <c r="L773" s="262"/>
      <c r="M773" s="262">
        <v>16661</v>
      </c>
      <c r="N773" s="262" t="s">
        <v>32</v>
      </c>
      <c r="O773" s="262" t="s">
        <v>35</v>
      </c>
      <c r="P773" s="262"/>
      <c r="Q773" s="262"/>
      <c r="R773" s="262"/>
      <c r="S773" s="267" t="s">
        <v>28</v>
      </c>
      <c r="T773" s="268"/>
      <c r="U773" s="269"/>
      <c r="V773" s="269"/>
      <c r="W773" s="278">
        <v>0</v>
      </c>
      <c r="X773" s="270"/>
      <c r="Y773" s="262"/>
      <c r="Z773" s="271" t="s">
        <v>74</v>
      </c>
      <c r="AA773" s="287"/>
      <c r="AB773" s="287"/>
      <c r="AC773" s="272">
        <f t="shared" si="25"/>
        <v>0</v>
      </c>
      <c r="AD773" s="272">
        <v>0</v>
      </c>
      <c r="AE773" s="272">
        <f t="shared" si="26"/>
        <v>0</v>
      </c>
      <c r="AF773" s="273"/>
      <c r="AG773" s="274"/>
      <c r="AH773" s="273"/>
      <c r="AI773" s="273"/>
      <c r="AJ773" s="274"/>
      <c r="AK773" s="273"/>
      <c r="AL773" s="275"/>
      <c r="AM773" s="290"/>
      <c r="AN773" s="275"/>
      <c r="AO773" s="276"/>
      <c r="AP773" s="275"/>
      <c r="AQ773" s="275"/>
      <c r="AR773" s="275"/>
      <c r="AS773" s="275"/>
      <c r="AT773" s="275"/>
      <c r="AU773" s="275"/>
      <c r="AV773" s="275"/>
      <c r="AW773" s="275"/>
      <c r="AX773" s="275"/>
      <c r="AY773" s="275"/>
      <c r="AZ773" s="275"/>
      <c r="BA773" s="275"/>
      <c r="BB773" s="275"/>
      <c r="BC773" s="275"/>
      <c r="BD773" s="275"/>
      <c r="BE773" s="275"/>
      <c r="BF773" s="275"/>
      <c r="BH773" s="277"/>
    </row>
    <row r="774" spans="1:60" ht="16.5" hidden="1" customHeight="1" x14ac:dyDescent="0.3">
      <c r="A774" s="260">
        <v>752</v>
      </c>
      <c r="B774" s="261"/>
      <c r="C774" s="261"/>
      <c r="D774" s="262" t="s">
        <v>15</v>
      </c>
      <c r="E774" s="262" t="s">
        <v>237</v>
      </c>
      <c r="F774" s="263" t="s">
        <v>15</v>
      </c>
      <c r="G774" s="264" t="s">
        <v>237</v>
      </c>
      <c r="H774" s="281"/>
      <c r="I774" s="265"/>
      <c r="J774" s="266" t="s">
        <v>255</v>
      </c>
      <c r="K774" s="262"/>
      <c r="L774" s="262"/>
      <c r="M774" s="262">
        <v>49750</v>
      </c>
      <c r="N774" s="262" t="s">
        <v>32</v>
      </c>
      <c r="O774" s="262" t="s">
        <v>35</v>
      </c>
      <c r="P774" s="262" t="s">
        <v>124</v>
      </c>
      <c r="Q774" s="262" t="s">
        <v>63</v>
      </c>
      <c r="R774" s="262" t="s">
        <v>28</v>
      </c>
      <c r="S774" s="267" t="s">
        <v>28</v>
      </c>
      <c r="T774" s="268"/>
      <c r="U774" s="269" t="s">
        <v>154</v>
      </c>
      <c r="V774" s="269">
        <v>0</v>
      </c>
      <c r="W774" s="278">
        <v>84000000</v>
      </c>
      <c r="X774" s="270"/>
      <c r="Y774" s="262" t="s">
        <v>27</v>
      </c>
      <c r="Z774" s="271" t="s">
        <v>74</v>
      </c>
      <c r="AA774" s="287"/>
      <c r="AB774" s="287"/>
      <c r="AC774" s="272">
        <f t="shared" si="25"/>
        <v>90000000</v>
      </c>
      <c r="AD774" s="272">
        <v>90000000</v>
      </c>
      <c r="AE774" s="272">
        <f t="shared" si="26"/>
        <v>0</v>
      </c>
      <c r="AF774" s="273"/>
      <c r="AG774" s="274"/>
      <c r="AH774" s="273"/>
      <c r="AI774" s="273"/>
      <c r="AJ774" s="274"/>
      <c r="AK774" s="273"/>
      <c r="AL774" s="275"/>
      <c r="AM774" s="290"/>
      <c r="AN774" s="275"/>
      <c r="AO774" s="276"/>
      <c r="AP774" s="275"/>
      <c r="AQ774" s="275"/>
      <c r="AR774" s="275"/>
      <c r="AS774" s="275"/>
      <c r="AT774" s="275"/>
      <c r="AU774" s="275"/>
      <c r="AV774" s="275"/>
      <c r="AW774" s="275"/>
      <c r="AX774" s="275"/>
      <c r="AY774" s="275"/>
      <c r="AZ774" s="275"/>
      <c r="BA774" s="275"/>
      <c r="BB774" s="275"/>
      <c r="BC774" s="275"/>
      <c r="BD774" s="275"/>
      <c r="BE774" s="275">
        <v>90000000</v>
      </c>
      <c r="BF774" s="275"/>
      <c r="BH774" s="277"/>
    </row>
    <row r="775" spans="1:60" ht="16.5" hidden="1" customHeight="1" x14ac:dyDescent="0.3">
      <c r="A775" s="260">
        <v>753</v>
      </c>
      <c r="B775" s="261"/>
      <c r="C775" s="261"/>
      <c r="D775" s="262" t="s">
        <v>15</v>
      </c>
      <c r="E775" s="262" t="s">
        <v>237</v>
      </c>
      <c r="F775" s="263" t="s">
        <v>15</v>
      </c>
      <c r="G775" s="264" t="s">
        <v>237</v>
      </c>
      <c r="H775" s="281"/>
      <c r="I775" s="265"/>
      <c r="J775" s="266" t="s">
        <v>256</v>
      </c>
      <c r="K775" s="262"/>
      <c r="L775" s="262"/>
      <c r="M775" s="262">
        <v>1728</v>
      </c>
      <c r="N775" s="262" t="s">
        <v>22</v>
      </c>
      <c r="O775" s="262" t="s">
        <v>56</v>
      </c>
      <c r="P775" s="262"/>
      <c r="Q775" s="262" t="s">
        <v>18</v>
      </c>
      <c r="R775" s="262" t="s">
        <v>19</v>
      </c>
      <c r="S775" s="267" t="s">
        <v>19</v>
      </c>
      <c r="T775" s="268"/>
      <c r="U775" s="269" t="s">
        <v>154</v>
      </c>
      <c r="V775" s="269">
        <v>1680000</v>
      </c>
      <c r="W775" s="278">
        <v>140000</v>
      </c>
      <c r="X775" s="270"/>
      <c r="Y775" s="262" t="s">
        <v>24</v>
      </c>
      <c r="Z775" s="271" t="s">
        <v>27</v>
      </c>
      <c r="AA775" s="287"/>
      <c r="AB775" s="287"/>
      <c r="AC775" s="272">
        <f t="shared" si="25"/>
        <v>490000</v>
      </c>
      <c r="AD775" s="272">
        <v>490000</v>
      </c>
      <c r="AE775" s="272">
        <f t="shared" si="26"/>
        <v>0</v>
      </c>
      <c r="AF775" s="273"/>
      <c r="AG775" s="274"/>
      <c r="AH775" s="273"/>
      <c r="AI775" s="273"/>
      <c r="AJ775" s="274"/>
      <c r="AK775" s="273"/>
      <c r="AL775" s="275">
        <v>490000</v>
      </c>
      <c r="AM775" s="290">
        <v>490000</v>
      </c>
      <c r="AN775" s="275"/>
      <c r="AO775" s="276"/>
      <c r="AP775" s="275"/>
      <c r="AQ775" s="275"/>
      <c r="AR775" s="275"/>
      <c r="AS775" s="275"/>
      <c r="AT775" s="275"/>
      <c r="AU775" s="275"/>
      <c r="AV775" s="275"/>
      <c r="AW775" s="275"/>
      <c r="AX775" s="275"/>
      <c r="AY775" s="275"/>
      <c r="AZ775" s="275"/>
      <c r="BA775" s="275"/>
      <c r="BB775" s="275"/>
      <c r="BC775" s="275"/>
      <c r="BD775" s="275"/>
      <c r="BE775" s="275"/>
      <c r="BF775" s="275"/>
      <c r="BH775" s="277"/>
    </row>
    <row r="776" spans="1:60" ht="16.5" hidden="1" customHeight="1" x14ac:dyDescent="0.3">
      <c r="A776" s="260">
        <v>754</v>
      </c>
      <c r="B776" s="261"/>
      <c r="C776" s="261"/>
      <c r="D776" s="262" t="s">
        <v>15</v>
      </c>
      <c r="E776" s="262" t="s">
        <v>237</v>
      </c>
      <c r="F776" s="263" t="s">
        <v>15</v>
      </c>
      <c r="G776" s="264" t="s">
        <v>237</v>
      </c>
      <c r="H776" s="281"/>
      <c r="I776" s="265"/>
      <c r="J776" s="266" t="s">
        <v>256</v>
      </c>
      <c r="K776" s="262"/>
      <c r="L776" s="262"/>
      <c r="M776" s="262">
        <v>1728</v>
      </c>
      <c r="N776" s="262" t="s">
        <v>22</v>
      </c>
      <c r="O776" s="262" t="s">
        <v>35</v>
      </c>
      <c r="P776" s="262"/>
      <c r="Q776" s="262" t="s">
        <v>18</v>
      </c>
      <c r="R776" s="262" t="s">
        <v>19</v>
      </c>
      <c r="S776" s="267" t="s">
        <v>19</v>
      </c>
      <c r="T776" s="268"/>
      <c r="U776" s="269"/>
      <c r="V776" s="269">
        <v>0</v>
      </c>
      <c r="W776" s="278">
        <v>0</v>
      </c>
      <c r="X776" s="270"/>
      <c r="Y776" s="262" t="s">
        <v>25</v>
      </c>
      <c r="Z776" s="271" t="s">
        <v>25</v>
      </c>
      <c r="AA776" s="287"/>
      <c r="AB776" s="287"/>
      <c r="AC776" s="272">
        <f t="shared" si="25"/>
        <v>5000000</v>
      </c>
      <c r="AD776" s="272">
        <v>5000000</v>
      </c>
      <c r="AE776" s="272">
        <f t="shared" si="26"/>
        <v>0</v>
      </c>
      <c r="AF776" s="273"/>
      <c r="AG776" s="274"/>
      <c r="AH776" s="273"/>
      <c r="AI776" s="273"/>
      <c r="AJ776" s="274"/>
      <c r="AK776" s="273"/>
      <c r="AL776" s="275"/>
      <c r="AM776" s="290"/>
      <c r="AN776" s="275"/>
      <c r="AO776" s="276"/>
      <c r="AP776" s="275"/>
      <c r="AQ776" s="275"/>
      <c r="AR776" s="275"/>
      <c r="AS776" s="275">
        <v>5000000</v>
      </c>
      <c r="AT776" s="275"/>
      <c r="AU776" s="275"/>
      <c r="AV776" s="275"/>
      <c r="AW776" s="275"/>
      <c r="AX776" s="275"/>
      <c r="AY776" s="275"/>
      <c r="AZ776" s="275"/>
      <c r="BA776" s="275"/>
      <c r="BB776" s="275"/>
      <c r="BC776" s="275"/>
      <c r="BD776" s="275"/>
      <c r="BE776" s="275"/>
      <c r="BF776" s="275"/>
      <c r="BH776" s="277"/>
    </row>
    <row r="777" spans="1:60" ht="16.5" hidden="1" customHeight="1" x14ac:dyDescent="0.3">
      <c r="A777" s="260">
        <v>755</v>
      </c>
      <c r="B777" s="261"/>
      <c r="C777" s="261"/>
      <c r="D777" s="262" t="s">
        <v>15</v>
      </c>
      <c r="E777" s="262" t="s">
        <v>237</v>
      </c>
      <c r="F777" s="263" t="s">
        <v>15</v>
      </c>
      <c r="G777" s="264" t="s">
        <v>237</v>
      </c>
      <c r="H777" s="281"/>
      <c r="I777" s="265"/>
      <c r="J777" s="266" t="s">
        <v>257</v>
      </c>
      <c r="K777" s="262"/>
      <c r="L777" s="262"/>
      <c r="M777" s="262">
        <v>44010</v>
      </c>
      <c r="N777" s="262" t="s">
        <v>53</v>
      </c>
      <c r="O777" s="262" t="s">
        <v>56</v>
      </c>
      <c r="P777" s="262" t="s">
        <v>124</v>
      </c>
      <c r="Q777" s="262" t="s">
        <v>30</v>
      </c>
      <c r="R777" s="262" t="s">
        <v>31</v>
      </c>
      <c r="S777" s="267" t="s">
        <v>31</v>
      </c>
      <c r="T777" s="268"/>
      <c r="U777" s="269"/>
      <c r="V777" s="269">
        <v>1534000</v>
      </c>
      <c r="W777" s="278">
        <v>0</v>
      </c>
      <c r="X777" s="270"/>
      <c r="Y777" s="262" t="s">
        <v>24</v>
      </c>
      <c r="Z777" s="271" t="s">
        <v>24</v>
      </c>
      <c r="AA777" s="287"/>
      <c r="AB777" s="287"/>
      <c r="AC777" s="272">
        <f t="shared" si="25"/>
        <v>1000000</v>
      </c>
      <c r="AD777" s="272">
        <v>1000000</v>
      </c>
      <c r="AE777" s="272">
        <f t="shared" si="26"/>
        <v>0</v>
      </c>
      <c r="AF777" s="273"/>
      <c r="AG777" s="274"/>
      <c r="AH777" s="273"/>
      <c r="AI777" s="273"/>
      <c r="AJ777" s="274"/>
      <c r="AK777" s="273"/>
      <c r="AL777" s="275"/>
      <c r="AM777" s="290"/>
      <c r="AN777" s="275"/>
      <c r="AO777" s="276"/>
      <c r="AP777" s="275"/>
      <c r="AQ777" s="275"/>
      <c r="AR777" s="275"/>
      <c r="AS777" s="275"/>
      <c r="AT777" s="275"/>
      <c r="AU777" s="275">
        <v>1000000</v>
      </c>
      <c r="AV777" s="275"/>
      <c r="AW777" s="275"/>
      <c r="AX777" s="275"/>
      <c r="AY777" s="275"/>
      <c r="AZ777" s="275"/>
      <c r="BA777" s="275"/>
      <c r="BB777" s="275"/>
      <c r="BC777" s="275"/>
      <c r="BD777" s="275"/>
      <c r="BE777" s="275"/>
      <c r="BF777" s="275"/>
      <c r="BH777" s="277"/>
    </row>
    <row r="778" spans="1:60" ht="16.5" hidden="1" customHeight="1" x14ac:dyDescent="0.3">
      <c r="A778" s="260">
        <v>756</v>
      </c>
      <c r="B778" s="261"/>
      <c r="C778" s="261"/>
      <c r="D778" s="262" t="s">
        <v>15</v>
      </c>
      <c r="E778" s="262" t="s">
        <v>237</v>
      </c>
      <c r="F778" s="263" t="s">
        <v>15</v>
      </c>
      <c r="G778" s="264" t="s">
        <v>237</v>
      </c>
      <c r="H778" s="281"/>
      <c r="I778" s="265"/>
      <c r="J778" s="266" t="s">
        <v>257</v>
      </c>
      <c r="K778" s="262"/>
      <c r="L778" s="262"/>
      <c r="M778" s="262">
        <v>44010</v>
      </c>
      <c r="N778" s="262" t="s">
        <v>53</v>
      </c>
      <c r="O778" s="262" t="s">
        <v>56</v>
      </c>
      <c r="P778" s="262" t="s">
        <v>124</v>
      </c>
      <c r="Q778" s="262" t="s">
        <v>26</v>
      </c>
      <c r="R778" s="262" t="s">
        <v>468</v>
      </c>
      <c r="S778" s="267" t="s">
        <v>468</v>
      </c>
      <c r="T778" s="268"/>
      <c r="U778" s="269"/>
      <c r="V778" s="269">
        <v>1200000</v>
      </c>
      <c r="W778" s="278">
        <v>2800000</v>
      </c>
      <c r="X778" s="270"/>
      <c r="Y778" s="262" t="s">
        <v>27</v>
      </c>
      <c r="Z778" s="271" t="s">
        <v>24</v>
      </c>
      <c r="AA778" s="287"/>
      <c r="AB778" s="287"/>
      <c r="AC778" s="272">
        <f t="shared" si="25"/>
        <v>5000000</v>
      </c>
      <c r="AD778" s="272">
        <v>5000000</v>
      </c>
      <c r="AE778" s="272">
        <f t="shared" si="26"/>
        <v>0</v>
      </c>
      <c r="AF778" s="273"/>
      <c r="AG778" s="274"/>
      <c r="AH778" s="273"/>
      <c r="AI778" s="273"/>
      <c r="AJ778" s="274"/>
      <c r="AK778" s="273"/>
      <c r="AL778" s="275"/>
      <c r="AM778" s="290"/>
      <c r="AN778" s="275"/>
      <c r="AO778" s="276"/>
      <c r="AP778" s="275"/>
      <c r="AQ778" s="275">
        <v>1500000</v>
      </c>
      <c r="AR778" s="275"/>
      <c r="AS778" s="275"/>
      <c r="AT778" s="275"/>
      <c r="AU778" s="275"/>
      <c r="AV778" s="275"/>
      <c r="AW778" s="275">
        <v>1500000</v>
      </c>
      <c r="AX778" s="275"/>
      <c r="AY778" s="275"/>
      <c r="AZ778" s="275"/>
      <c r="BA778" s="275">
        <v>2000000</v>
      </c>
      <c r="BB778" s="275"/>
      <c r="BC778" s="275"/>
      <c r="BD778" s="275"/>
      <c r="BE778" s="275"/>
      <c r="BF778" s="275"/>
      <c r="BH778" s="277"/>
    </row>
    <row r="779" spans="1:60" ht="16.5" hidden="1" customHeight="1" x14ac:dyDescent="0.3">
      <c r="A779" s="260">
        <v>757</v>
      </c>
      <c r="B779" s="261"/>
      <c r="C779" s="261"/>
      <c r="D779" s="262" t="s">
        <v>15</v>
      </c>
      <c r="E779" s="262" t="s">
        <v>237</v>
      </c>
      <c r="F779" s="263" t="s">
        <v>15</v>
      </c>
      <c r="G779" s="264" t="s">
        <v>237</v>
      </c>
      <c r="H779" s="281"/>
      <c r="I779" s="265"/>
      <c r="J779" s="266" t="s">
        <v>258</v>
      </c>
      <c r="K779" s="262"/>
      <c r="L779" s="262"/>
      <c r="M779" s="262">
        <v>4834</v>
      </c>
      <c r="N779" s="262" t="s">
        <v>22</v>
      </c>
      <c r="O779" s="262" t="s">
        <v>178</v>
      </c>
      <c r="P779" s="262" t="s">
        <v>124</v>
      </c>
      <c r="Q779" s="262" t="s">
        <v>30</v>
      </c>
      <c r="R779" s="262" t="s">
        <v>31</v>
      </c>
      <c r="S779" s="267" t="s">
        <v>31</v>
      </c>
      <c r="T779" s="268"/>
      <c r="U779" s="269">
        <v>47104000</v>
      </c>
      <c r="V779" s="269">
        <v>0</v>
      </c>
      <c r="W779" s="278">
        <v>0</v>
      </c>
      <c r="X779" s="270"/>
      <c r="Y779" s="262" t="s">
        <v>24</v>
      </c>
      <c r="Z779" s="271" t="s">
        <v>24</v>
      </c>
      <c r="AA779" s="287"/>
      <c r="AB779" s="287"/>
      <c r="AC779" s="272">
        <f t="shared" si="25"/>
        <v>50000000</v>
      </c>
      <c r="AD779" s="272">
        <v>50000000</v>
      </c>
      <c r="AE779" s="272">
        <f t="shared" si="26"/>
        <v>0</v>
      </c>
      <c r="AF779" s="273"/>
      <c r="AG779" s="274"/>
      <c r="AH779" s="273"/>
      <c r="AI779" s="273"/>
      <c r="AJ779" s="274"/>
      <c r="AK779" s="273"/>
      <c r="AL779" s="275"/>
      <c r="AM779" s="290"/>
      <c r="AN779" s="275"/>
      <c r="AO779" s="276"/>
      <c r="AP779" s="275"/>
      <c r="AQ779" s="275"/>
      <c r="AR779" s="275"/>
      <c r="AS779" s="275"/>
      <c r="AT779" s="275"/>
      <c r="AU779" s="275">
        <v>50000000</v>
      </c>
      <c r="AV779" s="275"/>
      <c r="AW779" s="275"/>
      <c r="AX779" s="275"/>
      <c r="AY779" s="275"/>
      <c r="AZ779" s="275"/>
      <c r="BA779" s="275"/>
      <c r="BB779" s="275"/>
      <c r="BC779" s="275"/>
      <c r="BD779" s="275"/>
      <c r="BE779" s="275"/>
      <c r="BF779" s="275"/>
      <c r="BH779" s="277"/>
    </row>
    <row r="780" spans="1:60" ht="16.5" hidden="1" customHeight="1" x14ac:dyDescent="0.3">
      <c r="A780" s="260">
        <v>758</v>
      </c>
      <c r="B780" s="261"/>
      <c r="C780" s="261"/>
      <c r="D780" s="262" t="s">
        <v>15</v>
      </c>
      <c r="E780" s="262" t="s">
        <v>237</v>
      </c>
      <c r="F780" s="263" t="s">
        <v>15</v>
      </c>
      <c r="G780" s="264" t="s">
        <v>237</v>
      </c>
      <c r="H780" s="281"/>
      <c r="I780" s="265"/>
      <c r="J780" s="266" t="s">
        <v>258</v>
      </c>
      <c r="K780" s="262"/>
      <c r="L780" s="262"/>
      <c r="M780" s="262">
        <v>4834</v>
      </c>
      <c r="N780" s="262" t="s">
        <v>22</v>
      </c>
      <c r="O780" s="262" t="s">
        <v>35</v>
      </c>
      <c r="P780" s="262" t="s">
        <v>124</v>
      </c>
      <c r="Q780" s="262" t="s">
        <v>44</v>
      </c>
      <c r="R780" s="262" t="s">
        <v>469</v>
      </c>
      <c r="S780" s="267" t="s">
        <v>469</v>
      </c>
      <c r="T780" s="268"/>
      <c r="U780" s="269"/>
      <c r="V780" s="269">
        <v>0</v>
      </c>
      <c r="W780" s="278">
        <v>9200000</v>
      </c>
      <c r="X780" s="270"/>
      <c r="Y780" s="262" t="s">
        <v>27</v>
      </c>
      <c r="Z780" s="271" t="s">
        <v>24</v>
      </c>
      <c r="AA780" s="287"/>
      <c r="AB780" s="287"/>
      <c r="AC780" s="272">
        <f t="shared" si="25"/>
        <v>30000000</v>
      </c>
      <c r="AD780" s="272">
        <v>30000000</v>
      </c>
      <c r="AE780" s="272">
        <f t="shared" si="26"/>
        <v>0</v>
      </c>
      <c r="AF780" s="273"/>
      <c r="AG780" s="274"/>
      <c r="AH780" s="273"/>
      <c r="AI780" s="273"/>
      <c r="AJ780" s="274"/>
      <c r="AK780" s="273"/>
      <c r="AL780" s="275"/>
      <c r="AM780" s="290"/>
      <c r="AN780" s="275"/>
      <c r="AO780" s="276"/>
      <c r="AP780" s="275"/>
      <c r="AQ780" s="291">
        <v>30000000</v>
      </c>
      <c r="AR780" s="275"/>
      <c r="AS780" s="275"/>
      <c r="AT780" s="275"/>
      <c r="AU780" s="275"/>
      <c r="AV780" s="275"/>
      <c r="AW780" s="275"/>
      <c r="AX780" s="275"/>
      <c r="AY780" s="275"/>
      <c r="AZ780" s="275"/>
      <c r="BA780" s="275"/>
      <c r="BB780" s="275"/>
      <c r="BC780" s="275"/>
      <c r="BD780" s="275"/>
      <c r="BE780" s="275"/>
      <c r="BF780" s="275"/>
      <c r="BH780" s="277"/>
    </row>
    <row r="781" spans="1:60" ht="16.5" hidden="1" customHeight="1" x14ac:dyDescent="0.3">
      <c r="A781" s="260">
        <v>759</v>
      </c>
      <c r="B781" s="261"/>
      <c r="C781" s="261"/>
      <c r="D781" s="262" t="s">
        <v>15</v>
      </c>
      <c r="E781" s="262" t="s">
        <v>237</v>
      </c>
      <c r="F781" s="263" t="s">
        <v>15</v>
      </c>
      <c r="G781" s="264" t="s">
        <v>237</v>
      </c>
      <c r="H781" s="281"/>
      <c r="I781" s="265"/>
      <c r="J781" s="266" t="s">
        <v>258</v>
      </c>
      <c r="K781" s="262"/>
      <c r="L781" s="262"/>
      <c r="M781" s="262">
        <v>4834</v>
      </c>
      <c r="N781" s="262" t="s">
        <v>22</v>
      </c>
      <c r="O781" s="262" t="s">
        <v>35</v>
      </c>
      <c r="P781" s="262" t="s">
        <v>124</v>
      </c>
      <c r="Q781" s="262"/>
      <c r="R781" s="262"/>
      <c r="S781" s="267" t="s">
        <v>828</v>
      </c>
      <c r="T781" s="268"/>
      <c r="U781" s="269"/>
      <c r="V781" s="269"/>
      <c r="W781" s="278">
        <v>0</v>
      </c>
      <c r="X781" s="270"/>
      <c r="Y781" s="262"/>
      <c r="Z781" s="271" t="s">
        <v>25</v>
      </c>
      <c r="AA781" s="287"/>
      <c r="AB781" s="287"/>
      <c r="AC781" s="272">
        <f t="shared" si="25"/>
        <v>10000000</v>
      </c>
      <c r="AD781" s="272">
        <v>10000000</v>
      </c>
      <c r="AE781" s="272">
        <f t="shared" si="26"/>
        <v>0</v>
      </c>
      <c r="AF781" s="273"/>
      <c r="AG781" s="274"/>
      <c r="AH781" s="273"/>
      <c r="AI781" s="273"/>
      <c r="AJ781" s="274"/>
      <c r="AK781" s="273"/>
      <c r="AL781" s="275"/>
      <c r="AM781" s="290"/>
      <c r="AN781" s="275"/>
      <c r="AO781" s="276"/>
      <c r="AP781" s="275"/>
      <c r="AQ781" s="275">
        <v>10000000</v>
      </c>
      <c r="AR781" s="275"/>
      <c r="AS781" s="275"/>
      <c r="AT781" s="275"/>
      <c r="AU781" s="275"/>
      <c r="AV781" s="275"/>
      <c r="AW781" s="275"/>
      <c r="AX781" s="275"/>
      <c r="AY781" s="275"/>
      <c r="AZ781" s="275"/>
      <c r="BA781" s="275"/>
      <c r="BB781" s="275"/>
      <c r="BC781" s="275"/>
      <c r="BD781" s="275"/>
      <c r="BE781" s="275"/>
      <c r="BF781" s="275"/>
      <c r="BH781" s="277"/>
    </row>
    <row r="782" spans="1:60" ht="16.5" hidden="1" customHeight="1" x14ac:dyDescent="0.3">
      <c r="A782" s="260">
        <v>760</v>
      </c>
      <c r="B782" s="261"/>
      <c r="C782" s="261"/>
      <c r="D782" s="262"/>
      <c r="E782" s="262"/>
      <c r="F782" s="263" t="s">
        <v>15</v>
      </c>
      <c r="G782" s="264" t="s">
        <v>237</v>
      </c>
      <c r="H782" s="281"/>
      <c r="I782" s="265"/>
      <c r="J782" s="266" t="s">
        <v>258</v>
      </c>
      <c r="K782" s="262"/>
      <c r="L782" s="262"/>
      <c r="M782" s="262">
        <v>4834</v>
      </c>
      <c r="N782" s="262" t="s">
        <v>22</v>
      </c>
      <c r="O782" s="262" t="s">
        <v>35</v>
      </c>
      <c r="P782" s="262" t="s">
        <v>124</v>
      </c>
      <c r="Q782" s="262"/>
      <c r="R782" s="262"/>
      <c r="S782" s="267" t="s">
        <v>830</v>
      </c>
      <c r="T782" s="268"/>
      <c r="U782" s="269"/>
      <c r="V782" s="269"/>
      <c r="W782" s="278">
        <v>0</v>
      </c>
      <c r="X782" s="270"/>
      <c r="Y782" s="262"/>
      <c r="Z782" s="271" t="s">
        <v>25</v>
      </c>
      <c r="AA782" s="287"/>
      <c r="AB782" s="287"/>
      <c r="AC782" s="272">
        <f t="shared" si="25"/>
        <v>10000000</v>
      </c>
      <c r="AD782" s="272">
        <v>10000000</v>
      </c>
      <c r="AE782" s="272">
        <f t="shared" si="26"/>
        <v>0</v>
      </c>
      <c r="AF782" s="273"/>
      <c r="AG782" s="274"/>
      <c r="AH782" s="273"/>
      <c r="AI782" s="273"/>
      <c r="AJ782" s="274"/>
      <c r="AK782" s="273"/>
      <c r="AL782" s="275"/>
      <c r="AM782" s="290"/>
      <c r="AN782" s="275"/>
      <c r="AO782" s="276"/>
      <c r="AP782" s="275"/>
      <c r="AQ782" s="275"/>
      <c r="AR782" s="275"/>
      <c r="AS782" s="275"/>
      <c r="AT782" s="275"/>
      <c r="AU782" s="275"/>
      <c r="AV782" s="275"/>
      <c r="AW782" s="275"/>
      <c r="AX782" s="275"/>
      <c r="AY782" s="275">
        <v>10000000</v>
      </c>
      <c r="AZ782" s="275"/>
      <c r="BA782" s="275"/>
      <c r="BB782" s="275"/>
      <c r="BC782" s="275"/>
      <c r="BD782" s="275"/>
      <c r="BE782" s="275"/>
      <c r="BF782" s="275"/>
      <c r="BH782" s="277"/>
    </row>
    <row r="783" spans="1:60" ht="16.5" hidden="1" customHeight="1" x14ac:dyDescent="0.3">
      <c r="A783" s="260">
        <v>761</v>
      </c>
      <c r="B783" s="261"/>
      <c r="C783" s="261"/>
      <c r="D783" s="262" t="s">
        <v>15</v>
      </c>
      <c r="E783" s="262" t="s">
        <v>237</v>
      </c>
      <c r="F783" s="263" t="s">
        <v>15</v>
      </c>
      <c r="G783" s="264" t="s">
        <v>237</v>
      </c>
      <c r="H783" s="281"/>
      <c r="I783" s="265"/>
      <c r="J783" s="266" t="s">
        <v>258</v>
      </c>
      <c r="K783" s="262"/>
      <c r="L783" s="262"/>
      <c r="M783" s="262">
        <v>4834</v>
      </c>
      <c r="N783" s="262" t="s">
        <v>22</v>
      </c>
      <c r="O783" s="262" t="s">
        <v>35</v>
      </c>
      <c r="P783" s="262" t="s">
        <v>124</v>
      </c>
      <c r="Q783" s="262"/>
      <c r="R783" s="262"/>
      <c r="S783" s="267" t="s">
        <v>829</v>
      </c>
      <c r="T783" s="268"/>
      <c r="U783" s="269"/>
      <c r="V783" s="269"/>
      <c r="W783" s="278">
        <v>0</v>
      </c>
      <c r="X783" s="270"/>
      <c r="Y783" s="262"/>
      <c r="Z783" s="271" t="s">
        <v>27</v>
      </c>
      <c r="AA783" s="287"/>
      <c r="AB783" s="287"/>
      <c r="AC783" s="272">
        <f t="shared" si="25"/>
        <v>290000</v>
      </c>
      <c r="AD783" s="272">
        <v>290000</v>
      </c>
      <c r="AE783" s="272">
        <f t="shared" si="26"/>
        <v>0</v>
      </c>
      <c r="AF783" s="273"/>
      <c r="AG783" s="274"/>
      <c r="AH783" s="273"/>
      <c r="AI783" s="273"/>
      <c r="AJ783" s="274">
        <v>290000</v>
      </c>
      <c r="AK783" s="273"/>
      <c r="AL783" s="275"/>
      <c r="AM783" s="290"/>
      <c r="AN783" s="275"/>
      <c r="AO783" s="276"/>
      <c r="AP783" s="275"/>
      <c r="AQ783" s="275"/>
      <c r="AR783" s="275"/>
      <c r="AS783" s="275"/>
      <c r="AT783" s="275"/>
      <c r="AU783" s="275"/>
      <c r="AV783" s="275"/>
      <c r="AW783" s="275"/>
      <c r="AX783" s="275"/>
      <c r="AY783" s="275"/>
      <c r="AZ783" s="275"/>
      <c r="BA783" s="275"/>
      <c r="BB783" s="275"/>
      <c r="BC783" s="275"/>
      <c r="BD783" s="275"/>
      <c r="BE783" s="275"/>
      <c r="BF783" s="275"/>
      <c r="BH783" s="277"/>
    </row>
    <row r="784" spans="1:60" ht="16.5" hidden="1" customHeight="1" x14ac:dyDescent="0.3">
      <c r="A784" s="260">
        <v>762</v>
      </c>
      <c r="B784" s="261"/>
      <c r="C784" s="261"/>
      <c r="D784" s="262" t="s">
        <v>15</v>
      </c>
      <c r="E784" s="262" t="s">
        <v>237</v>
      </c>
      <c r="F784" s="263" t="s">
        <v>15</v>
      </c>
      <c r="G784" s="264" t="s">
        <v>237</v>
      </c>
      <c r="H784" s="281"/>
      <c r="I784" s="265"/>
      <c r="J784" s="266" t="s">
        <v>719</v>
      </c>
      <c r="K784" s="262"/>
      <c r="L784" s="262"/>
      <c r="M784" s="262">
        <v>4834</v>
      </c>
      <c r="N784" s="262" t="s">
        <v>22</v>
      </c>
      <c r="O784" s="262" t="s">
        <v>35</v>
      </c>
      <c r="P784" s="262" t="s">
        <v>124</v>
      </c>
      <c r="Q784" s="262"/>
      <c r="R784" s="262" t="s">
        <v>397</v>
      </c>
      <c r="S784" s="267" t="s">
        <v>823</v>
      </c>
      <c r="T784" s="268"/>
      <c r="U784" s="269"/>
      <c r="V784" s="269"/>
      <c r="W784" s="278">
        <v>0</v>
      </c>
      <c r="X784" s="270"/>
      <c r="Y784" s="262" t="s">
        <v>25</v>
      </c>
      <c r="Z784" s="271" t="s">
        <v>25</v>
      </c>
      <c r="AA784" s="287"/>
      <c r="AB784" s="287"/>
      <c r="AC784" s="272">
        <f t="shared" si="25"/>
        <v>70000000</v>
      </c>
      <c r="AD784" s="272">
        <v>70000000</v>
      </c>
      <c r="AE784" s="272">
        <f t="shared" si="26"/>
        <v>0</v>
      </c>
      <c r="AF784" s="273"/>
      <c r="AG784" s="274"/>
      <c r="AH784" s="273"/>
      <c r="AI784" s="273"/>
      <c r="AJ784" s="274"/>
      <c r="AK784" s="273"/>
      <c r="AL784" s="275"/>
      <c r="AM784" s="290"/>
      <c r="AN784" s="275"/>
      <c r="AO784" s="276"/>
      <c r="AP784" s="275"/>
      <c r="AQ784" s="291">
        <v>70000000</v>
      </c>
      <c r="AR784" s="275"/>
      <c r="AS784" s="275"/>
      <c r="AT784" s="275"/>
      <c r="AU784" s="275"/>
      <c r="AV784" s="275"/>
      <c r="AW784" s="275"/>
      <c r="AX784" s="275"/>
      <c r="AY784" s="275"/>
      <c r="AZ784" s="275"/>
      <c r="BA784" s="275"/>
      <c r="BB784" s="275"/>
      <c r="BC784" s="275"/>
      <c r="BD784" s="275"/>
      <c r="BE784" s="275"/>
      <c r="BF784" s="275"/>
      <c r="BH784" s="277"/>
    </row>
    <row r="785" spans="1:60" ht="16.5" hidden="1" customHeight="1" x14ac:dyDescent="0.3">
      <c r="A785" s="260">
        <v>763</v>
      </c>
      <c r="B785" s="261"/>
      <c r="C785" s="261"/>
      <c r="D785" s="262" t="s">
        <v>15</v>
      </c>
      <c r="E785" s="262" t="s">
        <v>237</v>
      </c>
      <c r="F785" s="263" t="s">
        <v>15</v>
      </c>
      <c r="G785" s="264" t="s">
        <v>237</v>
      </c>
      <c r="H785" s="281"/>
      <c r="I785" s="265"/>
      <c r="J785" s="266" t="s">
        <v>259</v>
      </c>
      <c r="K785" s="262"/>
      <c r="L785" s="262"/>
      <c r="M785" s="262">
        <v>13683</v>
      </c>
      <c r="N785" s="262" t="s">
        <v>22</v>
      </c>
      <c r="O785" s="262" t="s">
        <v>35</v>
      </c>
      <c r="P785" s="262" t="s">
        <v>57</v>
      </c>
      <c r="Q785" s="262" t="s">
        <v>63</v>
      </c>
      <c r="R785" s="262" t="s">
        <v>28</v>
      </c>
      <c r="S785" s="267" t="s">
        <v>28</v>
      </c>
      <c r="T785" s="268"/>
      <c r="U785" s="269">
        <v>29602854</v>
      </c>
      <c r="V785" s="269">
        <v>24191700</v>
      </c>
      <c r="W785" s="278">
        <v>0</v>
      </c>
      <c r="X785" s="270"/>
      <c r="Y785" s="262" t="s">
        <v>562</v>
      </c>
      <c r="Z785" s="271" t="s">
        <v>25</v>
      </c>
      <c r="AA785" s="287"/>
      <c r="AB785" s="287"/>
      <c r="AC785" s="272">
        <f t="shared" si="25"/>
        <v>25000000</v>
      </c>
      <c r="AD785" s="272">
        <v>25000000</v>
      </c>
      <c r="AE785" s="272">
        <f t="shared" si="26"/>
        <v>0</v>
      </c>
      <c r="AF785" s="273"/>
      <c r="AG785" s="274"/>
      <c r="AH785" s="273"/>
      <c r="AI785" s="273"/>
      <c r="AJ785" s="274"/>
      <c r="AK785" s="273"/>
      <c r="AL785" s="275"/>
      <c r="AM785" s="290"/>
      <c r="AN785" s="275"/>
      <c r="AO785" s="276"/>
      <c r="AP785" s="275"/>
      <c r="AQ785" s="275"/>
      <c r="AR785" s="275"/>
      <c r="AS785" s="275"/>
      <c r="AT785" s="275"/>
      <c r="AU785" s="275"/>
      <c r="AV785" s="275"/>
      <c r="AW785" s="275"/>
      <c r="AX785" s="275"/>
      <c r="AY785" s="275"/>
      <c r="AZ785" s="275"/>
      <c r="BA785" s="275"/>
      <c r="BB785" s="275"/>
      <c r="BC785" s="275"/>
      <c r="BD785" s="275"/>
      <c r="BE785" s="275">
        <v>25000000</v>
      </c>
      <c r="BF785" s="275"/>
      <c r="BH785" s="277"/>
    </row>
    <row r="786" spans="1:60" ht="16.5" hidden="1" customHeight="1" x14ac:dyDescent="0.3">
      <c r="A786" s="260">
        <v>764</v>
      </c>
      <c r="B786" s="261"/>
      <c r="C786" s="261"/>
      <c r="D786" s="262" t="s">
        <v>15</v>
      </c>
      <c r="E786" s="262" t="s">
        <v>237</v>
      </c>
      <c r="F786" s="263" t="s">
        <v>15</v>
      </c>
      <c r="G786" s="264" t="s">
        <v>237</v>
      </c>
      <c r="H786" s="281"/>
      <c r="I786" s="265"/>
      <c r="J786" s="266" t="s">
        <v>259</v>
      </c>
      <c r="K786" s="262"/>
      <c r="L786" s="262"/>
      <c r="M786" s="262">
        <v>13683</v>
      </c>
      <c r="N786" s="262" t="s">
        <v>22</v>
      </c>
      <c r="O786" s="262" t="s">
        <v>56</v>
      </c>
      <c r="P786" s="262" t="s">
        <v>57</v>
      </c>
      <c r="Q786" s="262" t="s">
        <v>46</v>
      </c>
      <c r="R786" s="262" t="s">
        <v>47</v>
      </c>
      <c r="S786" s="267" t="s">
        <v>47</v>
      </c>
      <c r="T786" s="268"/>
      <c r="U786" s="269">
        <v>4400000</v>
      </c>
      <c r="V786" s="269">
        <v>9000000</v>
      </c>
      <c r="W786" s="278">
        <v>0</v>
      </c>
      <c r="X786" s="270"/>
      <c r="Y786" s="262" t="s">
        <v>27</v>
      </c>
      <c r="Z786" s="271" t="s">
        <v>24</v>
      </c>
      <c r="AA786" s="287"/>
      <c r="AB786" s="287"/>
      <c r="AC786" s="272">
        <f t="shared" si="25"/>
        <v>0</v>
      </c>
      <c r="AD786" s="272">
        <v>0</v>
      </c>
      <c r="AE786" s="272">
        <f t="shared" si="26"/>
        <v>0</v>
      </c>
      <c r="AF786" s="273"/>
      <c r="AG786" s="274"/>
      <c r="AH786" s="273"/>
      <c r="AI786" s="273"/>
      <c r="AJ786" s="274"/>
      <c r="AK786" s="273"/>
      <c r="AL786" s="275"/>
      <c r="AM786" s="290"/>
      <c r="AN786" s="275"/>
      <c r="AO786" s="276"/>
      <c r="AP786" s="275"/>
      <c r="AQ786" s="275"/>
      <c r="AR786" s="275"/>
      <c r="AS786" s="275"/>
      <c r="AT786" s="275"/>
      <c r="AU786" s="275"/>
      <c r="AV786" s="275"/>
      <c r="AW786" s="275"/>
      <c r="AX786" s="275"/>
      <c r="AY786" s="275"/>
      <c r="AZ786" s="275"/>
      <c r="BA786" s="275"/>
      <c r="BB786" s="275"/>
      <c r="BC786" s="275"/>
      <c r="BD786" s="275"/>
      <c r="BE786" s="275"/>
      <c r="BF786" s="275"/>
      <c r="BH786" s="277"/>
    </row>
    <row r="787" spans="1:60" ht="16.5" hidden="1" customHeight="1" x14ac:dyDescent="0.3">
      <c r="A787" s="260">
        <v>765</v>
      </c>
      <c r="B787" s="261"/>
      <c r="C787" s="261"/>
      <c r="D787" s="262"/>
      <c r="E787" s="262"/>
      <c r="F787" s="263" t="s">
        <v>15</v>
      </c>
      <c r="G787" s="264" t="s">
        <v>237</v>
      </c>
      <c r="H787" s="281"/>
      <c r="I787" s="265"/>
      <c r="J787" s="266" t="s">
        <v>259</v>
      </c>
      <c r="K787" s="262"/>
      <c r="L787" s="262"/>
      <c r="M787" s="262">
        <v>13683</v>
      </c>
      <c r="N787" s="262" t="s">
        <v>22</v>
      </c>
      <c r="O787" s="262" t="s">
        <v>56</v>
      </c>
      <c r="P787" s="262" t="s">
        <v>57</v>
      </c>
      <c r="Q787" s="262" t="s">
        <v>46</v>
      </c>
      <c r="R787" s="262"/>
      <c r="S787" s="267" t="s">
        <v>822</v>
      </c>
      <c r="T787" s="268"/>
      <c r="U787" s="269"/>
      <c r="V787" s="269"/>
      <c r="W787" s="278">
        <v>6939727</v>
      </c>
      <c r="X787" s="270"/>
      <c r="Y787" s="262"/>
      <c r="Z787" s="271" t="s">
        <v>27</v>
      </c>
      <c r="AA787" s="287"/>
      <c r="AB787" s="287"/>
      <c r="AC787" s="272">
        <f t="shared" si="25"/>
        <v>7872727</v>
      </c>
      <c r="AD787" s="272">
        <v>7872727</v>
      </c>
      <c r="AE787" s="272">
        <f t="shared" si="26"/>
        <v>0</v>
      </c>
      <c r="AF787" s="273"/>
      <c r="AG787" s="274"/>
      <c r="AH787" s="273"/>
      <c r="AI787" s="273">
        <v>7900000</v>
      </c>
      <c r="AJ787" s="274">
        <v>7872727</v>
      </c>
      <c r="AK787" s="273"/>
      <c r="AL787" s="275"/>
      <c r="AM787" s="290"/>
      <c r="AN787" s="275"/>
      <c r="AO787" s="276"/>
      <c r="AP787" s="275"/>
      <c r="AQ787" s="275"/>
      <c r="AR787" s="275"/>
      <c r="AS787" s="275"/>
      <c r="AT787" s="275"/>
      <c r="AU787" s="275"/>
      <c r="AV787" s="275"/>
      <c r="AW787" s="275"/>
      <c r="AX787" s="275"/>
      <c r="AY787" s="275"/>
      <c r="AZ787" s="275"/>
      <c r="BA787" s="275"/>
      <c r="BB787" s="275"/>
      <c r="BC787" s="275"/>
      <c r="BD787" s="275"/>
      <c r="BE787" s="275"/>
      <c r="BF787" s="275"/>
      <c r="BH787" s="277"/>
    </row>
    <row r="788" spans="1:60" ht="16.5" hidden="1" customHeight="1" x14ac:dyDescent="0.3">
      <c r="A788" s="260">
        <v>766</v>
      </c>
      <c r="B788" s="261"/>
      <c r="C788" s="261"/>
      <c r="D788" s="262" t="s">
        <v>15</v>
      </c>
      <c r="E788" s="262" t="s">
        <v>237</v>
      </c>
      <c r="F788" s="263" t="s">
        <v>15</v>
      </c>
      <c r="G788" s="264" t="s">
        <v>237</v>
      </c>
      <c r="H788" s="281"/>
      <c r="I788" s="265"/>
      <c r="J788" s="266" t="s">
        <v>259</v>
      </c>
      <c r="K788" s="262"/>
      <c r="L788" s="262"/>
      <c r="M788" s="262">
        <v>13683</v>
      </c>
      <c r="N788" s="262"/>
      <c r="O788" s="262"/>
      <c r="P788" s="262"/>
      <c r="Q788" s="262"/>
      <c r="R788" s="262"/>
      <c r="S788" s="267" t="s">
        <v>830</v>
      </c>
      <c r="T788" s="268"/>
      <c r="U788" s="269"/>
      <c r="V788" s="269"/>
      <c r="W788" s="278">
        <v>3600000</v>
      </c>
      <c r="X788" s="270"/>
      <c r="Y788" s="262"/>
      <c r="Z788" s="271" t="s">
        <v>718</v>
      </c>
      <c r="AA788" s="287"/>
      <c r="AB788" s="287"/>
      <c r="AC788" s="272">
        <f t="shared" si="25"/>
        <v>0</v>
      </c>
      <c r="AD788" s="272">
        <v>0</v>
      </c>
      <c r="AE788" s="272">
        <f t="shared" si="26"/>
        <v>0</v>
      </c>
      <c r="AF788" s="273"/>
      <c r="AG788" s="274"/>
      <c r="AH788" s="273"/>
      <c r="AI788" s="273"/>
      <c r="AJ788" s="274"/>
      <c r="AK788" s="273"/>
      <c r="AL788" s="275"/>
      <c r="AM788" s="290"/>
      <c r="AN788" s="275"/>
      <c r="AO788" s="276"/>
      <c r="AP788" s="275"/>
      <c r="AQ788" s="275"/>
      <c r="AR788" s="275"/>
      <c r="AS788" s="275"/>
      <c r="AT788" s="275"/>
      <c r="AU788" s="275"/>
      <c r="AV788" s="275"/>
      <c r="AW788" s="275"/>
      <c r="AX788" s="275"/>
      <c r="AY788" s="275"/>
      <c r="AZ788" s="275"/>
      <c r="BA788" s="275"/>
      <c r="BB788" s="275"/>
      <c r="BC788" s="275"/>
      <c r="BD788" s="275"/>
      <c r="BE788" s="275"/>
      <c r="BF788" s="275"/>
      <c r="BH788" s="277"/>
    </row>
    <row r="789" spans="1:60" ht="16.5" hidden="1" customHeight="1" x14ac:dyDescent="0.3">
      <c r="A789" s="260">
        <v>767</v>
      </c>
      <c r="B789" s="261"/>
      <c r="C789" s="261"/>
      <c r="D789" s="262" t="s">
        <v>15</v>
      </c>
      <c r="E789" s="262" t="s">
        <v>237</v>
      </c>
      <c r="F789" s="263" t="s">
        <v>15</v>
      </c>
      <c r="G789" s="264" t="s">
        <v>237</v>
      </c>
      <c r="H789" s="281"/>
      <c r="I789" s="265"/>
      <c r="J789" s="266" t="s">
        <v>617</v>
      </c>
      <c r="K789" s="262"/>
      <c r="L789" s="262"/>
      <c r="M789" s="262">
        <v>2017</v>
      </c>
      <c r="N789" s="262" t="s">
        <v>22</v>
      </c>
      <c r="O789" s="262" t="s">
        <v>35</v>
      </c>
      <c r="P789" s="262" t="s">
        <v>156</v>
      </c>
      <c r="Q789" s="262"/>
      <c r="R789" s="262" t="s">
        <v>478</v>
      </c>
      <c r="S789" s="267" t="s">
        <v>478</v>
      </c>
      <c r="T789" s="268"/>
      <c r="U789" s="269"/>
      <c r="V789" s="269">
        <v>0</v>
      </c>
      <c r="W789" s="278">
        <v>0</v>
      </c>
      <c r="X789" s="270"/>
      <c r="Y789" s="262" t="s">
        <v>25</v>
      </c>
      <c r="Z789" s="271" t="s">
        <v>25</v>
      </c>
      <c r="AA789" s="287"/>
      <c r="AB789" s="287"/>
      <c r="AC789" s="272">
        <f t="shared" si="25"/>
        <v>10000000</v>
      </c>
      <c r="AD789" s="272">
        <v>10000000</v>
      </c>
      <c r="AE789" s="272">
        <f t="shared" si="26"/>
        <v>0</v>
      </c>
      <c r="AF789" s="273"/>
      <c r="AG789" s="274"/>
      <c r="AH789" s="273"/>
      <c r="AI789" s="273"/>
      <c r="AJ789" s="274"/>
      <c r="AK789" s="273"/>
      <c r="AL789" s="275"/>
      <c r="AM789" s="290"/>
      <c r="AN789" s="275"/>
      <c r="AO789" s="276"/>
      <c r="AP789" s="275"/>
      <c r="AQ789" s="275">
        <v>10000000</v>
      </c>
      <c r="AR789" s="275"/>
      <c r="AS789" s="275"/>
      <c r="AT789" s="275"/>
      <c r="AU789" s="275"/>
      <c r="AV789" s="275"/>
      <c r="AW789" s="275"/>
      <c r="AX789" s="275"/>
      <c r="AY789" s="275"/>
      <c r="AZ789" s="275"/>
      <c r="BA789" s="275"/>
      <c r="BB789" s="275"/>
      <c r="BC789" s="275"/>
      <c r="BD789" s="275"/>
      <c r="BE789" s="275"/>
      <c r="BF789" s="275"/>
      <c r="BH789" s="277"/>
    </row>
    <row r="790" spans="1:60" ht="16.5" hidden="1" customHeight="1" x14ac:dyDescent="0.3">
      <c r="A790" s="260">
        <v>768</v>
      </c>
      <c r="B790" s="261"/>
      <c r="C790" s="261"/>
      <c r="D790" s="262" t="s">
        <v>15</v>
      </c>
      <c r="E790" s="262" t="s">
        <v>237</v>
      </c>
      <c r="F790" s="263" t="s">
        <v>15</v>
      </c>
      <c r="G790" s="264" t="s">
        <v>237</v>
      </c>
      <c r="H790" s="281"/>
      <c r="I790" s="265"/>
      <c r="J790" s="266" t="s">
        <v>260</v>
      </c>
      <c r="K790" s="262"/>
      <c r="L790" s="262"/>
      <c r="M790" s="262">
        <v>44282</v>
      </c>
      <c r="N790" s="262" t="s">
        <v>22</v>
      </c>
      <c r="O790" s="262" t="s">
        <v>212</v>
      </c>
      <c r="P790" s="262" t="s">
        <v>57</v>
      </c>
      <c r="Q790" s="262"/>
      <c r="R790" s="262" t="s">
        <v>28</v>
      </c>
      <c r="S790" s="267" t="s">
        <v>28</v>
      </c>
      <c r="T790" s="268" t="s">
        <v>951</v>
      </c>
      <c r="U790" s="269"/>
      <c r="V790" s="269"/>
      <c r="W790" s="278">
        <v>0</v>
      </c>
      <c r="X790" s="270"/>
      <c r="Y790" s="262"/>
      <c r="Z790" s="271" t="s">
        <v>27</v>
      </c>
      <c r="AA790" s="287"/>
      <c r="AB790" s="287"/>
      <c r="AC790" s="272">
        <f t="shared" si="25"/>
        <v>74000000</v>
      </c>
      <c r="AD790" s="272">
        <v>74000000</v>
      </c>
      <c r="AE790" s="272">
        <f t="shared" si="26"/>
        <v>0</v>
      </c>
      <c r="AF790" s="273"/>
      <c r="AG790" s="274"/>
      <c r="AH790" s="273"/>
      <c r="AI790" s="273"/>
      <c r="AJ790" s="274"/>
      <c r="AK790" s="273"/>
      <c r="AL790" s="275"/>
      <c r="AM790" s="290"/>
      <c r="AN790" s="275"/>
      <c r="AO790" s="276">
        <v>8000000</v>
      </c>
      <c r="AP790" s="275"/>
      <c r="AQ790" s="275">
        <v>8000000</v>
      </c>
      <c r="AR790" s="275"/>
      <c r="AS790" s="275">
        <v>8000000</v>
      </c>
      <c r="AT790" s="275"/>
      <c r="AU790" s="275">
        <v>8000000</v>
      </c>
      <c r="AV790" s="275"/>
      <c r="AW790" s="275">
        <v>8000000</v>
      </c>
      <c r="AX790" s="275"/>
      <c r="AY790" s="275">
        <v>8000000</v>
      </c>
      <c r="AZ790" s="275"/>
      <c r="BA790" s="275">
        <v>8000000</v>
      </c>
      <c r="BB790" s="275"/>
      <c r="BC790" s="275">
        <v>8000000</v>
      </c>
      <c r="BD790" s="275"/>
      <c r="BE790" s="275">
        <v>10000000</v>
      </c>
      <c r="BF790" s="275"/>
      <c r="BH790" s="277"/>
    </row>
    <row r="791" spans="1:60" ht="16.5" hidden="1" customHeight="1" x14ac:dyDescent="0.3">
      <c r="A791" s="260">
        <v>769</v>
      </c>
      <c r="B791" s="261"/>
      <c r="C791" s="261"/>
      <c r="D791" s="262" t="s">
        <v>15</v>
      </c>
      <c r="E791" s="262" t="s">
        <v>237</v>
      </c>
      <c r="F791" s="263" t="s">
        <v>15</v>
      </c>
      <c r="G791" s="264" t="s">
        <v>237</v>
      </c>
      <c r="H791" s="281"/>
      <c r="I791" s="265"/>
      <c r="J791" s="266" t="s">
        <v>260</v>
      </c>
      <c r="K791" s="262"/>
      <c r="L791" s="262"/>
      <c r="M791" s="262">
        <v>44282</v>
      </c>
      <c r="N791" s="262" t="s">
        <v>22</v>
      </c>
      <c r="O791" s="262" t="s">
        <v>212</v>
      </c>
      <c r="P791" s="262" t="s">
        <v>57</v>
      </c>
      <c r="Q791" s="262" t="s">
        <v>63</v>
      </c>
      <c r="R791" s="262" t="s">
        <v>28</v>
      </c>
      <c r="S791" s="267" t="s">
        <v>28</v>
      </c>
      <c r="T791" s="268"/>
      <c r="U791" s="269">
        <v>125849260</v>
      </c>
      <c r="V791" s="269">
        <v>90808820</v>
      </c>
      <c r="W791" s="278">
        <v>107369260</v>
      </c>
      <c r="X791" s="270"/>
      <c r="Y791" s="262" t="s">
        <v>27</v>
      </c>
      <c r="Z791" s="271" t="s">
        <v>27</v>
      </c>
      <c r="AA791" s="287"/>
      <c r="AB791" s="287"/>
      <c r="AC791" s="272">
        <f t="shared" ref="AC791:AC854" si="27">AG791+AJ791+AM791+AO791+AQ791+AS791+AU791+AW791+AY791+BA791+BC791+BE791</f>
        <v>18742540</v>
      </c>
      <c r="AD791" s="272">
        <v>18742540</v>
      </c>
      <c r="AE791" s="272">
        <f t="shared" ref="AE791:AE854" si="28">AC791-AD791</f>
        <v>0</v>
      </c>
      <c r="AF791" s="273">
        <v>6233100</v>
      </c>
      <c r="AG791" s="274">
        <v>6233100</v>
      </c>
      <c r="AH791" s="273"/>
      <c r="AI791" s="273">
        <v>8000000</v>
      </c>
      <c r="AJ791" s="274">
        <v>6880040</v>
      </c>
      <c r="AK791" s="273" t="s">
        <v>928</v>
      </c>
      <c r="AL791" s="275">
        <v>5629400</v>
      </c>
      <c r="AM791" s="290">
        <v>5629400</v>
      </c>
      <c r="AN791" s="275"/>
      <c r="AO791" s="276"/>
      <c r="AP791" s="275"/>
      <c r="AQ791" s="275"/>
      <c r="AR791" s="275"/>
      <c r="AS791" s="275"/>
      <c r="AT791" s="275"/>
      <c r="AU791" s="275"/>
      <c r="AV791" s="275"/>
      <c r="AW791" s="275"/>
      <c r="AX791" s="275"/>
      <c r="AY791" s="275"/>
      <c r="AZ791" s="275"/>
      <c r="BA791" s="275"/>
      <c r="BB791" s="275"/>
      <c r="BC791" s="275"/>
      <c r="BD791" s="275"/>
      <c r="BE791" s="275"/>
      <c r="BF791" s="275"/>
      <c r="BH791" s="277"/>
    </row>
    <row r="792" spans="1:60" ht="16.5" hidden="1" customHeight="1" x14ac:dyDescent="0.3">
      <c r="A792" s="260">
        <v>770</v>
      </c>
      <c r="B792" s="261"/>
      <c r="C792" s="261"/>
      <c r="D792" s="262" t="s">
        <v>15</v>
      </c>
      <c r="E792" s="262" t="s">
        <v>237</v>
      </c>
      <c r="F792" s="263" t="s">
        <v>15</v>
      </c>
      <c r="G792" s="264" t="s">
        <v>237</v>
      </c>
      <c r="H792" s="281"/>
      <c r="I792" s="265"/>
      <c r="J792" s="266" t="s">
        <v>260</v>
      </c>
      <c r="K792" s="262"/>
      <c r="L792" s="262"/>
      <c r="M792" s="262">
        <v>44282</v>
      </c>
      <c r="N792" s="262" t="s">
        <v>22</v>
      </c>
      <c r="O792" s="262" t="s">
        <v>56</v>
      </c>
      <c r="P792" s="262"/>
      <c r="Q792" s="262" t="s">
        <v>30</v>
      </c>
      <c r="R792" s="262" t="s">
        <v>31</v>
      </c>
      <c r="S792" s="267" t="s">
        <v>31</v>
      </c>
      <c r="T792" s="268"/>
      <c r="U792" s="269">
        <v>12135000</v>
      </c>
      <c r="V792" s="269">
        <v>0</v>
      </c>
      <c r="W792" s="278">
        <v>0</v>
      </c>
      <c r="X792" s="270"/>
      <c r="Y792" s="262" t="s">
        <v>21</v>
      </c>
      <c r="Z792" s="271" t="s">
        <v>20</v>
      </c>
      <c r="AA792" s="287"/>
      <c r="AB792" s="287"/>
      <c r="AC792" s="272">
        <f t="shared" si="27"/>
        <v>0</v>
      </c>
      <c r="AD792" s="272">
        <v>0</v>
      </c>
      <c r="AE792" s="272">
        <f t="shared" si="28"/>
        <v>0</v>
      </c>
      <c r="AF792" s="273"/>
      <c r="AG792" s="274"/>
      <c r="AH792" s="273"/>
      <c r="AI792" s="273"/>
      <c r="AJ792" s="274"/>
      <c r="AK792" s="273"/>
      <c r="AL792" s="275"/>
      <c r="AM792" s="290"/>
      <c r="AN792" s="275"/>
      <c r="AO792" s="276"/>
      <c r="AP792" s="275"/>
      <c r="AQ792" s="275"/>
      <c r="AR792" s="275"/>
      <c r="AS792" s="275"/>
      <c r="AT792" s="275"/>
      <c r="AU792" s="275"/>
      <c r="AV792" s="275"/>
      <c r="AW792" s="275"/>
      <c r="AX792" s="275"/>
      <c r="AY792" s="275"/>
      <c r="AZ792" s="275"/>
      <c r="BA792" s="275"/>
      <c r="BB792" s="275"/>
      <c r="BC792" s="275"/>
      <c r="BD792" s="275"/>
      <c r="BE792" s="275"/>
      <c r="BF792" s="275"/>
      <c r="BH792" s="277"/>
    </row>
    <row r="793" spans="1:60" ht="16.5" hidden="1" customHeight="1" x14ac:dyDescent="0.3">
      <c r="A793" s="260">
        <v>771</v>
      </c>
      <c r="B793" s="261"/>
      <c r="C793" s="261"/>
      <c r="D793" s="262" t="s">
        <v>15</v>
      </c>
      <c r="E793" s="262" t="s">
        <v>237</v>
      </c>
      <c r="F793" s="263" t="s">
        <v>15</v>
      </c>
      <c r="G793" s="264" t="s">
        <v>237</v>
      </c>
      <c r="H793" s="281"/>
      <c r="I793" s="265"/>
      <c r="J793" s="266" t="s">
        <v>260</v>
      </c>
      <c r="K793" s="262"/>
      <c r="L793" s="262"/>
      <c r="M793" s="262">
        <v>44282</v>
      </c>
      <c r="N793" s="262" t="s">
        <v>22</v>
      </c>
      <c r="O793" s="262" t="s">
        <v>35</v>
      </c>
      <c r="P793" s="262" t="s">
        <v>57</v>
      </c>
      <c r="Q793" s="262"/>
      <c r="R793" s="262"/>
      <c r="S793" s="267" t="s">
        <v>828</v>
      </c>
      <c r="T793" s="268"/>
      <c r="U793" s="269"/>
      <c r="V793" s="269"/>
      <c r="W793" s="278">
        <v>0</v>
      </c>
      <c r="X793" s="270"/>
      <c r="Y793" s="262"/>
      <c r="Z793" s="271" t="s">
        <v>25</v>
      </c>
      <c r="AA793" s="287"/>
      <c r="AB793" s="287"/>
      <c r="AC793" s="272">
        <f t="shared" si="27"/>
        <v>0</v>
      </c>
      <c r="AD793" s="272">
        <v>0</v>
      </c>
      <c r="AE793" s="272">
        <f t="shared" si="28"/>
        <v>0</v>
      </c>
      <c r="AF793" s="273"/>
      <c r="AG793" s="274"/>
      <c r="AH793" s="273"/>
      <c r="AI793" s="273"/>
      <c r="AJ793" s="274"/>
      <c r="AK793" s="273"/>
      <c r="AL793" s="275"/>
      <c r="AM793" s="290"/>
      <c r="AN793" s="275"/>
      <c r="AO793" s="276"/>
      <c r="AP793" s="275"/>
      <c r="AQ793" s="275"/>
      <c r="AR793" s="275"/>
      <c r="AS793" s="275"/>
      <c r="AT793" s="275"/>
      <c r="AU793" s="275"/>
      <c r="AV793" s="275"/>
      <c r="AW793" s="275"/>
      <c r="AX793" s="275"/>
      <c r="AY793" s="275"/>
      <c r="AZ793" s="275"/>
      <c r="BA793" s="275"/>
      <c r="BB793" s="275"/>
      <c r="BC793" s="275"/>
      <c r="BD793" s="275"/>
      <c r="BE793" s="275"/>
      <c r="BF793" s="275"/>
      <c r="BH793" s="277"/>
    </row>
    <row r="794" spans="1:60" ht="16.5" hidden="1" customHeight="1" x14ac:dyDescent="0.3">
      <c r="A794" s="260">
        <v>772</v>
      </c>
      <c r="B794" s="261"/>
      <c r="C794" s="261"/>
      <c r="D794" s="262" t="s">
        <v>15</v>
      </c>
      <c r="E794" s="262" t="s">
        <v>237</v>
      </c>
      <c r="F794" s="263" t="s">
        <v>15</v>
      </c>
      <c r="G794" s="264" t="s">
        <v>237</v>
      </c>
      <c r="H794" s="281"/>
      <c r="I794" s="265"/>
      <c r="J794" s="266" t="s">
        <v>260</v>
      </c>
      <c r="K794" s="262"/>
      <c r="L794" s="262"/>
      <c r="M794" s="262">
        <v>44282</v>
      </c>
      <c r="N794" s="262" t="s">
        <v>22</v>
      </c>
      <c r="O794" s="262" t="s">
        <v>56</v>
      </c>
      <c r="P794" s="262" t="s">
        <v>57</v>
      </c>
      <c r="Q794" s="262" t="s">
        <v>23</v>
      </c>
      <c r="R794" s="262" t="s">
        <v>397</v>
      </c>
      <c r="S794" s="267" t="s">
        <v>823</v>
      </c>
      <c r="T794" s="268"/>
      <c r="U794" s="269">
        <v>250000</v>
      </c>
      <c r="V794" s="269">
        <v>0</v>
      </c>
      <c r="W794" s="278">
        <v>6500000</v>
      </c>
      <c r="X794" s="270"/>
      <c r="Y794" s="262" t="s">
        <v>21</v>
      </c>
      <c r="Z794" s="271" t="s">
        <v>27</v>
      </c>
      <c r="AA794" s="287"/>
      <c r="AB794" s="287"/>
      <c r="AC794" s="272">
        <f t="shared" si="27"/>
        <v>6560000</v>
      </c>
      <c r="AD794" s="272">
        <v>6560000</v>
      </c>
      <c r="AE794" s="272">
        <f t="shared" si="28"/>
        <v>0</v>
      </c>
      <c r="AF794" s="273"/>
      <c r="AG794" s="274"/>
      <c r="AH794" s="273"/>
      <c r="AI794" s="273">
        <v>6560000</v>
      </c>
      <c r="AJ794" s="274">
        <v>1800000</v>
      </c>
      <c r="AK794" s="273" t="s">
        <v>931</v>
      </c>
      <c r="AL794" s="275">
        <v>4760000</v>
      </c>
      <c r="AM794" s="290"/>
      <c r="AN794" s="275"/>
      <c r="AO794" s="276">
        <v>4760000</v>
      </c>
      <c r="AP794" s="275"/>
      <c r="AQ794" s="275"/>
      <c r="AR794" s="275"/>
      <c r="AS794" s="275"/>
      <c r="AT794" s="275"/>
      <c r="AU794" s="275"/>
      <c r="AV794" s="275"/>
      <c r="AW794" s="275"/>
      <c r="AX794" s="275"/>
      <c r="AY794" s="275"/>
      <c r="AZ794" s="275"/>
      <c r="BA794" s="275"/>
      <c r="BB794" s="275"/>
      <c r="BC794" s="275"/>
      <c r="BD794" s="275"/>
      <c r="BE794" s="275"/>
      <c r="BF794" s="275"/>
      <c r="BH794" s="277"/>
    </row>
    <row r="795" spans="1:60" ht="16.5" hidden="1" customHeight="1" x14ac:dyDescent="0.3">
      <c r="A795" s="260">
        <v>773</v>
      </c>
      <c r="B795" s="261"/>
      <c r="C795" s="261"/>
      <c r="D795" s="262" t="s">
        <v>15</v>
      </c>
      <c r="E795" s="262" t="s">
        <v>237</v>
      </c>
      <c r="F795" s="263" t="s">
        <v>15</v>
      </c>
      <c r="G795" s="264" t="s">
        <v>237</v>
      </c>
      <c r="H795" s="281"/>
      <c r="I795" s="265"/>
      <c r="J795" s="266" t="s">
        <v>260</v>
      </c>
      <c r="K795" s="262"/>
      <c r="L795" s="262"/>
      <c r="M795" s="262">
        <v>44282</v>
      </c>
      <c r="N795" s="262" t="s">
        <v>22</v>
      </c>
      <c r="O795" s="262" t="s">
        <v>56</v>
      </c>
      <c r="P795" s="262" t="s">
        <v>57</v>
      </c>
      <c r="Q795" s="262" t="s">
        <v>261</v>
      </c>
      <c r="R795" s="262" t="s">
        <v>471</v>
      </c>
      <c r="S795" s="267" t="s">
        <v>831</v>
      </c>
      <c r="T795" s="268"/>
      <c r="U795" s="269">
        <v>970000</v>
      </c>
      <c r="V795" s="269">
        <v>4300000</v>
      </c>
      <c r="W795" s="278">
        <v>0</v>
      </c>
      <c r="X795" s="270"/>
      <c r="Y795" s="262" t="s">
        <v>24</v>
      </c>
      <c r="Z795" s="271" t="s">
        <v>24</v>
      </c>
      <c r="AA795" s="287"/>
      <c r="AB795" s="287"/>
      <c r="AC795" s="272">
        <f t="shared" si="27"/>
        <v>2000000</v>
      </c>
      <c r="AD795" s="272">
        <v>2000000</v>
      </c>
      <c r="AE795" s="272">
        <f t="shared" si="28"/>
        <v>0</v>
      </c>
      <c r="AF795" s="273"/>
      <c r="AG795" s="274"/>
      <c r="AH795" s="273"/>
      <c r="AI795" s="273"/>
      <c r="AJ795" s="274"/>
      <c r="AK795" s="273"/>
      <c r="AL795" s="275"/>
      <c r="AM795" s="290"/>
      <c r="AN795" s="275"/>
      <c r="AO795" s="276"/>
      <c r="AP795" s="275"/>
      <c r="AQ795" s="275"/>
      <c r="AR795" s="275"/>
      <c r="AS795" s="275"/>
      <c r="AT795" s="275"/>
      <c r="AU795" s="275"/>
      <c r="AV795" s="275"/>
      <c r="AW795" s="275"/>
      <c r="AX795" s="275"/>
      <c r="AY795" s="275">
        <v>2000000</v>
      </c>
      <c r="AZ795" s="275"/>
      <c r="BA795" s="275"/>
      <c r="BB795" s="275"/>
      <c r="BC795" s="275"/>
      <c r="BD795" s="275"/>
      <c r="BE795" s="275"/>
      <c r="BF795" s="275"/>
      <c r="BH795" s="277"/>
    </row>
    <row r="796" spans="1:60" ht="16.5" hidden="1" customHeight="1" x14ac:dyDescent="0.3">
      <c r="A796" s="260">
        <v>774</v>
      </c>
      <c r="B796" s="261"/>
      <c r="C796" s="261"/>
      <c r="D796" s="262" t="s">
        <v>15</v>
      </c>
      <c r="E796" s="262" t="s">
        <v>237</v>
      </c>
      <c r="F796" s="263" t="s">
        <v>15</v>
      </c>
      <c r="G796" s="264" t="s">
        <v>237</v>
      </c>
      <c r="H796" s="281"/>
      <c r="I796" s="265"/>
      <c r="J796" s="266" t="s">
        <v>260</v>
      </c>
      <c r="K796" s="262"/>
      <c r="L796" s="262"/>
      <c r="M796" s="262">
        <v>44282</v>
      </c>
      <c r="N796" s="262" t="s">
        <v>22</v>
      </c>
      <c r="O796" s="262" t="s">
        <v>212</v>
      </c>
      <c r="P796" s="262" t="s">
        <v>57</v>
      </c>
      <c r="Q796" s="262" t="s">
        <v>111</v>
      </c>
      <c r="R796" s="262" t="s">
        <v>472</v>
      </c>
      <c r="S796" s="267" t="s">
        <v>824</v>
      </c>
      <c r="T796" s="268"/>
      <c r="U796" s="269"/>
      <c r="V796" s="269">
        <v>18000000</v>
      </c>
      <c r="W796" s="278">
        <v>18000000</v>
      </c>
      <c r="X796" s="270"/>
      <c r="Y796" s="262" t="s">
        <v>27</v>
      </c>
      <c r="Z796" s="271" t="s">
        <v>27</v>
      </c>
      <c r="AA796" s="287"/>
      <c r="AB796" s="287"/>
      <c r="AC796" s="272">
        <f t="shared" si="27"/>
        <v>18000000</v>
      </c>
      <c r="AD796" s="272">
        <v>18000000</v>
      </c>
      <c r="AE796" s="272">
        <f t="shared" si="28"/>
        <v>0</v>
      </c>
      <c r="AF796" s="273"/>
      <c r="AG796" s="274"/>
      <c r="AH796" s="273"/>
      <c r="AI796" s="273"/>
      <c r="AJ796" s="274"/>
      <c r="AK796" s="273"/>
      <c r="AL796" s="275"/>
      <c r="AM796" s="290"/>
      <c r="AN796" s="275"/>
      <c r="AO796" s="276">
        <v>18000000</v>
      </c>
      <c r="AP796" s="275"/>
      <c r="AQ796" s="275"/>
      <c r="AR796" s="275"/>
      <c r="AS796" s="275"/>
      <c r="AT796" s="275"/>
      <c r="AU796" s="275"/>
      <c r="AV796" s="275"/>
      <c r="AW796" s="275"/>
      <c r="AX796" s="275"/>
      <c r="AY796" s="275"/>
      <c r="AZ796" s="275"/>
      <c r="BA796" s="275"/>
      <c r="BB796" s="275"/>
      <c r="BC796" s="275"/>
      <c r="BD796" s="275"/>
      <c r="BE796" s="275"/>
      <c r="BF796" s="275"/>
      <c r="BH796" s="277"/>
    </row>
    <row r="797" spans="1:60" ht="16.5" hidden="1" customHeight="1" x14ac:dyDescent="0.3">
      <c r="A797" s="260">
        <v>775</v>
      </c>
      <c r="B797" s="261"/>
      <c r="C797" s="261"/>
      <c r="D797" s="262" t="s">
        <v>15</v>
      </c>
      <c r="E797" s="262" t="s">
        <v>237</v>
      </c>
      <c r="F797" s="263" t="s">
        <v>15</v>
      </c>
      <c r="G797" s="264" t="s">
        <v>237</v>
      </c>
      <c r="H797" s="281"/>
      <c r="I797" s="265"/>
      <c r="J797" s="266" t="s">
        <v>260</v>
      </c>
      <c r="K797" s="262"/>
      <c r="L797" s="262"/>
      <c r="M797" s="262">
        <v>44282</v>
      </c>
      <c r="N797" s="262" t="s">
        <v>22</v>
      </c>
      <c r="O797" s="262" t="s">
        <v>35</v>
      </c>
      <c r="P797" s="262" t="s">
        <v>57</v>
      </c>
      <c r="Q797" s="262"/>
      <c r="R797" s="262"/>
      <c r="S797" s="267" t="s">
        <v>830</v>
      </c>
      <c r="T797" s="268"/>
      <c r="U797" s="269"/>
      <c r="V797" s="269"/>
      <c r="W797" s="278">
        <v>0</v>
      </c>
      <c r="X797" s="270"/>
      <c r="Y797" s="262"/>
      <c r="Z797" s="271" t="s">
        <v>25</v>
      </c>
      <c r="AA797" s="287"/>
      <c r="AB797" s="287"/>
      <c r="AC797" s="272">
        <f t="shared" si="27"/>
        <v>20000000</v>
      </c>
      <c r="AD797" s="272">
        <v>20000000</v>
      </c>
      <c r="AE797" s="272">
        <f t="shared" si="28"/>
        <v>0</v>
      </c>
      <c r="AF797" s="273"/>
      <c r="AG797" s="274"/>
      <c r="AH797" s="273"/>
      <c r="AI797" s="273"/>
      <c r="AJ797" s="274"/>
      <c r="AK797" s="273"/>
      <c r="AL797" s="275"/>
      <c r="AM797" s="290"/>
      <c r="AN797" s="275"/>
      <c r="AO797" s="276"/>
      <c r="AP797" s="275"/>
      <c r="AQ797" s="275"/>
      <c r="AR797" s="275"/>
      <c r="AS797" s="275"/>
      <c r="AT797" s="275"/>
      <c r="AU797" s="275"/>
      <c r="AV797" s="275"/>
      <c r="AW797" s="275"/>
      <c r="AX797" s="275"/>
      <c r="AY797" s="275">
        <v>20000000</v>
      </c>
      <c r="AZ797" s="275"/>
      <c r="BA797" s="275"/>
      <c r="BB797" s="275"/>
      <c r="BC797" s="275"/>
      <c r="BD797" s="275"/>
      <c r="BE797" s="275"/>
      <c r="BF797" s="275"/>
      <c r="BH797" s="277"/>
    </row>
    <row r="798" spans="1:60" ht="16.5" hidden="1" customHeight="1" x14ac:dyDescent="0.3">
      <c r="A798" s="260">
        <v>776</v>
      </c>
      <c r="B798" s="261"/>
      <c r="C798" s="261"/>
      <c r="D798" s="262" t="s">
        <v>15</v>
      </c>
      <c r="E798" s="262" t="s">
        <v>237</v>
      </c>
      <c r="F798" s="263" t="s">
        <v>15</v>
      </c>
      <c r="G798" s="264" t="s">
        <v>237</v>
      </c>
      <c r="H798" s="281"/>
      <c r="I798" s="265"/>
      <c r="J798" s="266" t="s">
        <v>970</v>
      </c>
      <c r="K798" s="262"/>
      <c r="L798" s="262"/>
      <c r="M798" s="262">
        <v>44282</v>
      </c>
      <c r="N798" s="262" t="s">
        <v>22</v>
      </c>
      <c r="O798" s="262" t="s">
        <v>35</v>
      </c>
      <c r="P798" s="262" t="s">
        <v>57</v>
      </c>
      <c r="Q798" s="262"/>
      <c r="R798" s="262" t="s">
        <v>478</v>
      </c>
      <c r="S798" s="267" t="s">
        <v>478</v>
      </c>
      <c r="T798" s="268"/>
      <c r="U798" s="269"/>
      <c r="V798" s="269"/>
      <c r="W798" s="278">
        <v>0</v>
      </c>
      <c r="X798" s="270"/>
      <c r="Y798" s="262" t="s">
        <v>25</v>
      </c>
      <c r="Z798" s="271" t="s">
        <v>25</v>
      </c>
      <c r="AA798" s="287"/>
      <c r="AB798" s="287"/>
      <c r="AC798" s="272">
        <f t="shared" si="27"/>
        <v>80000000</v>
      </c>
      <c r="AD798" s="272">
        <v>80000000</v>
      </c>
      <c r="AE798" s="272">
        <f t="shared" si="28"/>
        <v>0</v>
      </c>
      <c r="AF798" s="273"/>
      <c r="AG798" s="274"/>
      <c r="AH798" s="273"/>
      <c r="AI798" s="273"/>
      <c r="AJ798" s="274"/>
      <c r="AK798" s="273"/>
      <c r="AL798" s="275"/>
      <c r="AM798" s="290"/>
      <c r="AN798" s="275"/>
      <c r="AO798" s="276"/>
      <c r="AP798" s="275"/>
      <c r="AQ798" s="291">
        <v>80000000</v>
      </c>
      <c r="AR798" s="275"/>
      <c r="AS798" s="275"/>
      <c r="AT798" s="275"/>
      <c r="AU798" s="275"/>
      <c r="AV798" s="275"/>
      <c r="AW798" s="275"/>
      <c r="AX798" s="275"/>
      <c r="AY798" s="275"/>
      <c r="AZ798" s="275"/>
      <c r="BA798" s="275"/>
      <c r="BB798" s="275"/>
      <c r="BC798" s="275"/>
      <c r="BD798" s="275"/>
      <c r="BE798" s="275"/>
      <c r="BF798" s="275"/>
      <c r="BH798" s="277"/>
    </row>
    <row r="799" spans="1:60" ht="16.5" hidden="1" customHeight="1" x14ac:dyDescent="0.3">
      <c r="A799" s="260">
        <v>777</v>
      </c>
      <c r="B799" s="261"/>
      <c r="C799" s="261"/>
      <c r="D799" s="262" t="s">
        <v>15</v>
      </c>
      <c r="E799" s="262" t="s">
        <v>237</v>
      </c>
      <c r="F799" s="263" t="s">
        <v>15</v>
      </c>
      <c r="G799" s="264" t="s">
        <v>237</v>
      </c>
      <c r="H799" s="281"/>
      <c r="I799" s="265"/>
      <c r="J799" s="266" t="s">
        <v>262</v>
      </c>
      <c r="K799" s="262"/>
      <c r="L799" s="262"/>
      <c r="M799" s="262">
        <v>28736</v>
      </c>
      <c r="N799" s="262" t="s">
        <v>17</v>
      </c>
      <c r="O799" s="262" t="s">
        <v>56</v>
      </c>
      <c r="P799" s="262" t="s">
        <v>57</v>
      </c>
      <c r="Q799" s="262" t="s">
        <v>30</v>
      </c>
      <c r="R799" s="262" t="s">
        <v>31</v>
      </c>
      <c r="S799" s="267" t="s">
        <v>31</v>
      </c>
      <c r="T799" s="268"/>
      <c r="U799" s="269">
        <v>2728000</v>
      </c>
      <c r="V799" s="269">
        <v>2144000</v>
      </c>
      <c r="W799" s="278">
        <v>2408000</v>
      </c>
      <c r="X799" s="270"/>
      <c r="Y799" s="262" t="s">
        <v>27</v>
      </c>
      <c r="Z799" s="271" t="s">
        <v>24</v>
      </c>
      <c r="AA799" s="287"/>
      <c r="AB799" s="287"/>
      <c r="AC799" s="272">
        <f t="shared" si="27"/>
        <v>3000000</v>
      </c>
      <c r="AD799" s="272">
        <v>3000000</v>
      </c>
      <c r="AE799" s="272">
        <f t="shared" si="28"/>
        <v>0</v>
      </c>
      <c r="AF799" s="273"/>
      <c r="AG799" s="274"/>
      <c r="AH799" s="273"/>
      <c r="AI799" s="273"/>
      <c r="AJ799" s="274"/>
      <c r="AK799" s="273"/>
      <c r="AL799" s="275"/>
      <c r="AM799" s="290"/>
      <c r="AN799" s="275"/>
      <c r="AO799" s="276"/>
      <c r="AP799" s="275"/>
      <c r="AQ799" s="275"/>
      <c r="AR799" s="275"/>
      <c r="AS799" s="275"/>
      <c r="AT799" s="275"/>
      <c r="AU799" s="275"/>
      <c r="AV799" s="275"/>
      <c r="AW799" s="275"/>
      <c r="AX799" s="275"/>
      <c r="AY799" s="275"/>
      <c r="AZ799" s="275"/>
      <c r="BA799" s="275"/>
      <c r="BB799" s="275"/>
      <c r="BC799" s="275"/>
      <c r="BD799" s="275"/>
      <c r="BE799" s="275">
        <v>3000000</v>
      </c>
      <c r="BF799" s="275"/>
      <c r="BH799" s="277"/>
    </row>
    <row r="800" spans="1:60" ht="16.5" hidden="1" customHeight="1" x14ac:dyDescent="0.3">
      <c r="A800" s="260">
        <v>778</v>
      </c>
      <c r="B800" s="261"/>
      <c r="C800" s="261"/>
      <c r="D800" s="262" t="s">
        <v>15</v>
      </c>
      <c r="E800" s="262" t="s">
        <v>237</v>
      </c>
      <c r="F800" s="263" t="s">
        <v>15</v>
      </c>
      <c r="G800" s="264" t="s">
        <v>237</v>
      </c>
      <c r="H800" s="281"/>
      <c r="I800" s="265"/>
      <c r="J800" s="266" t="s">
        <v>774</v>
      </c>
      <c r="K800" s="262"/>
      <c r="L800" s="262"/>
      <c r="M800" s="262">
        <v>41692</v>
      </c>
      <c r="N800" s="262" t="s">
        <v>22</v>
      </c>
      <c r="O800" s="262" t="s">
        <v>56</v>
      </c>
      <c r="P800" s="262" t="s">
        <v>57</v>
      </c>
      <c r="Q800" s="262" t="s">
        <v>30</v>
      </c>
      <c r="R800" s="262" t="s">
        <v>31</v>
      </c>
      <c r="S800" s="267" t="s">
        <v>31</v>
      </c>
      <c r="T800" s="268"/>
      <c r="U800" s="269"/>
      <c r="V800" s="269">
        <v>400000</v>
      </c>
      <c r="W800" s="278">
        <v>664000</v>
      </c>
      <c r="X800" s="270"/>
      <c r="Y800" s="262" t="s">
        <v>27</v>
      </c>
      <c r="Z800" s="271" t="s">
        <v>24</v>
      </c>
      <c r="AA800" s="287"/>
      <c r="AB800" s="287"/>
      <c r="AC800" s="272">
        <f t="shared" si="27"/>
        <v>0</v>
      </c>
      <c r="AD800" s="272">
        <v>0</v>
      </c>
      <c r="AE800" s="272">
        <f t="shared" si="28"/>
        <v>0</v>
      </c>
      <c r="AF800" s="273"/>
      <c r="AG800" s="274"/>
      <c r="AH800" s="273"/>
      <c r="AI800" s="273"/>
      <c r="AJ800" s="274"/>
      <c r="AK800" s="273"/>
      <c r="AL800" s="275"/>
      <c r="AM800" s="290"/>
      <c r="AN800" s="275"/>
      <c r="AO800" s="276"/>
      <c r="AP800" s="275"/>
      <c r="AQ800" s="275"/>
      <c r="AR800" s="275"/>
      <c r="AS800" s="275"/>
      <c r="AT800" s="275"/>
      <c r="AU800" s="275"/>
      <c r="AV800" s="275"/>
      <c r="AW800" s="275"/>
      <c r="AX800" s="275"/>
      <c r="AY800" s="275"/>
      <c r="AZ800" s="275"/>
      <c r="BA800" s="275"/>
      <c r="BB800" s="275"/>
      <c r="BC800" s="275"/>
      <c r="BD800" s="275"/>
      <c r="BE800" s="275"/>
      <c r="BF800" s="275"/>
      <c r="BH800" s="277"/>
    </row>
    <row r="801" spans="1:60" ht="16.5" hidden="1" customHeight="1" x14ac:dyDescent="0.3">
      <c r="A801" s="260">
        <v>779</v>
      </c>
      <c r="B801" s="261"/>
      <c r="C801" s="261"/>
      <c r="D801" s="262" t="s">
        <v>15</v>
      </c>
      <c r="E801" s="262" t="s">
        <v>237</v>
      </c>
      <c r="F801" s="263" t="s">
        <v>15</v>
      </c>
      <c r="G801" s="264" t="s">
        <v>237</v>
      </c>
      <c r="H801" s="281"/>
      <c r="I801" s="265"/>
      <c r="J801" s="266" t="s">
        <v>196</v>
      </c>
      <c r="K801" s="262"/>
      <c r="L801" s="262"/>
      <c r="M801" s="262">
        <v>13636</v>
      </c>
      <c r="N801" s="262" t="s">
        <v>22</v>
      </c>
      <c r="O801" s="262" t="s">
        <v>212</v>
      </c>
      <c r="P801" s="262" t="s">
        <v>57</v>
      </c>
      <c r="Q801" s="262" t="s">
        <v>63</v>
      </c>
      <c r="R801" s="262" t="s">
        <v>28</v>
      </c>
      <c r="S801" s="267" t="s">
        <v>28</v>
      </c>
      <c r="T801" s="268" t="s">
        <v>951</v>
      </c>
      <c r="U801" s="269">
        <v>129235720</v>
      </c>
      <c r="V801" s="269">
        <v>164994800</v>
      </c>
      <c r="W801" s="278">
        <v>152739000</v>
      </c>
      <c r="X801" s="270"/>
      <c r="Y801" s="262" t="s">
        <v>27</v>
      </c>
      <c r="Z801" s="271" t="s">
        <v>27</v>
      </c>
      <c r="AA801" s="287"/>
      <c r="AB801" s="287"/>
      <c r="AC801" s="272">
        <f t="shared" si="27"/>
        <v>142094700</v>
      </c>
      <c r="AD801" s="272">
        <v>142094700</v>
      </c>
      <c r="AE801" s="272">
        <f t="shared" si="28"/>
        <v>0</v>
      </c>
      <c r="AF801" s="273"/>
      <c r="AG801" s="274"/>
      <c r="AH801" s="273"/>
      <c r="AI801" s="273"/>
      <c r="AJ801" s="274"/>
      <c r="AK801" s="273"/>
      <c r="AL801" s="275">
        <v>13994700</v>
      </c>
      <c r="AM801" s="290">
        <v>13994700</v>
      </c>
      <c r="AN801" s="275"/>
      <c r="AO801" s="276">
        <v>12000000</v>
      </c>
      <c r="AP801" s="275"/>
      <c r="AQ801" s="275">
        <v>12000000</v>
      </c>
      <c r="AR801" s="275"/>
      <c r="AS801" s="275">
        <v>12000000</v>
      </c>
      <c r="AT801" s="275"/>
      <c r="AU801" s="275">
        <v>12100000</v>
      </c>
      <c r="AV801" s="275"/>
      <c r="AW801" s="275">
        <v>14000000</v>
      </c>
      <c r="AX801" s="275"/>
      <c r="AY801" s="275">
        <v>14000000</v>
      </c>
      <c r="AZ801" s="275"/>
      <c r="BA801" s="275">
        <v>14000000</v>
      </c>
      <c r="BB801" s="275"/>
      <c r="BC801" s="275">
        <v>14000000</v>
      </c>
      <c r="BD801" s="275"/>
      <c r="BE801" s="275">
        <v>24000000</v>
      </c>
      <c r="BF801" s="275"/>
      <c r="BH801" s="277"/>
    </row>
    <row r="802" spans="1:60" ht="16.5" hidden="1" customHeight="1" x14ac:dyDescent="0.3">
      <c r="A802" s="260">
        <v>780</v>
      </c>
      <c r="B802" s="261"/>
      <c r="C802" s="261"/>
      <c r="D802" s="262" t="s">
        <v>15</v>
      </c>
      <c r="E802" s="262" t="s">
        <v>237</v>
      </c>
      <c r="F802" s="263" t="s">
        <v>15</v>
      </c>
      <c r="G802" s="264" t="s">
        <v>237</v>
      </c>
      <c r="H802" s="281"/>
      <c r="I802" s="265"/>
      <c r="J802" s="266" t="s">
        <v>196</v>
      </c>
      <c r="K802" s="262"/>
      <c r="L802" s="262"/>
      <c r="M802" s="262">
        <v>13636</v>
      </c>
      <c r="N802" s="262" t="s">
        <v>22</v>
      </c>
      <c r="O802" s="262" t="s">
        <v>35</v>
      </c>
      <c r="P802" s="262" t="s">
        <v>57</v>
      </c>
      <c r="Q802" s="262"/>
      <c r="R802" s="262"/>
      <c r="S802" s="267" t="s">
        <v>830</v>
      </c>
      <c r="T802" s="268"/>
      <c r="U802" s="269"/>
      <c r="V802" s="269"/>
      <c r="W802" s="278">
        <v>0</v>
      </c>
      <c r="X802" s="270"/>
      <c r="Y802" s="262"/>
      <c r="Z802" s="271" t="s">
        <v>25</v>
      </c>
      <c r="AA802" s="287"/>
      <c r="AB802" s="287"/>
      <c r="AC802" s="272">
        <f t="shared" si="27"/>
        <v>10000000</v>
      </c>
      <c r="AD802" s="272">
        <v>10000000</v>
      </c>
      <c r="AE802" s="272">
        <f t="shared" si="28"/>
        <v>0</v>
      </c>
      <c r="AF802" s="273"/>
      <c r="AG802" s="274"/>
      <c r="AH802" s="273"/>
      <c r="AI802" s="273"/>
      <c r="AJ802" s="274"/>
      <c r="AK802" s="273"/>
      <c r="AL802" s="275"/>
      <c r="AM802" s="290"/>
      <c r="AN802" s="275"/>
      <c r="AO802" s="276"/>
      <c r="AP802" s="275"/>
      <c r="AQ802" s="275"/>
      <c r="AR802" s="275"/>
      <c r="AS802" s="275"/>
      <c r="AT802" s="275"/>
      <c r="AU802" s="275"/>
      <c r="AV802" s="275"/>
      <c r="AW802" s="275"/>
      <c r="AX802" s="275"/>
      <c r="AY802" s="275">
        <v>10000000</v>
      </c>
      <c r="AZ802" s="275"/>
      <c r="BA802" s="275"/>
      <c r="BB802" s="275"/>
      <c r="BC802" s="275"/>
      <c r="BD802" s="275"/>
      <c r="BE802" s="275"/>
      <c r="BF802" s="275"/>
      <c r="BH802" s="277"/>
    </row>
    <row r="803" spans="1:60" ht="16.5" hidden="1" customHeight="1" x14ac:dyDescent="0.3">
      <c r="A803" s="260">
        <v>781</v>
      </c>
      <c r="B803" s="261"/>
      <c r="C803" s="261"/>
      <c r="D803" s="262" t="s">
        <v>112</v>
      </c>
      <c r="E803" s="262" t="s">
        <v>701</v>
      </c>
      <c r="F803" s="263" t="s">
        <v>15</v>
      </c>
      <c r="G803" s="264" t="s">
        <v>237</v>
      </c>
      <c r="H803" s="281"/>
      <c r="I803" s="265"/>
      <c r="J803" s="266" t="s">
        <v>775</v>
      </c>
      <c r="K803" s="262"/>
      <c r="L803" s="262"/>
      <c r="M803" s="262">
        <v>13636</v>
      </c>
      <c r="N803" s="262" t="s">
        <v>22</v>
      </c>
      <c r="O803" s="262" t="s">
        <v>35</v>
      </c>
      <c r="P803" s="262" t="s">
        <v>57</v>
      </c>
      <c r="Q803" s="262"/>
      <c r="R803" s="262"/>
      <c r="S803" s="267" t="s">
        <v>468</v>
      </c>
      <c r="T803" s="268"/>
      <c r="U803" s="269"/>
      <c r="V803" s="269"/>
      <c r="W803" s="278">
        <v>0</v>
      </c>
      <c r="X803" s="270"/>
      <c r="Y803" s="262"/>
      <c r="Z803" s="271" t="s">
        <v>25</v>
      </c>
      <c r="AA803" s="287"/>
      <c r="AB803" s="287"/>
      <c r="AC803" s="272">
        <f t="shared" si="27"/>
        <v>30000000</v>
      </c>
      <c r="AD803" s="272">
        <v>30000000</v>
      </c>
      <c r="AE803" s="272">
        <f t="shared" si="28"/>
        <v>0</v>
      </c>
      <c r="AF803" s="273"/>
      <c r="AG803" s="274"/>
      <c r="AH803" s="273"/>
      <c r="AI803" s="273"/>
      <c r="AJ803" s="274"/>
      <c r="AK803" s="273"/>
      <c r="AL803" s="275"/>
      <c r="AM803" s="290"/>
      <c r="AN803" s="275"/>
      <c r="AO803" s="276"/>
      <c r="AP803" s="275"/>
      <c r="AQ803" s="275">
        <v>30000000</v>
      </c>
      <c r="AR803" s="275"/>
      <c r="AS803" s="275"/>
      <c r="AT803" s="275"/>
      <c r="AU803" s="275"/>
      <c r="AV803" s="275"/>
      <c r="AW803" s="275"/>
      <c r="AX803" s="275"/>
      <c r="AY803" s="275"/>
      <c r="AZ803" s="275"/>
      <c r="BA803" s="275"/>
      <c r="BB803" s="275"/>
      <c r="BC803" s="275"/>
      <c r="BD803" s="275"/>
      <c r="BE803" s="275"/>
      <c r="BF803" s="275"/>
      <c r="BH803" s="277"/>
    </row>
    <row r="804" spans="1:60" ht="16.5" hidden="1" customHeight="1" x14ac:dyDescent="0.3">
      <c r="A804" s="260">
        <v>782</v>
      </c>
      <c r="B804" s="261"/>
      <c r="C804" s="261"/>
      <c r="D804" s="262" t="s">
        <v>15</v>
      </c>
      <c r="E804" s="262" t="s">
        <v>237</v>
      </c>
      <c r="F804" s="263" t="s">
        <v>15</v>
      </c>
      <c r="G804" s="264" t="s">
        <v>237</v>
      </c>
      <c r="H804" s="281"/>
      <c r="I804" s="265"/>
      <c r="J804" s="266" t="s">
        <v>794</v>
      </c>
      <c r="K804" s="262"/>
      <c r="L804" s="262"/>
      <c r="M804" s="262">
        <v>16143</v>
      </c>
      <c r="N804" s="262" t="s">
        <v>22</v>
      </c>
      <c r="O804" s="262"/>
      <c r="P804" s="262" t="s">
        <v>124</v>
      </c>
      <c r="Q804" s="262" t="s">
        <v>30</v>
      </c>
      <c r="R804" s="262" t="s">
        <v>31</v>
      </c>
      <c r="S804" s="267" t="s">
        <v>31</v>
      </c>
      <c r="T804" s="268"/>
      <c r="U804" s="269">
        <v>6750000</v>
      </c>
      <c r="V804" s="269">
        <v>6720000</v>
      </c>
      <c r="W804" s="278">
        <v>4000000</v>
      </c>
      <c r="X804" s="270"/>
      <c r="Y804" s="262" t="s">
        <v>24</v>
      </c>
      <c r="Z804" s="271" t="s">
        <v>24</v>
      </c>
      <c r="AA804" s="287"/>
      <c r="AB804" s="287"/>
      <c r="AC804" s="272">
        <f t="shared" si="27"/>
        <v>7000000</v>
      </c>
      <c r="AD804" s="272">
        <v>7000000</v>
      </c>
      <c r="AE804" s="272">
        <f t="shared" si="28"/>
        <v>0</v>
      </c>
      <c r="AF804" s="273"/>
      <c r="AG804" s="274"/>
      <c r="AH804" s="273"/>
      <c r="AI804" s="273"/>
      <c r="AJ804" s="274"/>
      <c r="AK804" s="273"/>
      <c r="AL804" s="275"/>
      <c r="AM804" s="290"/>
      <c r="AN804" s="275"/>
      <c r="AO804" s="276"/>
      <c r="AP804" s="275"/>
      <c r="AQ804" s="275"/>
      <c r="AR804" s="275"/>
      <c r="AS804" s="275"/>
      <c r="AT804" s="275"/>
      <c r="AU804" s="275"/>
      <c r="AV804" s="275"/>
      <c r="AW804" s="275"/>
      <c r="AX804" s="275"/>
      <c r="AY804" s="275"/>
      <c r="AZ804" s="275"/>
      <c r="BA804" s="275"/>
      <c r="BB804" s="275"/>
      <c r="BC804" s="275">
        <v>7000000</v>
      </c>
      <c r="BD804" s="275"/>
      <c r="BE804" s="275"/>
      <c r="BF804" s="275"/>
      <c r="BH804" s="277"/>
    </row>
    <row r="805" spans="1:60" ht="16.5" hidden="1" customHeight="1" x14ac:dyDescent="0.3">
      <c r="A805" s="260">
        <v>783</v>
      </c>
      <c r="B805" s="261"/>
      <c r="C805" s="261"/>
      <c r="D805" s="262" t="s">
        <v>15</v>
      </c>
      <c r="E805" s="262" t="s">
        <v>237</v>
      </c>
      <c r="F805" s="263" t="s">
        <v>15</v>
      </c>
      <c r="G805" s="264" t="s">
        <v>237</v>
      </c>
      <c r="H805" s="281"/>
      <c r="I805" s="265"/>
      <c r="J805" s="266" t="s">
        <v>263</v>
      </c>
      <c r="K805" s="262"/>
      <c r="L805" s="262"/>
      <c r="M805" s="262">
        <v>55032</v>
      </c>
      <c r="N805" s="262" t="s">
        <v>22</v>
      </c>
      <c r="O805" s="262" t="s">
        <v>56</v>
      </c>
      <c r="P805" s="262" t="s">
        <v>57</v>
      </c>
      <c r="Q805" s="262" t="s">
        <v>30</v>
      </c>
      <c r="R805" s="262" t="s">
        <v>31</v>
      </c>
      <c r="S805" s="267" t="s">
        <v>31</v>
      </c>
      <c r="T805" s="268"/>
      <c r="U805" s="269">
        <v>3728000</v>
      </c>
      <c r="V805" s="269">
        <v>3579000</v>
      </c>
      <c r="W805" s="278">
        <v>0</v>
      </c>
      <c r="X805" s="270"/>
      <c r="Y805" s="262" t="s">
        <v>21</v>
      </c>
      <c r="Z805" s="271" t="s">
        <v>25</v>
      </c>
      <c r="AA805" s="287"/>
      <c r="AB805" s="287"/>
      <c r="AC805" s="272">
        <f t="shared" si="27"/>
        <v>4000000</v>
      </c>
      <c r="AD805" s="272">
        <v>4000000</v>
      </c>
      <c r="AE805" s="272">
        <f t="shared" si="28"/>
        <v>0</v>
      </c>
      <c r="AF805" s="273"/>
      <c r="AG805" s="274"/>
      <c r="AH805" s="273"/>
      <c r="AI805" s="273"/>
      <c r="AJ805" s="274"/>
      <c r="AK805" s="273"/>
      <c r="AL805" s="275"/>
      <c r="AM805" s="290"/>
      <c r="AN805" s="275"/>
      <c r="AO805" s="276"/>
      <c r="AP805" s="275"/>
      <c r="AQ805" s="275"/>
      <c r="AR805" s="275"/>
      <c r="AS805" s="275"/>
      <c r="AT805" s="275"/>
      <c r="AU805" s="275"/>
      <c r="AV805" s="275"/>
      <c r="AW805" s="275"/>
      <c r="AX805" s="275"/>
      <c r="AY805" s="275">
        <v>4000000</v>
      </c>
      <c r="AZ805" s="275"/>
      <c r="BA805" s="275"/>
      <c r="BB805" s="275"/>
      <c r="BC805" s="275"/>
      <c r="BD805" s="275"/>
      <c r="BE805" s="275"/>
      <c r="BF805" s="275"/>
      <c r="BH805" s="277"/>
    </row>
    <row r="806" spans="1:60" ht="16.5" hidden="1" customHeight="1" x14ac:dyDescent="0.3">
      <c r="A806" s="260">
        <v>784</v>
      </c>
      <c r="B806" s="261"/>
      <c r="C806" s="261"/>
      <c r="D806" s="262" t="s">
        <v>15</v>
      </c>
      <c r="E806" s="262" t="s">
        <v>237</v>
      </c>
      <c r="F806" s="263" t="s">
        <v>15</v>
      </c>
      <c r="G806" s="264" t="s">
        <v>237</v>
      </c>
      <c r="H806" s="281"/>
      <c r="I806" s="265"/>
      <c r="J806" s="266" t="s">
        <v>264</v>
      </c>
      <c r="K806" s="262"/>
      <c r="L806" s="262"/>
      <c r="M806" s="262">
        <v>20729</v>
      </c>
      <c r="N806" s="262" t="s">
        <v>22</v>
      </c>
      <c r="O806" s="262" t="s">
        <v>56</v>
      </c>
      <c r="P806" s="262"/>
      <c r="Q806" s="262" t="s">
        <v>44</v>
      </c>
      <c r="R806" s="262" t="s">
        <v>469</v>
      </c>
      <c r="S806" s="267" t="s">
        <v>469</v>
      </c>
      <c r="T806" s="268"/>
      <c r="U806" s="269">
        <v>5000000</v>
      </c>
      <c r="V806" s="269">
        <v>0</v>
      </c>
      <c r="W806" s="278">
        <v>0</v>
      </c>
      <c r="X806" s="270"/>
      <c r="Y806" s="262" t="s">
        <v>21</v>
      </c>
      <c r="Z806" s="271" t="s">
        <v>21</v>
      </c>
      <c r="AA806" s="287"/>
      <c r="AB806" s="287"/>
      <c r="AC806" s="272">
        <f t="shared" si="27"/>
        <v>0</v>
      </c>
      <c r="AD806" s="272">
        <v>0</v>
      </c>
      <c r="AE806" s="272">
        <f t="shared" si="28"/>
        <v>0</v>
      </c>
      <c r="AF806" s="273"/>
      <c r="AG806" s="274"/>
      <c r="AH806" s="273"/>
      <c r="AI806" s="273"/>
      <c r="AJ806" s="274"/>
      <c r="AK806" s="273"/>
      <c r="AL806" s="275"/>
      <c r="AM806" s="290"/>
      <c r="AN806" s="275"/>
      <c r="AO806" s="276"/>
      <c r="AP806" s="275"/>
      <c r="AQ806" s="275"/>
      <c r="AR806" s="275"/>
      <c r="AS806" s="275"/>
      <c r="AT806" s="275"/>
      <c r="AU806" s="275"/>
      <c r="AV806" s="275"/>
      <c r="AW806" s="275"/>
      <c r="AX806" s="275"/>
      <c r="AY806" s="275"/>
      <c r="AZ806" s="275"/>
      <c r="BA806" s="275"/>
      <c r="BB806" s="275"/>
      <c r="BC806" s="275"/>
      <c r="BD806" s="275"/>
      <c r="BE806" s="275"/>
      <c r="BF806" s="275"/>
      <c r="BH806" s="277"/>
    </row>
    <row r="807" spans="1:60" ht="16.5" hidden="1" customHeight="1" x14ac:dyDescent="0.3">
      <c r="A807" s="260">
        <v>785</v>
      </c>
      <c r="B807" s="261"/>
      <c r="C807" s="261"/>
      <c r="D807" s="262" t="s">
        <v>15</v>
      </c>
      <c r="E807" s="262" t="s">
        <v>237</v>
      </c>
      <c r="F807" s="263" t="s">
        <v>15</v>
      </c>
      <c r="G807" s="264" t="s">
        <v>237</v>
      </c>
      <c r="H807" s="281"/>
      <c r="I807" s="265"/>
      <c r="J807" s="266" t="s">
        <v>264</v>
      </c>
      <c r="K807" s="262"/>
      <c r="L807" s="262"/>
      <c r="M807" s="262">
        <v>20729</v>
      </c>
      <c r="N807" s="262" t="s">
        <v>22</v>
      </c>
      <c r="O807" s="262" t="s">
        <v>56</v>
      </c>
      <c r="P807" s="262"/>
      <c r="Q807" s="262" t="s">
        <v>26</v>
      </c>
      <c r="R807" s="262" t="s">
        <v>468</v>
      </c>
      <c r="S807" s="267" t="s">
        <v>468</v>
      </c>
      <c r="T807" s="268"/>
      <c r="U807" s="269"/>
      <c r="V807" s="269">
        <v>181818</v>
      </c>
      <c r="W807" s="278">
        <v>0</v>
      </c>
      <c r="X807" s="270"/>
      <c r="Y807" s="262" t="s">
        <v>20</v>
      </c>
      <c r="Z807" s="271" t="s">
        <v>20</v>
      </c>
      <c r="AA807" s="287"/>
      <c r="AB807" s="287"/>
      <c r="AC807" s="272">
        <f t="shared" si="27"/>
        <v>0</v>
      </c>
      <c r="AD807" s="272">
        <v>0</v>
      </c>
      <c r="AE807" s="272">
        <f t="shared" si="28"/>
        <v>0</v>
      </c>
      <c r="AF807" s="273"/>
      <c r="AG807" s="274"/>
      <c r="AH807" s="273"/>
      <c r="AI807" s="273"/>
      <c r="AJ807" s="274"/>
      <c r="AK807" s="273"/>
      <c r="AL807" s="275"/>
      <c r="AM807" s="290"/>
      <c r="AN807" s="275"/>
      <c r="AO807" s="276"/>
      <c r="AP807" s="275"/>
      <c r="AQ807" s="275"/>
      <c r="AR807" s="275"/>
      <c r="AS807" s="275"/>
      <c r="AT807" s="275"/>
      <c r="AU807" s="275"/>
      <c r="AV807" s="275"/>
      <c r="AW807" s="275"/>
      <c r="AX807" s="275"/>
      <c r="AY807" s="275"/>
      <c r="AZ807" s="275"/>
      <c r="BA807" s="275"/>
      <c r="BB807" s="275"/>
      <c r="BC807" s="275"/>
      <c r="BD807" s="275"/>
      <c r="BE807" s="275"/>
      <c r="BF807" s="275"/>
      <c r="BH807" s="277"/>
    </row>
    <row r="808" spans="1:60" ht="16.5" hidden="1" customHeight="1" x14ac:dyDescent="0.3">
      <c r="A808" s="260">
        <v>786</v>
      </c>
      <c r="B808" s="261"/>
      <c r="C808" s="261"/>
      <c r="D808" s="262" t="s">
        <v>15</v>
      </c>
      <c r="E808" s="262" t="s">
        <v>153</v>
      </c>
      <c r="F808" s="263" t="s">
        <v>15</v>
      </c>
      <c r="G808" s="264" t="s">
        <v>237</v>
      </c>
      <c r="H808" s="281"/>
      <c r="I808" s="265"/>
      <c r="J808" s="266" t="s">
        <v>265</v>
      </c>
      <c r="K808" s="262"/>
      <c r="L808" s="262"/>
      <c r="M808" s="262">
        <v>342</v>
      </c>
      <c r="N808" s="262" t="s">
        <v>22</v>
      </c>
      <c r="O808" s="262" t="s">
        <v>56</v>
      </c>
      <c r="P808" s="262" t="s">
        <v>124</v>
      </c>
      <c r="Q808" s="262" t="s">
        <v>18</v>
      </c>
      <c r="R808" s="262" t="s">
        <v>19</v>
      </c>
      <c r="S808" s="267" t="s">
        <v>19</v>
      </c>
      <c r="T808" s="268"/>
      <c r="U808" s="269"/>
      <c r="V808" s="269">
        <v>2040000</v>
      </c>
      <c r="W808" s="278">
        <v>0</v>
      </c>
      <c r="X808" s="270"/>
      <c r="Y808" s="262" t="s">
        <v>20</v>
      </c>
      <c r="Z808" s="271" t="s">
        <v>20</v>
      </c>
      <c r="AA808" s="287"/>
      <c r="AB808" s="287"/>
      <c r="AC808" s="272">
        <f t="shared" si="27"/>
        <v>0</v>
      </c>
      <c r="AD808" s="272">
        <v>0</v>
      </c>
      <c r="AE808" s="272">
        <f t="shared" si="28"/>
        <v>0</v>
      </c>
      <c r="AF808" s="273"/>
      <c r="AG808" s="274"/>
      <c r="AH808" s="273"/>
      <c r="AI808" s="273"/>
      <c r="AJ808" s="274"/>
      <c r="AK808" s="273"/>
      <c r="AL808" s="275"/>
      <c r="AM808" s="290"/>
      <c r="AN808" s="275"/>
      <c r="AO808" s="276"/>
      <c r="AP808" s="275"/>
      <c r="AQ808" s="275"/>
      <c r="AR808" s="275"/>
      <c r="AS808" s="275"/>
      <c r="AT808" s="275"/>
      <c r="AU808" s="275"/>
      <c r="AV808" s="275"/>
      <c r="AW808" s="275"/>
      <c r="AX808" s="275"/>
      <c r="AY808" s="275"/>
      <c r="AZ808" s="275"/>
      <c r="BA808" s="275"/>
      <c r="BB808" s="275"/>
      <c r="BC808" s="275"/>
      <c r="BD808" s="275"/>
      <c r="BE808" s="275"/>
      <c r="BF808" s="275"/>
      <c r="BH808" s="277"/>
    </row>
    <row r="809" spans="1:60" ht="16.5" hidden="1" customHeight="1" x14ac:dyDescent="0.3">
      <c r="A809" s="260">
        <v>787</v>
      </c>
      <c r="B809" s="261"/>
      <c r="C809" s="261"/>
      <c r="D809" s="262" t="s">
        <v>15</v>
      </c>
      <c r="E809" s="262" t="s">
        <v>237</v>
      </c>
      <c r="F809" s="263" t="s">
        <v>15</v>
      </c>
      <c r="G809" s="264" t="s">
        <v>237</v>
      </c>
      <c r="H809" s="281"/>
      <c r="I809" s="265"/>
      <c r="J809" s="266" t="s">
        <v>721</v>
      </c>
      <c r="K809" s="262"/>
      <c r="L809" s="262"/>
      <c r="M809" s="262">
        <v>23009</v>
      </c>
      <c r="N809" s="262" t="s">
        <v>32</v>
      </c>
      <c r="O809" s="262" t="s">
        <v>35</v>
      </c>
      <c r="P809" s="262" t="s">
        <v>57</v>
      </c>
      <c r="Q809" s="262"/>
      <c r="R809" s="262" t="s">
        <v>28</v>
      </c>
      <c r="S809" s="267" t="s">
        <v>28</v>
      </c>
      <c r="T809" s="268"/>
      <c r="U809" s="269"/>
      <c r="V809" s="269"/>
      <c r="W809" s="278">
        <v>0</v>
      </c>
      <c r="X809" s="270"/>
      <c r="Y809" s="262"/>
      <c r="Z809" s="271" t="s">
        <v>27</v>
      </c>
      <c r="AA809" s="287"/>
      <c r="AB809" s="287"/>
      <c r="AC809" s="272">
        <f t="shared" si="27"/>
        <v>149500000</v>
      </c>
      <c r="AD809" s="272">
        <v>149500000</v>
      </c>
      <c r="AE809" s="272">
        <f t="shared" si="28"/>
        <v>0</v>
      </c>
      <c r="AF809" s="273"/>
      <c r="AG809" s="274"/>
      <c r="AH809" s="273" t="s">
        <v>848</v>
      </c>
      <c r="AI809" s="273">
        <v>37375000</v>
      </c>
      <c r="AJ809" s="274"/>
      <c r="AK809" s="273" t="s">
        <v>932</v>
      </c>
      <c r="AL809" s="275"/>
      <c r="AM809" s="290"/>
      <c r="AN809" s="275"/>
      <c r="AO809" s="276">
        <v>37375000</v>
      </c>
      <c r="AP809" s="275"/>
      <c r="AQ809" s="275"/>
      <c r="AR809" s="275"/>
      <c r="AS809" s="275"/>
      <c r="AT809" s="275"/>
      <c r="AU809" s="275">
        <v>37375000</v>
      </c>
      <c r="AV809" s="275"/>
      <c r="AW809" s="275"/>
      <c r="AX809" s="275"/>
      <c r="AY809" s="275"/>
      <c r="AZ809" s="275"/>
      <c r="BA809" s="275">
        <v>37375000</v>
      </c>
      <c r="BB809" s="275"/>
      <c r="BC809" s="275"/>
      <c r="BD809" s="275"/>
      <c r="BE809" s="275">
        <v>37375000</v>
      </c>
      <c r="BF809" s="275"/>
      <c r="BH809" s="277"/>
    </row>
    <row r="810" spans="1:60" ht="16.5" hidden="1" customHeight="1" x14ac:dyDescent="0.3">
      <c r="A810" s="260">
        <v>788</v>
      </c>
      <c r="B810" s="261"/>
      <c r="C810" s="261"/>
      <c r="D810" s="262" t="s">
        <v>15</v>
      </c>
      <c r="E810" s="262" t="s">
        <v>237</v>
      </c>
      <c r="F810" s="263" t="s">
        <v>15</v>
      </c>
      <c r="G810" s="264" t="s">
        <v>237</v>
      </c>
      <c r="H810" s="281"/>
      <c r="I810" s="265"/>
      <c r="J810" s="266" t="s">
        <v>776</v>
      </c>
      <c r="K810" s="262"/>
      <c r="L810" s="262"/>
      <c r="M810" s="262">
        <v>64810</v>
      </c>
      <c r="N810" s="262"/>
      <c r="O810" s="262"/>
      <c r="P810" s="262"/>
      <c r="Q810" s="262"/>
      <c r="R810" s="262" t="s">
        <v>468</v>
      </c>
      <c r="S810" s="267" t="s">
        <v>468</v>
      </c>
      <c r="T810" s="268"/>
      <c r="U810" s="269"/>
      <c r="V810" s="269"/>
      <c r="W810" s="278">
        <v>197272727</v>
      </c>
      <c r="X810" s="270"/>
      <c r="Y810" s="262" t="s">
        <v>27</v>
      </c>
      <c r="Z810" s="271" t="s">
        <v>718</v>
      </c>
      <c r="AA810" s="287"/>
      <c r="AB810" s="287"/>
      <c r="AC810" s="272">
        <f t="shared" si="27"/>
        <v>0</v>
      </c>
      <c r="AD810" s="272">
        <v>0</v>
      </c>
      <c r="AE810" s="272">
        <f t="shared" si="28"/>
        <v>0</v>
      </c>
      <c r="AF810" s="273"/>
      <c r="AG810" s="274"/>
      <c r="AH810" s="273"/>
      <c r="AI810" s="273"/>
      <c r="AJ810" s="274"/>
      <c r="AK810" s="273"/>
      <c r="AL810" s="275"/>
      <c r="AM810" s="290"/>
      <c r="AN810" s="275"/>
      <c r="AO810" s="276"/>
      <c r="AP810" s="275"/>
      <c r="AQ810" s="275"/>
      <c r="AR810" s="275"/>
      <c r="AS810" s="275"/>
      <c r="AT810" s="275"/>
      <c r="AU810" s="275"/>
      <c r="AV810" s="275"/>
      <c r="AW810" s="275"/>
      <c r="AX810" s="275"/>
      <c r="AY810" s="275"/>
      <c r="AZ810" s="275"/>
      <c r="BA810" s="275"/>
      <c r="BB810" s="275"/>
      <c r="BC810" s="275"/>
      <c r="BD810" s="275"/>
      <c r="BE810" s="275"/>
      <c r="BF810" s="275"/>
      <c r="BH810" s="277"/>
    </row>
    <row r="811" spans="1:60" ht="16.5" hidden="1" customHeight="1" x14ac:dyDescent="0.3">
      <c r="A811" s="260">
        <v>789</v>
      </c>
      <c r="B811" s="261"/>
      <c r="C811" s="261"/>
      <c r="D811" s="262" t="s">
        <v>15</v>
      </c>
      <c r="E811" s="262" t="s">
        <v>237</v>
      </c>
      <c r="F811" s="263" t="s">
        <v>15</v>
      </c>
      <c r="G811" s="264" t="s">
        <v>237</v>
      </c>
      <c r="H811" s="281"/>
      <c r="I811" s="265"/>
      <c r="J811" s="266" t="s">
        <v>266</v>
      </c>
      <c r="K811" s="262"/>
      <c r="L811" s="262"/>
      <c r="M811" s="262">
        <v>48995</v>
      </c>
      <c r="N811" s="262" t="s">
        <v>32</v>
      </c>
      <c r="O811" s="262" t="s">
        <v>56</v>
      </c>
      <c r="P811" s="262" t="s">
        <v>57</v>
      </c>
      <c r="Q811" s="262" t="s">
        <v>63</v>
      </c>
      <c r="R811" s="262" t="s">
        <v>28</v>
      </c>
      <c r="S811" s="267" t="s">
        <v>28</v>
      </c>
      <c r="T811" s="268"/>
      <c r="U811" s="269">
        <v>90000000</v>
      </c>
      <c r="V811" s="269">
        <v>101000000</v>
      </c>
      <c r="W811" s="278">
        <v>100000000</v>
      </c>
      <c r="X811" s="270"/>
      <c r="Y811" s="262" t="s">
        <v>27</v>
      </c>
      <c r="Z811" s="271" t="s">
        <v>27</v>
      </c>
      <c r="AA811" s="287"/>
      <c r="AB811" s="287"/>
      <c r="AC811" s="272">
        <f t="shared" si="27"/>
        <v>110000000</v>
      </c>
      <c r="AD811" s="272">
        <v>110000000</v>
      </c>
      <c r="AE811" s="272">
        <f t="shared" si="28"/>
        <v>0</v>
      </c>
      <c r="AF811" s="273"/>
      <c r="AG811" s="274"/>
      <c r="AH811" s="273"/>
      <c r="AI811" s="273">
        <v>50000000</v>
      </c>
      <c r="AJ811" s="274"/>
      <c r="AK811" s="273" t="s">
        <v>933</v>
      </c>
      <c r="AL811" s="275"/>
      <c r="AM811" s="290"/>
      <c r="AN811" s="275" t="s">
        <v>1001</v>
      </c>
      <c r="AO811" s="276">
        <v>50000000</v>
      </c>
      <c r="AP811" s="275"/>
      <c r="AQ811" s="275"/>
      <c r="AR811" s="275"/>
      <c r="AS811" s="275"/>
      <c r="AT811" s="275"/>
      <c r="AU811" s="275"/>
      <c r="AV811" s="275"/>
      <c r="AW811" s="275"/>
      <c r="AX811" s="275"/>
      <c r="AY811" s="275"/>
      <c r="AZ811" s="275"/>
      <c r="BA811" s="275"/>
      <c r="BB811" s="275"/>
      <c r="BC811" s="275"/>
      <c r="BD811" s="275"/>
      <c r="BE811" s="275">
        <v>60000000</v>
      </c>
      <c r="BF811" s="275"/>
      <c r="BH811" s="277"/>
    </row>
    <row r="812" spans="1:60" ht="16.5" hidden="1" customHeight="1" x14ac:dyDescent="0.3">
      <c r="A812" s="260">
        <v>790</v>
      </c>
      <c r="B812" s="261"/>
      <c r="C812" s="261"/>
      <c r="D812" s="262" t="s">
        <v>15</v>
      </c>
      <c r="E812" s="262" t="s">
        <v>237</v>
      </c>
      <c r="F812" s="263" t="s">
        <v>15</v>
      </c>
      <c r="G812" s="264" t="s">
        <v>237</v>
      </c>
      <c r="H812" s="281"/>
      <c r="I812" s="265"/>
      <c r="J812" s="266" t="s">
        <v>266</v>
      </c>
      <c r="K812" s="262"/>
      <c r="L812" s="262"/>
      <c r="M812" s="262">
        <v>48995</v>
      </c>
      <c r="N812" s="262" t="s">
        <v>32</v>
      </c>
      <c r="O812" s="262" t="s">
        <v>56</v>
      </c>
      <c r="P812" s="262" t="s">
        <v>57</v>
      </c>
      <c r="Q812" s="262" t="s">
        <v>58</v>
      </c>
      <c r="R812" s="262" t="s">
        <v>470</v>
      </c>
      <c r="S812" s="267" t="s">
        <v>822</v>
      </c>
      <c r="T812" s="268"/>
      <c r="U812" s="269"/>
      <c r="V812" s="269">
        <v>1000000</v>
      </c>
      <c r="W812" s="278">
        <v>0</v>
      </c>
      <c r="X812" s="270"/>
      <c r="Y812" s="262" t="s">
        <v>25</v>
      </c>
      <c r="Z812" s="271" t="s">
        <v>20</v>
      </c>
      <c r="AA812" s="287"/>
      <c r="AB812" s="287"/>
      <c r="AC812" s="272">
        <f t="shared" si="27"/>
        <v>0</v>
      </c>
      <c r="AD812" s="272">
        <v>0</v>
      </c>
      <c r="AE812" s="272">
        <f t="shared" si="28"/>
        <v>0</v>
      </c>
      <c r="AF812" s="273"/>
      <c r="AG812" s="274"/>
      <c r="AH812" s="273"/>
      <c r="AI812" s="273"/>
      <c r="AJ812" s="274"/>
      <c r="AK812" s="273"/>
      <c r="AL812" s="275"/>
      <c r="AM812" s="290"/>
      <c r="AN812" s="275"/>
      <c r="AO812" s="276"/>
      <c r="AP812" s="275"/>
      <c r="AQ812" s="275"/>
      <c r="AR812" s="275"/>
      <c r="AS812" s="275"/>
      <c r="AT812" s="275"/>
      <c r="AU812" s="275"/>
      <c r="AV812" s="275"/>
      <c r="AW812" s="275"/>
      <c r="AX812" s="275"/>
      <c r="AY812" s="275"/>
      <c r="AZ812" s="275"/>
      <c r="BA812" s="275"/>
      <c r="BB812" s="275"/>
      <c r="BC812" s="275"/>
      <c r="BD812" s="275"/>
      <c r="BE812" s="275"/>
      <c r="BF812" s="275"/>
      <c r="BH812" s="277"/>
    </row>
    <row r="813" spans="1:60" ht="16.5" hidden="1" customHeight="1" x14ac:dyDescent="0.3">
      <c r="A813" s="260">
        <v>791</v>
      </c>
      <c r="B813" s="261"/>
      <c r="C813" s="261"/>
      <c r="D813" s="262" t="s">
        <v>15</v>
      </c>
      <c r="E813" s="262" t="s">
        <v>237</v>
      </c>
      <c r="F813" s="263" t="s">
        <v>15</v>
      </c>
      <c r="G813" s="264" t="s">
        <v>237</v>
      </c>
      <c r="H813" s="281"/>
      <c r="I813" s="265"/>
      <c r="J813" s="266" t="s">
        <v>266</v>
      </c>
      <c r="K813" s="262"/>
      <c r="L813" s="262"/>
      <c r="M813" s="262">
        <v>48995</v>
      </c>
      <c r="N813" s="262" t="s">
        <v>32</v>
      </c>
      <c r="O813" s="262" t="s">
        <v>56</v>
      </c>
      <c r="P813" s="262"/>
      <c r="Q813" s="262" t="s">
        <v>77</v>
      </c>
      <c r="R813" s="262" t="s">
        <v>473</v>
      </c>
      <c r="S813" s="267" t="s">
        <v>828</v>
      </c>
      <c r="T813" s="268"/>
      <c r="U813" s="269"/>
      <c r="V813" s="269">
        <v>300000</v>
      </c>
      <c r="W813" s="278">
        <v>0</v>
      </c>
      <c r="X813" s="270"/>
      <c r="Y813" s="262" t="s">
        <v>20</v>
      </c>
      <c r="Z813" s="271" t="s">
        <v>20</v>
      </c>
      <c r="AA813" s="287"/>
      <c r="AB813" s="287"/>
      <c r="AC813" s="272">
        <f t="shared" si="27"/>
        <v>0</v>
      </c>
      <c r="AD813" s="272">
        <v>0</v>
      </c>
      <c r="AE813" s="272">
        <f t="shared" si="28"/>
        <v>0</v>
      </c>
      <c r="AF813" s="273"/>
      <c r="AG813" s="274"/>
      <c r="AH813" s="273"/>
      <c r="AI813" s="273"/>
      <c r="AJ813" s="274"/>
      <c r="AK813" s="273"/>
      <c r="AL813" s="275"/>
      <c r="AM813" s="290"/>
      <c r="AN813" s="275"/>
      <c r="AO813" s="276"/>
      <c r="AP813" s="275"/>
      <c r="AQ813" s="275"/>
      <c r="AR813" s="275"/>
      <c r="AS813" s="275"/>
      <c r="AT813" s="275"/>
      <c r="AU813" s="275"/>
      <c r="AV813" s="275"/>
      <c r="AW813" s="275"/>
      <c r="AX813" s="275"/>
      <c r="AY813" s="275"/>
      <c r="AZ813" s="275"/>
      <c r="BA813" s="275"/>
      <c r="BB813" s="275"/>
      <c r="BC813" s="275"/>
      <c r="BD813" s="275"/>
      <c r="BE813" s="275"/>
      <c r="BF813" s="275"/>
      <c r="BH813" s="277"/>
    </row>
    <row r="814" spans="1:60" ht="16.5" hidden="1" customHeight="1" x14ac:dyDescent="0.3">
      <c r="A814" s="260">
        <v>792</v>
      </c>
      <c r="B814" s="261"/>
      <c r="C814" s="261"/>
      <c r="D814" s="262" t="s">
        <v>15</v>
      </c>
      <c r="E814" s="262" t="s">
        <v>237</v>
      </c>
      <c r="F814" s="263" t="s">
        <v>15</v>
      </c>
      <c r="G814" s="264" t="s">
        <v>237</v>
      </c>
      <c r="H814" s="281"/>
      <c r="I814" s="265"/>
      <c r="J814" s="266" t="s">
        <v>777</v>
      </c>
      <c r="K814" s="262"/>
      <c r="L814" s="262"/>
      <c r="M814" s="262">
        <v>48995</v>
      </c>
      <c r="N814" s="262" t="s">
        <v>32</v>
      </c>
      <c r="O814" s="262" t="s">
        <v>35</v>
      </c>
      <c r="P814" s="262" t="s">
        <v>57</v>
      </c>
      <c r="Q814" s="262"/>
      <c r="R814" s="262"/>
      <c r="S814" s="267" t="s">
        <v>478</v>
      </c>
      <c r="T814" s="268"/>
      <c r="U814" s="269"/>
      <c r="V814" s="269"/>
      <c r="W814" s="278">
        <v>0</v>
      </c>
      <c r="X814" s="270"/>
      <c r="Y814" s="262"/>
      <c r="Z814" s="271" t="s">
        <v>25</v>
      </c>
      <c r="AA814" s="287"/>
      <c r="AB814" s="287"/>
      <c r="AC814" s="272">
        <f t="shared" si="27"/>
        <v>50000000</v>
      </c>
      <c r="AD814" s="272">
        <v>50000000</v>
      </c>
      <c r="AE814" s="272">
        <f t="shared" si="28"/>
        <v>0</v>
      </c>
      <c r="AF814" s="273"/>
      <c r="AG814" s="274"/>
      <c r="AH814" s="273"/>
      <c r="AI814" s="273"/>
      <c r="AJ814" s="274"/>
      <c r="AK814" s="273"/>
      <c r="AL814" s="275"/>
      <c r="AM814" s="290"/>
      <c r="AN814" s="275"/>
      <c r="AO814" s="276"/>
      <c r="AP814" s="275"/>
      <c r="AQ814" s="291">
        <v>50000000</v>
      </c>
      <c r="AR814" s="275"/>
      <c r="AS814" s="275"/>
      <c r="AT814" s="275"/>
      <c r="AU814" s="275"/>
      <c r="AV814" s="275"/>
      <c r="AW814" s="275"/>
      <c r="AX814" s="275"/>
      <c r="AY814" s="275"/>
      <c r="AZ814" s="275"/>
      <c r="BA814" s="275"/>
      <c r="BB814" s="275"/>
      <c r="BC814" s="275"/>
      <c r="BD814" s="275"/>
      <c r="BE814" s="275"/>
      <c r="BF814" s="275"/>
      <c r="BH814" s="277"/>
    </row>
    <row r="815" spans="1:60" ht="16.5" hidden="1" customHeight="1" x14ac:dyDescent="0.3">
      <c r="A815" s="260">
        <v>793</v>
      </c>
      <c r="B815" s="261"/>
      <c r="C815" s="261"/>
      <c r="D815" s="262" t="s">
        <v>15</v>
      </c>
      <c r="E815" s="262" t="s">
        <v>237</v>
      </c>
      <c r="F815" s="263" t="s">
        <v>15</v>
      </c>
      <c r="G815" s="264" t="s">
        <v>237</v>
      </c>
      <c r="H815" s="281"/>
      <c r="I815" s="265"/>
      <c r="J815" s="266" t="s">
        <v>269</v>
      </c>
      <c r="K815" s="262"/>
      <c r="L815" s="262"/>
      <c r="M815" s="262">
        <v>2588</v>
      </c>
      <c r="N815" s="262" t="s">
        <v>22</v>
      </c>
      <c r="O815" s="262" t="s">
        <v>35</v>
      </c>
      <c r="P815" s="262" t="s">
        <v>156</v>
      </c>
      <c r="Q815" s="262"/>
      <c r="R815" s="262" t="s">
        <v>28</v>
      </c>
      <c r="S815" s="267" t="s">
        <v>28</v>
      </c>
      <c r="T815" s="268"/>
      <c r="U815" s="269"/>
      <c r="V815" s="269">
        <v>0</v>
      </c>
      <c r="W815" s="278">
        <v>0</v>
      </c>
      <c r="X815" s="270"/>
      <c r="Y815" s="262" t="s">
        <v>562</v>
      </c>
      <c r="Z815" s="271" t="s">
        <v>25</v>
      </c>
      <c r="AA815" s="287"/>
      <c r="AB815" s="287"/>
      <c r="AC815" s="272">
        <f t="shared" si="27"/>
        <v>0</v>
      </c>
      <c r="AD815" s="272">
        <v>0</v>
      </c>
      <c r="AE815" s="272">
        <f t="shared" si="28"/>
        <v>0</v>
      </c>
      <c r="AF815" s="273"/>
      <c r="AG815" s="274"/>
      <c r="AH815" s="273"/>
      <c r="AI815" s="273"/>
      <c r="AJ815" s="274"/>
      <c r="AK815" s="273"/>
      <c r="AL815" s="275"/>
      <c r="AM815" s="290"/>
      <c r="AN815" s="275"/>
      <c r="AO815" s="276"/>
      <c r="AP815" s="275"/>
      <c r="AQ815" s="275"/>
      <c r="AR815" s="275"/>
      <c r="AS815" s="275"/>
      <c r="AT815" s="275"/>
      <c r="AU815" s="275"/>
      <c r="AV815" s="275"/>
      <c r="AW815" s="275"/>
      <c r="AX815" s="275"/>
      <c r="AY815" s="275"/>
      <c r="AZ815" s="275"/>
      <c r="BA815" s="275"/>
      <c r="BB815" s="275"/>
      <c r="BC815" s="275"/>
      <c r="BD815" s="275"/>
      <c r="BE815" s="275"/>
      <c r="BF815" s="275"/>
      <c r="BH815" s="277"/>
    </row>
    <row r="816" spans="1:60" ht="16.5" hidden="1" customHeight="1" x14ac:dyDescent="0.3">
      <c r="A816" s="260">
        <v>794</v>
      </c>
      <c r="B816" s="261"/>
      <c r="C816" s="261"/>
      <c r="D816" s="262"/>
      <c r="E816" s="262"/>
      <c r="F816" s="263" t="s">
        <v>15</v>
      </c>
      <c r="G816" s="264" t="s">
        <v>237</v>
      </c>
      <c r="H816" s="281"/>
      <c r="I816" s="265"/>
      <c r="J816" s="266" t="s">
        <v>269</v>
      </c>
      <c r="K816" s="262"/>
      <c r="L816" s="262"/>
      <c r="M816" s="262">
        <v>2588</v>
      </c>
      <c r="N816" s="262" t="s">
        <v>22</v>
      </c>
      <c r="O816" s="262" t="s">
        <v>35</v>
      </c>
      <c r="P816" s="262" t="s">
        <v>156</v>
      </c>
      <c r="Q816" s="262"/>
      <c r="R816" s="262" t="s">
        <v>468</v>
      </c>
      <c r="S816" s="267" t="s">
        <v>468</v>
      </c>
      <c r="T816" s="268"/>
      <c r="U816" s="269"/>
      <c r="V816" s="269">
        <v>0</v>
      </c>
      <c r="W816" s="278">
        <v>6430000</v>
      </c>
      <c r="X816" s="270"/>
      <c r="Y816" s="262" t="s">
        <v>27</v>
      </c>
      <c r="Z816" s="271" t="s">
        <v>25</v>
      </c>
      <c r="AA816" s="287"/>
      <c r="AB816" s="287"/>
      <c r="AC816" s="272">
        <f t="shared" si="27"/>
        <v>50000000</v>
      </c>
      <c r="AD816" s="272">
        <v>50000000</v>
      </c>
      <c r="AE816" s="272">
        <f t="shared" si="28"/>
        <v>0</v>
      </c>
      <c r="AF816" s="273"/>
      <c r="AG816" s="274"/>
      <c r="AH816" s="273"/>
      <c r="AI816" s="273"/>
      <c r="AJ816" s="274"/>
      <c r="AK816" s="273"/>
      <c r="AL816" s="275"/>
      <c r="AM816" s="290"/>
      <c r="AN816" s="275"/>
      <c r="AO816" s="276"/>
      <c r="AP816" s="275"/>
      <c r="AQ816" s="275">
        <v>50000000</v>
      </c>
      <c r="AR816" s="275"/>
      <c r="AS816" s="275"/>
      <c r="AT816" s="275"/>
      <c r="AU816" s="275"/>
      <c r="AV816" s="275"/>
      <c r="AW816" s="275"/>
      <c r="AX816" s="275"/>
      <c r="AY816" s="275"/>
      <c r="AZ816" s="275"/>
      <c r="BA816" s="275"/>
      <c r="BB816" s="275"/>
      <c r="BC816" s="275"/>
      <c r="BD816" s="275"/>
      <c r="BE816" s="275"/>
      <c r="BF816" s="275"/>
      <c r="BH816" s="277"/>
    </row>
    <row r="817" spans="1:60" ht="16.5" hidden="1" customHeight="1" x14ac:dyDescent="0.3">
      <c r="A817" s="260">
        <v>795</v>
      </c>
      <c r="B817" s="261"/>
      <c r="C817" s="261"/>
      <c r="D817" s="262" t="s">
        <v>15</v>
      </c>
      <c r="E817" s="262" t="s">
        <v>237</v>
      </c>
      <c r="F817" s="263" t="s">
        <v>15</v>
      </c>
      <c r="G817" s="264" t="s">
        <v>237</v>
      </c>
      <c r="H817" s="281"/>
      <c r="I817" s="265"/>
      <c r="J817" s="266" t="s">
        <v>927</v>
      </c>
      <c r="K817" s="262"/>
      <c r="L817" s="262"/>
      <c r="M817" s="262">
        <v>28759</v>
      </c>
      <c r="N817" s="262" t="s">
        <v>53</v>
      </c>
      <c r="O817" s="262" t="s">
        <v>56</v>
      </c>
      <c r="P817" s="262" t="s">
        <v>57</v>
      </c>
      <c r="Q817" s="262"/>
      <c r="R817" s="262"/>
      <c r="S817" s="267" t="s">
        <v>31</v>
      </c>
      <c r="T817" s="268"/>
      <c r="U817" s="269"/>
      <c r="V817" s="269"/>
      <c r="W817" s="278">
        <v>0</v>
      </c>
      <c r="X817" s="270"/>
      <c r="Y817" s="262"/>
      <c r="Z817" s="271" t="s">
        <v>27</v>
      </c>
      <c r="AA817" s="287"/>
      <c r="AB817" s="287"/>
      <c r="AC817" s="272">
        <f t="shared" si="27"/>
        <v>1125000</v>
      </c>
      <c r="AD817" s="272">
        <v>1125000</v>
      </c>
      <c r="AE817" s="272">
        <f t="shared" si="28"/>
        <v>0</v>
      </c>
      <c r="AF817" s="273"/>
      <c r="AG817" s="274"/>
      <c r="AH817" s="273"/>
      <c r="AI817" s="273"/>
      <c r="AJ817" s="274">
        <v>1125000</v>
      </c>
      <c r="AK817" s="273"/>
      <c r="AL817" s="275"/>
      <c r="AM817" s="290"/>
      <c r="AN817" s="275"/>
      <c r="AO817" s="276"/>
      <c r="AP817" s="275"/>
      <c r="AQ817" s="275"/>
      <c r="AR817" s="275"/>
      <c r="AS817" s="275"/>
      <c r="AT817" s="275"/>
      <c r="AU817" s="275"/>
      <c r="AV817" s="275"/>
      <c r="AW817" s="275"/>
      <c r="AX817" s="275"/>
      <c r="AY817" s="275"/>
      <c r="AZ817" s="275"/>
      <c r="BA817" s="275"/>
      <c r="BB817" s="275"/>
      <c r="BC817" s="275"/>
      <c r="BD817" s="275"/>
      <c r="BE817" s="275"/>
      <c r="BF817" s="275"/>
      <c r="BH817" s="277"/>
    </row>
    <row r="818" spans="1:60" ht="16.5" hidden="1" customHeight="1" x14ac:dyDescent="0.3">
      <c r="A818" s="260">
        <v>796</v>
      </c>
      <c r="B818" s="261"/>
      <c r="C818" s="261"/>
      <c r="D818" s="262" t="s">
        <v>15</v>
      </c>
      <c r="E818" s="262" t="s">
        <v>237</v>
      </c>
      <c r="F818" s="263" t="s">
        <v>15</v>
      </c>
      <c r="G818" s="264" t="s">
        <v>237</v>
      </c>
      <c r="H818" s="281"/>
      <c r="I818" s="265"/>
      <c r="J818" s="266" t="s">
        <v>270</v>
      </c>
      <c r="K818" s="262"/>
      <c r="L818" s="262"/>
      <c r="M818" s="262">
        <v>3724</v>
      </c>
      <c r="N818" s="262" t="s">
        <v>22</v>
      </c>
      <c r="O818" s="262" t="s">
        <v>212</v>
      </c>
      <c r="P818" s="262" t="s">
        <v>156</v>
      </c>
      <c r="Q818" s="262" t="s">
        <v>26</v>
      </c>
      <c r="R818" s="262" t="s">
        <v>473</v>
      </c>
      <c r="S818" s="267" t="s">
        <v>828</v>
      </c>
      <c r="T818" s="268"/>
      <c r="U818" s="269" t="s">
        <v>154</v>
      </c>
      <c r="V818" s="269">
        <v>0</v>
      </c>
      <c r="W818" s="278">
        <v>21350000</v>
      </c>
      <c r="X818" s="270"/>
      <c r="Y818" s="262" t="s">
        <v>27</v>
      </c>
      <c r="Z818" s="271" t="s">
        <v>27</v>
      </c>
      <c r="AA818" s="287"/>
      <c r="AB818" s="287"/>
      <c r="AC818" s="272">
        <f t="shared" si="27"/>
        <v>23800000</v>
      </c>
      <c r="AD818" s="272">
        <v>23800000</v>
      </c>
      <c r="AE818" s="272">
        <f t="shared" si="28"/>
        <v>0</v>
      </c>
      <c r="AF818" s="273">
        <v>23800000</v>
      </c>
      <c r="AG818" s="274">
        <v>23800000</v>
      </c>
      <c r="AH818" s="273"/>
      <c r="AI818" s="273"/>
      <c r="AJ818" s="274"/>
      <c r="AK818" s="273"/>
      <c r="AL818" s="275"/>
      <c r="AM818" s="290"/>
      <c r="AN818" s="275"/>
      <c r="AO818" s="276"/>
      <c r="AP818" s="275"/>
      <c r="AQ818" s="275"/>
      <c r="AR818" s="275"/>
      <c r="AS818" s="275"/>
      <c r="AT818" s="275"/>
      <c r="AU818" s="275"/>
      <c r="AV818" s="275"/>
      <c r="AW818" s="275"/>
      <c r="AX818" s="275"/>
      <c r="AY818" s="275"/>
      <c r="AZ818" s="275"/>
      <c r="BA818" s="275"/>
      <c r="BB818" s="275"/>
      <c r="BC818" s="275"/>
      <c r="BD818" s="275"/>
      <c r="BE818" s="275"/>
      <c r="BF818" s="275"/>
      <c r="BH818" s="277"/>
    </row>
    <row r="819" spans="1:60" ht="16.5" hidden="1" customHeight="1" x14ac:dyDescent="0.3">
      <c r="A819" s="260">
        <v>797</v>
      </c>
      <c r="B819" s="261"/>
      <c r="C819" s="261"/>
      <c r="D819" s="262" t="s">
        <v>15</v>
      </c>
      <c r="E819" s="262" t="s">
        <v>237</v>
      </c>
      <c r="F819" s="263" t="s">
        <v>15</v>
      </c>
      <c r="G819" s="264" t="s">
        <v>237</v>
      </c>
      <c r="H819" s="281"/>
      <c r="I819" s="265"/>
      <c r="J819" s="266" t="s">
        <v>70</v>
      </c>
      <c r="K819" s="262"/>
      <c r="L819" s="262"/>
      <c r="M819" s="262">
        <v>42951</v>
      </c>
      <c r="N819" s="262"/>
      <c r="O819" s="262"/>
      <c r="P819" s="262"/>
      <c r="Q819" s="262"/>
      <c r="R819" s="262"/>
      <c r="S819" s="267" t="s">
        <v>468</v>
      </c>
      <c r="T819" s="268"/>
      <c r="U819" s="269"/>
      <c r="V819" s="269"/>
      <c r="W819" s="278">
        <v>1650000</v>
      </c>
      <c r="X819" s="270"/>
      <c r="Y819" s="262"/>
      <c r="Z819" s="271" t="s">
        <v>718</v>
      </c>
      <c r="AA819" s="287"/>
      <c r="AB819" s="287"/>
      <c r="AC819" s="272">
        <f t="shared" si="27"/>
        <v>0</v>
      </c>
      <c r="AD819" s="272">
        <v>0</v>
      </c>
      <c r="AE819" s="272">
        <f t="shared" si="28"/>
        <v>0</v>
      </c>
      <c r="AF819" s="273"/>
      <c r="AG819" s="274"/>
      <c r="AH819" s="273"/>
      <c r="AI819" s="273"/>
      <c r="AJ819" s="274"/>
      <c r="AK819" s="273"/>
      <c r="AL819" s="275"/>
      <c r="AM819" s="290"/>
      <c r="AN819" s="275"/>
      <c r="AO819" s="276"/>
      <c r="AP819" s="275"/>
      <c r="AQ819" s="275"/>
      <c r="AR819" s="275"/>
      <c r="AS819" s="275"/>
      <c r="AT819" s="275"/>
      <c r="AU819" s="275"/>
      <c r="AV819" s="275"/>
      <c r="AW819" s="275"/>
      <c r="AX819" s="275"/>
      <c r="AY819" s="275"/>
      <c r="AZ819" s="275"/>
      <c r="BA819" s="275"/>
      <c r="BB819" s="275"/>
      <c r="BC819" s="275"/>
      <c r="BD819" s="275"/>
      <c r="BE819" s="275"/>
      <c r="BF819" s="275"/>
      <c r="BH819" s="277"/>
    </row>
    <row r="820" spans="1:60" ht="16.5" hidden="1" customHeight="1" x14ac:dyDescent="0.3">
      <c r="A820" s="260">
        <v>798</v>
      </c>
      <c r="B820" s="261"/>
      <c r="C820" s="261"/>
      <c r="D820" s="262" t="s">
        <v>15</v>
      </c>
      <c r="E820" s="262" t="s">
        <v>237</v>
      </c>
      <c r="F820" s="263" t="s">
        <v>15</v>
      </c>
      <c r="G820" s="264" t="s">
        <v>237</v>
      </c>
      <c r="H820" s="281"/>
      <c r="I820" s="265"/>
      <c r="J820" s="266" t="s">
        <v>70</v>
      </c>
      <c r="K820" s="262"/>
      <c r="L820" s="262"/>
      <c r="M820" s="262">
        <v>42951</v>
      </c>
      <c r="N820" s="262" t="s">
        <v>22</v>
      </c>
      <c r="O820" s="262" t="s">
        <v>56</v>
      </c>
      <c r="P820" s="262" t="s">
        <v>156</v>
      </c>
      <c r="Q820" s="262"/>
      <c r="R820" s="262"/>
      <c r="S820" s="267" t="s">
        <v>478</v>
      </c>
      <c r="T820" s="268"/>
      <c r="U820" s="269"/>
      <c r="V820" s="269"/>
      <c r="W820" s="278">
        <v>8150000</v>
      </c>
      <c r="X820" s="270"/>
      <c r="Y820" s="262"/>
      <c r="Z820" s="271" t="s">
        <v>27</v>
      </c>
      <c r="AA820" s="287"/>
      <c r="AB820" s="287"/>
      <c r="AC820" s="272">
        <f t="shared" si="27"/>
        <v>4900000</v>
      </c>
      <c r="AD820" s="272">
        <v>4900000</v>
      </c>
      <c r="AE820" s="272">
        <f t="shared" si="28"/>
        <v>0</v>
      </c>
      <c r="AF820" s="273">
        <v>1500000</v>
      </c>
      <c r="AG820" s="274">
        <v>1500000</v>
      </c>
      <c r="AH820" s="273"/>
      <c r="AI820" s="273"/>
      <c r="AJ820" s="274"/>
      <c r="AK820" s="273"/>
      <c r="AL820" s="275">
        <v>3400000</v>
      </c>
      <c r="AM820" s="290">
        <v>3400000</v>
      </c>
      <c r="AN820" s="275"/>
      <c r="AO820" s="276"/>
      <c r="AP820" s="275"/>
      <c r="AQ820" s="275"/>
      <c r="AR820" s="275"/>
      <c r="AS820" s="275"/>
      <c r="AT820" s="275"/>
      <c r="AU820" s="275"/>
      <c r="AV820" s="275"/>
      <c r="AW820" s="275"/>
      <c r="AX820" s="275"/>
      <c r="AY820" s="275"/>
      <c r="AZ820" s="275"/>
      <c r="BA820" s="275"/>
      <c r="BB820" s="275"/>
      <c r="BC820" s="275"/>
      <c r="BD820" s="275"/>
      <c r="BE820" s="275"/>
      <c r="BF820" s="275"/>
      <c r="BH820" s="277"/>
    </row>
    <row r="821" spans="1:60" ht="16.5" hidden="1" customHeight="1" x14ac:dyDescent="0.3">
      <c r="A821" s="260">
        <v>799</v>
      </c>
      <c r="B821" s="261"/>
      <c r="C821" s="261"/>
      <c r="D821" s="262" t="s">
        <v>15</v>
      </c>
      <c r="E821" s="262" t="s">
        <v>237</v>
      </c>
      <c r="F821" s="263" t="s">
        <v>15</v>
      </c>
      <c r="G821" s="264" t="s">
        <v>237</v>
      </c>
      <c r="H821" s="281"/>
      <c r="I821" s="265"/>
      <c r="J821" s="266" t="s">
        <v>271</v>
      </c>
      <c r="K821" s="262"/>
      <c r="L821" s="262"/>
      <c r="M821" s="262">
        <v>3970</v>
      </c>
      <c r="N821" s="262" t="s">
        <v>32</v>
      </c>
      <c r="O821" s="262" t="s">
        <v>212</v>
      </c>
      <c r="P821" s="262" t="s">
        <v>57</v>
      </c>
      <c r="Q821" s="262" t="s">
        <v>63</v>
      </c>
      <c r="R821" s="262" t="s">
        <v>28</v>
      </c>
      <c r="S821" s="267" t="s">
        <v>28</v>
      </c>
      <c r="T821" s="268"/>
      <c r="U821" s="269">
        <v>99997000</v>
      </c>
      <c r="V821" s="269">
        <v>99923760</v>
      </c>
      <c r="W821" s="278">
        <v>99911800</v>
      </c>
      <c r="X821" s="270"/>
      <c r="Y821" s="262" t="s">
        <v>27</v>
      </c>
      <c r="Z821" s="271" t="s">
        <v>27</v>
      </c>
      <c r="AA821" s="287"/>
      <c r="AB821" s="287"/>
      <c r="AC821" s="272">
        <f t="shared" si="27"/>
        <v>99731730</v>
      </c>
      <c r="AD821" s="272">
        <v>99731730</v>
      </c>
      <c r="AE821" s="272">
        <f t="shared" si="28"/>
        <v>0</v>
      </c>
      <c r="AF821" s="273"/>
      <c r="AG821" s="274"/>
      <c r="AH821" s="273"/>
      <c r="AI821" s="273">
        <v>9000000</v>
      </c>
      <c r="AJ821" s="274">
        <v>6731730</v>
      </c>
      <c r="AK821" s="273"/>
      <c r="AL821" s="275">
        <v>8520600</v>
      </c>
      <c r="AM821" s="290">
        <v>8520600</v>
      </c>
      <c r="AN821" s="275"/>
      <c r="AO821" s="276">
        <v>9000000</v>
      </c>
      <c r="AP821" s="275"/>
      <c r="AQ821" s="275">
        <v>9000000</v>
      </c>
      <c r="AR821" s="275"/>
      <c r="AS821" s="275">
        <v>9000000</v>
      </c>
      <c r="AT821" s="275"/>
      <c r="AU821" s="275">
        <v>9000000</v>
      </c>
      <c r="AV821" s="275"/>
      <c r="AW821" s="275">
        <v>9000000</v>
      </c>
      <c r="AX821" s="275"/>
      <c r="AY821" s="275">
        <v>9000000</v>
      </c>
      <c r="AZ821" s="275"/>
      <c r="BA821" s="275">
        <v>9000000</v>
      </c>
      <c r="BB821" s="275"/>
      <c r="BC821" s="275">
        <v>9000000</v>
      </c>
      <c r="BD821" s="275"/>
      <c r="BE821" s="275">
        <v>12479400</v>
      </c>
      <c r="BF821" s="275"/>
      <c r="BH821" s="277"/>
    </row>
    <row r="822" spans="1:60" ht="16.5" hidden="1" customHeight="1" x14ac:dyDescent="0.3">
      <c r="A822" s="260">
        <v>800</v>
      </c>
      <c r="B822" s="261"/>
      <c r="C822" s="261"/>
      <c r="D822" s="262" t="s">
        <v>15</v>
      </c>
      <c r="E822" s="262" t="s">
        <v>237</v>
      </c>
      <c r="F822" s="263" t="s">
        <v>15</v>
      </c>
      <c r="G822" s="264" t="s">
        <v>237</v>
      </c>
      <c r="H822" s="281"/>
      <c r="I822" s="265"/>
      <c r="J822" s="266" t="s">
        <v>271</v>
      </c>
      <c r="K822" s="262"/>
      <c r="L822" s="262"/>
      <c r="M822" s="262">
        <v>3970</v>
      </c>
      <c r="N822" s="262" t="s">
        <v>32</v>
      </c>
      <c r="O822" s="262" t="s">
        <v>56</v>
      </c>
      <c r="P822" s="262" t="s">
        <v>57</v>
      </c>
      <c r="Q822" s="262"/>
      <c r="R822" s="262" t="s">
        <v>473</v>
      </c>
      <c r="S822" s="267" t="s">
        <v>828</v>
      </c>
      <c r="T822" s="268"/>
      <c r="U822" s="269"/>
      <c r="V822" s="269"/>
      <c r="W822" s="278">
        <v>18334000</v>
      </c>
      <c r="X822" s="270"/>
      <c r="Y822" s="262" t="s">
        <v>27</v>
      </c>
      <c r="Z822" s="271" t="s">
        <v>24</v>
      </c>
      <c r="AA822" s="287"/>
      <c r="AB822" s="287"/>
      <c r="AC822" s="272">
        <f t="shared" si="27"/>
        <v>15000000</v>
      </c>
      <c r="AD822" s="272">
        <v>15000000</v>
      </c>
      <c r="AE822" s="272">
        <f t="shared" si="28"/>
        <v>0</v>
      </c>
      <c r="AF822" s="273"/>
      <c r="AG822" s="274"/>
      <c r="AH822" s="273"/>
      <c r="AI822" s="273"/>
      <c r="AJ822" s="274"/>
      <c r="AK822" s="273"/>
      <c r="AL822" s="275"/>
      <c r="AM822" s="290"/>
      <c r="AN822" s="275"/>
      <c r="AO822" s="276"/>
      <c r="AP822" s="275"/>
      <c r="AQ822" s="275"/>
      <c r="AR822" s="275"/>
      <c r="AS822" s="275"/>
      <c r="AT822" s="275"/>
      <c r="AU822" s="275"/>
      <c r="AV822" s="275"/>
      <c r="AW822" s="275"/>
      <c r="AX822" s="275"/>
      <c r="AY822" s="275"/>
      <c r="AZ822" s="275"/>
      <c r="BA822" s="275">
        <v>15000000</v>
      </c>
      <c r="BB822" s="275"/>
      <c r="BC822" s="275"/>
      <c r="BD822" s="275"/>
      <c r="BE822" s="275"/>
      <c r="BF822" s="275"/>
      <c r="BH822" s="277"/>
    </row>
    <row r="823" spans="1:60" ht="16.5" hidden="1" customHeight="1" x14ac:dyDescent="0.3">
      <c r="A823" s="260">
        <v>801</v>
      </c>
      <c r="B823" s="261"/>
      <c r="C823" s="261"/>
      <c r="D823" s="262" t="s">
        <v>15</v>
      </c>
      <c r="E823" s="262" t="s">
        <v>237</v>
      </c>
      <c r="F823" s="263" t="s">
        <v>15</v>
      </c>
      <c r="G823" s="264" t="s">
        <v>237</v>
      </c>
      <c r="H823" s="281"/>
      <c r="I823" s="265"/>
      <c r="J823" s="266" t="s">
        <v>271</v>
      </c>
      <c r="K823" s="262"/>
      <c r="L823" s="262"/>
      <c r="M823" s="262">
        <v>3970</v>
      </c>
      <c r="N823" s="262" t="s">
        <v>32</v>
      </c>
      <c r="O823" s="262" t="s">
        <v>35</v>
      </c>
      <c r="P823" s="262" t="s">
        <v>57</v>
      </c>
      <c r="Q823" s="262"/>
      <c r="R823" s="262" t="s">
        <v>397</v>
      </c>
      <c r="S823" s="267" t="s">
        <v>823</v>
      </c>
      <c r="T823" s="268"/>
      <c r="U823" s="269"/>
      <c r="V823" s="269">
        <v>0</v>
      </c>
      <c r="W823" s="278">
        <v>0</v>
      </c>
      <c r="X823" s="270"/>
      <c r="Y823" s="262" t="s">
        <v>562</v>
      </c>
      <c r="Z823" s="271" t="s">
        <v>562</v>
      </c>
      <c r="AA823" s="287"/>
      <c r="AB823" s="287"/>
      <c r="AC823" s="272">
        <f t="shared" si="27"/>
        <v>0</v>
      </c>
      <c r="AD823" s="272">
        <v>0</v>
      </c>
      <c r="AE823" s="272">
        <f t="shared" si="28"/>
        <v>0</v>
      </c>
      <c r="AF823" s="273"/>
      <c r="AG823" s="274"/>
      <c r="AH823" s="273"/>
      <c r="AI823" s="273"/>
      <c r="AJ823" s="274"/>
      <c r="AK823" s="273"/>
      <c r="AL823" s="275"/>
      <c r="AM823" s="290"/>
      <c r="AN823" s="275"/>
      <c r="AO823" s="276"/>
      <c r="AP823" s="275"/>
      <c r="AQ823" s="275"/>
      <c r="AR823" s="275"/>
      <c r="AS823" s="275"/>
      <c r="AT823" s="275"/>
      <c r="AU823" s="275"/>
      <c r="AV823" s="275"/>
      <c r="AW823" s="275"/>
      <c r="AX823" s="275"/>
      <c r="AY823" s="275"/>
      <c r="AZ823" s="275"/>
      <c r="BA823" s="275"/>
      <c r="BB823" s="275"/>
      <c r="BC823" s="275"/>
      <c r="BD823" s="275"/>
      <c r="BE823" s="275"/>
      <c r="BF823" s="275"/>
      <c r="BH823" s="277"/>
    </row>
    <row r="824" spans="1:60" ht="16.5" hidden="1" customHeight="1" x14ac:dyDescent="0.3">
      <c r="A824" s="260">
        <v>802</v>
      </c>
      <c r="B824" s="261"/>
      <c r="C824" s="261"/>
      <c r="D824" s="262" t="s">
        <v>15</v>
      </c>
      <c r="E824" s="262" t="s">
        <v>237</v>
      </c>
      <c r="F824" s="263" t="s">
        <v>15</v>
      </c>
      <c r="G824" s="264" t="s">
        <v>237</v>
      </c>
      <c r="H824" s="281"/>
      <c r="I824" s="265"/>
      <c r="J824" s="266" t="s">
        <v>271</v>
      </c>
      <c r="K824" s="262"/>
      <c r="L824" s="262"/>
      <c r="M824" s="262">
        <v>3970</v>
      </c>
      <c r="N824" s="262" t="s">
        <v>32</v>
      </c>
      <c r="O824" s="262" t="s">
        <v>35</v>
      </c>
      <c r="P824" s="262" t="s">
        <v>57</v>
      </c>
      <c r="Q824" s="262"/>
      <c r="R824" s="262"/>
      <c r="S824" s="267" t="s">
        <v>830</v>
      </c>
      <c r="T824" s="268"/>
      <c r="U824" s="269"/>
      <c r="V824" s="269"/>
      <c r="W824" s="278">
        <v>0</v>
      </c>
      <c r="X824" s="270"/>
      <c r="Y824" s="262"/>
      <c r="Z824" s="271" t="s">
        <v>25</v>
      </c>
      <c r="AA824" s="287"/>
      <c r="AB824" s="287"/>
      <c r="AC824" s="272">
        <f t="shared" si="27"/>
        <v>10000000</v>
      </c>
      <c r="AD824" s="272">
        <v>10000000</v>
      </c>
      <c r="AE824" s="272">
        <f t="shared" si="28"/>
        <v>0</v>
      </c>
      <c r="AF824" s="273"/>
      <c r="AG824" s="274"/>
      <c r="AH824" s="273"/>
      <c r="AI824" s="273"/>
      <c r="AJ824" s="274"/>
      <c r="AK824" s="273"/>
      <c r="AL824" s="275"/>
      <c r="AM824" s="290"/>
      <c r="AN824" s="275"/>
      <c r="AO824" s="276"/>
      <c r="AP824" s="275"/>
      <c r="AQ824" s="275"/>
      <c r="AR824" s="275"/>
      <c r="AS824" s="275"/>
      <c r="AT824" s="275"/>
      <c r="AU824" s="275"/>
      <c r="AV824" s="275"/>
      <c r="AW824" s="275"/>
      <c r="AX824" s="275"/>
      <c r="AY824" s="275">
        <v>10000000</v>
      </c>
      <c r="AZ824" s="275"/>
      <c r="BA824" s="275"/>
      <c r="BB824" s="275"/>
      <c r="BC824" s="275"/>
      <c r="BD824" s="275"/>
      <c r="BE824" s="275"/>
      <c r="BF824" s="275"/>
      <c r="BH824" s="277"/>
    </row>
    <row r="825" spans="1:60" ht="16.5" hidden="1" customHeight="1" x14ac:dyDescent="0.3">
      <c r="A825" s="260">
        <v>803</v>
      </c>
      <c r="B825" s="261"/>
      <c r="C825" s="261"/>
      <c r="D825" s="262"/>
      <c r="E825" s="262"/>
      <c r="F825" s="263" t="s">
        <v>15</v>
      </c>
      <c r="G825" s="264" t="s">
        <v>237</v>
      </c>
      <c r="H825" s="281"/>
      <c r="I825" s="265"/>
      <c r="J825" s="266" t="s">
        <v>272</v>
      </c>
      <c r="K825" s="262"/>
      <c r="L825" s="262"/>
      <c r="M825" s="262">
        <v>43796</v>
      </c>
      <c r="N825" s="262" t="s">
        <v>32</v>
      </c>
      <c r="O825" s="262" t="s">
        <v>212</v>
      </c>
      <c r="P825" s="262" t="s">
        <v>57</v>
      </c>
      <c r="Q825" s="262"/>
      <c r="R825" s="262" t="s">
        <v>28</v>
      </c>
      <c r="S825" s="267" t="s">
        <v>28</v>
      </c>
      <c r="T825" s="268"/>
      <c r="U825" s="269"/>
      <c r="V825" s="269">
        <v>0</v>
      </c>
      <c r="W825" s="278">
        <v>99980000</v>
      </c>
      <c r="X825" s="270"/>
      <c r="Y825" s="262" t="s">
        <v>27</v>
      </c>
      <c r="Z825" s="271" t="s">
        <v>27</v>
      </c>
      <c r="AA825" s="287"/>
      <c r="AB825" s="287"/>
      <c r="AC825" s="272">
        <f t="shared" si="27"/>
        <v>100000000</v>
      </c>
      <c r="AD825" s="272">
        <v>100000000</v>
      </c>
      <c r="AE825" s="272">
        <f t="shared" si="28"/>
        <v>0</v>
      </c>
      <c r="AF825" s="273"/>
      <c r="AG825" s="274"/>
      <c r="AH825" s="273"/>
      <c r="AI825" s="273">
        <v>40000000</v>
      </c>
      <c r="AJ825" s="274"/>
      <c r="AK825" s="273" t="s">
        <v>933</v>
      </c>
      <c r="AL825" s="275"/>
      <c r="AM825" s="290"/>
      <c r="AN825" s="275" t="s">
        <v>1001</v>
      </c>
      <c r="AO825" s="276">
        <v>40000000</v>
      </c>
      <c r="AP825" s="275"/>
      <c r="AQ825" s="275"/>
      <c r="AR825" s="275"/>
      <c r="AS825" s="275"/>
      <c r="AT825" s="275"/>
      <c r="AU825" s="275"/>
      <c r="AV825" s="275"/>
      <c r="AW825" s="275"/>
      <c r="AX825" s="275"/>
      <c r="AY825" s="275"/>
      <c r="AZ825" s="275"/>
      <c r="BA825" s="275"/>
      <c r="BB825" s="275"/>
      <c r="BC825" s="275">
        <v>20000000</v>
      </c>
      <c r="BD825" s="275"/>
      <c r="BE825" s="275">
        <v>40000000</v>
      </c>
      <c r="BF825" s="275"/>
      <c r="BH825" s="277"/>
    </row>
    <row r="826" spans="1:60" ht="16.5" hidden="1" customHeight="1" x14ac:dyDescent="0.3">
      <c r="A826" s="260">
        <v>804</v>
      </c>
      <c r="B826" s="261"/>
      <c r="C826" s="261"/>
      <c r="D826" s="262" t="s">
        <v>15</v>
      </c>
      <c r="E826" s="262" t="s">
        <v>237</v>
      </c>
      <c r="F826" s="263" t="s">
        <v>15</v>
      </c>
      <c r="G826" s="264" t="s">
        <v>237</v>
      </c>
      <c r="H826" s="281"/>
      <c r="I826" s="265"/>
      <c r="J826" s="266" t="s">
        <v>272</v>
      </c>
      <c r="K826" s="262"/>
      <c r="L826" s="262"/>
      <c r="M826" s="262">
        <v>43796</v>
      </c>
      <c r="N826" s="262" t="s">
        <v>32</v>
      </c>
      <c r="O826" s="262" t="s">
        <v>212</v>
      </c>
      <c r="P826" s="262" t="s">
        <v>57</v>
      </c>
      <c r="Q826" s="262"/>
      <c r="R826" s="262"/>
      <c r="S826" s="267" t="s">
        <v>478</v>
      </c>
      <c r="T826" s="268"/>
      <c r="U826" s="269"/>
      <c r="V826" s="269"/>
      <c r="W826" s="278">
        <v>0</v>
      </c>
      <c r="X826" s="270"/>
      <c r="Y826" s="262"/>
      <c r="Z826" s="271" t="s">
        <v>27</v>
      </c>
      <c r="AA826" s="287"/>
      <c r="AB826" s="287"/>
      <c r="AC826" s="272">
        <f t="shared" si="27"/>
        <v>2800000</v>
      </c>
      <c r="AD826" s="272">
        <v>2800000</v>
      </c>
      <c r="AE826" s="272">
        <f t="shared" si="28"/>
        <v>0</v>
      </c>
      <c r="AF826" s="273"/>
      <c r="AG826" s="274"/>
      <c r="AH826" s="273"/>
      <c r="AI826" s="273"/>
      <c r="AJ826" s="274"/>
      <c r="AK826" s="273"/>
      <c r="AL826" s="275">
        <v>2800000</v>
      </c>
      <c r="AM826" s="290">
        <v>2800000</v>
      </c>
      <c r="AN826" s="275"/>
      <c r="AO826" s="276"/>
      <c r="AP826" s="275"/>
      <c r="AQ826" s="275"/>
      <c r="AR826" s="275"/>
      <c r="AS826" s="275"/>
      <c r="AT826" s="275"/>
      <c r="AU826" s="275"/>
      <c r="AV826" s="275"/>
      <c r="AW826" s="275"/>
      <c r="AX826" s="275"/>
      <c r="AY826" s="275"/>
      <c r="AZ826" s="275"/>
      <c r="BA826" s="275"/>
      <c r="BB826" s="275"/>
      <c r="BC826" s="275"/>
      <c r="BD826" s="275"/>
      <c r="BE826" s="275"/>
      <c r="BF826" s="275"/>
      <c r="BH826" s="277"/>
    </row>
    <row r="827" spans="1:60" ht="16.5" hidden="1" customHeight="1" x14ac:dyDescent="0.3">
      <c r="A827" s="260">
        <v>805</v>
      </c>
      <c r="B827" s="261"/>
      <c r="C827" s="261"/>
      <c r="D827" s="262" t="s">
        <v>15</v>
      </c>
      <c r="E827" s="262" t="s">
        <v>237</v>
      </c>
      <c r="F827" s="263" t="s">
        <v>15</v>
      </c>
      <c r="G827" s="264" t="s">
        <v>237</v>
      </c>
      <c r="H827" s="281"/>
      <c r="I827" s="265"/>
      <c r="J827" s="266" t="s">
        <v>273</v>
      </c>
      <c r="K827" s="262"/>
      <c r="L827" s="262"/>
      <c r="M827" s="262">
        <v>59026</v>
      </c>
      <c r="N827" s="262" t="s">
        <v>32</v>
      </c>
      <c r="O827" s="262" t="s">
        <v>56</v>
      </c>
      <c r="P827" s="262" t="s">
        <v>57</v>
      </c>
      <c r="Q827" s="262" t="s">
        <v>62</v>
      </c>
      <c r="R827" s="262" t="s">
        <v>678</v>
      </c>
      <c r="S827" s="267" t="s">
        <v>832</v>
      </c>
      <c r="T827" s="268"/>
      <c r="U827" s="269"/>
      <c r="V827" s="269">
        <v>6300000</v>
      </c>
      <c r="W827" s="278">
        <v>0</v>
      </c>
      <c r="X827" s="270"/>
      <c r="Y827" s="262" t="s">
        <v>20</v>
      </c>
      <c r="Z827" s="271" t="s">
        <v>20</v>
      </c>
      <c r="AA827" s="287"/>
      <c r="AB827" s="287"/>
      <c r="AC827" s="272">
        <f t="shared" si="27"/>
        <v>0</v>
      </c>
      <c r="AD827" s="272">
        <v>0</v>
      </c>
      <c r="AE827" s="272">
        <f t="shared" si="28"/>
        <v>0</v>
      </c>
      <c r="AF827" s="273"/>
      <c r="AG827" s="274"/>
      <c r="AH827" s="273"/>
      <c r="AI827" s="273"/>
      <c r="AJ827" s="274"/>
      <c r="AK827" s="273"/>
      <c r="AL827" s="275"/>
      <c r="AM827" s="290"/>
      <c r="AN827" s="275"/>
      <c r="AO827" s="276"/>
      <c r="AP827" s="275"/>
      <c r="AQ827" s="275"/>
      <c r="AR827" s="275"/>
      <c r="AS827" s="275"/>
      <c r="AT827" s="275"/>
      <c r="AU827" s="275"/>
      <c r="AV827" s="275"/>
      <c r="AW827" s="275"/>
      <c r="AX827" s="275"/>
      <c r="AY827" s="275"/>
      <c r="AZ827" s="275"/>
      <c r="BA827" s="275"/>
      <c r="BB827" s="275"/>
      <c r="BC827" s="275"/>
      <c r="BD827" s="275"/>
      <c r="BE827" s="275"/>
      <c r="BF827" s="275"/>
      <c r="BH827" s="277"/>
    </row>
    <row r="828" spans="1:60" ht="16.5" hidden="1" customHeight="1" x14ac:dyDescent="0.3">
      <c r="A828" s="260">
        <v>806</v>
      </c>
      <c r="B828" s="261"/>
      <c r="C828" s="261"/>
      <c r="D828" s="262" t="s">
        <v>15</v>
      </c>
      <c r="E828" s="262" t="s">
        <v>237</v>
      </c>
      <c r="F828" s="263" t="s">
        <v>15</v>
      </c>
      <c r="G828" s="264" t="s">
        <v>237</v>
      </c>
      <c r="H828" s="281"/>
      <c r="I828" s="265"/>
      <c r="J828" s="266" t="s">
        <v>274</v>
      </c>
      <c r="K828" s="262"/>
      <c r="L828" s="262"/>
      <c r="M828" s="262">
        <v>4128</v>
      </c>
      <c r="N828" s="262" t="s">
        <v>22</v>
      </c>
      <c r="O828" s="262" t="s">
        <v>212</v>
      </c>
      <c r="P828" s="262" t="s">
        <v>57</v>
      </c>
      <c r="Q828" s="262" t="s">
        <v>18</v>
      </c>
      <c r="R828" s="262" t="s">
        <v>28</v>
      </c>
      <c r="S828" s="267" t="s">
        <v>28</v>
      </c>
      <c r="T828" s="268" t="s">
        <v>951</v>
      </c>
      <c r="U828" s="269">
        <v>39278620</v>
      </c>
      <c r="V828" s="269">
        <v>76581500</v>
      </c>
      <c r="W828" s="278">
        <v>0</v>
      </c>
      <c r="X828" s="270"/>
      <c r="Y828" s="262" t="s">
        <v>27</v>
      </c>
      <c r="Z828" s="271" t="s">
        <v>20</v>
      </c>
      <c r="AA828" s="287"/>
      <c r="AB828" s="287"/>
      <c r="AC828" s="272">
        <f t="shared" si="27"/>
        <v>0</v>
      </c>
      <c r="AD828" s="272">
        <v>0</v>
      </c>
      <c r="AE828" s="272">
        <f t="shared" si="28"/>
        <v>0</v>
      </c>
      <c r="AF828" s="273"/>
      <c r="AG828" s="274"/>
      <c r="AH828" s="273"/>
      <c r="AI828" s="273"/>
      <c r="AJ828" s="274"/>
      <c r="AK828" s="273"/>
      <c r="AL828" s="275"/>
      <c r="AM828" s="290"/>
      <c r="AN828" s="275"/>
      <c r="AO828" s="276"/>
      <c r="AP828" s="275"/>
      <c r="AQ828" s="275"/>
      <c r="AR828" s="275"/>
      <c r="AS828" s="275"/>
      <c r="AT828" s="275"/>
      <c r="AU828" s="275"/>
      <c r="AV828" s="275"/>
      <c r="AW828" s="275"/>
      <c r="AX828" s="275"/>
      <c r="AY828" s="275"/>
      <c r="AZ828" s="275"/>
      <c r="BA828" s="275"/>
      <c r="BB828" s="275"/>
      <c r="BC828" s="275"/>
      <c r="BD828" s="275"/>
      <c r="BE828" s="275"/>
      <c r="BF828" s="275"/>
      <c r="BH828" s="277"/>
    </row>
    <row r="829" spans="1:60" ht="16.5" hidden="1" customHeight="1" x14ac:dyDescent="0.3">
      <c r="A829" s="260">
        <v>807</v>
      </c>
      <c r="B829" s="261"/>
      <c r="C829" s="261"/>
      <c r="D829" s="262" t="s">
        <v>15</v>
      </c>
      <c r="E829" s="262" t="s">
        <v>237</v>
      </c>
      <c r="F829" s="263" t="s">
        <v>15</v>
      </c>
      <c r="G829" s="264" t="s">
        <v>237</v>
      </c>
      <c r="H829" s="281"/>
      <c r="I829" s="265"/>
      <c r="J829" s="266" t="s">
        <v>274</v>
      </c>
      <c r="K829" s="262"/>
      <c r="L829" s="262"/>
      <c r="M829" s="262">
        <v>4128</v>
      </c>
      <c r="N829" s="262" t="s">
        <v>22</v>
      </c>
      <c r="O829" s="262" t="s">
        <v>212</v>
      </c>
      <c r="P829" s="262" t="s">
        <v>57</v>
      </c>
      <c r="Q829" s="262"/>
      <c r="R829" s="262" t="s">
        <v>19</v>
      </c>
      <c r="S829" s="267" t="s">
        <v>19</v>
      </c>
      <c r="T829" s="268"/>
      <c r="U829" s="269"/>
      <c r="V829" s="269"/>
      <c r="W829" s="278">
        <v>49880700</v>
      </c>
      <c r="X829" s="270"/>
      <c r="Y829" s="262"/>
      <c r="Z829" s="271" t="s">
        <v>27</v>
      </c>
      <c r="AA829" s="287"/>
      <c r="AB829" s="287"/>
      <c r="AC829" s="272">
        <f t="shared" si="27"/>
        <v>46516300</v>
      </c>
      <c r="AD829" s="272">
        <v>46516300</v>
      </c>
      <c r="AE829" s="272">
        <f t="shared" si="28"/>
        <v>0</v>
      </c>
      <c r="AF829" s="273">
        <v>1897500</v>
      </c>
      <c r="AG829" s="274">
        <v>1897500</v>
      </c>
      <c r="AH829" s="273" t="s">
        <v>851</v>
      </c>
      <c r="AI829" s="273">
        <v>16892800</v>
      </c>
      <c r="AJ829" s="274">
        <v>16281800</v>
      </c>
      <c r="AK829" s="273" t="s">
        <v>934</v>
      </c>
      <c r="AL829" s="275">
        <v>1352000</v>
      </c>
      <c r="AM829" s="290">
        <v>1337000</v>
      </c>
      <c r="AN829" s="275"/>
      <c r="AO829" s="276">
        <v>3000000</v>
      </c>
      <c r="AP829" s="275"/>
      <c r="AQ829" s="275">
        <v>3000000</v>
      </c>
      <c r="AR829" s="275"/>
      <c r="AS829" s="275">
        <v>3000000</v>
      </c>
      <c r="AT829" s="275"/>
      <c r="AU829" s="275">
        <v>3000000</v>
      </c>
      <c r="AV829" s="275"/>
      <c r="AW829" s="275">
        <v>3000000</v>
      </c>
      <c r="AX829" s="275"/>
      <c r="AY829" s="275">
        <v>3000000</v>
      </c>
      <c r="AZ829" s="275"/>
      <c r="BA829" s="275">
        <v>3000000</v>
      </c>
      <c r="BB829" s="275"/>
      <c r="BC829" s="275">
        <v>3000000</v>
      </c>
      <c r="BD829" s="275"/>
      <c r="BE829" s="275">
        <v>3000000</v>
      </c>
      <c r="BF829" s="275"/>
      <c r="BH829" s="277"/>
    </row>
    <row r="830" spans="1:60" ht="16.5" hidden="1" customHeight="1" x14ac:dyDescent="0.3">
      <c r="A830" s="260">
        <v>808</v>
      </c>
      <c r="B830" s="261"/>
      <c r="C830" s="261"/>
      <c r="D830" s="262" t="s">
        <v>15</v>
      </c>
      <c r="E830" s="262" t="s">
        <v>237</v>
      </c>
      <c r="F830" s="263" t="s">
        <v>15</v>
      </c>
      <c r="G830" s="264" t="s">
        <v>237</v>
      </c>
      <c r="H830" s="281"/>
      <c r="I830" s="265"/>
      <c r="J830" s="266" t="s">
        <v>274</v>
      </c>
      <c r="K830" s="262"/>
      <c r="L830" s="262"/>
      <c r="M830" s="262">
        <v>4128</v>
      </c>
      <c r="N830" s="262" t="s">
        <v>22</v>
      </c>
      <c r="O830" s="262" t="s">
        <v>35</v>
      </c>
      <c r="P830" s="262" t="s">
        <v>57</v>
      </c>
      <c r="Q830" s="262" t="s">
        <v>18</v>
      </c>
      <c r="R830" s="262" t="s">
        <v>19</v>
      </c>
      <c r="S830" s="267" t="s">
        <v>19</v>
      </c>
      <c r="T830" s="268"/>
      <c r="U830" s="269"/>
      <c r="V830" s="269">
        <v>0</v>
      </c>
      <c r="W830" s="278">
        <v>0</v>
      </c>
      <c r="X830" s="270"/>
      <c r="Y830" s="262" t="s">
        <v>24</v>
      </c>
      <c r="Z830" s="271" t="s">
        <v>24</v>
      </c>
      <c r="AA830" s="287"/>
      <c r="AB830" s="287"/>
      <c r="AC830" s="272">
        <f t="shared" si="27"/>
        <v>12000000</v>
      </c>
      <c r="AD830" s="272">
        <v>12000000</v>
      </c>
      <c r="AE830" s="272">
        <f t="shared" si="28"/>
        <v>0</v>
      </c>
      <c r="AF830" s="273"/>
      <c r="AG830" s="274"/>
      <c r="AH830" s="273"/>
      <c r="AI830" s="273"/>
      <c r="AJ830" s="274"/>
      <c r="AK830" s="273"/>
      <c r="AL830" s="275"/>
      <c r="AM830" s="290"/>
      <c r="AN830" s="275"/>
      <c r="AO830" s="276"/>
      <c r="AP830" s="275"/>
      <c r="AQ830" s="275"/>
      <c r="AR830" s="275"/>
      <c r="AS830" s="275">
        <v>12000000</v>
      </c>
      <c r="AT830" s="275"/>
      <c r="AU830" s="275"/>
      <c r="AV830" s="275"/>
      <c r="AW830" s="275"/>
      <c r="AX830" s="275"/>
      <c r="AY830" s="275"/>
      <c r="AZ830" s="275"/>
      <c r="BA830" s="275"/>
      <c r="BB830" s="275"/>
      <c r="BC830" s="275"/>
      <c r="BD830" s="275"/>
      <c r="BE830" s="275"/>
      <c r="BF830" s="275"/>
      <c r="BH830" s="277"/>
    </row>
    <row r="831" spans="1:60" ht="16.5" hidden="1" customHeight="1" x14ac:dyDescent="0.3">
      <c r="A831" s="260">
        <v>809</v>
      </c>
      <c r="B831" s="261"/>
      <c r="C831" s="261"/>
      <c r="D831" s="262" t="s">
        <v>15</v>
      </c>
      <c r="E831" s="262" t="s">
        <v>237</v>
      </c>
      <c r="F831" s="263" t="s">
        <v>15</v>
      </c>
      <c r="G831" s="264" t="s">
        <v>237</v>
      </c>
      <c r="H831" s="281"/>
      <c r="I831" s="265"/>
      <c r="J831" s="266" t="s">
        <v>274</v>
      </c>
      <c r="K831" s="262"/>
      <c r="L831" s="262"/>
      <c r="M831" s="262">
        <v>4128</v>
      </c>
      <c r="N831" s="262" t="s">
        <v>22</v>
      </c>
      <c r="O831" s="262" t="s">
        <v>212</v>
      </c>
      <c r="P831" s="262" t="s">
        <v>57</v>
      </c>
      <c r="Q831" s="262" t="s">
        <v>30</v>
      </c>
      <c r="R831" s="262" t="s">
        <v>31</v>
      </c>
      <c r="S831" s="267" t="s">
        <v>31</v>
      </c>
      <c r="T831" s="268"/>
      <c r="U831" s="269" t="s">
        <v>154</v>
      </c>
      <c r="V831" s="269">
        <v>0</v>
      </c>
      <c r="W831" s="278">
        <v>320000</v>
      </c>
      <c r="X831" s="270"/>
      <c r="Y831" s="262" t="s">
        <v>27</v>
      </c>
      <c r="Z831" s="271" t="s">
        <v>24</v>
      </c>
      <c r="AA831" s="287"/>
      <c r="AB831" s="287"/>
      <c r="AC831" s="272">
        <f t="shared" si="27"/>
        <v>4000000</v>
      </c>
      <c r="AD831" s="272">
        <v>4000000</v>
      </c>
      <c r="AE831" s="272">
        <f t="shared" si="28"/>
        <v>0</v>
      </c>
      <c r="AF831" s="273"/>
      <c r="AG831" s="274"/>
      <c r="AH831" s="273"/>
      <c r="AI831" s="273"/>
      <c r="AJ831" s="274"/>
      <c r="AK831" s="273"/>
      <c r="AL831" s="275"/>
      <c r="AM831" s="290"/>
      <c r="AN831" s="275"/>
      <c r="AO831" s="276"/>
      <c r="AP831" s="275"/>
      <c r="AQ831" s="275"/>
      <c r="AR831" s="275"/>
      <c r="AS831" s="275">
        <v>2000000</v>
      </c>
      <c r="AT831" s="275"/>
      <c r="AU831" s="275"/>
      <c r="AV831" s="275"/>
      <c r="AW831" s="275"/>
      <c r="AX831" s="275"/>
      <c r="AY831" s="275"/>
      <c r="AZ831" s="275"/>
      <c r="BA831" s="275"/>
      <c r="BB831" s="275"/>
      <c r="BC831" s="275"/>
      <c r="BD831" s="275"/>
      <c r="BE831" s="275">
        <v>2000000</v>
      </c>
      <c r="BF831" s="275"/>
      <c r="BH831" s="277"/>
    </row>
    <row r="832" spans="1:60" ht="16.5" hidden="1" customHeight="1" x14ac:dyDescent="0.3">
      <c r="A832" s="260">
        <v>810</v>
      </c>
      <c r="B832" s="261"/>
      <c r="C832" s="261"/>
      <c r="D832" s="262" t="s">
        <v>15</v>
      </c>
      <c r="E832" s="262" t="s">
        <v>237</v>
      </c>
      <c r="F832" s="263" t="s">
        <v>15</v>
      </c>
      <c r="G832" s="264" t="s">
        <v>237</v>
      </c>
      <c r="H832" s="281"/>
      <c r="I832" s="265"/>
      <c r="J832" s="266" t="s">
        <v>274</v>
      </c>
      <c r="K832" s="262"/>
      <c r="L832" s="262"/>
      <c r="M832" s="262">
        <v>4128</v>
      </c>
      <c r="N832" s="262" t="s">
        <v>22</v>
      </c>
      <c r="O832" s="262" t="s">
        <v>35</v>
      </c>
      <c r="P832" s="262" t="s">
        <v>57</v>
      </c>
      <c r="Q832" s="262"/>
      <c r="R832" s="262"/>
      <c r="S832" s="267" t="s">
        <v>822</v>
      </c>
      <c r="T832" s="268"/>
      <c r="U832" s="269"/>
      <c r="V832" s="269"/>
      <c r="W832" s="278">
        <v>0</v>
      </c>
      <c r="X832" s="270"/>
      <c r="Y832" s="262"/>
      <c r="Z832" s="271" t="s">
        <v>25</v>
      </c>
      <c r="AA832" s="287"/>
      <c r="AB832" s="287"/>
      <c r="AC832" s="272">
        <f t="shared" si="27"/>
        <v>10000000</v>
      </c>
      <c r="AD832" s="272">
        <v>10000000</v>
      </c>
      <c r="AE832" s="272">
        <f t="shared" si="28"/>
        <v>0</v>
      </c>
      <c r="AF832" s="273"/>
      <c r="AG832" s="274"/>
      <c r="AH832" s="273"/>
      <c r="AI832" s="273"/>
      <c r="AJ832" s="274"/>
      <c r="AK832" s="273"/>
      <c r="AL832" s="275"/>
      <c r="AM832" s="290"/>
      <c r="AN832" s="275"/>
      <c r="AO832" s="276"/>
      <c r="AP832" s="275"/>
      <c r="AQ832" s="275">
        <v>10000000</v>
      </c>
      <c r="AR832" s="275"/>
      <c r="AS832" s="275"/>
      <c r="AT832" s="275"/>
      <c r="AU832" s="275"/>
      <c r="AV832" s="275"/>
      <c r="AW832" s="275"/>
      <c r="AX832" s="275"/>
      <c r="AY832" s="275"/>
      <c r="AZ832" s="275"/>
      <c r="BA832" s="275"/>
      <c r="BB832" s="275"/>
      <c r="BC832" s="275"/>
      <c r="BD832" s="275"/>
      <c r="BE832" s="275"/>
      <c r="BF832" s="275"/>
      <c r="BH832" s="277"/>
    </row>
    <row r="833" spans="1:60" ht="16.5" hidden="1" customHeight="1" x14ac:dyDescent="0.3">
      <c r="A833" s="260">
        <v>811</v>
      </c>
      <c r="B833" s="261"/>
      <c r="C833" s="261"/>
      <c r="D833" s="262" t="s">
        <v>15</v>
      </c>
      <c r="E833" s="262" t="s">
        <v>237</v>
      </c>
      <c r="F833" s="263" t="s">
        <v>15</v>
      </c>
      <c r="G833" s="264" t="s">
        <v>237</v>
      </c>
      <c r="H833" s="281"/>
      <c r="I833" s="265"/>
      <c r="J833" s="266" t="s">
        <v>274</v>
      </c>
      <c r="K833" s="262"/>
      <c r="L833" s="262"/>
      <c r="M833" s="262">
        <v>4128</v>
      </c>
      <c r="N833" s="262" t="s">
        <v>22</v>
      </c>
      <c r="O833" s="262" t="s">
        <v>35</v>
      </c>
      <c r="P833" s="262" t="s">
        <v>57</v>
      </c>
      <c r="Q833" s="262"/>
      <c r="R833" s="262"/>
      <c r="S833" s="267" t="s">
        <v>830</v>
      </c>
      <c r="T833" s="268"/>
      <c r="U833" s="269"/>
      <c r="V833" s="269"/>
      <c r="W833" s="278">
        <v>0</v>
      </c>
      <c r="X833" s="270"/>
      <c r="Y833" s="262"/>
      <c r="Z833" s="271" t="s">
        <v>25</v>
      </c>
      <c r="AA833" s="287"/>
      <c r="AB833" s="287"/>
      <c r="AC833" s="272">
        <f t="shared" si="27"/>
        <v>10000000</v>
      </c>
      <c r="AD833" s="272">
        <v>10000000</v>
      </c>
      <c r="AE833" s="272">
        <f t="shared" si="28"/>
        <v>0</v>
      </c>
      <c r="AF833" s="273"/>
      <c r="AG833" s="274"/>
      <c r="AH833" s="273"/>
      <c r="AI833" s="273"/>
      <c r="AJ833" s="274"/>
      <c r="AK833" s="273"/>
      <c r="AL833" s="275"/>
      <c r="AM833" s="290"/>
      <c r="AN833" s="275"/>
      <c r="AO833" s="276"/>
      <c r="AP833" s="275"/>
      <c r="AQ833" s="275"/>
      <c r="AR833" s="275"/>
      <c r="AS833" s="275"/>
      <c r="AT833" s="275"/>
      <c r="AU833" s="275"/>
      <c r="AV833" s="275"/>
      <c r="AW833" s="275"/>
      <c r="AX833" s="275"/>
      <c r="AY833" s="275">
        <v>10000000</v>
      </c>
      <c r="AZ833" s="275"/>
      <c r="BA833" s="275"/>
      <c r="BB833" s="275"/>
      <c r="BC833" s="275"/>
      <c r="BD833" s="275"/>
      <c r="BE833" s="275"/>
      <c r="BF833" s="275"/>
      <c r="BH833" s="277"/>
    </row>
    <row r="834" spans="1:60" ht="16.5" hidden="1" customHeight="1" x14ac:dyDescent="0.3">
      <c r="A834" s="260">
        <v>812</v>
      </c>
      <c r="B834" s="261"/>
      <c r="C834" s="261"/>
      <c r="D834" s="262" t="s">
        <v>15</v>
      </c>
      <c r="E834" s="262" t="s">
        <v>0</v>
      </c>
      <c r="F834" s="263" t="s">
        <v>15</v>
      </c>
      <c r="G834" s="264" t="s">
        <v>237</v>
      </c>
      <c r="H834" s="281"/>
      <c r="I834" s="265"/>
      <c r="J834" s="266" t="s">
        <v>233</v>
      </c>
      <c r="K834" s="262"/>
      <c r="L834" s="262"/>
      <c r="M834" s="262">
        <v>42061</v>
      </c>
      <c r="N834" s="262"/>
      <c r="O834" s="262"/>
      <c r="P834" s="262"/>
      <c r="Q834" s="262"/>
      <c r="R834" s="262"/>
      <c r="S834" s="267" t="s">
        <v>28</v>
      </c>
      <c r="T834" s="268"/>
      <c r="U834" s="269"/>
      <c r="V834" s="269"/>
      <c r="W834" s="278">
        <v>107800000</v>
      </c>
      <c r="X834" s="270"/>
      <c r="Y834" s="262"/>
      <c r="Z834" s="271" t="s">
        <v>718</v>
      </c>
      <c r="AA834" s="287"/>
      <c r="AB834" s="287"/>
      <c r="AC834" s="272">
        <f t="shared" si="27"/>
        <v>0</v>
      </c>
      <c r="AD834" s="272">
        <v>0</v>
      </c>
      <c r="AE834" s="272">
        <f t="shared" si="28"/>
        <v>0</v>
      </c>
      <c r="AF834" s="273"/>
      <c r="AG834" s="274"/>
      <c r="AH834" s="273"/>
      <c r="AI834" s="273"/>
      <c r="AJ834" s="274"/>
      <c r="AK834" s="273"/>
      <c r="AL834" s="275"/>
      <c r="AM834" s="290"/>
      <c r="AN834" s="275"/>
      <c r="AO834" s="276"/>
      <c r="AP834" s="275"/>
      <c r="AQ834" s="275"/>
      <c r="AR834" s="275"/>
      <c r="AS834" s="275"/>
      <c r="AT834" s="275"/>
      <c r="AU834" s="275"/>
      <c r="AV834" s="275"/>
      <c r="AW834" s="275"/>
      <c r="AX834" s="275"/>
      <c r="AY834" s="275"/>
      <c r="AZ834" s="275"/>
      <c r="BA834" s="275"/>
      <c r="BB834" s="275"/>
      <c r="BC834" s="275"/>
      <c r="BD834" s="275"/>
      <c r="BE834" s="275"/>
      <c r="BF834" s="275"/>
      <c r="BH834" s="277"/>
    </row>
    <row r="835" spans="1:60" ht="16.5" hidden="1" customHeight="1" x14ac:dyDescent="0.3">
      <c r="A835" s="260">
        <v>813</v>
      </c>
      <c r="B835" s="261"/>
      <c r="C835" s="261"/>
      <c r="D835" s="262" t="s">
        <v>15</v>
      </c>
      <c r="E835" s="262" t="s">
        <v>237</v>
      </c>
      <c r="F835" s="263" t="s">
        <v>15</v>
      </c>
      <c r="G835" s="264" t="s">
        <v>237</v>
      </c>
      <c r="H835" s="281"/>
      <c r="I835" s="265"/>
      <c r="J835" s="266" t="s">
        <v>233</v>
      </c>
      <c r="K835" s="262"/>
      <c r="L835" s="262"/>
      <c r="M835" s="262">
        <v>42061</v>
      </c>
      <c r="N835" s="262" t="s">
        <v>32</v>
      </c>
      <c r="O835" s="262" t="s">
        <v>56</v>
      </c>
      <c r="P835" s="262" t="s">
        <v>57</v>
      </c>
      <c r="Q835" s="262" t="s">
        <v>30</v>
      </c>
      <c r="R835" s="262" t="s">
        <v>31</v>
      </c>
      <c r="S835" s="267" t="s">
        <v>31</v>
      </c>
      <c r="T835" s="268"/>
      <c r="U835" s="269"/>
      <c r="V835" s="269">
        <v>100000</v>
      </c>
      <c r="W835" s="278">
        <v>360000</v>
      </c>
      <c r="X835" s="270"/>
      <c r="Y835" s="262" t="s">
        <v>27</v>
      </c>
      <c r="Z835" s="271" t="s">
        <v>718</v>
      </c>
      <c r="AA835" s="287"/>
      <c r="AB835" s="287"/>
      <c r="AC835" s="272">
        <f t="shared" si="27"/>
        <v>0</v>
      </c>
      <c r="AD835" s="272">
        <v>0</v>
      </c>
      <c r="AE835" s="272">
        <f t="shared" si="28"/>
        <v>0</v>
      </c>
      <c r="AF835" s="273"/>
      <c r="AG835" s="274"/>
      <c r="AH835" s="273"/>
      <c r="AI835" s="273"/>
      <c r="AJ835" s="274"/>
      <c r="AK835" s="273"/>
      <c r="AL835" s="275"/>
      <c r="AM835" s="290"/>
      <c r="AN835" s="275"/>
      <c r="AO835" s="276"/>
      <c r="AP835" s="275"/>
      <c r="AQ835" s="275"/>
      <c r="AR835" s="275"/>
      <c r="AS835" s="275"/>
      <c r="AT835" s="275"/>
      <c r="AU835" s="275"/>
      <c r="AV835" s="275"/>
      <c r="AW835" s="275"/>
      <c r="AX835" s="275"/>
      <c r="AY835" s="275"/>
      <c r="AZ835" s="275"/>
      <c r="BA835" s="275"/>
      <c r="BB835" s="275"/>
      <c r="BC835" s="275"/>
      <c r="BD835" s="275"/>
      <c r="BE835" s="275"/>
      <c r="BF835" s="275"/>
      <c r="BH835" s="277"/>
    </row>
    <row r="836" spans="1:60" ht="16.5" hidden="1" customHeight="1" x14ac:dyDescent="0.3">
      <c r="A836" s="260">
        <v>814</v>
      </c>
      <c r="B836" s="261"/>
      <c r="C836" s="261"/>
      <c r="D836" s="262" t="s">
        <v>15</v>
      </c>
      <c r="E836" s="262" t="s">
        <v>237</v>
      </c>
      <c r="F836" s="263" t="s">
        <v>15</v>
      </c>
      <c r="G836" s="264" t="s">
        <v>237</v>
      </c>
      <c r="H836" s="281"/>
      <c r="I836" s="265"/>
      <c r="J836" s="266" t="s">
        <v>233</v>
      </c>
      <c r="K836" s="262"/>
      <c r="L836" s="262"/>
      <c r="M836" s="262">
        <v>42061</v>
      </c>
      <c r="N836" s="262" t="s">
        <v>32</v>
      </c>
      <c r="O836" s="262" t="s">
        <v>56</v>
      </c>
      <c r="P836" s="262" t="s">
        <v>57</v>
      </c>
      <c r="Q836" s="262" t="s">
        <v>63</v>
      </c>
      <c r="R836" s="262" t="s">
        <v>28</v>
      </c>
      <c r="S836" s="267" t="s">
        <v>468</v>
      </c>
      <c r="T836" s="268"/>
      <c r="U836" s="269">
        <v>30795000</v>
      </c>
      <c r="V836" s="269">
        <v>115000000</v>
      </c>
      <c r="W836" s="278"/>
      <c r="X836" s="270"/>
      <c r="Y836" s="262" t="s">
        <v>27</v>
      </c>
      <c r="Z836" s="271" t="s">
        <v>24</v>
      </c>
      <c r="AA836" s="287"/>
      <c r="AB836" s="287"/>
      <c r="AC836" s="272">
        <f t="shared" si="27"/>
        <v>70000000</v>
      </c>
      <c r="AD836" s="272">
        <v>70000000</v>
      </c>
      <c r="AE836" s="272">
        <f t="shared" si="28"/>
        <v>0</v>
      </c>
      <c r="AF836" s="273"/>
      <c r="AG836" s="274"/>
      <c r="AH836" s="273"/>
      <c r="AI836" s="273"/>
      <c r="AJ836" s="274"/>
      <c r="AK836" s="273"/>
      <c r="AL836" s="275"/>
      <c r="AM836" s="290"/>
      <c r="AN836" s="275"/>
      <c r="AO836" s="276"/>
      <c r="AP836" s="275"/>
      <c r="AQ836" s="275"/>
      <c r="AR836" s="275"/>
      <c r="AS836" s="275"/>
      <c r="AT836" s="275"/>
      <c r="AU836" s="275"/>
      <c r="AV836" s="275"/>
      <c r="AW836" s="275"/>
      <c r="AX836" s="275"/>
      <c r="AY836" s="275"/>
      <c r="AZ836" s="275"/>
      <c r="BA836" s="275"/>
      <c r="BB836" s="275"/>
      <c r="BC836" s="275"/>
      <c r="BD836" s="275"/>
      <c r="BE836" s="275">
        <v>70000000</v>
      </c>
      <c r="BF836" s="275"/>
      <c r="BH836" s="277"/>
    </row>
    <row r="837" spans="1:60" ht="16.5" hidden="1" customHeight="1" x14ac:dyDescent="0.3">
      <c r="A837" s="260">
        <v>815</v>
      </c>
      <c r="B837" s="261"/>
      <c r="C837" s="261"/>
      <c r="D837" s="262" t="s">
        <v>15</v>
      </c>
      <c r="E837" s="262" t="s">
        <v>237</v>
      </c>
      <c r="F837" s="263" t="s">
        <v>15</v>
      </c>
      <c r="G837" s="264" t="s">
        <v>237</v>
      </c>
      <c r="H837" s="281"/>
      <c r="I837" s="265"/>
      <c r="J837" s="266" t="s">
        <v>233</v>
      </c>
      <c r="K837" s="262"/>
      <c r="L837" s="262"/>
      <c r="M837" s="262">
        <v>42061</v>
      </c>
      <c r="N837" s="262" t="s">
        <v>32</v>
      </c>
      <c r="O837" s="262" t="s">
        <v>35</v>
      </c>
      <c r="P837" s="262" t="s">
        <v>57</v>
      </c>
      <c r="Q837" s="262"/>
      <c r="R837" s="262" t="s">
        <v>475</v>
      </c>
      <c r="S837" s="267" t="s">
        <v>830</v>
      </c>
      <c r="T837" s="268"/>
      <c r="U837" s="269">
        <v>0</v>
      </c>
      <c r="V837" s="269">
        <v>0</v>
      </c>
      <c r="W837" s="278"/>
      <c r="X837" s="270"/>
      <c r="Y837" s="262" t="s">
        <v>24</v>
      </c>
      <c r="Z837" s="271" t="s">
        <v>24</v>
      </c>
      <c r="AA837" s="287"/>
      <c r="AB837" s="287"/>
      <c r="AC837" s="272">
        <f t="shared" si="27"/>
        <v>20000000</v>
      </c>
      <c r="AD837" s="272">
        <v>20000000</v>
      </c>
      <c r="AE837" s="272">
        <f t="shared" si="28"/>
        <v>0</v>
      </c>
      <c r="AF837" s="273"/>
      <c r="AG837" s="274"/>
      <c r="AH837" s="273"/>
      <c r="AI837" s="273"/>
      <c r="AJ837" s="274"/>
      <c r="AK837" s="273"/>
      <c r="AL837" s="275"/>
      <c r="AM837" s="290"/>
      <c r="AN837" s="275"/>
      <c r="AO837" s="276"/>
      <c r="AP837" s="275"/>
      <c r="AQ837" s="275"/>
      <c r="AR837" s="275"/>
      <c r="AS837" s="275"/>
      <c r="AT837" s="275"/>
      <c r="AU837" s="275"/>
      <c r="AV837" s="275"/>
      <c r="AW837" s="275"/>
      <c r="AX837" s="275"/>
      <c r="AY837" s="275">
        <v>20000000</v>
      </c>
      <c r="AZ837" s="275"/>
      <c r="BA837" s="275"/>
      <c r="BB837" s="275"/>
      <c r="BC837" s="275"/>
      <c r="BD837" s="275"/>
      <c r="BE837" s="275"/>
      <c r="BF837" s="275"/>
      <c r="BH837" s="277"/>
    </row>
    <row r="838" spans="1:60" ht="16.5" hidden="1" customHeight="1" x14ac:dyDescent="0.3">
      <c r="A838" s="260">
        <v>816</v>
      </c>
      <c r="B838" s="261"/>
      <c r="C838" s="261"/>
      <c r="D838" s="262" t="s">
        <v>15</v>
      </c>
      <c r="E838" s="262" t="s">
        <v>237</v>
      </c>
      <c r="F838" s="263" t="s">
        <v>15</v>
      </c>
      <c r="G838" s="264" t="s">
        <v>237</v>
      </c>
      <c r="H838" s="281"/>
      <c r="I838" s="265"/>
      <c r="J838" s="266" t="s">
        <v>275</v>
      </c>
      <c r="K838" s="262"/>
      <c r="L838" s="262"/>
      <c r="M838" s="262">
        <v>2105</v>
      </c>
      <c r="N838" s="262" t="s">
        <v>22</v>
      </c>
      <c r="O838" s="262" t="s">
        <v>212</v>
      </c>
      <c r="P838" s="262" t="s">
        <v>57</v>
      </c>
      <c r="Q838" s="262" t="s">
        <v>63</v>
      </c>
      <c r="R838" s="262" t="s">
        <v>28</v>
      </c>
      <c r="S838" s="267" t="s">
        <v>28</v>
      </c>
      <c r="T838" s="268" t="s">
        <v>951</v>
      </c>
      <c r="U838" s="269">
        <v>91382207</v>
      </c>
      <c r="V838" s="269">
        <v>85170480</v>
      </c>
      <c r="W838" s="278">
        <v>102534220</v>
      </c>
      <c r="X838" s="270"/>
      <c r="Y838" s="262" t="s">
        <v>27</v>
      </c>
      <c r="Z838" s="271" t="s">
        <v>27</v>
      </c>
      <c r="AA838" s="287"/>
      <c r="AB838" s="287"/>
      <c r="AC838" s="272">
        <f t="shared" si="27"/>
        <v>92960610</v>
      </c>
      <c r="AD838" s="272">
        <v>92960610</v>
      </c>
      <c r="AE838" s="272">
        <f t="shared" si="28"/>
        <v>0</v>
      </c>
      <c r="AF838" s="273">
        <v>6725330</v>
      </c>
      <c r="AG838" s="274">
        <v>6725330</v>
      </c>
      <c r="AH838" s="273"/>
      <c r="AI838" s="273">
        <v>5274670</v>
      </c>
      <c r="AJ838" s="274">
        <v>1420950</v>
      </c>
      <c r="AK838" s="273"/>
      <c r="AL838" s="275">
        <v>4014330</v>
      </c>
      <c r="AM838" s="290">
        <v>4014330</v>
      </c>
      <c r="AN838" s="275"/>
      <c r="AO838" s="276">
        <v>6000000</v>
      </c>
      <c r="AP838" s="275"/>
      <c r="AQ838" s="275">
        <v>6000000</v>
      </c>
      <c r="AR838" s="275"/>
      <c r="AS838" s="275">
        <v>6000000</v>
      </c>
      <c r="AT838" s="275"/>
      <c r="AU838" s="275">
        <v>6000000</v>
      </c>
      <c r="AV838" s="275"/>
      <c r="AW838" s="275">
        <v>6000000</v>
      </c>
      <c r="AX838" s="275"/>
      <c r="AY838" s="275">
        <v>6000000</v>
      </c>
      <c r="AZ838" s="275"/>
      <c r="BA838" s="275">
        <v>9800000</v>
      </c>
      <c r="BB838" s="275"/>
      <c r="BC838" s="275">
        <v>15000000</v>
      </c>
      <c r="BD838" s="275"/>
      <c r="BE838" s="275">
        <v>20000000</v>
      </c>
      <c r="BF838" s="275"/>
      <c r="BH838" s="277"/>
    </row>
    <row r="839" spans="1:60" ht="16.5" hidden="1" customHeight="1" x14ac:dyDescent="0.3">
      <c r="A839" s="260">
        <v>817</v>
      </c>
      <c r="B839" s="261"/>
      <c r="C839" s="261"/>
      <c r="D839" s="262" t="s">
        <v>15</v>
      </c>
      <c r="E839" s="262" t="s">
        <v>237</v>
      </c>
      <c r="F839" s="263" t="s">
        <v>15</v>
      </c>
      <c r="G839" s="264" t="s">
        <v>237</v>
      </c>
      <c r="H839" s="281"/>
      <c r="I839" s="265"/>
      <c r="J839" s="266" t="s">
        <v>275</v>
      </c>
      <c r="K839" s="262"/>
      <c r="L839" s="262"/>
      <c r="M839" s="262">
        <v>2105</v>
      </c>
      <c r="N839" s="262" t="s">
        <v>22</v>
      </c>
      <c r="O839" s="262" t="s">
        <v>56</v>
      </c>
      <c r="P839" s="262" t="s">
        <v>57</v>
      </c>
      <c r="Q839" s="262" t="s">
        <v>26</v>
      </c>
      <c r="R839" s="262" t="s">
        <v>478</v>
      </c>
      <c r="S839" s="267" t="s">
        <v>478</v>
      </c>
      <c r="T839" s="268"/>
      <c r="U839" s="269">
        <v>12650000</v>
      </c>
      <c r="V839" s="269">
        <v>0</v>
      </c>
      <c r="W839" s="278">
        <v>17050000</v>
      </c>
      <c r="X839" s="270"/>
      <c r="Y839" s="262" t="s">
        <v>24</v>
      </c>
      <c r="Z839" s="271" t="s">
        <v>27</v>
      </c>
      <c r="AA839" s="287"/>
      <c r="AB839" s="287"/>
      <c r="AC839" s="272">
        <f t="shared" si="27"/>
        <v>18650000</v>
      </c>
      <c r="AD839" s="272">
        <v>18650000</v>
      </c>
      <c r="AE839" s="272">
        <f t="shared" si="28"/>
        <v>0</v>
      </c>
      <c r="AF839" s="273">
        <v>5050000</v>
      </c>
      <c r="AG839" s="274">
        <v>5050000</v>
      </c>
      <c r="AH839" s="273"/>
      <c r="AI839" s="273">
        <v>3800000</v>
      </c>
      <c r="AJ839" s="274"/>
      <c r="AK839" s="273" t="s">
        <v>930</v>
      </c>
      <c r="AL839" s="275">
        <v>3800000</v>
      </c>
      <c r="AM839" s="290">
        <v>3800000</v>
      </c>
      <c r="AN839" s="275"/>
      <c r="AO839" s="276">
        <v>9800000</v>
      </c>
      <c r="AP839" s="275"/>
      <c r="AQ839" s="275"/>
      <c r="AR839" s="275"/>
      <c r="AS839" s="275"/>
      <c r="AT839" s="275"/>
      <c r="AU839" s="275"/>
      <c r="AV839" s="275"/>
      <c r="AW839" s="275"/>
      <c r="AX839" s="275"/>
      <c r="AY839" s="275"/>
      <c r="AZ839" s="275"/>
      <c r="BA839" s="275"/>
      <c r="BB839" s="275"/>
      <c r="BC839" s="275"/>
      <c r="BD839" s="275"/>
      <c r="BE839" s="275"/>
      <c r="BF839" s="275"/>
      <c r="BH839" s="277"/>
    </row>
    <row r="840" spans="1:60" ht="16.5" hidden="1" customHeight="1" x14ac:dyDescent="0.3">
      <c r="A840" s="260">
        <v>818</v>
      </c>
      <c r="B840" s="261"/>
      <c r="C840" s="261"/>
      <c r="D840" s="262" t="s">
        <v>15</v>
      </c>
      <c r="E840" s="262" t="s">
        <v>237</v>
      </c>
      <c r="F840" s="263" t="s">
        <v>15</v>
      </c>
      <c r="G840" s="264" t="s">
        <v>237</v>
      </c>
      <c r="H840" s="281"/>
      <c r="I840" s="265"/>
      <c r="J840" s="266" t="s">
        <v>275</v>
      </c>
      <c r="K840" s="262"/>
      <c r="L840" s="262"/>
      <c r="M840" s="262">
        <v>2105</v>
      </c>
      <c r="N840" s="262" t="s">
        <v>22</v>
      </c>
      <c r="O840" s="262" t="s">
        <v>56</v>
      </c>
      <c r="P840" s="262" t="s">
        <v>57</v>
      </c>
      <c r="Q840" s="262" t="s">
        <v>26</v>
      </c>
      <c r="R840" s="262" t="s">
        <v>478</v>
      </c>
      <c r="S840" s="267" t="s">
        <v>478</v>
      </c>
      <c r="T840" s="268"/>
      <c r="U840" s="269"/>
      <c r="V840" s="269">
        <v>7064000</v>
      </c>
      <c r="W840" s="278">
        <v>0</v>
      </c>
      <c r="X840" s="270"/>
      <c r="Y840" s="262" t="s">
        <v>27</v>
      </c>
      <c r="Z840" s="271" t="s">
        <v>24</v>
      </c>
      <c r="AA840" s="287"/>
      <c r="AB840" s="287"/>
      <c r="AC840" s="272">
        <f t="shared" si="27"/>
        <v>7000000</v>
      </c>
      <c r="AD840" s="272">
        <v>7000000</v>
      </c>
      <c r="AE840" s="272">
        <f t="shared" si="28"/>
        <v>0</v>
      </c>
      <c r="AF840" s="273"/>
      <c r="AG840" s="274"/>
      <c r="AH840" s="273"/>
      <c r="AI840" s="273"/>
      <c r="AJ840" s="274"/>
      <c r="AK840" s="273"/>
      <c r="AL840" s="275"/>
      <c r="AM840" s="290"/>
      <c r="AN840" s="275"/>
      <c r="AO840" s="276"/>
      <c r="AP840" s="275"/>
      <c r="AQ840" s="275"/>
      <c r="AR840" s="275"/>
      <c r="AS840" s="275"/>
      <c r="AT840" s="275"/>
      <c r="AU840" s="275"/>
      <c r="AV840" s="275"/>
      <c r="AW840" s="275">
        <v>4000000</v>
      </c>
      <c r="AX840" s="275"/>
      <c r="AY840" s="275"/>
      <c r="AZ840" s="275"/>
      <c r="BA840" s="275">
        <v>3000000</v>
      </c>
      <c r="BB840" s="275"/>
      <c r="BC840" s="275"/>
      <c r="BD840" s="275"/>
      <c r="BE840" s="275"/>
      <c r="BF840" s="275"/>
      <c r="BH840" s="277"/>
    </row>
    <row r="841" spans="1:60" ht="16.5" hidden="1" customHeight="1" x14ac:dyDescent="0.3">
      <c r="A841" s="260">
        <v>819</v>
      </c>
      <c r="B841" s="261"/>
      <c r="C841" s="261"/>
      <c r="D841" s="262" t="s">
        <v>15</v>
      </c>
      <c r="E841" s="262" t="s">
        <v>237</v>
      </c>
      <c r="F841" s="263" t="s">
        <v>15</v>
      </c>
      <c r="G841" s="264" t="s">
        <v>237</v>
      </c>
      <c r="H841" s="281"/>
      <c r="I841" s="265"/>
      <c r="J841" s="266" t="s">
        <v>778</v>
      </c>
      <c r="K841" s="262"/>
      <c r="L841" s="262"/>
      <c r="M841" s="262">
        <v>3787</v>
      </c>
      <c r="N841" s="262" t="s">
        <v>22</v>
      </c>
      <c r="O841" s="262" t="s">
        <v>35</v>
      </c>
      <c r="P841" s="262" t="s">
        <v>156</v>
      </c>
      <c r="Q841" s="262"/>
      <c r="R841" s="262"/>
      <c r="S841" s="267" t="s">
        <v>28</v>
      </c>
      <c r="T841" s="268"/>
      <c r="U841" s="269"/>
      <c r="V841" s="269"/>
      <c r="W841" s="278">
        <v>0</v>
      </c>
      <c r="X841" s="270"/>
      <c r="Y841" s="262"/>
      <c r="Z841" s="271" t="s">
        <v>562</v>
      </c>
      <c r="AA841" s="287"/>
      <c r="AB841" s="287"/>
      <c r="AC841" s="272">
        <f t="shared" si="27"/>
        <v>0</v>
      </c>
      <c r="AD841" s="272">
        <v>0</v>
      </c>
      <c r="AE841" s="272">
        <f t="shared" si="28"/>
        <v>0</v>
      </c>
      <c r="AF841" s="273">
        <v>130000000</v>
      </c>
      <c r="AG841" s="274"/>
      <c r="AH841" s="273"/>
      <c r="AI841" s="273"/>
      <c r="AJ841" s="274"/>
      <c r="AK841" s="273"/>
      <c r="AL841" s="275"/>
      <c r="AM841" s="290"/>
      <c r="AN841" s="275"/>
      <c r="AO841" s="276"/>
      <c r="AP841" s="275"/>
      <c r="AQ841" s="275"/>
      <c r="AR841" s="275"/>
      <c r="AS841" s="275"/>
      <c r="AT841" s="275"/>
      <c r="AU841" s="275"/>
      <c r="AV841" s="275"/>
      <c r="AW841" s="275"/>
      <c r="AX841" s="275"/>
      <c r="AY841" s="275"/>
      <c r="AZ841" s="275"/>
      <c r="BA841" s="275"/>
      <c r="BB841" s="275"/>
      <c r="BC841" s="275"/>
      <c r="BD841" s="275"/>
      <c r="BE841" s="275"/>
      <c r="BF841" s="275"/>
      <c r="BH841" s="277"/>
    </row>
    <row r="842" spans="1:60" ht="16.5" hidden="1" customHeight="1" x14ac:dyDescent="0.3">
      <c r="A842" s="260">
        <v>820</v>
      </c>
      <c r="B842" s="261"/>
      <c r="C842" s="261"/>
      <c r="D842" s="262" t="s">
        <v>15</v>
      </c>
      <c r="E842" s="262" t="s">
        <v>237</v>
      </c>
      <c r="F842" s="263" t="s">
        <v>15</v>
      </c>
      <c r="G842" s="264" t="s">
        <v>237</v>
      </c>
      <c r="H842" s="281"/>
      <c r="I842" s="265"/>
      <c r="J842" s="266" t="s">
        <v>778</v>
      </c>
      <c r="K842" s="262"/>
      <c r="L842" s="262"/>
      <c r="M842" s="262">
        <v>3787</v>
      </c>
      <c r="N842" s="262" t="s">
        <v>22</v>
      </c>
      <c r="O842" s="262" t="s">
        <v>35</v>
      </c>
      <c r="P842" s="262" t="s">
        <v>156</v>
      </c>
      <c r="Q842" s="262"/>
      <c r="R842" s="262"/>
      <c r="S842" s="267" t="s">
        <v>828</v>
      </c>
      <c r="T842" s="268"/>
      <c r="U842" s="269"/>
      <c r="V842" s="269"/>
      <c r="W842" s="278">
        <v>0</v>
      </c>
      <c r="X842" s="270"/>
      <c r="Y842" s="262"/>
      <c r="Z842" s="271" t="s">
        <v>25</v>
      </c>
      <c r="AA842" s="287"/>
      <c r="AB842" s="287"/>
      <c r="AC842" s="272">
        <f t="shared" si="27"/>
        <v>35000000</v>
      </c>
      <c r="AD842" s="272">
        <v>35000000</v>
      </c>
      <c r="AE842" s="272">
        <f t="shared" si="28"/>
        <v>0</v>
      </c>
      <c r="AF842" s="273"/>
      <c r="AG842" s="274"/>
      <c r="AH842" s="273"/>
      <c r="AI842" s="273"/>
      <c r="AJ842" s="274"/>
      <c r="AK842" s="273"/>
      <c r="AL842" s="275"/>
      <c r="AM842" s="290"/>
      <c r="AN842" s="275"/>
      <c r="AO842" s="276"/>
      <c r="AP842" s="275"/>
      <c r="AQ842" s="291">
        <v>35000000</v>
      </c>
      <c r="AR842" s="275"/>
      <c r="AS842" s="275"/>
      <c r="AT842" s="275"/>
      <c r="AU842" s="275"/>
      <c r="AV842" s="275"/>
      <c r="AW842" s="275"/>
      <c r="AX842" s="275"/>
      <c r="AY842" s="275"/>
      <c r="AZ842" s="275"/>
      <c r="BA842" s="275"/>
      <c r="BB842" s="275"/>
      <c r="BC842" s="275"/>
      <c r="BD842" s="275"/>
      <c r="BE842" s="275"/>
      <c r="BF842" s="275"/>
      <c r="BH842" s="277"/>
    </row>
    <row r="843" spans="1:60" ht="16.5" hidden="1" customHeight="1" x14ac:dyDescent="0.3">
      <c r="A843" s="260">
        <v>821</v>
      </c>
      <c r="B843" s="261"/>
      <c r="C843" s="261"/>
      <c r="D843" s="262" t="s">
        <v>15</v>
      </c>
      <c r="E843" s="262" t="s">
        <v>237</v>
      </c>
      <c r="F843" s="263" t="s">
        <v>15</v>
      </c>
      <c r="G843" s="264" t="s">
        <v>237</v>
      </c>
      <c r="H843" s="281"/>
      <c r="I843" s="265"/>
      <c r="J843" s="266" t="s">
        <v>778</v>
      </c>
      <c r="K843" s="262"/>
      <c r="L843" s="262"/>
      <c r="M843" s="262">
        <v>3787</v>
      </c>
      <c r="N843" s="262" t="s">
        <v>22</v>
      </c>
      <c r="O843" s="262" t="s">
        <v>35</v>
      </c>
      <c r="P843" s="262" t="s">
        <v>156</v>
      </c>
      <c r="Q843" s="262" t="s">
        <v>35</v>
      </c>
      <c r="R843" s="262"/>
      <c r="S843" s="267" t="s">
        <v>830</v>
      </c>
      <c r="T843" s="268"/>
      <c r="U843" s="269"/>
      <c r="V843" s="269"/>
      <c r="W843" s="278">
        <v>0</v>
      </c>
      <c r="X843" s="270"/>
      <c r="Y843" s="262"/>
      <c r="Z843" s="271" t="s">
        <v>25</v>
      </c>
      <c r="AA843" s="287"/>
      <c r="AB843" s="287"/>
      <c r="AC843" s="272">
        <f t="shared" si="27"/>
        <v>10000000</v>
      </c>
      <c r="AD843" s="272">
        <v>10000000</v>
      </c>
      <c r="AE843" s="272">
        <f t="shared" si="28"/>
        <v>0</v>
      </c>
      <c r="AF843" s="273"/>
      <c r="AG843" s="274"/>
      <c r="AH843" s="273"/>
      <c r="AI843" s="273"/>
      <c r="AJ843" s="274"/>
      <c r="AK843" s="273"/>
      <c r="AL843" s="275"/>
      <c r="AM843" s="290"/>
      <c r="AN843" s="275"/>
      <c r="AO843" s="276"/>
      <c r="AP843" s="275"/>
      <c r="AQ843" s="275"/>
      <c r="AR843" s="275"/>
      <c r="AS843" s="275"/>
      <c r="AT843" s="275"/>
      <c r="AU843" s="275"/>
      <c r="AV843" s="275"/>
      <c r="AW843" s="275"/>
      <c r="AX843" s="275"/>
      <c r="AY843" s="275">
        <v>10000000</v>
      </c>
      <c r="AZ843" s="275"/>
      <c r="BA843" s="275"/>
      <c r="BB843" s="275"/>
      <c r="BC843" s="275"/>
      <c r="BD843" s="275"/>
      <c r="BE843" s="275"/>
      <c r="BF843" s="275"/>
      <c r="BH843" s="277"/>
    </row>
    <row r="844" spans="1:60" ht="16.5" hidden="1" customHeight="1" x14ac:dyDescent="0.3">
      <c r="A844" s="260">
        <v>822</v>
      </c>
      <c r="B844" s="261"/>
      <c r="C844" s="261"/>
      <c r="D844" s="262" t="s">
        <v>15</v>
      </c>
      <c r="E844" s="262" t="s">
        <v>237</v>
      </c>
      <c r="F844" s="263" t="s">
        <v>15</v>
      </c>
      <c r="G844" s="264" t="s">
        <v>237</v>
      </c>
      <c r="H844" s="281"/>
      <c r="I844" s="265"/>
      <c r="J844" s="266" t="s">
        <v>276</v>
      </c>
      <c r="K844" s="262"/>
      <c r="L844" s="262"/>
      <c r="M844" s="262">
        <v>3787</v>
      </c>
      <c r="N844" s="262" t="s">
        <v>22</v>
      </c>
      <c r="O844" s="262" t="s">
        <v>56</v>
      </c>
      <c r="P844" s="262" t="s">
        <v>57</v>
      </c>
      <c r="Q844" s="262" t="s">
        <v>26</v>
      </c>
      <c r="R844" s="262" t="s">
        <v>468</v>
      </c>
      <c r="S844" s="267" t="s">
        <v>468</v>
      </c>
      <c r="T844" s="268"/>
      <c r="U844" s="269" t="s">
        <v>154</v>
      </c>
      <c r="V844" s="269">
        <v>4000000</v>
      </c>
      <c r="W844" s="278">
        <v>0</v>
      </c>
      <c r="X844" s="270"/>
      <c r="Y844" s="262" t="s">
        <v>25</v>
      </c>
      <c r="Z844" s="271" t="s">
        <v>20</v>
      </c>
      <c r="AA844" s="287"/>
      <c r="AB844" s="287"/>
      <c r="AC844" s="272">
        <f t="shared" si="27"/>
        <v>0</v>
      </c>
      <c r="AD844" s="272">
        <v>0</v>
      </c>
      <c r="AE844" s="272">
        <f t="shared" si="28"/>
        <v>0</v>
      </c>
      <c r="AF844" s="273"/>
      <c r="AG844" s="274"/>
      <c r="AH844" s="273"/>
      <c r="AI844" s="273"/>
      <c r="AJ844" s="274"/>
      <c r="AK844" s="273"/>
      <c r="AL844" s="275"/>
      <c r="AM844" s="290"/>
      <c r="AN844" s="275"/>
      <c r="AO844" s="276"/>
      <c r="AP844" s="275"/>
      <c r="AQ844" s="275"/>
      <c r="AR844" s="275"/>
      <c r="AS844" s="275"/>
      <c r="AT844" s="275"/>
      <c r="AU844" s="275"/>
      <c r="AV844" s="275"/>
      <c r="AW844" s="275"/>
      <c r="AX844" s="275"/>
      <c r="AY844" s="275"/>
      <c r="AZ844" s="275"/>
      <c r="BA844" s="275"/>
      <c r="BB844" s="275"/>
      <c r="BC844" s="275"/>
      <c r="BD844" s="275"/>
      <c r="BE844" s="275"/>
      <c r="BF844" s="275"/>
      <c r="BH844" s="277"/>
    </row>
    <row r="845" spans="1:60" ht="16.5" hidden="1" customHeight="1" x14ac:dyDescent="0.3">
      <c r="A845" s="260">
        <v>823</v>
      </c>
      <c r="B845" s="261"/>
      <c r="C845" s="261"/>
      <c r="D845" s="262" t="s">
        <v>15</v>
      </c>
      <c r="E845" s="262" t="s">
        <v>237</v>
      </c>
      <c r="F845" s="263" t="s">
        <v>15</v>
      </c>
      <c r="G845" s="264" t="s">
        <v>237</v>
      </c>
      <c r="H845" s="281"/>
      <c r="I845" s="265"/>
      <c r="J845" s="266" t="s">
        <v>779</v>
      </c>
      <c r="K845" s="262"/>
      <c r="L845" s="262"/>
      <c r="M845" s="262">
        <v>3787</v>
      </c>
      <c r="N845" s="262" t="s">
        <v>22</v>
      </c>
      <c r="O845" s="262" t="s">
        <v>35</v>
      </c>
      <c r="P845" s="262" t="s">
        <v>156</v>
      </c>
      <c r="Q845" s="262" t="s">
        <v>26</v>
      </c>
      <c r="R845" s="262" t="s">
        <v>468</v>
      </c>
      <c r="S845" s="267" t="s">
        <v>468</v>
      </c>
      <c r="T845" s="268"/>
      <c r="U845" s="269"/>
      <c r="V845" s="269">
        <v>0</v>
      </c>
      <c r="W845" s="278">
        <v>0</v>
      </c>
      <c r="X845" s="270"/>
      <c r="Y845" s="262" t="s">
        <v>74</v>
      </c>
      <c r="Z845" s="271" t="s">
        <v>25</v>
      </c>
      <c r="AA845" s="287"/>
      <c r="AB845" s="287"/>
      <c r="AC845" s="272">
        <f t="shared" si="27"/>
        <v>50000000</v>
      </c>
      <c r="AD845" s="272">
        <v>50000000</v>
      </c>
      <c r="AE845" s="272">
        <f t="shared" si="28"/>
        <v>0</v>
      </c>
      <c r="AF845" s="273"/>
      <c r="AG845" s="274"/>
      <c r="AH845" s="273"/>
      <c r="AI845" s="273"/>
      <c r="AJ845" s="274"/>
      <c r="AK845" s="273"/>
      <c r="AL845" s="275"/>
      <c r="AM845" s="290"/>
      <c r="AN845" s="275"/>
      <c r="AO845" s="276"/>
      <c r="AP845" s="275"/>
      <c r="AQ845" s="275">
        <v>50000000</v>
      </c>
      <c r="AR845" s="275"/>
      <c r="AS845" s="275"/>
      <c r="AT845" s="275"/>
      <c r="AU845" s="275"/>
      <c r="AV845" s="275"/>
      <c r="AW845" s="275"/>
      <c r="AX845" s="275"/>
      <c r="AY845" s="275"/>
      <c r="AZ845" s="275"/>
      <c r="BA845" s="275"/>
      <c r="BB845" s="275"/>
      <c r="BC845" s="275"/>
      <c r="BD845" s="275"/>
      <c r="BE845" s="275"/>
      <c r="BF845" s="275"/>
      <c r="BH845" s="277"/>
    </row>
    <row r="846" spans="1:60" ht="16.5" hidden="1" customHeight="1" x14ac:dyDescent="0.3">
      <c r="A846" s="260">
        <v>824</v>
      </c>
      <c r="B846" s="261"/>
      <c r="C846" s="261"/>
      <c r="D846" s="262" t="s">
        <v>15</v>
      </c>
      <c r="E846" s="262" t="s">
        <v>237</v>
      </c>
      <c r="F846" s="263" t="s">
        <v>15</v>
      </c>
      <c r="G846" s="264" t="s">
        <v>237</v>
      </c>
      <c r="H846" s="281"/>
      <c r="I846" s="265"/>
      <c r="J846" s="266" t="s">
        <v>969</v>
      </c>
      <c r="K846" s="262"/>
      <c r="L846" s="262"/>
      <c r="M846" s="262">
        <v>3787</v>
      </c>
      <c r="N846" s="262" t="s">
        <v>22</v>
      </c>
      <c r="O846" s="262" t="s">
        <v>35</v>
      </c>
      <c r="P846" s="262" t="s">
        <v>156</v>
      </c>
      <c r="Q846" s="262"/>
      <c r="R846" s="262"/>
      <c r="S846" s="267" t="s">
        <v>478</v>
      </c>
      <c r="T846" s="268"/>
      <c r="U846" s="269"/>
      <c r="V846" s="269"/>
      <c r="W846" s="278">
        <v>0</v>
      </c>
      <c r="X846" s="270"/>
      <c r="Y846" s="262"/>
      <c r="Z846" s="271" t="s">
        <v>27</v>
      </c>
      <c r="AA846" s="287"/>
      <c r="AB846" s="287"/>
      <c r="AC846" s="272">
        <f t="shared" si="27"/>
        <v>6700000</v>
      </c>
      <c r="AD846" s="272">
        <v>6700000</v>
      </c>
      <c r="AE846" s="272">
        <f t="shared" si="28"/>
        <v>0</v>
      </c>
      <c r="AF846" s="273"/>
      <c r="AG846" s="274"/>
      <c r="AH846" s="273"/>
      <c r="AI846" s="273"/>
      <c r="AJ846" s="274"/>
      <c r="AK846" s="273"/>
      <c r="AL846" s="275">
        <v>6700000</v>
      </c>
      <c r="AM846" s="290">
        <v>6700000</v>
      </c>
      <c r="AN846" s="275"/>
      <c r="AO846" s="276"/>
      <c r="AP846" s="275"/>
      <c r="AQ846" s="275"/>
      <c r="AR846" s="275"/>
      <c r="AS846" s="275"/>
      <c r="AT846" s="275"/>
      <c r="AU846" s="275"/>
      <c r="AV846" s="275"/>
      <c r="AW846" s="275"/>
      <c r="AX846" s="275"/>
      <c r="AY846" s="275"/>
      <c r="AZ846" s="275"/>
      <c r="BA846" s="275"/>
      <c r="BB846" s="275"/>
      <c r="BC846" s="275"/>
      <c r="BD846" s="275"/>
      <c r="BE846" s="275"/>
      <c r="BF846" s="275"/>
      <c r="BH846" s="277"/>
    </row>
    <row r="847" spans="1:60" ht="16.5" hidden="1" customHeight="1" x14ac:dyDescent="0.3">
      <c r="A847" s="260">
        <v>825</v>
      </c>
      <c r="B847" s="261"/>
      <c r="C847" s="261"/>
      <c r="D847" s="262" t="s">
        <v>15</v>
      </c>
      <c r="E847" s="262" t="s">
        <v>237</v>
      </c>
      <c r="F847" s="263" t="s">
        <v>15</v>
      </c>
      <c r="G847" s="264" t="s">
        <v>237</v>
      </c>
      <c r="H847" s="281"/>
      <c r="I847" s="265"/>
      <c r="J847" s="266" t="s">
        <v>780</v>
      </c>
      <c r="K847" s="262"/>
      <c r="L847" s="262"/>
      <c r="M847" s="262">
        <v>3787</v>
      </c>
      <c r="N847" s="262" t="s">
        <v>22</v>
      </c>
      <c r="O847" s="262" t="s">
        <v>35</v>
      </c>
      <c r="P847" s="262" t="s">
        <v>156</v>
      </c>
      <c r="Q847" s="262"/>
      <c r="R847" s="262"/>
      <c r="S847" s="267" t="s">
        <v>478</v>
      </c>
      <c r="T847" s="268"/>
      <c r="U847" s="269"/>
      <c r="V847" s="269"/>
      <c r="W847" s="278">
        <v>0</v>
      </c>
      <c r="X847" s="270"/>
      <c r="Y847" s="262"/>
      <c r="Z847" s="271" t="s">
        <v>25</v>
      </c>
      <c r="AA847" s="287"/>
      <c r="AB847" s="287"/>
      <c r="AC847" s="272">
        <f t="shared" si="27"/>
        <v>20000000</v>
      </c>
      <c r="AD847" s="272">
        <v>20000000</v>
      </c>
      <c r="AE847" s="272">
        <f t="shared" si="28"/>
        <v>0</v>
      </c>
      <c r="AF847" s="273"/>
      <c r="AG847" s="274"/>
      <c r="AH847" s="273"/>
      <c r="AI847" s="273"/>
      <c r="AJ847" s="274"/>
      <c r="AK847" s="273"/>
      <c r="AL847" s="275"/>
      <c r="AM847" s="290"/>
      <c r="AN847" s="275"/>
      <c r="AO847" s="276"/>
      <c r="AP847" s="275"/>
      <c r="AQ847" s="275"/>
      <c r="AR847" s="275"/>
      <c r="AS847" s="275"/>
      <c r="AT847" s="275"/>
      <c r="AU847" s="275"/>
      <c r="AV847" s="275"/>
      <c r="AW847" s="275">
        <v>20000000</v>
      </c>
      <c r="AX847" s="275"/>
      <c r="AY847" s="275"/>
      <c r="AZ847" s="275"/>
      <c r="BA847" s="275"/>
      <c r="BB847" s="275"/>
      <c r="BC847" s="275"/>
      <c r="BD847" s="275"/>
      <c r="BE847" s="275"/>
      <c r="BF847" s="275"/>
      <c r="BH847" s="277"/>
    </row>
    <row r="848" spans="1:60" ht="16.5" hidden="1" customHeight="1" x14ac:dyDescent="0.3">
      <c r="A848" s="260">
        <v>826</v>
      </c>
      <c r="B848" s="261"/>
      <c r="C848" s="261"/>
      <c r="D848" s="262" t="s">
        <v>15</v>
      </c>
      <c r="E848" s="262" t="s">
        <v>237</v>
      </c>
      <c r="F848" s="263" t="s">
        <v>15</v>
      </c>
      <c r="G848" s="264" t="s">
        <v>237</v>
      </c>
      <c r="H848" s="281"/>
      <c r="I848" s="265"/>
      <c r="J848" s="266" t="s">
        <v>781</v>
      </c>
      <c r="K848" s="262"/>
      <c r="L848" s="262"/>
      <c r="M848" s="262">
        <v>7601</v>
      </c>
      <c r="N848" s="262" t="s">
        <v>22</v>
      </c>
      <c r="O848" s="262" t="s">
        <v>56</v>
      </c>
      <c r="P848" s="262"/>
      <c r="Q848" s="262" t="s">
        <v>30</v>
      </c>
      <c r="R848" s="262" t="s">
        <v>31</v>
      </c>
      <c r="S848" s="267" t="s">
        <v>31</v>
      </c>
      <c r="T848" s="268"/>
      <c r="U848" s="269">
        <v>7336000</v>
      </c>
      <c r="V848" s="269">
        <v>6838000</v>
      </c>
      <c r="W848" s="278">
        <v>6660000</v>
      </c>
      <c r="X848" s="270"/>
      <c r="Y848" s="262" t="s">
        <v>24</v>
      </c>
      <c r="Z848" s="271" t="s">
        <v>24</v>
      </c>
      <c r="AA848" s="287"/>
      <c r="AB848" s="287"/>
      <c r="AC848" s="272">
        <f t="shared" si="27"/>
        <v>5000000</v>
      </c>
      <c r="AD848" s="272">
        <v>5000000</v>
      </c>
      <c r="AE848" s="272">
        <f t="shared" si="28"/>
        <v>0</v>
      </c>
      <c r="AF848" s="273"/>
      <c r="AG848" s="274"/>
      <c r="AH848" s="273"/>
      <c r="AI848" s="273"/>
      <c r="AJ848" s="274"/>
      <c r="AK848" s="273"/>
      <c r="AL848" s="275"/>
      <c r="AM848" s="290"/>
      <c r="AN848" s="275"/>
      <c r="AO848" s="276"/>
      <c r="AP848" s="275"/>
      <c r="AQ848" s="275"/>
      <c r="AR848" s="275"/>
      <c r="AS848" s="275"/>
      <c r="AT848" s="275"/>
      <c r="AU848" s="275"/>
      <c r="AV848" s="275"/>
      <c r="AW848" s="275"/>
      <c r="AX848" s="275"/>
      <c r="AY848" s="275"/>
      <c r="AZ848" s="275"/>
      <c r="BA848" s="275"/>
      <c r="BB848" s="275"/>
      <c r="BC848" s="275">
        <v>5000000</v>
      </c>
      <c r="BD848" s="275"/>
      <c r="BE848" s="275"/>
      <c r="BF848" s="275"/>
      <c r="BH848" s="277"/>
    </row>
    <row r="849" spans="1:60" ht="16.5" hidden="1" customHeight="1" x14ac:dyDescent="0.3">
      <c r="A849" s="260">
        <v>827</v>
      </c>
      <c r="B849" s="261"/>
      <c r="C849" s="261"/>
      <c r="D849" s="262" t="s">
        <v>15</v>
      </c>
      <c r="E849" s="262" t="s">
        <v>277</v>
      </c>
      <c r="F849" s="263" t="s">
        <v>15</v>
      </c>
      <c r="G849" s="264" t="s">
        <v>237</v>
      </c>
      <c r="H849" s="281"/>
      <c r="I849" s="265"/>
      <c r="J849" s="266" t="s">
        <v>781</v>
      </c>
      <c r="K849" s="262"/>
      <c r="L849" s="262"/>
      <c r="M849" s="262">
        <v>7601</v>
      </c>
      <c r="N849" s="262" t="s">
        <v>22</v>
      </c>
      <c r="O849" s="262" t="s">
        <v>35</v>
      </c>
      <c r="P849" s="262"/>
      <c r="Q849" s="262" t="s">
        <v>26</v>
      </c>
      <c r="R849" s="262" t="s">
        <v>468</v>
      </c>
      <c r="S849" s="267" t="s">
        <v>468</v>
      </c>
      <c r="T849" s="268"/>
      <c r="U849" s="269"/>
      <c r="V849" s="269">
        <v>6600000</v>
      </c>
      <c r="W849" s="278">
        <v>0</v>
      </c>
      <c r="X849" s="270"/>
      <c r="Y849" s="262" t="s">
        <v>25</v>
      </c>
      <c r="Z849" s="271" t="s">
        <v>25</v>
      </c>
      <c r="AA849" s="287"/>
      <c r="AB849" s="287"/>
      <c r="AC849" s="272">
        <f t="shared" si="27"/>
        <v>5000000</v>
      </c>
      <c r="AD849" s="272">
        <v>5000000</v>
      </c>
      <c r="AE849" s="272">
        <f t="shared" si="28"/>
        <v>0</v>
      </c>
      <c r="AF849" s="273"/>
      <c r="AG849" s="274"/>
      <c r="AH849" s="273"/>
      <c r="AI849" s="273"/>
      <c r="AJ849" s="274"/>
      <c r="AK849" s="273"/>
      <c r="AL849" s="275"/>
      <c r="AM849" s="290"/>
      <c r="AN849" s="275"/>
      <c r="AO849" s="276"/>
      <c r="AP849" s="275"/>
      <c r="AQ849" s="275"/>
      <c r="AR849" s="275"/>
      <c r="AS849" s="275"/>
      <c r="AT849" s="275"/>
      <c r="AU849" s="275"/>
      <c r="AV849" s="275"/>
      <c r="AW849" s="275">
        <v>5000000</v>
      </c>
      <c r="AX849" s="275"/>
      <c r="AY849" s="275"/>
      <c r="AZ849" s="275"/>
      <c r="BA849" s="275"/>
      <c r="BB849" s="275"/>
      <c r="BC849" s="275"/>
      <c r="BD849" s="275"/>
      <c r="BE849" s="275"/>
      <c r="BF849" s="275"/>
      <c r="BH849" s="277"/>
    </row>
    <row r="850" spans="1:60" ht="16.5" hidden="1" customHeight="1" x14ac:dyDescent="0.3">
      <c r="A850" s="260">
        <v>828</v>
      </c>
      <c r="B850" s="261"/>
      <c r="C850" s="261"/>
      <c r="D850" s="262" t="s">
        <v>15</v>
      </c>
      <c r="E850" s="262" t="s">
        <v>277</v>
      </c>
      <c r="F850" s="263" t="s">
        <v>15</v>
      </c>
      <c r="G850" s="264" t="s">
        <v>277</v>
      </c>
      <c r="H850" s="281"/>
      <c r="I850" s="265"/>
      <c r="J850" s="266" t="s">
        <v>278</v>
      </c>
      <c r="K850" s="262"/>
      <c r="L850" s="262"/>
      <c r="M850" s="262">
        <v>60911</v>
      </c>
      <c r="N850" s="262" t="s">
        <v>22</v>
      </c>
      <c r="O850" s="262" t="s">
        <v>56</v>
      </c>
      <c r="P850" s="262"/>
      <c r="Q850" s="262" t="s">
        <v>55</v>
      </c>
      <c r="R850" s="262" t="s">
        <v>466</v>
      </c>
      <c r="S850" s="267" t="s">
        <v>829</v>
      </c>
      <c r="T850" s="268"/>
      <c r="U850" s="269"/>
      <c r="V850" s="269">
        <v>19400000</v>
      </c>
      <c r="W850" s="278">
        <v>0</v>
      </c>
      <c r="X850" s="270"/>
      <c r="Y850" s="262" t="s">
        <v>24</v>
      </c>
      <c r="Z850" s="271" t="s">
        <v>20</v>
      </c>
      <c r="AA850" s="287"/>
      <c r="AB850" s="287"/>
      <c r="AC850" s="272">
        <f t="shared" si="27"/>
        <v>0</v>
      </c>
      <c r="AD850" s="272">
        <v>0</v>
      </c>
      <c r="AE850" s="272">
        <f t="shared" si="28"/>
        <v>0</v>
      </c>
      <c r="AF850" s="273"/>
      <c r="AG850" s="274"/>
      <c r="AH850" s="273"/>
      <c r="AI850" s="273"/>
      <c r="AJ850" s="274"/>
      <c r="AK850" s="273"/>
      <c r="AL850" s="275"/>
      <c r="AM850" s="290"/>
      <c r="AN850" s="275"/>
      <c r="AO850" s="276"/>
      <c r="AP850" s="275"/>
      <c r="AQ850" s="275"/>
      <c r="AR850" s="275"/>
      <c r="AS850" s="275"/>
      <c r="AT850" s="275"/>
      <c r="AU850" s="275"/>
      <c r="AV850" s="275"/>
      <c r="AW850" s="275"/>
      <c r="AX850" s="275"/>
      <c r="AY850" s="275"/>
      <c r="AZ850" s="275"/>
      <c r="BA850" s="275"/>
      <c r="BB850" s="275"/>
      <c r="BC850" s="275"/>
      <c r="BD850" s="275"/>
      <c r="BE850" s="275"/>
      <c r="BF850" s="275"/>
      <c r="BH850" s="277"/>
    </row>
    <row r="851" spans="1:60" ht="16.5" hidden="1" customHeight="1" x14ac:dyDescent="0.3">
      <c r="A851" s="260">
        <v>829</v>
      </c>
      <c r="B851" s="261"/>
      <c r="C851" s="261"/>
      <c r="D851" s="262" t="s">
        <v>15</v>
      </c>
      <c r="E851" s="262" t="s">
        <v>277</v>
      </c>
      <c r="F851" s="263" t="s">
        <v>15</v>
      </c>
      <c r="G851" s="264" t="s">
        <v>277</v>
      </c>
      <c r="H851" s="281"/>
      <c r="I851" s="265"/>
      <c r="J851" s="266" t="s">
        <v>280</v>
      </c>
      <c r="K851" s="262"/>
      <c r="L851" s="262"/>
      <c r="M851" s="262">
        <v>23370</v>
      </c>
      <c r="N851" s="262" t="s">
        <v>17</v>
      </c>
      <c r="O851" s="262" t="s">
        <v>212</v>
      </c>
      <c r="P851" s="262" t="s">
        <v>57</v>
      </c>
      <c r="Q851" s="262" t="s">
        <v>30</v>
      </c>
      <c r="R851" s="262" t="s">
        <v>31</v>
      </c>
      <c r="S851" s="267" t="s">
        <v>31</v>
      </c>
      <c r="T851" s="268"/>
      <c r="U851" s="269"/>
      <c r="V851" s="269">
        <v>6984000</v>
      </c>
      <c r="W851" s="278">
        <v>8650000</v>
      </c>
      <c r="X851" s="270"/>
      <c r="Y851" s="262" t="s">
        <v>27</v>
      </c>
      <c r="Z851" s="271" t="s">
        <v>27</v>
      </c>
      <c r="AA851" s="287"/>
      <c r="AB851" s="287"/>
      <c r="AC851" s="272">
        <f t="shared" si="27"/>
        <v>13393500</v>
      </c>
      <c r="AD851" s="272">
        <v>13393500</v>
      </c>
      <c r="AE851" s="272">
        <f t="shared" si="28"/>
        <v>0</v>
      </c>
      <c r="AF851" s="273"/>
      <c r="AG851" s="274">
        <v>1393500</v>
      </c>
      <c r="AH851" s="273"/>
      <c r="AI851" s="273"/>
      <c r="AJ851" s="274"/>
      <c r="AK851" s="273"/>
      <c r="AL851" s="275"/>
      <c r="AM851" s="290"/>
      <c r="AN851" s="275"/>
      <c r="AO851" s="276"/>
      <c r="AP851" s="275"/>
      <c r="AQ851" s="275"/>
      <c r="AR851" s="275"/>
      <c r="AS851" s="275">
        <v>6000000</v>
      </c>
      <c r="AT851" s="275"/>
      <c r="AU851" s="275"/>
      <c r="AV851" s="275"/>
      <c r="AW851" s="275"/>
      <c r="AX851" s="275"/>
      <c r="AY851" s="275"/>
      <c r="AZ851" s="275"/>
      <c r="BA851" s="275"/>
      <c r="BB851" s="275"/>
      <c r="BC851" s="275"/>
      <c r="BD851" s="275"/>
      <c r="BE851" s="275">
        <v>6000000</v>
      </c>
      <c r="BF851" s="275"/>
      <c r="BH851" s="277"/>
    </row>
    <row r="852" spans="1:60" ht="16.5" hidden="1" customHeight="1" x14ac:dyDescent="0.3">
      <c r="A852" s="260">
        <v>830</v>
      </c>
      <c r="B852" s="261"/>
      <c r="C852" s="261"/>
      <c r="D852" s="262" t="s">
        <v>15</v>
      </c>
      <c r="E852" s="262" t="s">
        <v>277</v>
      </c>
      <c r="F852" s="263" t="s">
        <v>15</v>
      </c>
      <c r="G852" s="264" t="s">
        <v>277</v>
      </c>
      <c r="H852" s="281"/>
      <c r="I852" s="265"/>
      <c r="J852" s="266" t="s">
        <v>280</v>
      </c>
      <c r="K852" s="262"/>
      <c r="L852" s="262"/>
      <c r="M852" s="262">
        <v>23370</v>
      </c>
      <c r="N852" s="262" t="s">
        <v>22</v>
      </c>
      <c r="O852" s="262" t="s">
        <v>56</v>
      </c>
      <c r="P852" s="262"/>
      <c r="Q852" s="262" t="s">
        <v>26</v>
      </c>
      <c r="R852" s="262" t="s">
        <v>468</v>
      </c>
      <c r="S852" s="267" t="s">
        <v>468</v>
      </c>
      <c r="T852" s="268"/>
      <c r="U852" s="269"/>
      <c r="V852" s="269">
        <v>2750000</v>
      </c>
      <c r="W852" s="278">
        <v>0</v>
      </c>
      <c r="X852" s="270"/>
      <c r="Y852" s="262" t="s">
        <v>25</v>
      </c>
      <c r="Z852" s="271" t="s">
        <v>25</v>
      </c>
      <c r="AA852" s="287"/>
      <c r="AB852" s="287"/>
      <c r="AC852" s="272">
        <f t="shared" si="27"/>
        <v>5000000</v>
      </c>
      <c r="AD852" s="272">
        <v>5000000</v>
      </c>
      <c r="AE852" s="272">
        <f t="shared" si="28"/>
        <v>0</v>
      </c>
      <c r="AF852" s="273"/>
      <c r="AG852" s="274"/>
      <c r="AH852" s="273"/>
      <c r="AI852" s="273"/>
      <c r="AJ852" s="274"/>
      <c r="AK852" s="273"/>
      <c r="AL852" s="275"/>
      <c r="AM852" s="290"/>
      <c r="AN852" s="275"/>
      <c r="AO852" s="276"/>
      <c r="AP852" s="275"/>
      <c r="AQ852" s="275"/>
      <c r="AR852" s="275"/>
      <c r="AS852" s="275"/>
      <c r="AT852" s="275"/>
      <c r="AU852" s="275">
        <v>5000000</v>
      </c>
      <c r="AV852" s="275"/>
      <c r="AW852" s="275"/>
      <c r="AX852" s="275"/>
      <c r="AY852" s="275"/>
      <c r="AZ852" s="275"/>
      <c r="BA852" s="275"/>
      <c r="BB852" s="275"/>
      <c r="BC852" s="275"/>
      <c r="BD852" s="275"/>
      <c r="BE852" s="275"/>
      <c r="BF852" s="275"/>
      <c r="BH852" s="277"/>
    </row>
    <row r="853" spans="1:60" ht="16.5" hidden="1" customHeight="1" x14ac:dyDescent="0.3">
      <c r="A853" s="260">
        <v>831</v>
      </c>
      <c r="B853" s="261"/>
      <c r="C853" s="261"/>
      <c r="D853" s="262" t="s">
        <v>15</v>
      </c>
      <c r="E853" s="262" t="s">
        <v>277</v>
      </c>
      <c r="F853" s="263" t="s">
        <v>15</v>
      </c>
      <c r="G853" s="264" t="s">
        <v>277</v>
      </c>
      <c r="H853" s="281"/>
      <c r="I853" s="265"/>
      <c r="J853" s="266" t="s">
        <v>280</v>
      </c>
      <c r="K853" s="262"/>
      <c r="L853" s="262"/>
      <c r="M853" s="262">
        <v>23370</v>
      </c>
      <c r="N853" s="262" t="s">
        <v>17</v>
      </c>
      <c r="O853" s="262" t="s">
        <v>35</v>
      </c>
      <c r="P853" s="262"/>
      <c r="Q853" s="262"/>
      <c r="R853" s="262"/>
      <c r="S853" s="267" t="s">
        <v>822</v>
      </c>
      <c r="T853" s="268"/>
      <c r="U853" s="269"/>
      <c r="V853" s="269"/>
      <c r="W853" s="278">
        <v>0</v>
      </c>
      <c r="X853" s="270"/>
      <c r="Y853" s="262"/>
      <c r="Z853" s="271" t="s">
        <v>25</v>
      </c>
      <c r="AA853" s="287"/>
      <c r="AB853" s="287"/>
      <c r="AC853" s="272">
        <f t="shared" si="27"/>
        <v>10000000</v>
      </c>
      <c r="AD853" s="272">
        <v>10000000</v>
      </c>
      <c r="AE853" s="272">
        <f t="shared" si="28"/>
        <v>0</v>
      </c>
      <c r="AF853" s="273"/>
      <c r="AG853" s="274"/>
      <c r="AH853" s="273"/>
      <c r="AI853" s="273"/>
      <c r="AJ853" s="274"/>
      <c r="AK853" s="273"/>
      <c r="AL853" s="275"/>
      <c r="AM853" s="290"/>
      <c r="AN853" s="275"/>
      <c r="AO853" s="276"/>
      <c r="AP853" s="275"/>
      <c r="AQ853" s="275"/>
      <c r="AR853" s="275"/>
      <c r="AS853" s="275">
        <v>10000000</v>
      </c>
      <c r="AT853" s="275"/>
      <c r="AU853" s="275"/>
      <c r="AV853" s="275"/>
      <c r="AW853" s="275"/>
      <c r="AX853" s="275"/>
      <c r="AY853" s="275"/>
      <c r="AZ853" s="275"/>
      <c r="BA853" s="275"/>
      <c r="BB853" s="275"/>
      <c r="BC853" s="275"/>
      <c r="BD853" s="275"/>
      <c r="BE853" s="275"/>
      <c r="BF853" s="275"/>
      <c r="BH853" s="277"/>
    </row>
    <row r="854" spans="1:60" ht="16.5" hidden="1" customHeight="1" x14ac:dyDescent="0.3">
      <c r="A854" s="260">
        <v>832</v>
      </c>
      <c r="B854" s="261"/>
      <c r="C854" s="261"/>
      <c r="D854" s="262"/>
      <c r="E854" s="262"/>
      <c r="F854" s="263" t="s">
        <v>15</v>
      </c>
      <c r="G854" s="264" t="s">
        <v>277</v>
      </c>
      <c r="H854" s="281"/>
      <c r="I854" s="265"/>
      <c r="J854" s="266" t="s">
        <v>280</v>
      </c>
      <c r="K854" s="262"/>
      <c r="L854" s="262"/>
      <c r="M854" s="262">
        <v>23370</v>
      </c>
      <c r="N854" s="262" t="s">
        <v>17</v>
      </c>
      <c r="O854" s="262" t="s">
        <v>35</v>
      </c>
      <c r="P854" s="262"/>
      <c r="Q854" s="262" t="s">
        <v>470</v>
      </c>
      <c r="R854" s="262"/>
      <c r="S854" s="267" t="s">
        <v>822</v>
      </c>
      <c r="T854" s="268"/>
      <c r="U854" s="269"/>
      <c r="V854" s="269"/>
      <c r="W854" s="278">
        <v>0</v>
      </c>
      <c r="X854" s="270"/>
      <c r="Y854" s="262"/>
      <c r="Z854" s="271" t="s">
        <v>25</v>
      </c>
      <c r="AA854" s="287"/>
      <c r="AB854" s="287"/>
      <c r="AC854" s="272">
        <f t="shared" si="27"/>
        <v>10000000</v>
      </c>
      <c r="AD854" s="272">
        <v>10000000</v>
      </c>
      <c r="AE854" s="272">
        <f t="shared" si="28"/>
        <v>0</v>
      </c>
      <c r="AF854" s="273"/>
      <c r="AG854" s="274"/>
      <c r="AH854" s="273"/>
      <c r="AI854" s="273"/>
      <c r="AJ854" s="274"/>
      <c r="AK854" s="273"/>
      <c r="AL854" s="275"/>
      <c r="AM854" s="290"/>
      <c r="AN854" s="275"/>
      <c r="AO854" s="276"/>
      <c r="AP854" s="275"/>
      <c r="AQ854" s="275"/>
      <c r="AR854" s="275"/>
      <c r="AS854" s="275">
        <v>10000000</v>
      </c>
      <c r="AT854" s="275"/>
      <c r="AU854" s="275"/>
      <c r="AV854" s="275"/>
      <c r="AW854" s="275"/>
      <c r="AX854" s="275"/>
      <c r="AY854" s="275"/>
      <c r="AZ854" s="275"/>
      <c r="BA854" s="275"/>
      <c r="BB854" s="275"/>
      <c r="BC854" s="275"/>
      <c r="BD854" s="275"/>
      <c r="BE854" s="275"/>
      <c r="BF854" s="275"/>
      <c r="BH854" s="277"/>
    </row>
    <row r="855" spans="1:60" ht="16.5" hidden="1" customHeight="1" x14ac:dyDescent="0.3">
      <c r="A855" s="260">
        <v>833</v>
      </c>
      <c r="B855" s="261"/>
      <c r="C855" s="261"/>
      <c r="D855" s="262" t="s">
        <v>15</v>
      </c>
      <c r="E855" s="262" t="s">
        <v>277</v>
      </c>
      <c r="F855" s="263" t="s">
        <v>15</v>
      </c>
      <c r="G855" s="264" t="s">
        <v>277</v>
      </c>
      <c r="H855" s="281"/>
      <c r="I855" s="265"/>
      <c r="J855" s="266" t="s">
        <v>280</v>
      </c>
      <c r="K855" s="262"/>
      <c r="L855" s="262"/>
      <c r="M855" s="262">
        <v>23370</v>
      </c>
      <c r="N855" s="262"/>
      <c r="O855" s="262"/>
      <c r="P855" s="262"/>
      <c r="Q855" s="262"/>
      <c r="R855" s="262"/>
      <c r="S855" s="267" t="s">
        <v>826</v>
      </c>
      <c r="T855" s="268"/>
      <c r="U855" s="269"/>
      <c r="V855" s="269"/>
      <c r="W855" s="278">
        <v>48055000</v>
      </c>
      <c r="X855" s="270"/>
      <c r="Y855" s="262"/>
      <c r="Z855" s="271" t="s">
        <v>718</v>
      </c>
      <c r="AA855" s="287"/>
      <c r="AB855" s="287"/>
      <c r="AC855" s="272">
        <f t="shared" ref="AC855:AC918" si="29">AG855+AJ855+AM855+AO855+AQ855+AS855+AU855+AW855+AY855+BA855+BC855+BE855</f>
        <v>0</v>
      </c>
      <c r="AD855" s="272">
        <v>0</v>
      </c>
      <c r="AE855" s="272">
        <f t="shared" ref="AE855:AE918" si="30">AC855-AD855</f>
        <v>0</v>
      </c>
      <c r="AF855" s="273"/>
      <c r="AG855" s="274"/>
      <c r="AH855" s="273"/>
      <c r="AI855" s="273"/>
      <c r="AJ855" s="274"/>
      <c r="AK855" s="273"/>
      <c r="AL855" s="275"/>
      <c r="AM855" s="290"/>
      <c r="AN855" s="275"/>
      <c r="AO855" s="276"/>
      <c r="AP855" s="275"/>
      <c r="AQ855" s="275"/>
      <c r="AR855" s="275"/>
      <c r="AS855" s="275"/>
      <c r="AT855" s="275"/>
      <c r="AU855" s="275"/>
      <c r="AV855" s="275"/>
      <c r="AW855" s="275"/>
      <c r="AX855" s="275"/>
      <c r="AY855" s="275"/>
      <c r="AZ855" s="275"/>
      <c r="BA855" s="275"/>
      <c r="BB855" s="275"/>
      <c r="BC855" s="275"/>
      <c r="BD855" s="275"/>
      <c r="BE855" s="275"/>
      <c r="BF855" s="275"/>
      <c r="BH855" s="277"/>
    </row>
    <row r="856" spans="1:60" ht="16.5" hidden="1" customHeight="1" x14ac:dyDescent="0.3">
      <c r="A856" s="260">
        <v>834</v>
      </c>
      <c r="B856" s="261"/>
      <c r="C856" s="261"/>
      <c r="D856" s="262" t="s">
        <v>15</v>
      </c>
      <c r="E856" s="262" t="s">
        <v>277</v>
      </c>
      <c r="F856" s="263" t="s">
        <v>15</v>
      </c>
      <c r="G856" s="264" t="s">
        <v>277</v>
      </c>
      <c r="H856" s="281"/>
      <c r="I856" s="265"/>
      <c r="J856" s="266" t="s">
        <v>280</v>
      </c>
      <c r="K856" s="262"/>
      <c r="L856" s="262"/>
      <c r="M856" s="262">
        <v>23370</v>
      </c>
      <c r="N856" s="262" t="s">
        <v>17</v>
      </c>
      <c r="O856" s="262" t="s">
        <v>212</v>
      </c>
      <c r="P856" s="262" t="s">
        <v>57</v>
      </c>
      <c r="Q856" s="262" t="s">
        <v>54</v>
      </c>
      <c r="R856" s="262" t="s">
        <v>467</v>
      </c>
      <c r="S856" s="267" t="s">
        <v>829</v>
      </c>
      <c r="T856" s="268"/>
      <c r="U856" s="269">
        <v>48000000</v>
      </c>
      <c r="V856" s="269">
        <v>48000000</v>
      </c>
      <c r="W856" s="278">
        <v>0</v>
      </c>
      <c r="X856" s="270"/>
      <c r="Y856" s="262" t="s">
        <v>27</v>
      </c>
      <c r="Z856" s="271" t="s">
        <v>27</v>
      </c>
      <c r="AA856" s="287"/>
      <c r="AB856" s="287"/>
      <c r="AC856" s="272">
        <f t="shared" si="29"/>
        <v>52037500</v>
      </c>
      <c r="AD856" s="272">
        <v>52037500</v>
      </c>
      <c r="AE856" s="272">
        <f t="shared" si="30"/>
        <v>0</v>
      </c>
      <c r="AF856" s="273">
        <v>4000000</v>
      </c>
      <c r="AG856" s="274">
        <v>4000000</v>
      </c>
      <c r="AH856" s="273"/>
      <c r="AI856" s="273">
        <v>4000000</v>
      </c>
      <c r="AJ856" s="274">
        <v>8037500</v>
      </c>
      <c r="AK856" s="273"/>
      <c r="AL856" s="275">
        <v>4000000</v>
      </c>
      <c r="AM856" s="290">
        <v>4000000</v>
      </c>
      <c r="AN856" s="275"/>
      <c r="AO856" s="276">
        <v>4000000</v>
      </c>
      <c r="AP856" s="275"/>
      <c r="AQ856" s="275">
        <v>4000000</v>
      </c>
      <c r="AR856" s="275"/>
      <c r="AS856" s="275">
        <v>4000000</v>
      </c>
      <c r="AT856" s="275"/>
      <c r="AU856" s="275">
        <v>4000000</v>
      </c>
      <c r="AV856" s="275"/>
      <c r="AW856" s="275">
        <v>4000000</v>
      </c>
      <c r="AX856" s="275"/>
      <c r="AY856" s="275">
        <v>4000000</v>
      </c>
      <c r="AZ856" s="275"/>
      <c r="BA856" s="275">
        <v>4000000</v>
      </c>
      <c r="BB856" s="275"/>
      <c r="BC856" s="275">
        <v>4000000</v>
      </c>
      <c r="BD856" s="275"/>
      <c r="BE856" s="275">
        <v>4000000</v>
      </c>
      <c r="BF856" s="275"/>
      <c r="BH856" s="277"/>
    </row>
    <row r="857" spans="1:60" ht="16.5" hidden="1" customHeight="1" x14ac:dyDescent="0.3">
      <c r="A857" s="260">
        <v>835</v>
      </c>
      <c r="B857" s="261"/>
      <c r="C857" s="261"/>
      <c r="D857" s="262" t="s">
        <v>15</v>
      </c>
      <c r="E857" s="262" t="s">
        <v>277</v>
      </c>
      <c r="F857" s="263" t="s">
        <v>15</v>
      </c>
      <c r="G857" s="264" t="s">
        <v>277</v>
      </c>
      <c r="H857" s="281"/>
      <c r="I857" s="265"/>
      <c r="J857" s="266" t="s">
        <v>281</v>
      </c>
      <c r="K857" s="262"/>
      <c r="L857" s="262"/>
      <c r="M857" s="262">
        <v>23370</v>
      </c>
      <c r="N857" s="262" t="s">
        <v>17</v>
      </c>
      <c r="O857" s="262" t="s">
        <v>212</v>
      </c>
      <c r="P857" s="262"/>
      <c r="Q857" s="262" t="s">
        <v>18</v>
      </c>
      <c r="R857" s="262" t="s">
        <v>19</v>
      </c>
      <c r="S857" s="267" t="s">
        <v>19</v>
      </c>
      <c r="T857" s="268"/>
      <c r="U857" s="269">
        <v>8222500</v>
      </c>
      <c r="V857" s="269">
        <v>5665800</v>
      </c>
      <c r="W857" s="278">
        <v>5712000</v>
      </c>
      <c r="X857" s="270"/>
      <c r="Y857" s="262" t="s">
        <v>27</v>
      </c>
      <c r="Z857" s="271" t="s">
        <v>24</v>
      </c>
      <c r="AA857" s="287"/>
      <c r="AB857" s="287"/>
      <c r="AC857" s="272">
        <f t="shared" si="29"/>
        <v>6000000</v>
      </c>
      <c r="AD857" s="272">
        <v>6000000</v>
      </c>
      <c r="AE857" s="272">
        <f t="shared" si="30"/>
        <v>0</v>
      </c>
      <c r="AF857" s="273"/>
      <c r="AG857" s="274"/>
      <c r="AH857" s="273"/>
      <c r="AI857" s="273"/>
      <c r="AJ857" s="274"/>
      <c r="AK857" s="273"/>
      <c r="AL857" s="275"/>
      <c r="AM857" s="290"/>
      <c r="AN857" s="275"/>
      <c r="AO857" s="276"/>
      <c r="AP857" s="275"/>
      <c r="AQ857" s="275">
        <v>6000000</v>
      </c>
      <c r="AR857" s="275"/>
      <c r="AS857" s="275"/>
      <c r="AT857" s="275"/>
      <c r="AU857" s="275"/>
      <c r="AV857" s="275"/>
      <c r="AW857" s="275"/>
      <c r="AX857" s="275"/>
      <c r="AY857" s="275"/>
      <c r="AZ857" s="275"/>
      <c r="BA857" s="275"/>
      <c r="BB857" s="275"/>
      <c r="BC857" s="275"/>
      <c r="BD857" s="275"/>
      <c r="BE857" s="275"/>
      <c r="BF857" s="275"/>
      <c r="BH857" s="277"/>
    </row>
    <row r="858" spans="1:60" ht="16.5" hidden="1" customHeight="1" x14ac:dyDescent="0.3">
      <c r="A858" s="260">
        <v>836</v>
      </c>
      <c r="B858" s="261"/>
      <c r="C858" s="261"/>
      <c r="D858" s="262" t="s">
        <v>15</v>
      </c>
      <c r="E858" s="262" t="s">
        <v>277</v>
      </c>
      <c r="F858" s="263" t="s">
        <v>15</v>
      </c>
      <c r="G858" s="264" t="s">
        <v>277</v>
      </c>
      <c r="H858" s="281"/>
      <c r="I858" s="265"/>
      <c r="J858" s="266" t="s">
        <v>282</v>
      </c>
      <c r="K858" s="262"/>
      <c r="L858" s="262"/>
      <c r="M858" s="262">
        <v>22337</v>
      </c>
      <c r="N858" s="262" t="s">
        <v>32</v>
      </c>
      <c r="O858" s="262" t="s">
        <v>178</v>
      </c>
      <c r="P858" s="262"/>
      <c r="Q858" s="262" t="s">
        <v>63</v>
      </c>
      <c r="R858" s="262" t="s">
        <v>28</v>
      </c>
      <c r="S858" s="267" t="s">
        <v>28</v>
      </c>
      <c r="T858" s="268"/>
      <c r="U858" s="269">
        <v>186687110</v>
      </c>
      <c r="V858" s="269">
        <v>89138700</v>
      </c>
      <c r="W858" s="278">
        <v>0</v>
      </c>
      <c r="X858" s="270"/>
      <c r="Y858" s="262" t="s">
        <v>74</v>
      </c>
      <c r="Z858" s="271" t="s">
        <v>27</v>
      </c>
      <c r="AA858" s="287"/>
      <c r="AB858" s="287"/>
      <c r="AC858" s="272">
        <f t="shared" si="29"/>
        <v>90000000</v>
      </c>
      <c r="AD858" s="272">
        <v>90000000</v>
      </c>
      <c r="AE858" s="272">
        <f t="shared" si="30"/>
        <v>0</v>
      </c>
      <c r="AF858" s="273"/>
      <c r="AG858" s="274"/>
      <c r="AH858" s="273"/>
      <c r="AI858" s="273">
        <v>10000000</v>
      </c>
      <c r="AJ858" s="274"/>
      <c r="AK858" s="273"/>
      <c r="AL858" s="275">
        <v>10000000</v>
      </c>
      <c r="AM858" s="290"/>
      <c r="AN858" s="275"/>
      <c r="AO858" s="276">
        <v>0</v>
      </c>
      <c r="AP858" s="275"/>
      <c r="AQ858" s="275">
        <v>30000000</v>
      </c>
      <c r="AR858" s="275"/>
      <c r="AS858" s="275">
        <v>10000000</v>
      </c>
      <c r="AT858" s="275"/>
      <c r="AU858" s="275">
        <v>10000000</v>
      </c>
      <c r="AV858" s="275"/>
      <c r="AW858" s="275">
        <v>10000000</v>
      </c>
      <c r="AX858" s="275"/>
      <c r="AY858" s="275">
        <v>10000000</v>
      </c>
      <c r="AZ858" s="275"/>
      <c r="BA858" s="275">
        <v>10000000</v>
      </c>
      <c r="BB858" s="275"/>
      <c r="BC858" s="275">
        <v>10000000</v>
      </c>
      <c r="BD858" s="275"/>
      <c r="BE858" s="275"/>
      <c r="BF858" s="275"/>
      <c r="BH858" s="277"/>
    </row>
    <row r="859" spans="1:60" ht="16.5" hidden="1" customHeight="1" x14ac:dyDescent="0.3">
      <c r="A859" s="260">
        <v>837</v>
      </c>
      <c r="B859" s="261"/>
      <c r="C859" s="261"/>
      <c r="D859" s="262" t="s">
        <v>15</v>
      </c>
      <c r="E859" s="262" t="s">
        <v>277</v>
      </c>
      <c r="F859" s="263" t="s">
        <v>15</v>
      </c>
      <c r="G859" s="264" t="s">
        <v>277</v>
      </c>
      <c r="H859" s="281"/>
      <c r="I859" s="265"/>
      <c r="J859" s="266" t="s">
        <v>282</v>
      </c>
      <c r="K859" s="262"/>
      <c r="L859" s="262"/>
      <c r="M859" s="262">
        <v>22337</v>
      </c>
      <c r="N859" s="262" t="s">
        <v>32</v>
      </c>
      <c r="O859" s="262" t="s">
        <v>56</v>
      </c>
      <c r="P859" s="262"/>
      <c r="Q859" s="262" t="s">
        <v>18</v>
      </c>
      <c r="R859" s="262" t="s">
        <v>19</v>
      </c>
      <c r="S859" s="267" t="s">
        <v>19</v>
      </c>
      <c r="T859" s="268"/>
      <c r="U859" s="269"/>
      <c r="V859" s="269">
        <v>19899250</v>
      </c>
      <c r="W859" s="278">
        <v>0</v>
      </c>
      <c r="X859" s="270"/>
      <c r="Y859" s="262" t="s">
        <v>74</v>
      </c>
      <c r="Z859" s="271" t="s">
        <v>20</v>
      </c>
      <c r="AA859" s="287"/>
      <c r="AB859" s="287"/>
      <c r="AC859" s="272">
        <f t="shared" si="29"/>
        <v>0</v>
      </c>
      <c r="AD859" s="272">
        <v>0</v>
      </c>
      <c r="AE859" s="272">
        <f t="shared" si="30"/>
        <v>0</v>
      </c>
      <c r="AF859" s="273"/>
      <c r="AG859" s="274"/>
      <c r="AH859" s="273"/>
      <c r="AI859" s="273"/>
      <c r="AJ859" s="274"/>
      <c r="AK859" s="273"/>
      <c r="AL859" s="275"/>
      <c r="AM859" s="290"/>
      <c r="AN859" s="275"/>
      <c r="AO859" s="276"/>
      <c r="AP859" s="275"/>
      <c r="AQ859" s="275"/>
      <c r="AR859" s="275"/>
      <c r="AS859" s="275"/>
      <c r="AT859" s="275"/>
      <c r="AU859" s="275"/>
      <c r="AV859" s="275"/>
      <c r="AW859" s="275"/>
      <c r="AX859" s="275"/>
      <c r="AY859" s="275"/>
      <c r="AZ859" s="275"/>
      <c r="BA859" s="275"/>
      <c r="BB859" s="275"/>
      <c r="BC859" s="275"/>
      <c r="BD859" s="275"/>
      <c r="BE859" s="275"/>
      <c r="BF859" s="275"/>
      <c r="BH859" s="277"/>
    </row>
    <row r="860" spans="1:60" ht="16.5" hidden="1" customHeight="1" x14ac:dyDescent="0.3">
      <c r="A860" s="260">
        <v>838</v>
      </c>
      <c r="B860" s="261"/>
      <c r="C860" s="261"/>
      <c r="D860" s="262" t="s">
        <v>15</v>
      </c>
      <c r="E860" s="262" t="s">
        <v>277</v>
      </c>
      <c r="F860" s="263" t="s">
        <v>15</v>
      </c>
      <c r="G860" s="264" t="s">
        <v>277</v>
      </c>
      <c r="H860" s="281"/>
      <c r="I860" s="265"/>
      <c r="J860" s="266" t="s">
        <v>663</v>
      </c>
      <c r="K860" s="262"/>
      <c r="L860" s="262"/>
      <c r="M860" s="262">
        <v>63346</v>
      </c>
      <c r="N860" s="262" t="s">
        <v>22</v>
      </c>
      <c r="O860" s="262" t="s">
        <v>56</v>
      </c>
      <c r="P860" s="262"/>
      <c r="Q860" s="262"/>
      <c r="R860" s="262" t="s">
        <v>678</v>
      </c>
      <c r="S860" s="267" t="s">
        <v>832</v>
      </c>
      <c r="T860" s="268"/>
      <c r="U860" s="269"/>
      <c r="V860" s="269"/>
      <c r="W860" s="278">
        <v>3600000</v>
      </c>
      <c r="X860" s="270"/>
      <c r="Y860" s="262" t="s">
        <v>27</v>
      </c>
      <c r="Z860" s="271" t="s">
        <v>24</v>
      </c>
      <c r="AA860" s="287"/>
      <c r="AB860" s="287"/>
      <c r="AC860" s="272">
        <f t="shared" si="29"/>
        <v>3600000</v>
      </c>
      <c r="AD860" s="272">
        <v>3600000</v>
      </c>
      <c r="AE860" s="272">
        <f t="shared" si="30"/>
        <v>0</v>
      </c>
      <c r="AF860" s="273"/>
      <c r="AG860" s="274"/>
      <c r="AH860" s="273"/>
      <c r="AI860" s="273"/>
      <c r="AJ860" s="274"/>
      <c r="AK860" s="273"/>
      <c r="AL860" s="275"/>
      <c r="AM860" s="290"/>
      <c r="AN860" s="275"/>
      <c r="AO860" s="276"/>
      <c r="AP860" s="275"/>
      <c r="AQ860" s="291">
        <v>3600000</v>
      </c>
      <c r="AR860" s="275"/>
      <c r="AS860" s="275"/>
      <c r="AT860" s="275"/>
      <c r="AU860" s="275"/>
      <c r="AV860" s="275"/>
      <c r="AW860" s="275"/>
      <c r="AX860" s="275"/>
      <c r="AY860" s="275"/>
      <c r="AZ860" s="275"/>
      <c r="BA860" s="275"/>
      <c r="BB860" s="275"/>
      <c r="BC860" s="275"/>
      <c r="BD860" s="275"/>
      <c r="BE860" s="275"/>
      <c r="BF860" s="275"/>
      <c r="BH860" s="277"/>
    </row>
    <row r="861" spans="1:60" ht="16.5" hidden="1" customHeight="1" x14ac:dyDescent="0.3">
      <c r="A861" s="260">
        <v>839</v>
      </c>
      <c r="B861" s="261"/>
      <c r="C861" s="261"/>
      <c r="D861" s="262" t="s">
        <v>15</v>
      </c>
      <c r="E861" s="262" t="s">
        <v>277</v>
      </c>
      <c r="F861" s="263" t="s">
        <v>15</v>
      </c>
      <c r="G861" s="264" t="s">
        <v>277</v>
      </c>
      <c r="H861" s="281"/>
      <c r="I861" s="265"/>
      <c r="J861" s="266" t="s">
        <v>283</v>
      </c>
      <c r="K861" s="262"/>
      <c r="L861" s="262"/>
      <c r="M861" s="262">
        <v>3782</v>
      </c>
      <c r="N861" s="262" t="s">
        <v>22</v>
      </c>
      <c r="O861" s="262" t="s">
        <v>56</v>
      </c>
      <c r="P861" s="262"/>
      <c r="Q861" s="262" t="s">
        <v>26</v>
      </c>
      <c r="R861" s="262" t="s">
        <v>468</v>
      </c>
      <c r="S861" s="267" t="s">
        <v>468</v>
      </c>
      <c r="T861" s="268"/>
      <c r="U861" s="269"/>
      <c r="V861" s="269">
        <v>2225000</v>
      </c>
      <c r="W861" s="278">
        <v>1975000</v>
      </c>
      <c r="X861" s="270"/>
      <c r="Y861" s="262" t="s">
        <v>25</v>
      </c>
      <c r="Z861" s="271" t="s">
        <v>25</v>
      </c>
      <c r="AA861" s="287"/>
      <c r="AB861" s="287"/>
      <c r="AC861" s="272">
        <f t="shared" si="29"/>
        <v>10000000</v>
      </c>
      <c r="AD861" s="272">
        <v>10000000</v>
      </c>
      <c r="AE861" s="272">
        <f t="shared" si="30"/>
        <v>0</v>
      </c>
      <c r="AF861" s="273"/>
      <c r="AG861" s="274"/>
      <c r="AH861" s="273"/>
      <c r="AI861" s="273"/>
      <c r="AJ861" s="274"/>
      <c r="AK861" s="273"/>
      <c r="AL861" s="275"/>
      <c r="AM861" s="290"/>
      <c r="AN861" s="275"/>
      <c r="AO861" s="276"/>
      <c r="AP861" s="275"/>
      <c r="AQ861" s="275">
        <v>7000000</v>
      </c>
      <c r="AR861" s="275"/>
      <c r="AS861" s="275">
        <v>3000000</v>
      </c>
      <c r="AT861" s="275"/>
      <c r="AU861" s="275"/>
      <c r="AV861" s="275"/>
      <c r="AW861" s="275"/>
      <c r="AX861" s="275"/>
      <c r="AY861" s="275"/>
      <c r="AZ861" s="275"/>
      <c r="BA861" s="275"/>
      <c r="BB861" s="275"/>
      <c r="BC861" s="275"/>
      <c r="BD861" s="275"/>
      <c r="BE861" s="275"/>
      <c r="BF861" s="275"/>
      <c r="BH861" s="277"/>
    </row>
    <row r="862" spans="1:60" ht="16.5" hidden="1" customHeight="1" x14ac:dyDescent="0.3">
      <c r="A862" s="260">
        <v>840</v>
      </c>
      <c r="B862" s="261"/>
      <c r="C862" s="261"/>
      <c r="D862" s="262" t="s">
        <v>15</v>
      </c>
      <c r="E862" s="262" t="s">
        <v>277</v>
      </c>
      <c r="F862" s="263" t="s">
        <v>15</v>
      </c>
      <c r="G862" s="264" t="s">
        <v>277</v>
      </c>
      <c r="H862" s="281"/>
      <c r="I862" s="265"/>
      <c r="J862" s="266" t="s">
        <v>283</v>
      </c>
      <c r="K862" s="262"/>
      <c r="L862" s="262"/>
      <c r="M862" s="262">
        <v>3782</v>
      </c>
      <c r="N862" s="262" t="s">
        <v>22</v>
      </c>
      <c r="O862" s="262" t="s">
        <v>35</v>
      </c>
      <c r="P862" s="262"/>
      <c r="Q862" s="262"/>
      <c r="R862" s="262"/>
      <c r="S862" s="267" t="s">
        <v>822</v>
      </c>
      <c r="T862" s="268"/>
      <c r="U862" s="269"/>
      <c r="V862" s="269"/>
      <c r="W862" s="278">
        <v>0</v>
      </c>
      <c r="X862" s="270"/>
      <c r="Y862" s="262"/>
      <c r="Z862" s="271" t="s">
        <v>25</v>
      </c>
      <c r="AA862" s="287"/>
      <c r="AB862" s="287"/>
      <c r="AC862" s="272">
        <f t="shared" si="29"/>
        <v>10000000</v>
      </c>
      <c r="AD862" s="272">
        <v>10000000</v>
      </c>
      <c r="AE862" s="272">
        <f t="shared" si="30"/>
        <v>0</v>
      </c>
      <c r="AF862" s="273"/>
      <c r="AG862" s="274"/>
      <c r="AH862" s="273"/>
      <c r="AI862" s="273"/>
      <c r="AJ862" s="274"/>
      <c r="AK862" s="273"/>
      <c r="AL862" s="275"/>
      <c r="AM862" s="290"/>
      <c r="AN862" s="275"/>
      <c r="AO862" s="276"/>
      <c r="AP862" s="275"/>
      <c r="AQ862" s="275"/>
      <c r="AR862" s="275"/>
      <c r="AS862" s="275">
        <v>10000000</v>
      </c>
      <c r="AT862" s="275"/>
      <c r="AU862" s="275"/>
      <c r="AV862" s="275"/>
      <c r="AW862" s="275"/>
      <c r="AX862" s="275"/>
      <c r="AY862" s="275"/>
      <c r="AZ862" s="275"/>
      <c r="BA862" s="275"/>
      <c r="BB862" s="275"/>
      <c r="BC862" s="275"/>
      <c r="BD862" s="275"/>
      <c r="BE862" s="275"/>
      <c r="BF862" s="275"/>
      <c r="BH862" s="277"/>
    </row>
    <row r="863" spans="1:60" ht="16.5" hidden="1" customHeight="1" x14ac:dyDescent="0.3">
      <c r="A863" s="260">
        <v>841</v>
      </c>
      <c r="B863" s="261"/>
      <c r="C863" s="261"/>
      <c r="D863" s="262" t="s">
        <v>15</v>
      </c>
      <c r="E863" s="262" t="s">
        <v>277</v>
      </c>
      <c r="F863" s="263" t="s">
        <v>15</v>
      </c>
      <c r="G863" s="264" t="s">
        <v>277</v>
      </c>
      <c r="H863" s="281"/>
      <c r="I863" s="265"/>
      <c r="J863" s="266" t="s">
        <v>284</v>
      </c>
      <c r="K863" s="262"/>
      <c r="L863" s="262"/>
      <c r="M863" s="262">
        <v>62487</v>
      </c>
      <c r="N863" s="262" t="s">
        <v>32</v>
      </c>
      <c r="O863" s="262" t="s">
        <v>212</v>
      </c>
      <c r="P863" s="262"/>
      <c r="Q863" s="262" t="s">
        <v>18</v>
      </c>
      <c r="R863" s="262" t="s">
        <v>28</v>
      </c>
      <c r="S863" s="267" t="s">
        <v>28</v>
      </c>
      <c r="T863" s="268" t="s">
        <v>951</v>
      </c>
      <c r="U863" s="269"/>
      <c r="V863" s="269">
        <v>0</v>
      </c>
      <c r="W863" s="278">
        <v>206383740</v>
      </c>
      <c r="X863" s="270"/>
      <c r="Y863" s="262" t="s">
        <v>27</v>
      </c>
      <c r="Z863" s="271" t="s">
        <v>27</v>
      </c>
      <c r="AA863" s="287"/>
      <c r="AB863" s="287"/>
      <c r="AC863" s="272">
        <f t="shared" si="29"/>
        <v>206949080</v>
      </c>
      <c r="AD863" s="272">
        <v>206949080</v>
      </c>
      <c r="AE863" s="272">
        <f t="shared" si="30"/>
        <v>0</v>
      </c>
      <c r="AF863" s="273">
        <v>17973140</v>
      </c>
      <c r="AG863" s="274">
        <v>17973140</v>
      </c>
      <c r="AH863" s="273"/>
      <c r="AI863" s="273">
        <v>16000000</v>
      </c>
      <c r="AJ863" s="274">
        <v>33763890</v>
      </c>
      <c r="AK863" s="273"/>
      <c r="AL863" s="275">
        <v>16000000</v>
      </c>
      <c r="AM863" s="290">
        <v>18171400</v>
      </c>
      <c r="AN863" s="275"/>
      <c r="AO863" s="276">
        <v>16000000</v>
      </c>
      <c r="AP863" s="275"/>
      <c r="AQ863" s="275">
        <v>16000000</v>
      </c>
      <c r="AR863" s="275"/>
      <c r="AS863" s="275">
        <v>16000000</v>
      </c>
      <c r="AT863" s="275"/>
      <c r="AU863" s="275">
        <v>16000000</v>
      </c>
      <c r="AV863" s="275"/>
      <c r="AW863" s="275">
        <v>16000000</v>
      </c>
      <c r="AX863" s="275"/>
      <c r="AY863" s="275">
        <v>18804540</v>
      </c>
      <c r="AZ863" s="275"/>
      <c r="BA863" s="275">
        <v>16000000</v>
      </c>
      <c r="BB863" s="275"/>
      <c r="BC863" s="275">
        <v>12236110</v>
      </c>
      <c r="BD863" s="275"/>
      <c r="BE863" s="275">
        <v>10000000</v>
      </c>
      <c r="BF863" s="275"/>
      <c r="BH863" s="277"/>
    </row>
    <row r="864" spans="1:60" ht="16.5" hidden="1" customHeight="1" x14ac:dyDescent="0.3">
      <c r="A864" s="260">
        <v>842</v>
      </c>
      <c r="B864" s="261"/>
      <c r="C864" s="261"/>
      <c r="D864" s="262" t="s">
        <v>15</v>
      </c>
      <c r="E864" s="262" t="s">
        <v>277</v>
      </c>
      <c r="F864" s="263" t="s">
        <v>15</v>
      </c>
      <c r="G864" s="264" t="s">
        <v>277</v>
      </c>
      <c r="H864" s="281"/>
      <c r="I864" s="265"/>
      <c r="J864" s="266" t="s">
        <v>284</v>
      </c>
      <c r="K864" s="262"/>
      <c r="L864" s="262"/>
      <c r="M864" s="262">
        <v>7668</v>
      </c>
      <c r="N864" s="262" t="s">
        <v>32</v>
      </c>
      <c r="O864" s="262" t="s">
        <v>35</v>
      </c>
      <c r="P864" s="262"/>
      <c r="Q864" s="262" t="s">
        <v>18</v>
      </c>
      <c r="R864" s="262" t="s">
        <v>19</v>
      </c>
      <c r="S864" s="267" t="s">
        <v>19</v>
      </c>
      <c r="T864" s="268"/>
      <c r="U864" s="269"/>
      <c r="V864" s="269">
        <v>0</v>
      </c>
      <c r="W864" s="278">
        <v>0</v>
      </c>
      <c r="X864" s="270"/>
      <c r="Y864" s="262" t="s">
        <v>24</v>
      </c>
      <c r="Z864" s="271" t="s">
        <v>562</v>
      </c>
      <c r="AA864" s="287"/>
      <c r="AB864" s="287"/>
      <c r="AC864" s="272">
        <f t="shared" si="29"/>
        <v>0</v>
      </c>
      <c r="AD864" s="272">
        <v>0</v>
      </c>
      <c r="AE864" s="272">
        <f t="shared" si="30"/>
        <v>0</v>
      </c>
      <c r="AF864" s="273"/>
      <c r="AG864" s="274"/>
      <c r="AH864" s="273"/>
      <c r="AI864" s="273"/>
      <c r="AJ864" s="274"/>
      <c r="AK864" s="273"/>
      <c r="AL864" s="275"/>
      <c r="AM864" s="290"/>
      <c r="AN864" s="275"/>
      <c r="AO864" s="276"/>
      <c r="AP864" s="275"/>
      <c r="AQ864" s="275"/>
      <c r="AR864" s="275"/>
      <c r="AS864" s="275"/>
      <c r="AT864" s="275"/>
      <c r="AU864" s="275"/>
      <c r="AV864" s="275"/>
      <c r="AW864" s="275"/>
      <c r="AX864" s="275"/>
      <c r="AY864" s="275"/>
      <c r="AZ864" s="275"/>
      <c r="BA864" s="275"/>
      <c r="BB864" s="275"/>
      <c r="BC864" s="275"/>
      <c r="BD864" s="275"/>
      <c r="BE864" s="275"/>
      <c r="BF864" s="275"/>
      <c r="BH864" s="277"/>
    </row>
    <row r="865" spans="1:60" ht="16.5" hidden="1" customHeight="1" x14ac:dyDescent="0.3">
      <c r="A865" s="260">
        <v>843</v>
      </c>
      <c r="B865" s="261"/>
      <c r="C865" s="261"/>
      <c r="D865" s="262" t="s">
        <v>15</v>
      </c>
      <c r="E865" s="262" t="s">
        <v>277</v>
      </c>
      <c r="F865" s="263" t="s">
        <v>15</v>
      </c>
      <c r="G865" s="264" t="s">
        <v>277</v>
      </c>
      <c r="H865" s="281"/>
      <c r="I865" s="265"/>
      <c r="J865" s="266" t="s">
        <v>284</v>
      </c>
      <c r="K865" s="262"/>
      <c r="L865" s="262"/>
      <c r="M865" s="262">
        <v>7668</v>
      </c>
      <c r="N865" s="262" t="s">
        <v>32</v>
      </c>
      <c r="O865" s="262" t="s">
        <v>56</v>
      </c>
      <c r="P865" s="262"/>
      <c r="Q865" s="262" t="s">
        <v>26</v>
      </c>
      <c r="R865" s="262" t="s">
        <v>468</v>
      </c>
      <c r="S865" s="267" t="s">
        <v>468</v>
      </c>
      <c r="T865" s="268"/>
      <c r="U865" s="269"/>
      <c r="V865" s="269">
        <v>390000</v>
      </c>
      <c r="W865" s="278">
        <v>0</v>
      </c>
      <c r="X865" s="270"/>
      <c r="Y865" s="262" t="s">
        <v>24</v>
      </c>
      <c r="Z865" s="271" t="s">
        <v>24</v>
      </c>
      <c r="AA865" s="287"/>
      <c r="AB865" s="287"/>
      <c r="AC865" s="272">
        <f t="shared" si="29"/>
        <v>5000000</v>
      </c>
      <c r="AD865" s="272">
        <v>5000000</v>
      </c>
      <c r="AE865" s="272">
        <f t="shared" si="30"/>
        <v>0</v>
      </c>
      <c r="AF865" s="273"/>
      <c r="AG865" s="274"/>
      <c r="AH865" s="273"/>
      <c r="AI865" s="273"/>
      <c r="AJ865" s="274"/>
      <c r="AK865" s="273"/>
      <c r="AL865" s="275"/>
      <c r="AM865" s="290"/>
      <c r="AN865" s="275"/>
      <c r="AO865" s="276"/>
      <c r="AP865" s="275"/>
      <c r="AQ865" s="275"/>
      <c r="AR865" s="275"/>
      <c r="AS865" s="275">
        <v>5000000</v>
      </c>
      <c r="AT865" s="275"/>
      <c r="AU865" s="275"/>
      <c r="AV865" s="275"/>
      <c r="AW865" s="275"/>
      <c r="AX865" s="275"/>
      <c r="AY865" s="275"/>
      <c r="AZ865" s="275"/>
      <c r="BA865" s="275"/>
      <c r="BB865" s="275"/>
      <c r="BC865" s="275"/>
      <c r="BD865" s="275"/>
      <c r="BE865" s="275"/>
      <c r="BF865" s="275"/>
      <c r="BH865" s="277"/>
    </row>
    <row r="866" spans="1:60" ht="16.5" hidden="1" customHeight="1" x14ac:dyDescent="0.3">
      <c r="A866" s="260">
        <v>844</v>
      </c>
      <c r="B866" s="261"/>
      <c r="C866" s="261"/>
      <c r="D866" s="262" t="s">
        <v>15</v>
      </c>
      <c r="E866" s="262" t="s">
        <v>277</v>
      </c>
      <c r="F866" s="263" t="s">
        <v>15</v>
      </c>
      <c r="G866" s="264" t="s">
        <v>277</v>
      </c>
      <c r="H866" s="281"/>
      <c r="I866" s="265"/>
      <c r="J866" s="266" t="s">
        <v>284</v>
      </c>
      <c r="K866" s="262"/>
      <c r="L866" s="262"/>
      <c r="M866" s="262">
        <v>7668</v>
      </c>
      <c r="N866" s="262" t="s">
        <v>32</v>
      </c>
      <c r="O866" s="262" t="s">
        <v>35</v>
      </c>
      <c r="P866" s="262"/>
      <c r="Q866" s="262" t="s">
        <v>23</v>
      </c>
      <c r="R866" s="262" t="s">
        <v>397</v>
      </c>
      <c r="S866" s="267" t="s">
        <v>823</v>
      </c>
      <c r="T866" s="268"/>
      <c r="U866" s="269"/>
      <c r="V866" s="269">
        <v>0</v>
      </c>
      <c r="W866" s="278">
        <v>0</v>
      </c>
      <c r="X866" s="270"/>
      <c r="Y866" s="262" t="s">
        <v>74</v>
      </c>
      <c r="Z866" s="271" t="s">
        <v>20</v>
      </c>
      <c r="AA866" s="287"/>
      <c r="AB866" s="287"/>
      <c r="AC866" s="272">
        <f t="shared" si="29"/>
        <v>0</v>
      </c>
      <c r="AD866" s="272">
        <v>0</v>
      </c>
      <c r="AE866" s="272">
        <f t="shared" si="30"/>
        <v>0</v>
      </c>
      <c r="AF866" s="273"/>
      <c r="AG866" s="274"/>
      <c r="AH866" s="273"/>
      <c r="AI866" s="273"/>
      <c r="AJ866" s="274"/>
      <c r="AK866" s="273"/>
      <c r="AL866" s="275"/>
      <c r="AM866" s="290"/>
      <c r="AN866" s="275"/>
      <c r="AO866" s="276"/>
      <c r="AP866" s="275"/>
      <c r="AQ866" s="275"/>
      <c r="AR866" s="275"/>
      <c r="AS866" s="275"/>
      <c r="AT866" s="275"/>
      <c r="AU866" s="275"/>
      <c r="AV866" s="275"/>
      <c r="AW866" s="275"/>
      <c r="AX866" s="275"/>
      <c r="AY866" s="275"/>
      <c r="AZ866" s="275"/>
      <c r="BA866" s="275"/>
      <c r="BB866" s="275"/>
      <c r="BC866" s="275"/>
      <c r="BD866" s="275"/>
      <c r="BE866" s="275"/>
      <c r="BF866" s="275"/>
      <c r="BH866" s="277"/>
    </row>
    <row r="867" spans="1:60" ht="16.5" hidden="1" customHeight="1" x14ac:dyDescent="0.3">
      <c r="A867" s="260">
        <v>845</v>
      </c>
      <c r="B867" s="261"/>
      <c r="C867" s="261"/>
      <c r="D867" s="262" t="s">
        <v>15</v>
      </c>
      <c r="E867" s="262" t="s">
        <v>277</v>
      </c>
      <c r="F867" s="263" t="s">
        <v>15</v>
      </c>
      <c r="G867" s="264" t="s">
        <v>277</v>
      </c>
      <c r="H867" s="281"/>
      <c r="I867" s="265"/>
      <c r="J867" s="266" t="s">
        <v>285</v>
      </c>
      <c r="K867" s="262"/>
      <c r="L867" s="262"/>
      <c r="M867" s="262">
        <v>6661</v>
      </c>
      <c r="N867" s="262" t="s">
        <v>32</v>
      </c>
      <c r="O867" s="262" t="s">
        <v>56</v>
      </c>
      <c r="P867" s="262"/>
      <c r="Q867" s="262" t="s">
        <v>63</v>
      </c>
      <c r="R867" s="262" t="s">
        <v>28</v>
      </c>
      <c r="S867" s="267" t="s">
        <v>28</v>
      </c>
      <c r="T867" s="268"/>
      <c r="U867" s="269">
        <v>100000000</v>
      </c>
      <c r="V867" s="269">
        <v>90000000</v>
      </c>
      <c r="W867" s="278">
        <v>97500000</v>
      </c>
      <c r="X867" s="270"/>
      <c r="Y867" s="262" t="s">
        <v>27</v>
      </c>
      <c r="Z867" s="271" t="s">
        <v>27</v>
      </c>
      <c r="AA867" s="287"/>
      <c r="AB867" s="287"/>
      <c r="AC867" s="272">
        <f t="shared" si="29"/>
        <v>107000000</v>
      </c>
      <c r="AD867" s="272">
        <v>107000000</v>
      </c>
      <c r="AE867" s="272">
        <f t="shared" si="30"/>
        <v>0</v>
      </c>
      <c r="AF867" s="273"/>
      <c r="AG867" s="274"/>
      <c r="AH867" s="273"/>
      <c r="AI867" s="273"/>
      <c r="AJ867" s="274"/>
      <c r="AK867" s="273"/>
      <c r="AL867" s="275">
        <v>77000000</v>
      </c>
      <c r="AM867" s="290"/>
      <c r="AN867" s="275"/>
      <c r="AO867" s="276"/>
      <c r="AP867" s="275"/>
      <c r="AQ867" s="275">
        <v>77000000</v>
      </c>
      <c r="AR867" s="275"/>
      <c r="AS867" s="275"/>
      <c r="AT867" s="275"/>
      <c r="AU867" s="275"/>
      <c r="AV867" s="275"/>
      <c r="AW867" s="275"/>
      <c r="AX867" s="275"/>
      <c r="AY867" s="275"/>
      <c r="AZ867" s="275"/>
      <c r="BA867" s="275"/>
      <c r="BB867" s="275"/>
      <c r="BC867" s="275"/>
      <c r="BD867" s="275"/>
      <c r="BE867" s="275">
        <v>30000000</v>
      </c>
      <c r="BF867" s="275"/>
      <c r="BH867" s="277"/>
    </row>
    <row r="868" spans="1:60" ht="16.5" hidden="1" customHeight="1" x14ac:dyDescent="0.3">
      <c r="A868" s="260">
        <v>846</v>
      </c>
      <c r="B868" s="261"/>
      <c r="C868" s="261"/>
      <c r="D868" s="262" t="s">
        <v>15</v>
      </c>
      <c r="E868" s="262" t="s">
        <v>277</v>
      </c>
      <c r="F868" s="263" t="s">
        <v>15</v>
      </c>
      <c r="G868" s="264" t="s">
        <v>277</v>
      </c>
      <c r="H868" s="281"/>
      <c r="I868" s="265"/>
      <c r="J868" s="266" t="s">
        <v>286</v>
      </c>
      <c r="K868" s="262"/>
      <c r="L868" s="262"/>
      <c r="M868" s="262">
        <v>4888</v>
      </c>
      <c r="N868" s="262" t="s">
        <v>22</v>
      </c>
      <c r="O868" s="262" t="s">
        <v>35</v>
      </c>
      <c r="P868" s="262"/>
      <c r="Q868" s="262"/>
      <c r="R868" s="262" t="s">
        <v>28</v>
      </c>
      <c r="S868" s="267" t="s">
        <v>19</v>
      </c>
      <c r="T868" s="268"/>
      <c r="U868" s="269"/>
      <c r="V868" s="269">
        <v>0</v>
      </c>
      <c r="W868" s="278">
        <v>0</v>
      </c>
      <c r="X868" s="270"/>
      <c r="Y868" s="262" t="s">
        <v>25</v>
      </c>
      <c r="Z868" s="271" t="s">
        <v>25</v>
      </c>
      <c r="AA868" s="287"/>
      <c r="AB868" s="287"/>
      <c r="AC868" s="272">
        <f t="shared" si="29"/>
        <v>5000000</v>
      </c>
      <c r="AD868" s="272">
        <v>5000000</v>
      </c>
      <c r="AE868" s="272">
        <f t="shared" si="30"/>
        <v>0</v>
      </c>
      <c r="AF868" s="273"/>
      <c r="AG868" s="274"/>
      <c r="AH868" s="273"/>
      <c r="AI868" s="273"/>
      <c r="AJ868" s="274"/>
      <c r="AK868" s="273"/>
      <c r="AL868" s="275"/>
      <c r="AM868" s="290"/>
      <c r="AN868" s="275"/>
      <c r="AO868" s="276"/>
      <c r="AP868" s="275"/>
      <c r="AQ868" s="275"/>
      <c r="AR868" s="275"/>
      <c r="AS868" s="275"/>
      <c r="AT868" s="275"/>
      <c r="AU868" s="275"/>
      <c r="AV868" s="275"/>
      <c r="AW868" s="275"/>
      <c r="AX868" s="275"/>
      <c r="AY868" s="275">
        <v>5000000</v>
      </c>
      <c r="AZ868" s="275"/>
      <c r="BA868" s="275"/>
      <c r="BB868" s="275"/>
      <c r="BC868" s="275"/>
      <c r="BD868" s="275"/>
      <c r="BE868" s="275"/>
      <c r="BF868" s="275"/>
      <c r="BH868" s="277"/>
    </row>
    <row r="869" spans="1:60" ht="16.5" hidden="1" customHeight="1" x14ac:dyDescent="0.3">
      <c r="A869" s="260">
        <v>847</v>
      </c>
      <c r="B869" s="261"/>
      <c r="C869" s="261"/>
      <c r="D869" s="262" t="s">
        <v>15</v>
      </c>
      <c r="E869" s="262" t="s">
        <v>277</v>
      </c>
      <c r="F869" s="263" t="s">
        <v>15</v>
      </c>
      <c r="G869" s="264" t="s">
        <v>277</v>
      </c>
      <c r="H869" s="281"/>
      <c r="I869" s="265"/>
      <c r="J869" s="266" t="s">
        <v>286</v>
      </c>
      <c r="K869" s="262"/>
      <c r="L869" s="262"/>
      <c r="M869" s="262">
        <v>4888</v>
      </c>
      <c r="N869" s="262" t="s">
        <v>22</v>
      </c>
      <c r="O869" s="262" t="s">
        <v>212</v>
      </c>
      <c r="P869" s="262"/>
      <c r="Q869" s="262" t="s">
        <v>30</v>
      </c>
      <c r="R869" s="262" t="s">
        <v>31</v>
      </c>
      <c r="S869" s="267" t="s">
        <v>31</v>
      </c>
      <c r="T869" s="268"/>
      <c r="U869" s="269">
        <v>9984000</v>
      </c>
      <c r="V869" s="269">
        <v>12015000</v>
      </c>
      <c r="W869" s="278">
        <v>9982000</v>
      </c>
      <c r="X869" s="270"/>
      <c r="Y869" s="262" t="s">
        <v>27</v>
      </c>
      <c r="Z869" s="271" t="s">
        <v>24</v>
      </c>
      <c r="AA869" s="287"/>
      <c r="AB869" s="287"/>
      <c r="AC869" s="272">
        <f t="shared" si="29"/>
        <v>11000000</v>
      </c>
      <c r="AD869" s="272">
        <v>11000000</v>
      </c>
      <c r="AE869" s="272">
        <f t="shared" si="30"/>
        <v>0</v>
      </c>
      <c r="AF869" s="273"/>
      <c r="AG869" s="274"/>
      <c r="AH869" s="273"/>
      <c r="AI869" s="273"/>
      <c r="AJ869" s="274"/>
      <c r="AK869" s="273"/>
      <c r="AL869" s="275"/>
      <c r="AM869" s="290"/>
      <c r="AN869" s="275"/>
      <c r="AO869" s="276"/>
      <c r="AP869" s="275"/>
      <c r="AQ869" s="275"/>
      <c r="AR869" s="275"/>
      <c r="AS869" s="275"/>
      <c r="AT869" s="275"/>
      <c r="AU869" s="275"/>
      <c r="AV869" s="275"/>
      <c r="AW869" s="275"/>
      <c r="AX869" s="275"/>
      <c r="AY869" s="275"/>
      <c r="AZ869" s="275"/>
      <c r="BA869" s="275"/>
      <c r="BB869" s="275"/>
      <c r="BC869" s="275"/>
      <c r="BD869" s="275"/>
      <c r="BE869" s="275">
        <v>11000000</v>
      </c>
      <c r="BF869" s="275"/>
      <c r="BH869" s="277"/>
    </row>
    <row r="870" spans="1:60" ht="16.5" hidden="1" customHeight="1" x14ac:dyDescent="0.3">
      <c r="A870" s="260">
        <v>848</v>
      </c>
      <c r="B870" s="261"/>
      <c r="C870" s="261"/>
      <c r="D870" s="262" t="s">
        <v>15</v>
      </c>
      <c r="E870" s="262" t="s">
        <v>277</v>
      </c>
      <c r="F870" s="263" t="s">
        <v>15</v>
      </c>
      <c r="G870" s="264" t="s">
        <v>277</v>
      </c>
      <c r="H870" s="281"/>
      <c r="I870" s="265"/>
      <c r="J870" s="266" t="s">
        <v>286</v>
      </c>
      <c r="K870" s="262"/>
      <c r="L870" s="262"/>
      <c r="M870" s="262">
        <v>4888</v>
      </c>
      <c r="N870" s="262" t="s">
        <v>22</v>
      </c>
      <c r="O870" s="262" t="s">
        <v>35</v>
      </c>
      <c r="P870" s="262"/>
      <c r="Q870" s="262"/>
      <c r="R870" s="262" t="s">
        <v>478</v>
      </c>
      <c r="S870" s="267" t="s">
        <v>478</v>
      </c>
      <c r="T870" s="268"/>
      <c r="U870" s="269"/>
      <c r="V870" s="269">
        <v>0</v>
      </c>
      <c r="W870" s="278">
        <v>0</v>
      </c>
      <c r="X870" s="270"/>
      <c r="Y870" s="262" t="s">
        <v>24</v>
      </c>
      <c r="Z870" s="271" t="s">
        <v>25</v>
      </c>
      <c r="AA870" s="287"/>
      <c r="AB870" s="287"/>
      <c r="AC870" s="272">
        <f t="shared" si="29"/>
        <v>5000000</v>
      </c>
      <c r="AD870" s="272">
        <v>5000000</v>
      </c>
      <c r="AE870" s="272">
        <f t="shared" si="30"/>
        <v>0</v>
      </c>
      <c r="AF870" s="273"/>
      <c r="AG870" s="274"/>
      <c r="AH870" s="273"/>
      <c r="AI870" s="273"/>
      <c r="AJ870" s="274"/>
      <c r="AK870" s="273"/>
      <c r="AL870" s="275"/>
      <c r="AM870" s="290"/>
      <c r="AN870" s="275"/>
      <c r="AO870" s="276"/>
      <c r="AP870" s="275"/>
      <c r="AQ870" s="275"/>
      <c r="AR870" s="275"/>
      <c r="AS870" s="275"/>
      <c r="AT870" s="275"/>
      <c r="AU870" s="275"/>
      <c r="AV870" s="275"/>
      <c r="AW870" s="275"/>
      <c r="AX870" s="275"/>
      <c r="AY870" s="275"/>
      <c r="AZ870" s="275"/>
      <c r="BA870" s="275">
        <v>5000000</v>
      </c>
      <c r="BB870" s="275"/>
      <c r="BC870" s="275"/>
      <c r="BD870" s="275"/>
      <c r="BE870" s="275"/>
      <c r="BF870" s="275"/>
      <c r="BH870" s="277"/>
    </row>
    <row r="871" spans="1:60" ht="16.5" hidden="1" customHeight="1" x14ac:dyDescent="0.3">
      <c r="A871" s="260">
        <v>849</v>
      </c>
      <c r="B871" s="261"/>
      <c r="C871" s="261"/>
      <c r="D871" s="262" t="s">
        <v>15</v>
      </c>
      <c r="E871" s="262" t="s">
        <v>277</v>
      </c>
      <c r="F871" s="263" t="s">
        <v>15</v>
      </c>
      <c r="G871" s="264" t="s">
        <v>277</v>
      </c>
      <c r="H871" s="281"/>
      <c r="I871" s="265"/>
      <c r="J871" s="266" t="s">
        <v>286</v>
      </c>
      <c r="K871" s="262"/>
      <c r="L871" s="262"/>
      <c r="M871" s="262">
        <v>4888</v>
      </c>
      <c r="N871" s="262" t="s">
        <v>22</v>
      </c>
      <c r="O871" s="262" t="s">
        <v>35</v>
      </c>
      <c r="P871" s="262"/>
      <c r="Q871" s="262"/>
      <c r="R871" s="262"/>
      <c r="S871" s="267" t="s">
        <v>828</v>
      </c>
      <c r="T871" s="268"/>
      <c r="U871" s="269"/>
      <c r="V871" s="269"/>
      <c r="W871" s="278">
        <v>0</v>
      </c>
      <c r="X871" s="270"/>
      <c r="Y871" s="262"/>
      <c r="Z871" s="271" t="s">
        <v>25</v>
      </c>
      <c r="AA871" s="287"/>
      <c r="AB871" s="287"/>
      <c r="AC871" s="272">
        <f t="shared" si="29"/>
        <v>5000000</v>
      </c>
      <c r="AD871" s="272">
        <v>5000000</v>
      </c>
      <c r="AE871" s="272">
        <f t="shared" si="30"/>
        <v>0</v>
      </c>
      <c r="AF871" s="273"/>
      <c r="AG871" s="274"/>
      <c r="AH871" s="273"/>
      <c r="AI871" s="273"/>
      <c r="AJ871" s="274"/>
      <c r="AK871" s="273"/>
      <c r="AL871" s="275"/>
      <c r="AM871" s="290"/>
      <c r="AN871" s="275"/>
      <c r="AO871" s="276"/>
      <c r="AP871" s="275"/>
      <c r="AQ871" s="275">
        <v>5000000</v>
      </c>
      <c r="AR871" s="275"/>
      <c r="AS871" s="275"/>
      <c r="AT871" s="275"/>
      <c r="AU871" s="275"/>
      <c r="AV871" s="275"/>
      <c r="AW871" s="275"/>
      <c r="AX871" s="275"/>
      <c r="AY871" s="275"/>
      <c r="AZ871" s="275"/>
      <c r="BA871" s="275"/>
      <c r="BB871" s="275"/>
      <c r="BC871" s="275"/>
      <c r="BD871" s="275"/>
      <c r="BE871" s="275"/>
      <c r="BF871" s="275"/>
      <c r="BH871" s="277"/>
    </row>
    <row r="872" spans="1:60" ht="16.5" hidden="1" customHeight="1" x14ac:dyDescent="0.3">
      <c r="A872" s="260">
        <v>850</v>
      </c>
      <c r="B872" s="261"/>
      <c r="C872" s="261"/>
      <c r="D872" s="262" t="s">
        <v>15</v>
      </c>
      <c r="E872" s="262" t="s">
        <v>277</v>
      </c>
      <c r="F872" s="263" t="s">
        <v>15</v>
      </c>
      <c r="G872" s="264" t="s">
        <v>277</v>
      </c>
      <c r="H872" s="281"/>
      <c r="I872" s="265"/>
      <c r="J872" s="266" t="s">
        <v>287</v>
      </c>
      <c r="K872" s="262"/>
      <c r="L872" s="262"/>
      <c r="M872" s="262">
        <v>24604</v>
      </c>
      <c r="N872" s="262" t="s">
        <v>22</v>
      </c>
      <c r="O872" s="262" t="s">
        <v>35</v>
      </c>
      <c r="P872" s="262"/>
      <c r="Q872" s="262" t="s">
        <v>30</v>
      </c>
      <c r="R872" s="262" t="s">
        <v>31</v>
      </c>
      <c r="S872" s="267" t="s">
        <v>31</v>
      </c>
      <c r="T872" s="268"/>
      <c r="U872" s="269"/>
      <c r="V872" s="269">
        <v>0</v>
      </c>
      <c r="W872" s="278">
        <v>0</v>
      </c>
      <c r="X872" s="270"/>
      <c r="Y872" s="262" t="s">
        <v>25</v>
      </c>
      <c r="Z872" s="271" t="s">
        <v>25</v>
      </c>
      <c r="AA872" s="287"/>
      <c r="AB872" s="287"/>
      <c r="AC872" s="272">
        <f t="shared" si="29"/>
        <v>5000000</v>
      </c>
      <c r="AD872" s="272">
        <v>5000000</v>
      </c>
      <c r="AE872" s="272">
        <f t="shared" si="30"/>
        <v>0</v>
      </c>
      <c r="AF872" s="273"/>
      <c r="AG872" s="274"/>
      <c r="AH872" s="273"/>
      <c r="AI872" s="273"/>
      <c r="AJ872" s="274"/>
      <c r="AK872" s="273"/>
      <c r="AL872" s="275"/>
      <c r="AM872" s="290"/>
      <c r="AN872" s="275"/>
      <c r="AO872" s="276"/>
      <c r="AP872" s="275"/>
      <c r="AQ872" s="275"/>
      <c r="AR872" s="275"/>
      <c r="AS872" s="275"/>
      <c r="AT872" s="275"/>
      <c r="AU872" s="275"/>
      <c r="AV872" s="275"/>
      <c r="AW872" s="275"/>
      <c r="AX872" s="275"/>
      <c r="AY872" s="275"/>
      <c r="AZ872" s="275"/>
      <c r="BA872" s="275"/>
      <c r="BB872" s="275"/>
      <c r="BC872" s="275">
        <v>5000000</v>
      </c>
      <c r="BD872" s="275"/>
      <c r="BE872" s="275"/>
      <c r="BF872" s="275"/>
      <c r="BH872" s="277"/>
    </row>
    <row r="873" spans="1:60" ht="16.5" hidden="1" customHeight="1" x14ac:dyDescent="0.3">
      <c r="A873" s="260">
        <v>851</v>
      </c>
      <c r="B873" s="261"/>
      <c r="C873" s="261"/>
      <c r="D873" s="262" t="s">
        <v>15</v>
      </c>
      <c r="E873" s="262" t="s">
        <v>277</v>
      </c>
      <c r="F873" s="263" t="s">
        <v>15</v>
      </c>
      <c r="G873" s="264" t="s">
        <v>277</v>
      </c>
      <c r="H873" s="281"/>
      <c r="I873" s="265"/>
      <c r="J873" s="266" t="s">
        <v>287</v>
      </c>
      <c r="K873" s="262"/>
      <c r="L873" s="262"/>
      <c r="M873" s="262">
        <v>24604</v>
      </c>
      <c r="N873" s="262" t="s">
        <v>22</v>
      </c>
      <c r="O873" s="262" t="s">
        <v>35</v>
      </c>
      <c r="P873" s="262"/>
      <c r="Q873" s="262"/>
      <c r="R873" s="262"/>
      <c r="S873" s="267" t="s">
        <v>822</v>
      </c>
      <c r="T873" s="268"/>
      <c r="U873" s="269"/>
      <c r="V873" s="269"/>
      <c r="W873" s="278">
        <v>0</v>
      </c>
      <c r="X873" s="270"/>
      <c r="Y873" s="262"/>
      <c r="Z873" s="271" t="s">
        <v>25</v>
      </c>
      <c r="AA873" s="287"/>
      <c r="AB873" s="287"/>
      <c r="AC873" s="272">
        <f t="shared" si="29"/>
        <v>5000000</v>
      </c>
      <c r="AD873" s="272">
        <v>5000000</v>
      </c>
      <c r="AE873" s="272">
        <f t="shared" si="30"/>
        <v>0</v>
      </c>
      <c r="AF873" s="273"/>
      <c r="AG873" s="274"/>
      <c r="AH873" s="273"/>
      <c r="AI873" s="273"/>
      <c r="AJ873" s="274"/>
      <c r="AK873" s="273"/>
      <c r="AL873" s="275"/>
      <c r="AM873" s="290"/>
      <c r="AN873" s="275"/>
      <c r="AO873" s="276"/>
      <c r="AP873" s="275"/>
      <c r="AQ873" s="275"/>
      <c r="AR873" s="275"/>
      <c r="AS873" s="275">
        <v>5000000</v>
      </c>
      <c r="AT873" s="275"/>
      <c r="AU873" s="275"/>
      <c r="AV873" s="275"/>
      <c r="AW873" s="275"/>
      <c r="AX873" s="275"/>
      <c r="AY873" s="275"/>
      <c r="AZ873" s="275"/>
      <c r="BA873" s="275"/>
      <c r="BB873" s="275"/>
      <c r="BC873" s="275"/>
      <c r="BD873" s="275"/>
      <c r="BE873" s="275"/>
      <c r="BF873" s="275"/>
      <c r="BH873" s="277"/>
    </row>
    <row r="874" spans="1:60" ht="16.5" hidden="1" customHeight="1" x14ac:dyDescent="0.3">
      <c r="A874" s="260">
        <v>852</v>
      </c>
      <c r="B874" s="261"/>
      <c r="C874" s="261"/>
      <c r="D874" s="262" t="s">
        <v>15</v>
      </c>
      <c r="E874" s="262" t="s">
        <v>277</v>
      </c>
      <c r="F874" s="263" t="s">
        <v>15</v>
      </c>
      <c r="G874" s="264" t="s">
        <v>277</v>
      </c>
      <c r="H874" s="281"/>
      <c r="I874" s="265"/>
      <c r="J874" s="266" t="s">
        <v>288</v>
      </c>
      <c r="K874" s="262"/>
      <c r="L874" s="262"/>
      <c r="M874" s="262">
        <v>16974</v>
      </c>
      <c r="N874" s="262" t="s">
        <v>22</v>
      </c>
      <c r="O874" s="262" t="s">
        <v>56</v>
      </c>
      <c r="P874" s="262"/>
      <c r="Q874" s="262" t="s">
        <v>18</v>
      </c>
      <c r="R874" s="262" t="s">
        <v>19</v>
      </c>
      <c r="S874" s="267" t="s">
        <v>468</v>
      </c>
      <c r="T874" s="268"/>
      <c r="U874" s="269"/>
      <c r="V874" s="269">
        <v>0</v>
      </c>
      <c r="W874" s="278">
        <v>0</v>
      </c>
      <c r="X874" s="270"/>
      <c r="Y874" s="262" t="s">
        <v>24</v>
      </c>
      <c r="Z874" s="271" t="s">
        <v>25</v>
      </c>
      <c r="AA874" s="287"/>
      <c r="AB874" s="287"/>
      <c r="AC874" s="272">
        <f t="shared" si="29"/>
        <v>1750000</v>
      </c>
      <c r="AD874" s="272">
        <v>1750000</v>
      </c>
      <c r="AE874" s="272">
        <f t="shared" si="30"/>
        <v>0</v>
      </c>
      <c r="AF874" s="273"/>
      <c r="AG874" s="274"/>
      <c r="AH874" s="273"/>
      <c r="AI874" s="273"/>
      <c r="AJ874" s="274"/>
      <c r="AK874" s="273"/>
      <c r="AL874" s="275"/>
      <c r="AM874" s="290"/>
      <c r="AN874" s="275"/>
      <c r="AO874" s="276"/>
      <c r="AP874" s="275"/>
      <c r="AQ874" s="291">
        <v>1750000</v>
      </c>
      <c r="AR874" s="275"/>
      <c r="AS874" s="275"/>
      <c r="AT874" s="275"/>
      <c r="AU874" s="275"/>
      <c r="AV874" s="275"/>
      <c r="AW874" s="275"/>
      <c r="AX874" s="275"/>
      <c r="AY874" s="275"/>
      <c r="AZ874" s="275"/>
      <c r="BA874" s="275"/>
      <c r="BB874" s="275"/>
      <c r="BC874" s="275"/>
      <c r="BD874" s="275"/>
      <c r="BE874" s="275"/>
      <c r="BF874" s="275"/>
      <c r="BH874" s="277"/>
    </row>
    <row r="875" spans="1:60" ht="16.5" hidden="1" customHeight="1" x14ac:dyDescent="0.3">
      <c r="A875" s="260">
        <v>853</v>
      </c>
      <c r="B875" s="261"/>
      <c r="C875" s="261"/>
      <c r="D875" s="262" t="s">
        <v>15</v>
      </c>
      <c r="E875" s="262" t="s">
        <v>277</v>
      </c>
      <c r="F875" s="263" t="s">
        <v>15</v>
      </c>
      <c r="G875" s="264" t="s">
        <v>277</v>
      </c>
      <c r="H875" s="281"/>
      <c r="I875" s="265"/>
      <c r="J875" s="266" t="s">
        <v>288</v>
      </c>
      <c r="K875" s="262"/>
      <c r="L875" s="262"/>
      <c r="M875" s="262">
        <v>16974</v>
      </c>
      <c r="N875" s="262" t="s">
        <v>22</v>
      </c>
      <c r="O875" s="262" t="s">
        <v>35</v>
      </c>
      <c r="P875" s="262"/>
      <c r="Q875" s="262"/>
      <c r="R875" s="262" t="s">
        <v>478</v>
      </c>
      <c r="S875" s="267" t="s">
        <v>478</v>
      </c>
      <c r="T875" s="268"/>
      <c r="U875" s="269"/>
      <c r="V875" s="269"/>
      <c r="W875" s="278">
        <v>0</v>
      </c>
      <c r="X875" s="270"/>
      <c r="Y875" s="262"/>
      <c r="Z875" s="271" t="s">
        <v>27</v>
      </c>
      <c r="AA875" s="287"/>
      <c r="AB875" s="287"/>
      <c r="AC875" s="272">
        <f t="shared" si="29"/>
        <v>10000000</v>
      </c>
      <c r="AD875" s="272">
        <v>10000000</v>
      </c>
      <c r="AE875" s="272">
        <f t="shared" si="30"/>
        <v>0</v>
      </c>
      <c r="AF875" s="273"/>
      <c r="AG875" s="274"/>
      <c r="AH875" s="273"/>
      <c r="AI875" s="273"/>
      <c r="AJ875" s="274"/>
      <c r="AK875" s="273"/>
      <c r="AL875" s="275"/>
      <c r="AM875" s="290"/>
      <c r="AN875" s="275"/>
      <c r="AO875" s="276"/>
      <c r="AP875" s="275"/>
      <c r="AQ875" s="275"/>
      <c r="AR875" s="275"/>
      <c r="AS875" s="275"/>
      <c r="AT875" s="275"/>
      <c r="AU875" s="275"/>
      <c r="AV875" s="275"/>
      <c r="AW875" s="275"/>
      <c r="AX875" s="275"/>
      <c r="AY875" s="275">
        <v>10000000</v>
      </c>
      <c r="AZ875" s="275"/>
      <c r="BA875" s="275"/>
      <c r="BB875" s="275"/>
      <c r="BC875" s="275"/>
      <c r="BD875" s="275"/>
      <c r="BE875" s="275"/>
      <c r="BF875" s="275"/>
      <c r="BH875" s="277"/>
    </row>
    <row r="876" spans="1:60" ht="16.5" hidden="1" customHeight="1" x14ac:dyDescent="0.3">
      <c r="A876" s="260">
        <v>854</v>
      </c>
      <c r="B876" s="261"/>
      <c r="C876" s="261"/>
      <c r="D876" s="262" t="s">
        <v>15</v>
      </c>
      <c r="E876" s="262" t="s">
        <v>277</v>
      </c>
      <c r="F876" s="263" t="s">
        <v>15</v>
      </c>
      <c r="G876" s="264" t="s">
        <v>277</v>
      </c>
      <c r="H876" s="281"/>
      <c r="I876" s="265"/>
      <c r="J876" s="266" t="s">
        <v>288</v>
      </c>
      <c r="K876" s="262"/>
      <c r="L876" s="262"/>
      <c r="M876" s="262">
        <v>16974</v>
      </c>
      <c r="N876" s="262" t="s">
        <v>22</v>
      </c>
      <c r="O876" s="262" t="s">
        <v>35</v>
      </c>
      <c r="P876" s="262"/>
      <c r="Q876" s="262"/>
      <c r="R876" s="262"/>
      <c r="S876" s="267" t="s">
        <v>822</v>
      </c>
      <c r="T876" s="268"/>
      <c r="U876" s="269"/>
      <c r="V876" s="269"/>
      <c r="W876" s="278">
        <v>0</v>
      </c>
      <c r="X876" s="270"/>
      <c r="Y876" s="262"/>
      <c r="Z876" s="271" t="s">
        <v>25</v>
      </c>
      <c r="AA876" s="287"/>
      <c r="AB876" s="287"/>
      <c r="AC876" s="272">
        <f t="shared" si="29"/>
        <v>20000000</v>
      </c>
      <c r="AD876" s="272">
        <v>20000000</v>
      </c>
      <c r="AE876" s="272">
        <f t="shared" si="30"/>
        <v>0</v>
      </c>
      <c r="AF876" s="273"/>
      <c r="AG876" s="274"/>
      <c r="AH876" s="273"/>
      <c r="AI876" s="273"/>
      <c r="AJ876" s="274"/>
      <c r="AK876" s="273"/>
      <c r="AL876" s="275"/>
      <c r="AM876" s="290"/>
      <c r="AN876" s="275"/>
      <c r="AO876" s="276"/>
      <c r="AP876" s="275"/>
      <c r="AQ876" s="291">
        <v>20000000</v>
      </c>
      <c r="AR876" s="275"/>
      <c r="AS876" s="275"/>
      <c r="AT876" s="275"/>
      <c r="AU876" s="275"/>
      <c r="AV876" s="275"/>
      <c r="AW876" s="275"/>
      <c r="AX876" s="275"/>
      <c r="AY876" s="275"/>
      <c r="AZ876" s="275"/>
      <c r="BA876" s="275"/>
      <c r="BB876" s="275"/>
      <c r="BC876" s="275"/>
      <c r="BD876" s="275"/>
      <c r="BE876" s="275"/>
      <c r="BF876" s="275"/>
      <c r="BH876" s="277"/>
    </row>
    <row r="877" spans="1:60" ht="16.5" hidden="1" customHeight="1" x14ac:dyDescent="0.3">
      <c r="A877" s="260">
        <v>855</v>
      </c>
      <c r="B877" s="261"/>
      <c r="C877" s="261"/>
      <c r="D877" s="262" t="s">
        <v>15</v>
      </c>
      <c r="E877" s="262" t="s">
        <v>277</v>
      </c>
      <c r="F877" s="263" t="s">
        <v>15</v>
      </c>
      <c r="G877" s="264" t="s">
        <v>277</v>
      </c>
      <c r="H877" s="281"/>
      <c r="I877" s="265"/>
      <c r="J877" s="266" t="s">
        <v>288</v>
      </c>
      <c r="K877" s="262"/>
      <c r="L877" s="262"/>
      <c r="M877" s="262">
        <v>16974</v>
      </c>
      <c r="N877" s="262" t="s">
        <v>22</v>
      </c>
      <c r="O877" s="262" t="s">
        <v>56</v>
      </c>
      <c r="P877" s="262"/>
      <c r="Q877" s="262"/>
      <c r="R877" s="262" t="s">
        <v>473</v>
      </c>
      <c r="S877" s="267" t="s">
        <v>828</v>
      </c>
      <c r="T877" s="268"/>
      <c r="U877" s="269"/>
      <c r="V877" s="269">
        <v>20000000</v>
      </c>
      <c r="W877" s="278">
        <v>0</v>
      </c>
      <c r="X877" s="270"/>
      <c r="Y877" s="262" t="s">
        <v>25</v>
      </c>
      <c r="Z877" s="271" t="s">
        <v>25</v>
      </c>
      <c r="AA877" s="287"/>
      <c r="AB877" s="287"/>
      <c r="AC877" s="272">
        <f t="shared" si="29"/>
        <v>20000000</v>
      </c>
      <c r="AD877" s="272">
        <v>20000000</v>
      </c>
      <c r="AE877" s="272">
        <f t="shared" si="30"/>
        <v>0</v>
      </c>
      <c r="AF877" s="273"/>
      <c r="AG877" s="274"/>
      <c r="AH877" s="273"/>
      <c r="AI877" s="273"/>
      <c r="AJ877" s="274"/>
      <c r="AK877" s="273"/>
      <c r="AL877" s="275"/>
      <c r="AM877" s="290"/>
      <c r="AN877" s="275"/>
      <c r="AO877" s="276"/>
      <c r="AP877" s="275"/>
      <c r="AQ877" s="291">
        <v>20000000</v>
      </c>
      <c r="AR877" s="275"/>
      <c r="AS877" s="275"/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H877" s="277"/>
    </row>
    <row r="878" spans="1:60" ht="16.5" hidden="1" customHeight="1" x14ac:dyDescent="0.3">
      <c r="A878" s="260">
        <v>856</v>
      </c>
      <c r="B878" s="261"/>
      <c r="C878" s="261"/>
      <c r="D878" s="262" t="s">
        <v>15</v>
      </c>
      <c r="E878" s="262" t="s">
        <v>277</v>
      </c>
      <c r="F878" s="263" t="s">
        <v>15</v>
      </c>
      <c r="G878" s="264" t="s">
        <v>277</v>
      </c>
      <c r="H878" s="281"/>
      <c r="I878" s="265"/>
      <c r="J878" s="266" t="s">
        <v>587</v>
      </c>
      <c r="K878" s="262"/>
      <c r="L878" s="262"/>
      <c r="M878" s="262">
        <v>30391</v>
      </c>
      <c r="N878" s="262" t="s">
        <v>22</v>
      </c>
      <c r="O878" s="262" t="s">
        <v>212</v>
      </c>
      <c r="P878" s="262"/>
      <c r="Q878" s="262" t="s">
        <v>18</v>
      </c>
      <c r="R878" s="262" t="s">
        <v>28</v>
      </c>
      <c r="S878" s="267" t="s">
        <v>28</v>
      </c>
      <c r="T878" s="268" t="s">
        <v>951</v>
      </c>
      <c r="U878" s="269">
        <v>10142200</v>
      </c>
      <c r="V878" s="269">
        <v>48784440</v>
      </c>
      <c r="W878" s="278">
        <v>40321600</v>
      </c>
      <c r="X878" s="270"/>
      <c r="Y878" s="262" t="s">
        <v>27</v>
      </c>
      <c r="Z878" s="271" t="s">
        <v>27</v>
      </c>
      <c r="AA878" s="287"/>
      <c r="AB878" s="287"/>
      <c r="AC878" s="272">
        <f t="shared" si="29"/>
        <v>50000000</v>
      </c>
      <c r="AD878" s="272">
        <v>50000000</v>
      </c>
      <c r="AE878" s="272">
        <f t="shared" si="30"/>
        <v>0</v>
      </c>
      <c r="AF878" s="273">
        <v>1554000</v>
      </c>
      <c r="AG878" s="274">
        <v>1554000</v>
      </c>
      <c r="AH878" s="273"/>
      <c r="AI878" s="273">
        <v>4000000</v>
      </c>
      <c r="AJ878" s="274">
        <v>985000</v>
      </c>
      <c r="AK878" s="273"/>
      <c r="AL878" s="275">
        <v>4000000</v>
      </c>
      <c r="AM878" s="290">
        <v>1078000</v>
      </c>
      <c r="AN878" s="275"/>
      <c r="AO878" s="276">
        <v>5000000</v>
      </c>
      <c r="AP878" s="275"/>
      <c r="AQ878" s="275">
        <v>5000000</v>
      </c>
      <c r="AR878" s="275"/>
      <c r="AS878" s="275">
        <v>5000000</v>
      </c>
      <c r="AT878" s="275"/>
      <c r="AU878" s="275">
        <v>6961000</v>
      </c>
      <c r="AV878" s="275"/>
      <c r="AW878" s="275">
        <v>4922000</v>
      </c>
      <c r="AX878" s="275"/>
      <c r="AY878" s="275">
        <v>4000000</v>
      </c>
      <c r="AZ878" s="275"/>
      <c r="BA878" s="275">
        <v>4000000</v>
      </c>
      <c r="BB878" s="275"/>
      <c r="BC878" s="275">
        <v>6500000</v>
      </c>
      <c r="BD878" s="275"/>
      <c r="BE878" s="275">
        <v>5000000</v>
      </c>
      <c r="BF878" s="275"/>
      <c r="BH878" s="277"/>
    </row>
    <row r="879" spans="1:60" ht="16.5" hidden="1" customHeight="1" x14ac:dyDescent="0.3">
      <c r="A879" s="260">
        <v>857</v>
      </c>
      <c r="B879" s="261"/>
      <c r="C879" s="261"/>
      <c r="D879" s="262" t="s">
        <v>15</v>
      </c>
      <c r="E879" s="262" t="s">
        <v>277</v>
      </c>
      <c r="F879" s="263" t="s">
        <v>15</v>
      </c>
      <c r="G879" s="264" t="s">
        <v>277</v>
      </c>
      <c r="H879" s="281"/>
      <c r="I879" s="265"/>
      <c r="J879" s="266" t="s">
        <v>587</v>
      </c>
      <c r="K879" s="262"/>
      <c r="L879" s="262"/>
      <c r="M879" s="262">
        <v>30391</v>
      </c>
      <c r="N879" s="262" t="s">
        <v>22</v>
      </c>
      <c r="O879" s="262" t="s">
        <v>212</v>
      </c>
      <c r="P879" s="262"/>
      <c r="Q879" s="262" t="s">
        <v>26</v>
      </c>
      <c r="R879" s="262" t="s">
        <v>468</v>
      </c>
      <c r="S879" s="267" t="s">
        <v>468</v>
      </c>
      <c r="T879" s="268"/>
      <c r="U879" s="269">
        <v>2600000</v>
      </c>
      <c r="V879" s="269">
        <v>2100000</v>
      </c>
      <c r="W879" s="278">
        <v>0</v>
      </c>
      <c r="X879" s="270"/>
      <c r="Y879" s="262" t="s">
        <v>27</v>
      </c>
      <c r="Z879" s="271" t="s">
        <v>25</v>
      </c>
      <c r="AA879" s="287"/>
      <c r="AB879" s="287"/>
      <c r="AC879" s="272">
        <f t="shared" si="29"/>
        <v>10000000</v>
      </c>
      <c r="AD879" s="272">
        <v>10000000</v>
      </c>
      <c r="AE879" s="272">
        <f t="shared" si="30"/>
        <v>0</v>
      </c>
      <c r="AF879" s="273"/>
      <c r="AG879" s="274"/>
      <c r="AH879" s="273"/>
      <c r="AI879" s="273"/>
      <c r="AJ879" s="274"/>
      <c r="AK879" s="273"/>
      <c r="AL879" s="275"/>
      <c r="AM879" s="290"/>
      <c r="AN879" s="275"/>
      <c r="AO879" s="276"/>
      <c r="AP879" s="275"/>
      <c r="AQ879" s="291">
        <v>5000000</v>
      </c>
      <c r="AR879" s="275"/>
      <c r="AS879" s="275"/>
      <c r="AT879" s="275"/>
      <c r="AU879" s="275">
        <v>5000000</v>
      </c>
      <c r="AV879" s="275"/>
      <c r="AW879" s="275"/>
      <c r="AX879" s="275"/>
      <c r="AY879" s="275"/>
      <c r="AZ879" s="275"/>
      <c r="BA879" s="275"/>
      <c r="BB879" s="275"/>
      <c r="BC879" s="275"/>
      <c r="BD879" s="275"/>
      <c r="BE879" s="275"/>
      <c r="BF879" s="275"/>
      <c r="BH879" s="277"/>
    </row>
    <row r="880" spans="1:60" ht="16.5" hidden="1" customHeight="1" x14ac:dyDescent="0.3">
      <c r="A880" s="260">
        <v>858</v>
      </c>
      <c r="B880" s="261"/>
      <c r="C880" s="261"/>
      <c r="D880" s="262" t="s">
        <v>15</v>
      </c>
      <c r="E880" s="262" t="s">
        <v>277</v>
      </c>
      <c r="F880" s="263" t="s">
        <v>15</v>
      </c>
      <c r="G880" s="264" t="s">
        <v>277</v>
      </c>
      <c r="H880" s="281"/>
      <c r="I880" s="265"/>
      <c r="J880" s="266" t="s">
        <v>587</v>
      </c>
      <c r="K880" s="262"/>
      <c r="L880" s="262"/>
      <c r="M880" s="262">
        <v>30391</v>
      </c>
      <c r="N880" s="262" t="s">
        <v>22</v>
      </c>
      <c r="O880" s="262" t="s">
        <v>35</v>
      </c>
      <c r="P880" s="262"/>
      <c r="Q880" s="262"/>
      <c r="R880" s="262"/>
      <c r="S880" s="267" t="s">
        <v>822</v>
      </c>
      <c r="T880" s="268"/>
      <c r="U880" s="269"/>
      <c r="V880" s="269"/>
      <c r="W880" s="278">
        <v>0</v>
      </c>
      <c r="X880" s="270"/>
      <c r="Y880" s="262"/>
      <c r="Z880" s="271" t="s">
        <v>25</v>
      </c>
      <c r="AA880" s="287"/>
      <c r="AB880" s="287"/>
      <c r="AC880" s="272">
        <f t="shared" si="29"/>
        <v>0</v>
      </c>
      <c r="AD880" s="272">
        <v>0</v>
      </c>
      <c r="AE880" s="272">
        <f t="shared" si="30"/>
        <v>0</v>
      </c>
      <c r="AF880" s="273"/>
      <c r="AG880" s="274"/>
      <c r="AH880" s="273"/>
      <c r="AI880" s="273">
        <v>2000000</v>
      </c>
      <c r="AJ880" s="274"/>
      <c r="AK880" s="273"/>
      <c r="AL880" s="275"/>
      <c r="AM880" s="290"/>
      <c r="AN880" s="275"/>
      <c r="AO880" s="276"/>
      <c r="AP880" s="275"/>
      <c r="AQ880" s="275"/>
      <c r="AR880" s="275"/>
      <c r="AS880" s="275"/>
      <c r="AT880" s="275"/>
      <c r="AU880" s="275"/>
      <c r="AV880" s="275"/>
      <c r="AW880" s="275"/>
      <c r="AX880" s="275"/>
      <c r="AY880" s="275"/>
      <c r="AZ880" s="275"/>
      <c r="BA880" s="275"/>
      <c r="BB880" s="275"/>
      <c r="BC880" s="275"/>
      <c r="BD880" s="275"/>
      <c r="BE880" s="275"/>
      <c r="BF880" s="275"/>
      <c r="BH880" s="277"/>
    </row>
    <row r="881" spans="1:60" ht="16.5" hidden="1" customHeight="1" x14ac:dyDescent="0.3">
      <c r="A881" s="260">
        <v>859</v>
      </c>
      <c r="B881" s="261"/>
      <c r="C881" s="261"/>
      <c r="D881" s="262" t="s">
        <v>15</v>
      </c>
      <c r="E881" s="262" t="s">
        <v>277</v>
      </c>
      <c r="F881" s="263" t="s">
        <v>15</v>
      </c>
      <c r="G881" s="264" t="s">
        <v>277</v>
      </c>
      <c r="H881" s="281"/>
      <c r="I881" s="265"/>
      <c r="J881" s="266" t="s">
        <v>591</v>
      </c>
      <c r="K881" s="262"/>
      <c r="L881" s="262"/>
      <c r="M881" s="262">
        <v>55586</v>
      </c>
      <c r="N881" s="262" t="s">
        <v>22</v>
      </c>
      <c r="O881" s="262" t="s">
        <v>56</v>
      </c>
      <c r="P881" s="262"/>
      <c r="Q881" s="262" t="s">
        <v>62</v>
      </c>
      <c r="R881" s="262" t="s">
        <v>678</v>
      </c>
      <c r="S881" s="267" t="s">
        <v>832</v>
      </c>
      <c r="T881" s="268"/>
      <c r="U881" s="269">
        <v>16940000</v>
      </c>
      <c r="V881" s="269">
        <v>0</v>
      </c>
      <c r="W881" s="278">
        <v>0</v>
      </c>
      <c r="X881" s="270"/>
      <c r="Y881" s="262" t="s">
        <v>21</v>
      </c>
      <c r="Z881" s="271" t="s">
        <v>21</v>
      </c>
      <c r="AA881" s="287"/>
      <c r="AB881" s="287"/>
      <c r="AC881" s="272">
        <f t="shared" si="29"/>
        <v>0</v>
      </c>
      <c r="AD881" s="272">
        <v>0</v>
      </c>
      <c r="AE881" s="272">
        <f t="shared" si="30"/>
        <v>0</v>
      </c>
      <c r="AF881" s="273"/>
      <c r="AG881" s="274"/>
      <c r="AH881" s="273"/>
      <c r="AI881" s="273"/>
      <c r="AJ881" s="274"/>
      <c r="AK881" s="273"/>
      <c r="AL881" s="275"/>
      <c r="AM881" s="290"/>
      <c r="AN881" s="275"/>
      <c r="AO881" s="276"/>
      <c r="AP881" s="275"/>
      <c r="AQ881" s="275"/>
      <c r="AR881" s="275"/>
      <c r="AS881" s="275"/>
      <c r="AT881" s="275"/>
      <c r="AU881" s="275"/>
      <c r="AV881" s="275"/>
      <c r="AW881" s="275"/>
      <c r="AX881" s="275"/>
      <c r="AY881" s="275"/>
      <c r="AZ881" s="275"/>
      <c r="BA881" s="275"/>
      <c r="BB881" s="275"/>
      <c r="BC881" s="275"/>
      <c r="BD881" s="275"/>
      <c r="BE881" s="275"/>
      <c r="BF881" s="275"/>
      <c r="BH881" s="277"/>
    </row>
    <row r="882" spans="1:60" ht="16.5" hidden="1" customHeight="1" x14ac:dyDescent="0.3">
      <c r="A882" s="260">
        <v>860</v>
      </c>
      <c r="B882" s="261"/>
      <c r="C882" s="261"/>
      <c r="D882" s="262" t="s">
        <v>15</v>
      </c>
      <c r="E882" s="262" t="s">
        <v>277</v>
      </c>
      <c r="F882" s="263" t="s">
        <v>15</v>
      </c>
      <c r="G882" s="264" t="s">
        <v>277</v>
      </c>
      <c r="H882" s="281"/>
      <c r="I882" s="265"/>
      <c r="J882" s="266" t="s">
        <v>289</v>
      </c>
      <c r="K882" s="262"/>
      <c r="L882" s="262"/>
      <c r="M882" s="262">
        <v>2092</v>
      </c>
      <c r="N882" s="262" t="s">
        <v>32</v>
      </c>
      <c r="O882" s="262" t="s">
        <v>56</v>
      </c>
      <c r="P882" s="262"/>
      <c r="Q882" s="262" t="s">
        <v>18</v>
      </c>
      <c r="R882" s="262" t="s">
        <v>28</v>
      </c>
      <c r="S882" s="267" t="s">
        <v>28</v>
      </c>
      <c r="T882" s="268"/>
      <c r="U882" s="269"/>
      <c r="V882" s="269">
        <v>71355000</v>
      </c>
      <c r="W882" s="278">
        <v>73996000</v>
      </c>
      <c r="X882" s="270"/>
      <c r="Y882" s="262" t="s">
        <v>27</v>
      </c>
      <c r="Z882" s="271" t="s">
        <v>27</v>
      </c>
      <c r="AA882" s="287"/>
      <c r="AB882" s="287"/>
      <c r="AC882" s="272">
        <f t="shared" si="29"/>
        <v>60000000</v>
      </c>
      <c r="AD882" s="272">
        <v>60000000</v>
      </c>
      <c r="AE882" s="272">
        <f t="shared" si="30"/>
        <v>0</v>
      </c>
      <c r="AF882" s="273"/>
      <c r="AG882" s="274"/>
      <c r="AH882" s="273"/>
      <c r="AI882" s="273"/>
      <c r="AJ882" s="274"/>
      <c r="AK882" s="273"/>
      <c r="AL882" s="275"/>
      <c r="AM882" s="290"/>
      <c r="AN882" s="275"/>
      <c r="AO882" s="276"/>
      <c r="AP882" s="275"/>
      <c r="AQ882" s="275"/>
      <c r="AR882" s="275"/>
      <c r="AS882" s="275"/>
      <c r="AT882" s="275"/>
      <c r="AU882" s="275"/>
      <c r="AV882" s="275"/>
      <c r="AW882" s="275">
        <v>40000000</v>
      </c>
      <c r="AX882" s="275"/>
      <c r="AY882" s="275"/>
      <c r="AZ882" s="275"/>
      <c r="BA882" s="275"/>
      <c r="BB882" s="275"/>
      <c r="BC882" s="275"/>
      <c r="BD882" s="275"/>
      <c r="BE882" s="275">
        <v>20000000</v>
      </c>
      <c r="BF882" s="275"/>
      <c r="BH882" s="277"/>
    </row>
    <row r="883" spans="1:60" ht="16.5" hidden="1" customHeight="1" x14ac:dyDescent="0.3">
      <c r="A883" s="260">
        <v>861</v>
      </c>
      <c r="B883" s="261"/>
      <c r="C883" s="261"/>
      <c r="D883" s="262" t="s">
        <v>15</v>
      </c>
      <c r="E883" s="262" t="s">
        <v>277</v>
      </c>
      <c r="F883" s="263" t="s">
        <v>15</v>
      </c>
      <c r="G883" s="264" t="s">
        <v>277</v>
      </c>
      <c r="H883" s="281"/>
      <c r="I883" s="265"/>
      <c r="J883" s="266" t="s">
        <v>289</v>
      </c>
      <c r="K883" s="262"/>
      <c r="L883" s="262"/>
      <c r="M883" s="262">
        <v>2092</v>
      </c>
      <c r="N883" s="262" t="s">
        <v>32</v>
      </c>
      <c r="O883" s="262" t="s">
        <v>56</v>
      </c>
      <c r="P883" s="262"/>
      <c r="Q883" s="262"/>
      <c r="R883" s="262" t="s">
        <v>31</v>
      </c>
      <c r="S883" s="267" t="s">
        <v>31</v>
      </c>
      <c r="T883" s="268"/>
      <c r="U883" s="269"/>
      <c r="V883" s="269">
        <v>0</v>
      </c>
      <c r="W883" s="278">
        <v>15737400</v>
      </c>
      <c r="X883" s="270"/>
      <c r="Y883" s="262" t="s">
        <v>27</v>
      </c>
      <c r="Z883" s="271" t="s">
        <v>562</v>
      </c>
      <c r="AA883" s="287"/>
      <c r="AB883" s="287"/>
      <c r="AC883" s="272">
        <f t="shared" si="29"/>
        <v>16000000</v>
      </c>
      <c r="AD883" s="272">
        <v>16000000</v>
      </c>
      <c r="AE883" s="272">
        <f t="shared" si="30"/>
        <v>0</v>
      </c>
      <c r="AF883" s="273"/>
      <c r="AG883" s="274"/>
      <c r="AH883" s="273"/>
      <c r="AI883" s="273"/>
      <c r="AJ883" s="274"/>
      <c r="AK883" s="273"/>
      <c r="AL883" s="275"/>
      <c r="AM883" s="290"/>
      <c r="AN883" s="275"/>
      <c r="AO883" s="276"/>
      <c r="AP883" s="275"/>
      <c r="AQ883" s="275"/>
      <c r="AR883" s="275"/>
      <c r="AS883" s="275"/>
      <c r="AT883" s="275"/>
      <c r="AU883" s="275"/>
      <c r="AV883" s="275"/>
      <c r="AW883" s="275"/>
      <c r="AX883" s="275"/>
      <c r="AY883" s="275"/>
      <c r="AZ883" s="275"/>
      <c r="BA883" s="275"/>
      <c r="BB883" s="275"/>
      <c r="BC883" s="275"/>
      <c r="BD883" s="275"/>
      <c r="BE883" s="275">
        <v>16000000</v>
      </c>
      <c r="BF883" s="275"/>
      <c r="BH883" s="277"/>
    </row>
    <row r="884" spans="1:60" ht="16.5" hidden="1" customHeight="1" x14ac:dyDescent="0.3">
      <c r="A884" s="260">
        <v>862</v>
      </c>
      <c r="B884" s="261"/>
      <c r="C884" s="261"/>
      <c r="D884" s="262" t="s">
        <v>15</v>
      </c>
      <c r="E884" s="262" t="s">
        <v>277</v>
      </c>
      <c r="F884" s="263" t="s">
        <v>15</v>
      </c>
      <c r="G884" s="264" t="s">
        <v>277</v>
      </c>
      <c r="H884" s="281"/>
      <c r="I884" s="265"/>
      <c r="J884" s="266" t="s">
        <v>290</v>
      </c>
      <c r="K884" s="262"/>
      <c r="L884" s="262"/>
      <c r="M884" s="262">
        <v>23224</v>
      </c>
      <c r="N884" s="262" t="s">
        <v>32</v>
      </c>
      <c r="O884" s="262" t="s">
        <v>56</v>
      </c>
      <c r="P884" s="262" t="s">
        <v>124</v>
      </c>
      <c r="Q884" s="262" t="s">
        <v>23</v>
      </c>
      <c r="R884" s="262" t="s">
        <v>397</v>
      </c>
      <c r="S884" s="267" t="s">
        <v>823</v>
      </c>
      <c r="T884" s="268"/>
      <c r="U884" s="269">
        <v>34890909</v>
      </c>
      <c r="V884" s="269">
        <v>91609091</v>
      </c>
      <c r="W884" s="278">
        <v>0</v>
      </c>
      <c r="X884" s="270"/>
      <c r="Y884" s="262" t="s">
        <v>24</v>
      </c>
      <c r="Z884" s="271" t="s">
        <v>599</v>
      </c>
      <c r="AA884" s="287"/>
      <c r="AB884" s="287"/>
      <c r="AC884" s="272">
        <f t="shared" si="29"/>
        <v>100000000</v>
      </c>
      <c r="AD884" s="272">
        <v>100000000</v>
      </c>
      <c r="AE884" s="272">
        <f t="shared" si="30"/>
        <v>0</v>
      </c>
      <c r="AF884" s="273"/>
      <c r="AG884" s="274"/>
      <c r="AH884" s="273"/>
      <c r="AI884" s="273"/>
      <c r="AJ884" s="274"/>
      <c r="AK884" s="273"/>
      <c r="AL884" s="275"/>
      <c r="AM884" s="290"/>
      <c r="AN884" s="275"/>
      <c r="AO884" s="276"/>
      <c r="AP884" s="275"/>
      <c r="AQ884" s="275"/>
      <c r="AR884" s="275"/>
      <c r="AS884" s="275">
        <v>50000000</v>
      </c>
      <c r="AT884" s="275"/>
      <c r="AU884" s="275">
        <v>50000000</v>
      </c>
      <c r="AV884" s="275"/>
      <c r="AW884" s="275"/>
      <c r="AX884" s="275"/>
      <c r="AY884" s="275"/>
      <c r="AZ884" s="275"/>
      <c r="BA884" s="275"/>
      <c r="BB884" s="275"/>
      <c r="BC884" s="275"/>
      <c r="BD884" s="275"/>
      <c r="BE884" s="275"/>
      <c r="BF884" s="275"/>
      <c r="BH884" s="277"/>
    </row>
    <row r="885" spans="1:60" ht="16.5" hidden="1" customHeight="1" x14ac:dyDescent="0.3">
      <c r="A885" s="260">
        <v>863</v>
      </c>
      <c r="B885" s="261"/>
      <c r="C885" s="261"/>
      <c r="D885" s="262" t="s">
        <v>15</v>
      </c>
      <c r="E885" s="262" t="s">
        <v>277</v>
      </c>
      <c r="F885" s="263" t="s">
        <v>15</v>
      </c>
      <c r="G885" s="264" t="s">
        <v>277</v>
      </c>
      <c r="H885" s="281"/>
      <c r="I885" s="265"/>
      <c r="J885" s="266" t="s">
        <v>584</v>
      </c>
      <c r="K885" s="262"/>
      <c r="L885" s="262"/>
      <c r="M885" s="262">
        <v>2851</v>
      </c>
      <c r="N885" s="262" t="s">
        <v>22</v>
      </c>
      <c r="O885" s="262" t="s">
        <v>212</v>
      </c>
      <c r="P885" s="262" t="s">
        <v>57</v>
      </c>
      <c r="Q885" s="262" t="s">
        <v>63</v>
      </c>
      <c r="R885" s="262" t="s">
        <v>28</v>
      </c>
      <c r="S885" s="267" t="s">
        <v>28</v>
      </c>
      <c r="T885" s="268"/>
      <c r="U885" s="269">
        <v>49544380</v>
      </c>
      <c r="V885" s="269">
        <v>30918900</v>
      </c>
      <c r="W885" s="278">
        <v>13698800</v>
      </c>
      <c r="X885" s="270"/>
      <c r="Y885" s="262" t="s">
        <v>27</v>
      </c>
      <c r="Z885" s="271" t="s">
        <v>25</v>
      </c>
      <c r="AA885" s="287"/>
      <c r="AB885" s="287"/>
      <c r="AC885" s="272">
        <f t="shared" si="29"/>
        <v>12000000</v>
      </c>
      <c r="AD885" s="272">
        <v>12000000</v>
      </c>
      <c r="AE885" s="272">
        <f t="shared" si="30"/>
        <v>0</v>
      </c>
      <c r="AF885" s="273"/>
      <c r="AG885" s="274"/>
      <c r="AH885" s="273"/>
      <c r="AI885" s="273"/>
      <c r="AJ885" s="274"/>
      <c r="AK885" s="273"/>
      <c r="AL885" s="275"/>
      <c r="AM885" s="290"/>
      <c r="AN885" s="275"/>
      <c r="AO885" s="276"/>
      <c r="AP885" s="275"/>
      <c r="AQ885" s="275"/>
      <c r="AR885" s="275"/>
      <c r="AS885" s="275"/>
      <c r="AT885" s="275"/>
      <c r="AU885" s="275">
        <v>2000000</v>
      </c>
      <c r="AV885" s="275"/>
      <c r="AW885" s="275">
        <v>2000000</v>
      </c>
      <c r="AX885" s="275"/>
      <c r="AY885" s="275">
        <v>2000000</v>
      </c>
      <c r="AZ885" s="275"/>
      <c r="BA885" s="275">
        <v>2000000</v>
      </c>
      <c r="BB885" s="275"/>
      <c r="BC885" s="275">
        <v>2000000</v>
      </c>
      <c r="BD885" s="275"/>
      <c r="BE885" s="275">
        <v>2000000</v>
      </c>
      <c r="BF885" s="275"/>
      <c r="BH885" s="277"/>
    </row>
    <row r="886" spans="1:60" ht="16.5" hidden="1" customHeight="1" x14ac:dyDescent="0.3">
      <c r="A886" s="260">
        <v>864</v>
      </c>
      <c r="B886" s="261"/>
      <c r="C886" s="261"/>
      <c r="D886" s="262" t="s">
        <v>15</v>
      </c>
      <c r="E886" s="262" t="s">
        <v>277</v>
      </c>
      <c r="F886" s="263" t="s">
        <v>15</v>
      </c>
      <c r="G886" s="264" t="s">
        <v>277</v>
      </c>
      <c r="H886" s="281"/>
      <c r="I886" s="265"/>
      <c r="J886" s="266" t="s">
        <v>584</v>
      </c>
      <c r="K886" s="262"/>
      <c r="L886" s="262"/>
      <c r="M886" s="262">
        <v>2851</v>
      </c>
      <c r="N886" s="262" t="s">
        <v>22</v>
      </c>
      <c r="O886" s="262" t="s">
        <v>212</v>
      </c>
      <c r="P886" s="262" t="s">
        <v>57</v>
      </c>
      <c r="Q886" s="262" t="s">
        <v>30</v>
      </c>
      <c r="R886" s="262" t="s">
        <v>31</v>
      </c>
      <c r="S886" s="267" t="s">
        <v>31</v>
      </c>
      <c r="T886" s="268"/>
      <c r="U886" s="269"/>
      <c r="V886" s="269">
        <v>19617800</v>
      </c>
      <c r="W886" s="278">
        <v>3695500</v>
      </c>
      <c r="X886" s="270"/>
      <c r="Y886" s="262" t="s">
        <v>27</v>
      </c>
      <c r="Z886" s="271" t="s">
        <v>24</v>
      </c>
      <c r="AA886" s="287"/>
      <c r="AB886" s="287"/>
      <c r="AC886" s="272">
        <f t="shared" si="29"/>
        <v>9000000</v>
      </c>
      <c r="AD886" s="272">
        <v>9000000</v>
      </c>
      <c r="AE886" s="272">
        <f t="shared" si="30"/>
        <v>0</v>
      </c>
      <c r="AF886" s="273"/>
      <c r="AG886" s="274"/>
      <c r="AH886" s="273"/>
      <c r="AI886" s="273"/>
      <c r="AJ886" s="274"/>
      <c r="AK886" s="273"/>
      <c r="AL886" s="275"/>
      <c r="AM886" s="290"/>
      <c r="AN886" s="275"/>
      <c r="AO886" s="276"/>
      <c r="AP886" s="275"/>
      <c r="AQ886" s="275"/>
      <c r="AR886" s="275"/>
      <c r="AS886" s="275">
        <v>4500000</v>
      </c>
      <c r="AT886" s="275"/>
      <c r="AU886" s="275"/>
      <c r="AV886" s="275"/>
      <c r="AW886" s="275"/>
      <c r="AX886" s="275"/>
      <c r="AY886" s="275"/>
      <c r="AZ886" s="275"/>
      <c r="BA886" s="275"/>
      <c r="BB886" s="275"/>
      <c r="BC886" s="275"/>
      <c r="BD886" s="275"/>
      <c r="BE886" s="275">
        <v>4500000</v>
      </c>
      <c r="BF886" s="275"/>
      <c r="BH886" s="277"/>
    </row>
    <row r="887" spans="1:60" ht="16.5" hidden="1" customHeight="1" x14ac:dyDescent="0.3">
      <c r="A887" s="260">
        <v>865</v>
      </c>
      <c r="B887" s="261"/>
      <c r="C887" s="261"/>
      <c r="D887" s="262" t="s">
        <v>15</v>
      </c>
      <c r="E887" s="262" t="s">
        <v>277</v>
      </c>
      <c r="F887" s="263" t="s">
        <v>15</v>
      </c>
      <c r="G887" s="264" t="s">
        <v>277</v>
      </c>
      <c r="H887" s="281"/>
      <c r="I887" s="265"/>
      <c r="J887" s="266" t="s">
        <v>584</v>
      </c>
      <c r="K887" s="262"/>
      <c r="L887" s="262"/>
      <c r="M887" s="262">
        <v>2851</v>
      </c>
      <c r="N887" s="262" t="s">
        <v>22</v>
      </c>
      <c r="O887" s="262" t="s">
        <v>212</v>
      </c>
      <c r="P887" s="262"/>
      <c r="Q887" s="262" t="s">
        <v>26</v>
      </c>
      <c r="R887" s="262" t="s">
        <v>478</v>
      </c>
      <c r="S887" s="267" t="s">
        <v>478</v>
      </c>
      <c r="T887" s="268"/>
      <c r="U887" s="269"/>
      <c r="V887" s="269">
        <v>13795000</v>
      </c>
      <c r="W887" s="278">
        <v>10150000</v>
      </c>
      <c r="X887" s="270"/>
      <c r="Y887" s="262" t="s">
        <v>27</v>
      </c>
      <c r="Z887" s="271" t="s">
        <v>25</v>
      </c>
      <c r="AA887" s="287"/>
      <c r="AB887" s="287"/>
      <c r="AC887" s="272">
        <f t="shared" si="29"/>
        <v>0</v>
      </c>
      <c r="AD887" s="272">
        <v>0</v>
      </c>
      <c r="AE887" s="272">
        <f t="shared" si="30"/>
        <v>0</v>
      </c>
      <c r="AF887" s="273"/>
      <c r="AG887" s="274"/>
      <c r="AH887" s="273"/>
      <c r="AI887" s="273"/>
      <c r="AJ887" s="274"/>
      <c r="AK887" s="273"/>
      <c r="AL887" s="275"/>
      <c r="AM887" s="290"/>
      <c r="AN887" s="275"/>
      <c r="AO887" s="276"/>
      <c r="AP887" s="275"/>
      <c r="AQ887" s="275"/>
      <c r="AR887" s="275"/>
      <c r="AS887" s="275"/>
      <c r="AT887" s="275"/>
      <c r="AU887" s="275"/>
      <c r="AV887" s="275"/>
      <c r="AW887" s="275"/>
      <c r="AX887" s="275"/>
      <c r="AY887" s="275"/>
      <c r="AZ887" s="275"/>
      <c r="BA887" s="275"/>
      <c r="BB887" s="275"/>
      <c r="BC887" s="275"/>
      <c r="BD887" s="275"/>
      <c r="BE887" s="275"/>
      <c r="BF887" s="275"/>
      <c r="BH887" s="277"/>
    </row>
    <row r="888" spans="1:60" ht="16.5" hidden="1" customHeight="1" x14ac:dyDescent="0.3">
      <c r="A888" s="260">
        <v>866</v>
      </c>
      <c r="B888" s="261"/>
      <c r="C888" s="261"/>
      <c r="D888" s="262" t="s">
        <v>15</v>
      </c>
      <c r="E888" s="262" t="s">
        <v>277</v>
      </c>
      <c r="F888" s="263" t="s">
        <v>15</v>
      </c>
      <c r="G888" s="264" t="s">
        <v>277</v>
      </c>
      <c r="H888" s="281"/>
      <c r="I888" s="265"/>
      <c r="J888" s="266" t="s">
        <v>584</v>
      </c>
      <c r="K888" s="262"/>
      <c r="L888" s="262"/>
      <c r="M888" s="262">
        <v>2851</v>
      </c>
      <c r="N888" s="262" t="s">
        <v>22</v>
      </c>
      <c r="O888" s="262" t="s">
        <v>56</v>
      </c>
      <c r="P888" s="262"/>
      <c r="Q888" s="262"/>
      <c r="R888" s="262"/>
      <c r="S888" s="267" t="s">
        <v>822</v>
      </c>
      <c r="T888" s="268"/>
      <c r="U888" s="269"/>
      <c r="V888" s="269"/>
      <c r="W888" s="278">
        <v>0</v>
      </c>
      <c r="X888" s="270"/>
      <c r="Y888" s="262"/>
      <c r="Z888" s="271" t="s">
        <v>25</v>
      </c>
      <c r="AA888" s="287"/>
      <c r="AB888" s="287"/>
      <c r="AC888" s="272">
        <f t="shared" si="29"/>
        <v>5000000</v>
      </c>
      <c r="AD888" s="272">
        <v>5000000</v>
      </c>
      <c r="AE888" s="272">
        <f t="shared" si="30"/>
        <v>0</v>
      </c>
      <c r="AF888" s="273"/>
      <c r="AG888" s="274"/>
      <c r="AH888" s="273"/>
      <c r="AI888" s="273"/>
      <c r="AJ888" s="274"/>
      <c r="AK888" s="273"/>
      <c r="AL888" s="275"/>
      <c r="AM888" s="290"/>
      <c r="AN888" s="275"/>
      <c r="AO888" s="276"/>
      <c r="AP888" s="275"/>
      <c r="AQ888" s="291">
        <v>5000000</v>
      </c>
      <c r="AR888" s="275"/>
      <c r="AS888" s="275"/>
      <c r="AT888" s="275"/>
      <c r="AU888" s="275"/>
      <c r="AV888" s="275"/>
      <c r="AW888" s="275"/>
      <c r="AX888" s="275"/>
      <c r="AY888" s="275"/>
      <c r="AZ888" s="275"/>
      <c r="BA888" s="275"/>
      <c r="BB888" s="275"/>
      <c r="BC888" s="275"/>
      <c r="BD888" s="275"/>
      <c r="BE888" s="275"/>
      <c r="BF888" s="275"/>
      <c r="BH888" s="277"/>
    </row>
    <row r="889" spans="1:60" ht="16.5" hidden="1" customHeight="1" x14ac:dyDescent="0.3">
      <c r="A889" s="260">
        <v>867</v>
      </c>
      <c r="B889" s="261"/>
      <c r="C889" s="261"/>
      <c r="D889" s="262" t="s">
        <v>15</v>
      </c>
      <c r="E889" s="262" t="s">
        <v>277</v>
      </c>
      <c r="F889" s="263" t="s">
        <v>15</v>
      </c>
      <c r="G889" s="264" t="s">
        <v>277</v>
      </c>
      <c r="H889" s="281"/>
      <c r="I889" s="265"/>
      <c r="J889" s="266" t="s">
        <v>585</v>
      </c>
      <c r="K889" s="262"/>
      <c r="L889" s="262"/>
      <c r="M889" s="262">
        <v>2851</v>
      </c>
      <c r="N889" s="262" t="s">
        <v>22</v>
      </c>
      <c r="O889" s="262" t="s">
        <v>56</v>
      </c>
      <c r="P889" s="262" t="s">
        <v>57</v>
      </c>
      <c r="Q889" s="262" t="s">
        <v>26</v>
      </c>
      <c r="R889" s="262" t="s">
        <v>468</v>
      </c>
      <c r="S889" s="267" t="s">
        <v>468</v>
      </c>
      <c r="T889" s="268"/>
      <c r="U889" s="269">
        <v>17865000</v>
      </c>
      <c r="V889" s="269">
        <v>0</v>
      </c>
      <c r="W889" s="278">
        <v>0</v>
      </c>
      <c r="X889" s="270"/>
      <c r="Y889" s="262" t="s">
        <v>24</v>
      </c>
      <c r="Z889" s="271" t="s">
        <v>25</v>
      </c>
      <c r="AA889" s="287"/>
      <c r="AB889" s="287"/>
      <c r="AC889" s="272">
        <f t="shared" si="29"/>
        <v>5000000</v>
      </c>
      <c r="AD889" s="272">
        <v>5000000</v>
      </c>
      <c r="AE889" s="272">
        <f t="shared" si="30"/>
        <v>0</v>
      </c>
      <c r="AF889" s="273"/>
      <c r="AG889" s="274"/>
      <c r="AH889" s="273"/>
      <c r="AI889" s="273"/>
      <c r="AJ889" s="274"/>
      <c r="AK889" s="273"/>
      <c r="AL889" s="275"/>
      <c r="AM889" s="290"/>
      <c r="AN889" s="275"/>
      <c r="AO889" s="276"/>
      <c r="AP889" s="275"/>
      <c r="AQ889" s="291">
        <v>5000000</v>
      </c>
      <c r="AR889" s="275"/>
      <c r="AS889" s="275"/>
      <c r="AT889" s="275"/>
      <c r="AU889" s="275"/>
      <c r="AV889" s="275"/>
      <c r="AW889" s="275"/>
      <c r="AX889" s="275"/>
      <c r="AY889" s="275"/>
      <c r="AZ889" s="275"/>
      <c r="BA889" s="275"/>
      <c r="BB889" s="275"/>
      <c r="BC889" s="275"/>
      <c r="BD889" s="275"/>
      <c r="BE889" s="275"/>
      <c r="BF889" s="275"/>
      <c r="BH889" s="277"/>
    </row>
    <row r="890" spans="1:60" ht="16.5" hidden="1" customHeight="1" x14ac:dyDescent="0.3">
      <c r="A890" s="260">
        <v>868</v>
      </c>
      <c r="B890" s="261"/>
      <c r="C890" s="261"/>
      <c r="D890" s="262" t="s">
        <v>15</v>
      </c>
      <c r="E890" s="262" t="s">
        <v>277</v>
      </c>
      <c r="F890" s="263" t="s">
        <v>15</v>
      </c>
      <c r="G890" s="264" t="s">
        <v>277</v>
      </c>
      <c r="H890" s="281"/>
      <c r="I890" s="265"/>
      <c r="J890" s="266" t="s">
        <v>586</v>
      </c>
      <c r="K890" s="262"/>
      <c r="L890" s="262"/>
      <c r="M890" s="262">
        <v>2851</v>
      </c>
      <c r="N890" s="262" t="s">
        <v>22</v>
      </c>
      <c r="O890" s="262" t="s">
        <v>56</v>
      </c>
      <c r="P890" s="262" t="s">
        <v>57</v>
      </c>
      <c r="Q890" s="262" t="s">
        <v>26</v>
      </c>
      <c r="R890" s="262" t="s">
        <v>468</v>
      </c>
      <c r="S890" s="267" t="s">
        <v>468</v>
      </c>
      <c r="T890" s="268"/>
      <c r="U890" s="269"/>
      <c r="V890" s="269">
        <v>0</v>
      </c>
      <c r="W890" s="278">
        <v>0</v>
      </c>
      <c r="X890" s="270"/>
      <c r="Y890" s="262" t="s">
        <v>24</v>
      </c>
      <c r="Z890" s="271" t="s">
        <v>25</v>
      </c>
      <c r="AA890" s="287"/>
      <c r="AB890" s="287"/>
      <c r="AC890" s="272">
        <f t="shared" si="29"/>
        <v>2000000</v>
      </c>
      <c r="AD890" s="272">
        <v>2000000</v>
      </c>
      <c r="AE890" s="272">
        <f t="shared" si="30"/>
        <v>0</v>
      </c>
      <c r="AF890" s="273"/>
      <c r="AG890" s="274"/>
      <c r="AH890" s="273"/>
      <c r="AI890" s="273"/>
      <c r="AJ890" s="274"/>
      <c r="AK890" s="273"/>
      <c r="AL890" s="275"/>
      <c r="AM890" s="290"/>
      <c r="AN890" s="275"/>
      <c r="AO890" s="276"/>
      <c r="AP890" s="275"/>
      <c r="AQ890" s="275">
        <v>2000000</v>
      </c>
      <c r="AR890" s="275"/>
      <c r="AS890" s="275"/>
      <c r="AT890" s="275"/>
      <c r="AU890" s="275"/>
      <c r="AV890" s="275"/>
      <c r="AW890" s="275"/>
      <c r="AX890" s="275"/>
      <c r="AY890" s="275"/>
      <c r="AZ890" s="275"/>
      <c r="BA890" s="275"/>
      <c r="BB890" s="275"/>
      <c r="BC890" s="275"/>
      <c r="BD890" s="275"/>
      <c r="BE890" s="275"/>
      <c r="BF890" s="275"/>
      <c r="BH890" s="277"/>
    </row>
    <row r="891" spans="1:60" ht="16.5" hidden="1" customHeight="1" x14ac:dyDescent="0.3">
      <c r="A891" s="260">
        <v>869</v>
      </c>
      <c r="B891" s="261"/>
      <c r="C891" s="261"/>
      <c r="D891" s="262" t="s">
        <v>15</v>
      </c>
      <c r="E891" s="262" t="s">
        <v>277</v>
      </c>
      <c r="F891" s="263" t="s">
        <v>15</v>
      </c>
      <c r="G891" s="264" t="s">
        <v>277</v>
      </c>
      <c r="H891" s="281"/>
      <c r="I891" s="265"/>
      <c r="J891" s="266" t="s">
        <v>582</v>
      </c>
      <c r="K891" s="262"/>
      <c r="L891" s="262"/>
      <c r="M891" s="262">
        <v>2637</v>
      </c>
      <c r="N891" s="262" t="s">
        <v>22</v>
      </c>
      <c r="O891" s="262" t="s">
        <v>56</v>
      </c>
      <c r="P891" s="262" t="s">
        <v>57</v>
      </c>
      <c r="Q891" s="262" t="s">
        <v>30</v>
      </c>
      <c r="R891" s="262" t="s">
        <v>31</v>
      </c>
      <c r="S891" s="267" t="s">
        <v>31</v>
      </c>
      <c r="T891" s="268"/>
      <c r="U891" s="269" t="s">
        <v>154</v>
      </c>
      <c r="V891" s="269">
        <v>2214000</v>
      </c>
      <c r="W891" s="278">
        <v>0</v>
      </c>
      <c r="X891" s="270"/>
      <c r="Y891" s="262" t="s">
        <v>25</v>
      </c>
      <c r="Z891" s="271" t="s">
        <v>20</v>
      </c>
      <c r="AA891" s="287"/>
      <c r="AB891" s="287"/>
      <c r="AC891" s="272">
        <f t="shared" si="29"/>
        <v>0</v>
      </c>
      <c r="AD891" s="272">
        <v>0</v>
      </c>
      <c r="AE891" s="272">
        <f t="shared" si="30"/>
        <v>0</v>
      </c>
      <c r="AF891" s="273"/>
      <c r="AG891" s="274"/>
      <c r="AH891" s="273"/>
      <c r="AI891" s="273"/>
      <c r="AJ891" s="274"/>
      <c r="AK891" s="273"/>
      <c r="AL891" s="275"/>
      <c r="AM891" s="290"/>
      <c r="AN891" s="275"/>
      <c r="AO891" s="276"/>
      <c r="AP891" s="275"/>
      <c r="AQ891" s="275"/>
      <c r="AR891" s="275"/>
      <c r="AS891" s="275"/>
      <c r="AT891" s="275"/>
      <c r="AU891" s="275"/>
      <c r="AV891" s="275"/>
      <c r="AW891" s="275"/>
      <c r="AX891" s="275"/>
      <c r="AY891" s="275"/>
      <c r="AZ891" s="275"/>
      <c r="BA891" s="275"/>
      <c r="BB891" s="275"/>
      <c r="BC891" s="275"/>
      <c r="BD891" s="275"/>
      <c r="BE891" s="275"/>
      <c r="BF891" s="275"/>
      <c r="BH891" s="277"/>
    </row>
    <row r="892" spans="1:60" ht="16.5" hidden="1" customHeight="1" x14ac:dyDescent="0.3">
      <c r="A892" s="260">
        <v>870</v>
      </c>
      <c r="B892" s="261"/>
      <c r="C892" s="261"/>
      <c r="D892" s="262" t="s">
        <v>15</v>
      </c>
      <c r="E892" s="262" t="s">
        <v>277</v>
      </c>
      <c r="F892" s="263" t="s">
        <v>15</v>
      </c>
      <c r="G892" s="264" t="s">
        <v>277</v>
      </c>
      <c r="H892" s="281"/>
      <c r="I892" s="265"/>
      <c r="J892" s="266" t="s">
        <v>582</v>
      </c>
      <c r="K892" s="262"/>
      <c r="L892" s="262"/>
      <c r="M892" s="262">
        <v>2637</v>
      </c>
      <c r="N892" s="262" t="s">
        <v>22</v>
      </c>
      <c r="O892" s="262" t="s">
        <v>56</v>
      </c>
      <c r="P892" s="262"/>
      <c r="Q892" s="262"/>
      <c r="R892" s="262" t="s">
        <v>468</v>
      </c>
      <c r="S892" s="267" t="s">
        <v>468</v>
      </c>
      <c r="T892" s="268"/>
      <c r="U892" s="269"/>
      <c r="V892" s="269">
        <v>0</v>
      </c>
      <c r="W892" s="278">
        <v>0</v>
      </c>
      <c r="X892" s="270"/>
      <c r="Y892" s="262" t="s">
        <v>25</v>
      </c>
      <c r="Z892" s="271" t="s">
        <v>27</v>
      </c>
      <c r="AA892" s="287"/>
      <c r="AB892" s="287"/>
      <c r="AC892" s="272">
        <f t="shared" si="29"/>
        <v>10500000</v>
      </c>
      <c r="AD892" s="272">
        <v>10500000</v>
      </c>
      <c r="AE892" s="272">
        <f t="shared" si="30"/>
        <v>0</v>
      </c>
      <c r="AF892" s="273"/>
      <c r="AG892" s="274"/>
      <c r="AH892" s="273"/>
      <c r="AI892" s="273"/>
      <c r="AJ892" s="274"/>
      <c r="AK892" s="273"/>
      <c r="AL892" s="275"/>
      <c r="AM892" s="290">
        <v>5500000</v>
      </c>
      <c r="AN892" s="275"/>
      <c r="AO892" s="276"/>
      <c r="AP892" s="275"/>
      <c r="AQ892" s="275"/>
      <c r="AR892" s="275"/>
      <c r="AS892" s="275">
        <v>5000000</v>
      </c>
      <c r="AT892" s="275"/>
      <c r="AU892" s="275"/>
      <c r="AV892" s="275"/>
      <c r="AW892" s="275"/>
      <c r="AX892" s="275"/>
      <c r="AY892" s="275"/>
      <c r="AZ892" s="275"/>
      <c r="BA892" s="275"/>
      <c r="BB892" s="275"/>
      <c r="BC892" s="275"/>
      <c r="BD892" s="275"/>
      <c r="BE892" s="275"/>
      <c r="BF892" s="275"/>
      <c r="BH892" s="277"/>
    </row>
    <row r="893" spans="1:60" ht="16.5" hidden="1" customHeight="1" x14ac:dyDescent="0.3">
      <c r="A893" s="260">
        <v>871</v>
      </c>
      <c r="B893" s="261"/>
      <c r="C893" s="261"/>
      <c r="D893" s="262" t="s">
        <v>15</v>
      </c>
      <c r="E893" s="262" t="s">
        <v>277</v>
      </c>
      <c r="F893" s="263" t="s">
        <v>15</v>
      </c>
      <c r="G893" s="264" t="s">
        <v>277</v>
      </c>
      <c r="H893" s="281"/>
      <c r="I893" s="265"/>
      <c r="J893" s="266" t="s">
        <v>582</v>
      </c>
      <c r="K893" s="262"/>
      <c r="L893" s="262"/>
      <c r="M893" s="262">
        <v>2637</v>
      </c>
      <c r="N893" s="262" t="s">
        <v>22</v>
      </c>
      <c r="O893" s="262" t="s">
        <v>35</v>
      </c>
      <c r="P893" s="262"/>
      <c r="Q893" s="262"/>
      <c r="R893" s="262"/>
      <c r="S893" s="267" t="s">
        <v>822</v>
      </c>
      <c r="T893" s="268"/>
      <c r="U893" s="269"/>
      <c r="V893" s="269"/>
      <c r="W893" s="278">
        <v>0</v>
      </c>
      <c r="X893" s="270"/>
      <c r="Y893" s="262"/>
      <c r="Z893" s="271" t="s">
        <v>25</v>
      </c>
      <c r="AA893" s="287"/>
      <c r="AB893" s="287"/>
      <c r="AC893" s="272">
        <f t="shared" si="29"/>
        <v>5000000</v>
      </c>
      <c r="AD893" s="272">
        <v>5000000</v>
      </c>
      <c r="AE893" s="272">
        <f t="shared" si="30"/>
        <v>0</v>
      </c>
      <c r="AF893" s="273"/>
      <c r="AG893" s="274"/>
      <c r="AH893" s="273"/>
      <c r="AI893" s="273"/>
      <c r="AJ893" s="274"/>
      <c r="AK893" s="273"/>
      <c r="AL893" s="275"/>
      <c r="AM893" s="290"/>
      <c r="AN893" s="275"/>
      <c r="AO893" s="276"/>
      <c r="AP893" s="275"/>
      <c r="AQ893" s="275">
        <v>5000000</v>
      </c>
      <c r="AR893" s="275"/>
      <c r="AS893" s="275"/>
      <c r="AT893" s="275"/>
      <c r="AU893" s="275"/>
      <c r="AV893" s="275"/>
      <c r="AW893" s="275"/>
      <c r="AX893" s="275"/>
      <c r="AY893" s="275"/>
      <c r="AZ893" s="275"/>
      <c r="BA893" s="275"/>
      <c r="BB893" s="275"/>
      <c r="BC893" s="275"/>
      <c r="BD893" s="275"/>
      <c r="BE893" s="275"/>
      <c r="BF893" s="275"/>
      <c r="BH893" s="277"/>
    </row>
    <row r="894" spans="1:60" ht="16.5" hidden="1" customHeight="1" x14ac:dyDescent="0.3">
      <c r="A894" s="260">
        <v>872</v>
      </c>
      <c r="B894" s="261"/>
      <c r="C894" s="261"/>
      <c r="D894" s="262" t="s">
        <v>15</v>
      </c>
      <c r="E894" s="262" t="s">
        <v>277</v>
      </c>
      <c r="F894" s="263" t="s">
        <v>15</v>
      </c>
      <c r="G894" s="264" t="s">
        <v>277</v>
      </c>
      <c r="H894" s="281"/>
      <c r="I894" s="265"/>
      <c r="J894" s="266" t="s">
        <v>291</v>
      </c>
      <c r="K894" s="262"/>
      <c r="L894" s="262"/>
      <c r="M894" s="262">
        <v>6385</v>
      </c>
      <c r="N894" s="262" t="s">
        <v>22</v>
      </c>
      <c r="O894" s="262" t="s">
        <v>35</v>
      </c>
      <c r="P894" s="262"/>
      <c r="Q894" s="262"/>
      <c r="R894" s="262" t="s">
        <v>478</v>
      </c>
      <c r="S894" s="267" t="s">
        <v>478</v>
      </c>
      <c r="T894" s="268"/>
      <c r="U894" s="269"/>
      <c r="V894" s="269">
        <v>0</v>
      </c>
      <c r="W894" s="278">
        <v>0</v>
      </c>
      <c r="X894" s="270"/>
      <c r="Y894" s="262" t="s">
        <v>25</v>
      </c>
      <c r="Z894" s="271" t="s">
        <v>25</v>
      </c>
      <c r="AA894" s="287"/>
      <c r="AB894" s="287"/>
      <c r="AC894" s="272">
        <f t="shared" si="29"/>
        <v>5000000</v>
      </c>
      <c r="AD894" s="272">
        <v>5000000</v>
      </c>
      <c r="AE894" s="272">
        <f t="shared" si="30"/>
        <v>0</v>
      </c>
      <c r="AF894" s="273"/>
      <c r="AG894" s="274"/>
      <c r="AH894" s="273"/>
      <c r="AI894" s="273"/>
      <c r="AJ894" s="274"/>
      <c r="AK894" s="273"/>
      <c r="AL894" s="275"/>
      <c r="AM894" s="290"/>
      <c r="AN894" s="275"/>
      <c r="AO894" s="276"/>
      <c r="AP894" s="275"/>
      <c r="AQ894" s="275"/>
      <c r="AR894" s="275"/>
      <c r="AS894" s="275">
        <v>5000000</v>
      </c>
      <c r="AT894" s="275"/>
      <c r="AU894" s="275"/>
      <c r="AV894" s="275"/>
      <c r="AW894" s="275"/>
      <c r="AX894" s="275"/>
      <c r="AY894" s="275"/>
      <c r="AZ894" s="275"/>
      <c r="BA894" s="275"/>
      <c r="BB894" s="275"/>
      <c r="BC894" s="275"/>
      <c r="BD894" s="275"/>
      <c r="BE894" s="275"/>
      <c r="BF894" s="275"/>
      <c r="BH894" s="277"/>
    </row>
    <row r="895" spans="1:60" ht="16.5" hidden="1" customHeight="1" x14ac:dyDescent="0.3">
      <c r="A895" s="260">
        <v>873</v>
      </c>
      <c r="B895" s="261"/>
      <c r="C895" s="261"/>
      <c r="D895" s="262" t="s">
        <v>15</v>
      </c>
      <c r="E895" s="262" t="s">
        <v>277</v>
      </c>
      <c r="F895" s="263" t="s">
        <v>15</v>
      </c>
      <c r="G895" s="264" t="s">
        <v>277</v>
      </c>
      <c r="H895" s="281"/>
      <c r="I895" s="265"/>
      <c r="J895" s="266" t="s">
        <v>291</v>
      </c>
      <c r="K895" s="262"/>
      <c r="L895" s="262"/>
      <c r="M895" s="262">
        <v>6385</v>
      </c>
      <c r="N895" s="262" t="s">
        <v>22</v>
      </c>
      <c r="O895" s="262" t="s">
        <v>35</v>
      </c>
      <c r="P895" s="262"/>
      <c r="Q895" s="262"/>
      <c r="R895" s="262"/>
      <c r="S895" s="267" t="s">
        <v>822</v>
      </c>
      <c r="T895" s="268"/>
      <c r="U895" s="269"/>
      <c r="V895" s="269"/>
      <c r="W895" s="278">
        <v>0</v>
      </c>
      <c r="X895" s="270"/>
      <c r="Y895" s="262"/>
      <c r="Z895" s="271" t="s">
        <v>25</v>
      </c>
      <c r="AA895" s="287"/>
      <c r="AB895" s="287"/>
      <c r="AC895" s="272">
        <f t="shared" si="29"/>
        <v>10000000</v>
      </c>
      <c r="AD895" s="272">
        <v>10000000</v>
      </c>
      <c r="AE895" s="272">
        <f t="shared" si="30"/>
        <v>0</v>
      </c>
      <c r="AF895" s="273"/>
      <c r="AG895" s="274"/>
      <c r="AH895" s="273"/>
      <c r="AI895" s="273"/>
      <c r="AJ895" s="274"/>
      <c r="AK895" s="273"/>
      <c r="AL895" s="275"/>
      <c r="AM895" s="290"/>
      <c r="AN895" s="275"/>
      <c r="AO895" s="276"/>
      <c r="AP895" s="275"/>
      <c r="AQ895" s="275"/>
      <c r="AR895" s="275"/>
      <c r="AS895" s="275"/>
      <c r="AT895" s="275"/>
      <c r="AU895" s="275"/>
      <c r="AV895" s="275"/>
      <c r="AW895" s="275"/>
      <c r="AX895" s="275"/>
      <c r="AY895" s="275"/>
      <c r="AZ895" s="275"/>
      <c r="BA895" s="275">
        <v>10000000</v>
      </c>
      <c r="BB895" s="275"/>
      <c r="BC895" s="275"/>
      <c r="BD895" s="275"/>
      <c r="BE895" s="275"/>
      <c r="BF895" s="275"/>
      <c r="BH895" s="277"/>
    </row>
    <row r="896" spans="1:60" ht="16.5" hidden="1" customHeight="1" x14ac:dyDescent="0.3">
      <c r="A896" s="260">
        <v>874</v>
      </c>
      <c r="B896" s="261"/>
      <c r="C896" s="261"/>
      <c r="D896" s="262" t="s">
        <v>15</v>
      </c>
      <c r="E896" s="262" t="s">
        <v>277</v>
      </c>
      <c r="F896" s="263" t="s">
        <v>15</v>
      </c>
      <c r="G896" s="264" t="s">
        <v>277</v>
      </c>
      <c r="H896" s="281"/>
      <c r="I896" s="265"/>
      <c r="J896" s="266" t="s">
        <v>292</v>
      </c>
      <c r="K896" s="262"/>
      <c r="L896" s="262"/>
      <c r="M896" s="262">
        <v>18582</v>
      </c>
      <c r="N896" s="262" t="s">
        <v>22</v>
      </c>
      <c r="O896" s="262" t="s">
        <v>56</v>
      </c>
      <c r="P896" s="262"/>
      <c r="Q896" s="262" t="s">
        <v>26</v>
      </c>
      <c r="R896" s="262" t="s">
        <v>468</v>
      </c>
      <c r="S896" s="267" t="s">
        <v>468</v>
      </c>
      <c r="T896" s="268"/>
      <c r="U896" s="269"/>
      <c r="V896" s="269">
        <v>11935955</v>
      </c>
      <c r="W896" s="278">
        <v>18215000</v>
      </c>
      <c r="X896" s="270"/>
      <c r="Y896" s="262" t="s">
        <v>27</v>
      </c>
      <c r="Z896" s="271" t="s">
        <v>24</v>
      </c>
      <c r="AA896" s="287"/>
      <c r="AB896" s="287"/>
      <c r="AC896" s="272">
        <f t="shared" si="29"/>
        <v>15000000</v>
      </c>
      <c r="AD896" s="272">
        <v>15000000</v>
      </c>
      <c r="AE896" s="272">
        <f t="shared" si="30"/>
        <v>0</v>
      </c>
      <c r="AF896" s="273"/>
      <c r="AG896" s="274"/>
      <c r="AH896" s="273"/>
      <c r="AI896" s="273"/>
      <c r="AJ896" s="274"/>
      <c r="AK896" s="273"/>
      <c r="AL896" s="275"/>
      <c r="AM896" s="290"/>
      <c r="AN896" s="275"/>
      <c r="AO896" s="276">
        <v>5000000</v>
      </c>
      <c r="AP896" s="275"/>
      <c r="AQ896" s="275">
        <v>10000000</v>
      </c>
      <c r="AR896" s="275"/>
      <c r="AS896" s="275"/>
      <c r="AT896" s="275"/>
      <c r="AU896" s="275"/>
      <c r="AV896" s="275"/>
      <c r="AW896" s="275"/>
      <c r="AX896" s="275"/>
      <c r="AY896" s="275"/>
      <c r="AZ896" s="275"/>
      <c r="BA896" s="275"/>
      <c r="BB896" s="275"/>
      <c r="BC896" s="275"/>
      <c r="BD896" s="275"/>
      <c r="BE896" s="275"/>
      <c r="BF896" s="275"/>
      <c r="BH896" s="277"/>
    </row>
    <row r="897" spans="1:60" ht="16.5" hidden="1" customHeight="1" x14ac:dyDescent="0.3">
      <c r="A897" s="260">
        <v>875</v>
      </c>
      <c r="B897" s="261"/>
      <c r="C897" s="261"/>
      <c r="D897" s="262" t="s">
        <v>15</v>
      </c>
      <c r="E897" s="262" t="s">
        <v>277</v>
      </c>
      <c r="F897" s="263" t="s">
        <v>15</v>
      </c>
      <c r="G897" s="264" t="s">
        <v>277</v>
      </c>
      <c r="H897" s="281"/>
      <c r="I897" s="265"/>
      <c r="J897" s="266" t="s">
        <v>292</v>
      </c>
      <c r="K897" s="262"/>
      <c r="L897" s="262"/>
      <c r="M897" s="262">
        <v>18582</v>
      </c>
      <c r="N897" s="262" t="s">
        <v>22</v>
      </c>
      <c r="O897" s="262" t="s">
        <v>35</v>
      </c>
      <c r="P897" s="262"/>
      <c r="Q897" s="262"/>
      <c r="R897" s="262"/>
      <c r="S897" s="267" t="s">
        <v>822</v>
      </c>
      <c r="T897" s="268"/>
      <c r="U897" s="269"/>
      <c r="V897" s="269"/>
      <c r="W897" s="278">
        <v>0</v>
      </c>
      <c r="X897" s="270"/>
      <c r="Y897" s="262"/>
      <c r="Z897" s="271" t="s">
        <v>25</v>
      </c>
      <c r="AA897" s="287"/>
      <c r="AB897" s="287"/>
      <c r="AC897" s="272">
        <f t="shared" si="29"/>
        <v>10000000</v>
      </c>
      <c r="AD897" s="272">
        <v>10000000</v>
      </c>
      <c r="AE897" s="272">
        <f t="shared" si="30"/>
        <v>0</v>
      </c>
      <c r="AF897" s="273"/>
      <c r="AG897" s="274"/>
      <c r="AH897" s="273"/>
      <c r="AI897" s="273"/>
      <c r="AJ897" s="274"/>
      <c r="AK897" s="273"/>
      <c r="AL897" s="275"/>
      <c r="AM897" s="290"/>
      <c r="AN897" s="275"/>
      <c r="AO897" s="276">
        <v>5000000</v>
      </c>
      <c r="AP897" s="275"/>
      <c r="AQ897" s="275">
        <v>5000000</v>
      </c>
      <c r="AR897" s="275"/>
      <c r="AS897" s="275"/>
      <c r="AT897" s="275"/>
      <c r="AU897" s="275"/>
      <c r="AV897" s="275"/>
      <c r="AW897" s="275"/>
      <c r="AX897" s="275"/>
      <c r="AY897" s="275"/>
      <c r="AZ897" s="275"/>
      <c r="BA897" s="275"/>
      <c r="BB897" s="275"/>
      <c r="BC897" s="275"/>
      <c r="BD897" s="275"/>
      <c r="BE897" s="275"/>
      <c r="BF897" s="275"/>
      <c r="BH897" s="277"/>
    </row>
    <row r="898" spans="1:60" ht="16.5" hidden="1" customHeight="1" x14ac:dyDescent="0.3">
      <c r="A898" s="260">
        <v>876</v>
      </c>
      <c r="B898" s="261"/>
      <c r="C898" s="261"/>
      <c r="D898" s="262" t="s">
        <v>15</v>
      </c>
      <c r="E898" s="262" t="s">
        <v>277</v>
      </c>
      <c r="F898" s="263" t="s">
        <v>15</v>
      </c>
      <c r="G898" s="264" t="s">
        <v>277</v>
      </c>
      <c r="H898" s="281"/>
      <c r="I898" s="265"/>
      <c r="J898" s="266" t="s">
        <v>293</v>
      </c>
      <c r="K898" s="262"/>
      <c r="L898" s="262"/>
      <c r="M898" s="262">
        <v>14798</v>
      </c>
      <c r="N898" s="262" t="s">
        <v>22</v>
      </c>
      <c r="O898" s="262" t="s">
        <v>35</v>
      </c>
      <c r="P898" s="262"/>
      <c r="Q898" s="262"/>
      <c r="R898" s="262" t="s">
        <v>31</v>
      </c>
      <c r="S898" s="267" t="s">
        <v>31</v>
      </c>
      <c r="T898" s="268"/>
      <c r="U898" s="269"/>
      <c r="V898" s="269">
        <v>0</v>
      </c>
      <c r="W898" s="278">
        <v>0</v>
      </c>
      <c r="X898" s="270"/>
      <c r="Y898" s="262" t="s">
        <v>25</v>
      </c>
      <c r="Z898" s="271" t="s">
        <v>24</v>
      </c>
      <c r="AA898" s="287"/>
      <c r="AB898" s="287"/>
      <c r="AC898" s="272">
        <f t="shared" si="29"/>
        <v>14000000</v>
      </c>
      <c r="AD898" s="272">
        <v>14000000</v>
      </c>
      <c r="AE898" s="272">
        <f t="shared" si="30"/>
        <v>0</v>
      </c>
      <c r="AF898" s="273"/>
      <c r="AG898" s="274"/>
      <c r="AH898" s="273"/>
      <c r="AI898" s="273"/>
      <c r="AJ898" s="274"/>
      <c r="AK898" s="273"/>
      <c r="AL898" s="275"/>
      <c r="AM898" s="290"/>
      <c r="AN898" s="275"/>
      <c r="AO898" s="276"/>
      <c r="AP898" s="275"/>
      <c r="AQ898" s="275">
        <v>14000000</v>
      </c>
      <c r="AR898" s="275"/>
      <c r="AS898" s="275"/>
      <c r="AT898" s="275"/>
      <c r="AU898" s="275"/>
      <c r="AV898" s="275"/>
      <c r="AW898" s="275"/>
      <c r="AX898" s="275"/>
      <c r="AY898" s="275"/>
      <c r="AZ898" s="275"/>
      <c r="BA898" s="275"/>
      <c r="BB898" s="275"/>
      <c r="BC898" s="275"/>
      <c r="BD898" s="275"/>
      <c r="BE898" s="275"/>
      <c r="BF898" s="275"/>
      <c r="BH898" s="277"/>
    </row>
    <row r="899" spans="1:60" ht="16.5" hidden="1" customHeight="1" x14ac:dyDescent="0.3">
      <c r="A899" s="260">
        <v>877</v>
      </c>
      <c r="B899" s="261"/>
      <c r="C899" s="261"/>
      <c r="D899" s="262" t="s">
        <v>15</v>
      </c>
      <c r="E899" s="262" t="s">
        <v>277</v>
      </c>
      <c r="F899" s="263" t="s">
        <v>15</v>
      </c>
      <c r="G899" s="264" t="s">
        <v>277</v>
      </c>
      <c r="H899" s="281"/>
      <c r="I899" s="265"/>
      <c r="J899" s="266" t="s">
        <v>293</v>
      </c>
      <c r="K899" s="262"/>
      <c r="L899" s="262"/>
      <c r="M899" s="262">
        <v>14798</v>
      </c>
      <c r="N899" s="262" t="s">
        <v>22</v>
      </c>
      <c r="O899" s="262" t="s">
        <v>35</v>
      </c>
      <c r="P899" s="262"/>
      <c r="Q899" s="262"/>
      <c r="R899" s="262" t="s">
        <v>468</v>
      </c>
      <c r="S899" s="267" t="s">
        <v>468</v>
      </c>
      <c r="T899" s="268"/>
      <c r="U899" s="269"/>
      <c r="V899" s="269">
        <v>0</v>
      </c>
      <c r="W899" s="278">
        <v>0</v>
      </c>
      <c r="X899" s="270"/>
      <c r="Y899" s="262" t="s">
        <v>25</v>
      </c>
      <c r="Z899" s="271" t="s">
        <v>25</v>
      </c>
      <c r="AA899" s="287"/>
      <c r="AB899" s="287"/>
      <c r="AC899" s="272">
        <f t="shared" si="29"/>
        <v>10000000</v>
      </c>
      <c r="AD899" s="272">
        <v>10000000</v>
      </c>
      <c r="AE899" s="272">
        <f t="shared" si="30"/>
        <v>0</v>
      </c>
      <c r="AF899" s="273"/>
      <c r="AG899" s="274"/>
      <c r="AH899" s="273"/>
      <c r="AI899" s="273"/>
      <c r="AJ899" s="274"/>
      <c r="AK899" s="273"/>
      <c r="AL899" s="275"/>
      <c r="AM899" s="290"/>
      <c r="AN899" s="275"/>
      <c r="AO899" s="276"/>
      <c r="AP899" s="275"/>
      <c r="AQ899" s="275"/>
      <c r="AR899" s="275"/>
      <c r="AS899" s="275"/>
      <c r="AT899" s="275"/>
      <c r="AU899" s="275"/>
      <c r="AV899" s="275"/>
      <c r="AW899" s="275">
        <v>10000000</v>
      </c>
      <c r="AX899" s="275"/>
      <c r="AY899" s="275"/>
      <c r="AZ899" s="275"/>
      <c r="BA899" s="275"/>
      <c r="BB899" s="275"/>
      <c r="BC899" s="275"/>
      <c r="BD899" s="275"/>
      <c r="BE899" s="275"/>
      <c r="BF899" s="275"/>
      <c r="BH899" s="277"/>
    </row>
    <row r="900" spans="1:60" ht="16.5" hidden="1" customHeight="1" x14ac:dyDescent="0.3">
      <c r="A900" s="260">
        <v>878</v>
      </c>
      <c r="B900" s="261"/>
      <c r="C900" s="261"/>
      <c r="D900" s="262" t="s">
        <v>15</v>
      </c>
      <c r="E900" s="262" t="s">
        <v>277</v>
      </c>
      <c r="F900" s="263" t="s">
        <v>15</v>
      </c>
      <c r="G900" s="264" t="s">
        <v>277</v>
      </c>
      <c r="H900" s="281"/>
      <c r="I900" s="265"/>
      <c r="J900" s="266" t="s">
        <v>293</v>
      </c>
      <c r="K900" s="262"/>
      <c r="L900" s="262"/>
      <c r="M900" s="262">
        <v>14798</v>
      </c>
      <c r="N900" s="262" t="s">
        <v>22</v>
      </c>
      <c r="O900" s="262" t="s">
        <v>35</v>
      </c>
      <c r="P900" s="262"/>
      <c r="Q900" s="262"/>
      <c r="R900" s="262"/>
      <c r="S900" s="267" t="s">
        <v>828</v>
      </c>
      <c r="T900" s="268"/>
      <c r="U900" s="269"/>
      <c r="V900" s="269"/>
      <c r="W900" s="278">
        <v>0</v>
      </c>
      <c r="X900" s="270"/>
      <c r="Y900" s="262"/>
      <c r="Z900" s="271" t="s">
        <v>25</v>
      </c>
      <c r="AA900" s="287"/>
      <c r="AB900" s="287"/>
      <c r="AC900" s="272">
        <f t="shared" si="29"/>
        <v>10000000</v>
      </c>
      <c r="AD900" s="272">
        <v>10000000</v>
      </c>
      <c r="AE900" s="272">
        <f t="shared" si="30"/>
        <v>0</v>
      </c>
      <c r="AF900" s="273"/>
      <c r="AG900" s="274"/>
      <c r="AH900" s="273"/>
      <c r="AI900" s="273"/>
      <c r="AJ900" s="274"/>
      <c r="AK900" s="273"/>
      <c r="AL900" s="275"/>
      <c r="AM900" s="290"/>
      <c r="AN900" s="275"/>
      <c r="AO900" s="276"/>
      <c r="AP900" s="275"/>
      <c r="AQ900" s="275"/>
      <c r="AR900" s="275"/>
      <c r="AS900" s="275">
        <v>10000000</v>
      </c>
      <c r="AT900" s="275"/>
      <c r="AU900" s="275"/>
      <c r="AV900" s="275"/>
      <c r="AW900" s="275"/>
      <c r="AX900" s="275"/>
      <c r="AY900" s="275"/>
      <c r="AZ900" s="275"/>
      <c r="BA900" s="275"/>
      <c r="BB900" s="275"/>
      <c r="BC900" s="275"/>
      <c r="BD900" s="275"/>
      <c r="BE900" s="275"/>
      <c r="BF900" s="275"/>
      <c r="BH900" s="277"/>
    </row>
    <row r="901" spans="1:60" ht="16.5" hidden="1" customHeight="1" x14ac:dyDescent="0.3">
      <c r="A901" s="260">
        <v>879</v>
      </c>
      <c r="B901" s="261"/>
      <c r="C901" s="261"/>
      <c r="D901" s="262" t="s">
        <v>15</v>
      </c>
      <c r="E901" s="262" t="s">
        <v>277</v>
      </c>
      <c r="F901" s="263" t="s">
        <v>15</v>
      </c>
      <c r="G901" s="264" t="s">
        <v>277</v>
      </c>
      <c r="H901" s="281"/>
      <c r="I901" s="265"/>
      <c r="J901" s="266" t="s">
        <v>570</v>
      </c>
      <c r="K901" s="262"/>
      <c r="L901" s="262"/>
      <c r="M901" s="262">
        <v>20374</v>
      </c>
      <c r="N901" s="262" t="s">
        <v>22</v>
      </c>
      <c r="O901" s="262" t="s">
        <v>212</v>
      </c>
      <c r="P901" s="262" t="s">
        <v>57</v>
      </c>
      <c r="Q901" s="262" t="s">
        <v>63</v>
      </c>
      <c r="R901" s="262" t="s">
        <v>28</v>
      </c>
      <c r="S901" s="267" t="s">
        <v>28</v>
      </c>
      <c r="T901" s="268" t="s">
        <v>951</v>
      </c>
      <c r="U901" s="269">
        <v>89308460</v>
      </c>
      <c r="V901" s="269">
        <v>69571280</v>
      </c>
      <c r="W901" s="278">
        <v>58420200</v>
      </c>
      <c r="X901" s="270"/>
      <c r="Y901" s="262" t="s">
        <v>27</v>
      </c>
      <c r="Z901" s="271" t="s">
        <v>27</v>
      </c>
      <c r="AA901" s="287"/>
      <c r="AB901" s="287"/>
      <c r="AC901" s="272">
        <f t="shared" si="29"/>
        <v>70753500</v>
      </c>
      <c r="AD901" s="272">
        <v>70753500</v>
      </c>
      <c r="AE901" s="272">
        <f t="shared" si="30"/>
        <v>0</v>
      </c>
      <c r="AF901" s="273">
        <v>596000</v>
      </c>
      <c r="AG901" s="274">
        <v>1349500</v>
      </c>
      <c r="AH901" s="273"/>
      <c r="AI901" s="273">
        <v>5000000</v>
      </c>
      <c r="AJ901" s="274">
        <v>596000</v>
      </c>
      <c r="AK901" s="273"/>
      <c r="AL901" s="275">
        <v>5000000</v>
      </c>
      <c r="AM901" s="290">
        <v>2721800</v>
      </c>
      <c r="AN901" s="275"/>
      <c r="AO901" s="276">
        <v>6000000</v>
      </c>
      <c r="AP901" s="275"/>
      <c r="AQ901" s="275">
        <v>6278200</v>
      </c>
      <c r="AR901" s="275"/>
      <c r="AS901" s="275">
        <v>5000000</v>
      </c>
      <c r="AT901" s="275"/>
      <c r="AU901" s="275">
        <v>5000000</v>
      </c>
      <c r="AV901" s="275"/>
      <c r="AW901" s="275">
        <v>9404000</v>
      </c>
      <c r="AX901" s="275"/>
      <c r="AY901" s="275">
        <v>10000000</v>
      </c>
      <c r="AZ901" s="275"/>
      <c r="BA901" s="275">
        <v>10000000</v>
      </c>
      <c r="BB901" s="275"/>
      <c r="BC901" s="275">
        <v>9404000</v>
      </c>
      <c r="BD901" s="275"/>
      <c r="BE901" s="275">
        <v>5000000</v>
      </c>
      <c r="BF901" s="275"/>
      <c r="BH901" s="277"/>
    </row>
    <row r="902" spans="1:60" ht="16.5" hidden="1" customHeight="1" x14ac:dyDescent="0.3">
      <c r="A902" s="260">
        <v>880</v>
      </c>
      <c r="B902" s="261"/>
      <c r="C902" s="261"/>
      <c r="D902" s="262" t="s">
        <v>15</v>
      </c>
      <c r="E902" s="262" t="s">
        <v>277</v>
      </c>
      <c r="F902" s="263" t="s">
        <v>15</v>
      </c>
      <c r="G902" s="264" t="s">
        <v>277</v>
      </c>
      <c r="H902" s="281"/>
      <c r="I902" s="265"/>
      <c r="J902" s="266" t="s">
        <v>570</v>
      </c>
      <c r="K902" s="262"/>
      <c r="L902" s="262"/>
      <c r="M902" s="262">
        <v>20374</v>
      </c>
      <c r="N902" s="262" t="s">
        <v>22</v>
      </c>
      <c r="O902" s="262" t="s">
        <v>56</v>
      </c>
      <c r="P902" s="262"/>
      <c r="Q902" s="262"/>
      <c r="R902" s="262" t="s">
        <v>31</v>
      </c>
      <c r="S902" s="267" t="s">
        <v>31</v>
      </c>
      <c r="T902" s="268"/>
      <c r="U902" s="269"/>
      <c r="V902" s="269">
        <v>0</v>
      </c>
      <c r="W902" s="278">
        <v>6109000</v>
      </c>
      <c r="X902" s="270"/>
      <c r="Y902" s="262" t="s">
        <v>25</v>
      </c>
      <c r="Z902" s="271" t="s">
        <v>24</v>
      </c>
      <c r="AA902" s="287"/>
      <c r="AB902" s="287"/>
      <c r="AC902" s="272">
        <f t="shared" si="29"/>
        <v>10000000</v>
      </c>
      <c r="AD902" s="272">
        <v>10000000</v>
      </c>
      <c r="AE902" s="272">
        <f t="shared" si="30"/>
        <v>0</v>
      </c>
      <c r="AF902" s="273"/>
      <c r="AG902" s="274"/>
      <c r="AH902" s="273"/>
      <c r="AI902" s="273"/>
      <c r="AJ902" s="274"/>
      <c r="AK902" s="273"/>
      <c r="AL902" s="275"/>
      <c r="AM902" s="290"/>
      <c r="AN902" s="275"/>
      <c r="AO902" s="276"/>
      <c r="AP902" s="275"/>
      <c r="AQ902" s="275"/>
      <c r="AR902" s="275"/>
      <c r="AS902" s="275"/>
      <c r="AT902" s="275"/>
      <c r="AU902" s="275"/>
      <c r="AV902" s="275"/>
      <c r="AW902" s="275">
        <v>10000000</v>
      </c>
      <c r="AX902" s="275"/>
      <c r="AY902" s="275"/>
      <c r="AZ902" s="275"/>
      <c r="BA902" s="275"/>
      <c r="BB902" s="275"/>
      <c r="BC902" s="275"/>
      <c r="BD902" s="275"/>
      <c r="BE902" s="275"/>
      <c r="BF902" s="275"/>
      <c r="BH902" s="277"/>
    </row>
    <row r="903" spans="1:60" ht="16.5" hidden="1" customHeight="1" x14ac:dyDescent="0.3">
      <c r="A903" s="260">
        <v>881</v>
      </c>
      <c r="B903" s="261"/>
      <c r="C903" s="261"/>
      <c r="D903" s="262" t="s">
        <v>15</v>
      </c>
      <c r="E903" s="262" t="s">
        <v>277</v>
      </c>
      <c r="F903" s="263" t="s">
        <v>15</v>
      </c>
      <c r="G903" s="264" t="s">
        <v>277</v>
      </c>
      <c r="H903" s="281"/>
      <c r="I903" s="265"/>
      <c r="J903" s="266" t="s">
        <v>570</v>
      </c>
      <c r="K903" s="262"/>
      <c r="L903" s="262"/>
      <c r="M903" s="262">
        <v>20374</v>
      </c>
      <c r="N903" s="262" t="s">
        <v>22</v>
      </c>
      <c r="O903" s="262" t="s">
        <v>56</v>
      </c>
      <c r="P903" s="262"/>
      <c r="Q903" s="262"/>
      <c r="R903" s="262" t="s">
        <v>470</v>
      </c>
      <c r="S903" s="267" t="s">
        <v>822</v>
      </c>
      <c r="T903" s="268"/>
      <c r="U903" s="269"/>
      <c r="V903" s="269">
        <v>3300000</v>
      </c>
      <c r="W903" s="278">
        <v>0</v>
      </c>
      <c r="X903" s="270"/>
      <c r="Y903" s="262" t="s">
        <v>24</v>
      </c>
      <c r="Z903" s="271" t="s">
        <v>25</v>
      </c>
      <c r="AA903" s="287"/>
      <c r="AB903" s="287"/>
      <c r="AC903" s="272">
        <f t="shared" si="29"/>
        <v>10000000</v>
      </c>
      <c r="AD903" s="272">
        <v>10000000</v>
      </c>
      <c r="AE903" s="272">
        <f t="shared" si="30"/>
        <v>0</v>
      </c>
      <c r="AF903" s="273"/>
      <c r="AG903" s="274"/>
      <c r="AH903" s="273"/>
      <c r="AI903" s="273"/>
      <c r="AJ903" s="274"/>
      <c r="AK903" s="273"/>
      <c r="AL903" s="275"/>
      <c r="AM903" s="290"/>
      <c r="AN903" s="275"/>
      <c r="AO903" s="276"/>
      <c r="AP903" s="275"/>
      <c r="AQ903" s="291">
        <v>10000000</v>
      </c>
      <c r="AR903" s="275"/>
      <c r="AS903" s="275"/>
      <c r="AT903" s="275"/>
      <c r="AU903" s="275"/>
      <c r="AV903" s="275"/>
      <c r="AW903" s="275"/>
      <c r="AX903" s="275"/>
      <c r="AY903" s="275"/>
      <c r="AZ903" s="275"/>
      <c r="BA903" s="275"/>
      <c r="BB903" s="275"/>
      <c r="BC903" s="275"/>
      <c r="BD903" s="275"/>
      <c r="BE903" s="275"/>
      <c r="BF903" s="275"/>
      <c r="BH903" s="277"/>
    </row>
    <row r="904" spans="1:60" ht="16.5" hidden="1" customHeight="1" x14ac:dyDescent="0.3">
      <c r="A904" s="260">
        <v>882</v>
      </c>
      <c r="B904" s="261"/>
      <c r="C904" s="261"/>
      <c r="D904" s="262" t="s">
        <v>15</v>
      </c>
      <c r="E904" s="262" t="s">
        <v>277</v>
      </c>
      <c r="F904" s="263" t="s">
        <v>15</v>
      </c>
      <c r="G904" s="264" t="s">
        <v>277</v>
      </c>
      <c r="H904" s="281"/>
      <c r="I904" s="265"/>
      <c r="J904" s="266" t="s">
        <v>570</v>
      </c>
      <c r="K904" s="262"/>
      <c r="L904" s="262"/>
      <c r="M904" s="262">
        <v>20374</v>
      </c>
      <c r="N904" s="262" t="s">
        <v>22</v>
      </c>
      <c r="O904" s="262" t="s">
        <v>35</v>
      </c>
      <c r="P904" s="262"/>
      <c r="Q904" s="262"/>
      <c r="R904" s="262"/>
      <c r="S904" s="267" t="s">
        <v>828</v>
      </c>
      <c r="T904" s="268"/>
      <c r="U904" s="269"/>
      <c r="V904" s="269"/>
      <c r="W904" s="278">
        <v>0</v>
      </c>
      <c r="X904" s="270"/>
      <c r="Y904" s="262"/>
      <c r="Z904" s="271" t="s">
        <v>25</v>
      </c>
      <c r="AA904" s="287"/>
      <c r="AB904" s="287"/>
      <c r="AC904" s="272">
        <f t="shared" si="29"/>
        <v>10000000</v>
      </c>
      <c r="AD904" s="272">
        <v>10000000</v>
      </c>
      <c r="AE904" s="272">
        <f t="shared" si="30"/>
        <v>0</v>
      </c>
      <c r="AF904" s="273"/>
      <c r="AG904" s="274"/>
      <c r="AH904" s="273"/>
      <c r="AI904" s="273"/>
      <c r="AJ904" s="274"/>
      <c r="AK904" s="273"/>
      <c r="AL904" s="275"/>
      <c r="AM904" s="290"/>
      <c r="AN904" s="275"/>
      <c r="AO904" s="276"/>
      <c r="AP904" s="275"/>
      <c r="AQ904" s="275">
        <v>10000000</v>
      </c>
      <c r="AR904" s="275"/>
      <c r="AS904" s="275"/>
      <c r="AT904" s="275"/>
      <c r="AU904" s="275"/>
      <c r="AV904" s="275"/>
      <c r="AW904" s="275"/>
      <c r="AX904" s="275"/>
      <c r="AY904" s="275"/>
      <c r="AZ904" s="275"/>
      <c r="BA904" s="275"/>
      <c r="BB904" s="275"/>
      <c r="BC904" s="275"/>
      <c r="BD904" s="275"/>
      <c r="BE904" s="275"/>
      <c r="BF904" s="275"/>
      <c r="BH904" s="277"/>
    </row>
    <row r="905" spans="1:60" ht="16.5" hidden="1" customHeight="1" x14ac:dyDescent="0.3">
      <c r="A905" s="260">
        <v>883</v>
      </c>
      <c r="B905" s="261"/>
      <c r="C905" s="261"/>
      <c r="D905" s="262" t="s">
        <v>15</v>
      </c>
      <c r="E905" s="262" t="s">
        <v>277</v>
      </c>
      <c r="F905" s="263" t="s">
        <v>15</v>
      </c>
      <c r="G905" s="264" t="s">
        <v>277</v>
      </c>
      <c r="H905" s="281"/>
      <c r="I905" s="265"/>
      <c r="J905" s="266" t="s">
        <v>294</v>
      </c>
      <c r="K905" s="262"/>
      <c r="L905" s="262"/>
      <c r="M905" s="262">
        <v>45737</v>
      </c>
      <c r="N905" s="262" t="s">
        <v>22</v>
      </c>
      <c r="O905" s="262" t="s">
        <v>56</v>
      </c>
      <c r="P905" s="262"/>
      <c r="Q905" s="262" t="s">
        <v>30</v>
      </c>
      <c r="R905" s="262" t="s">
        <v>31</v>
      </c>
      <c r="S905" s="267" t="s">
        <v>31</v>
      </c>
      <c r="T905" s="268"/>
      <c r="U905" s="269"/>
      <c r="V905" s="269">
        <v>390000</v>
      </c>
      <c r="W905" s="278">
        <v>399000</v>
      </c>
      <c r="X905" s="270"/>
      <c r="Y905" s="262" t="s">
        <v>24</v>
      </c>
      <c r="Z905" s="271" t="s">
        <v>24</v>
      </c>
      <c r="AA905" s="287"/>
      <c r="AB905" s="287"/>
      <c r="AC905" s="272">
        <f t="shared" si="29"/>
        <v>360000</v>
      </c>
      <c r="AD905" s="272">
        <v>360000</v>
      </c>
      <c r="AE905" s="272">
        <f t="shared" si="30"/>
        <v>0</v>
      </c>
      <c r="AF905" s="273"/>
      <c r="AG905" s="274"/>
      <c r="AH905" s="273"/>
      <c r="AI905" s="273"/>
      <c r="AJ905" s="274"/>
      <c r="AK905" s="273"/>
      <c r="AL905" s="275"/>
      <c r="AM905" s="290"/>
      <c r="AN905" s="275"/>
      <c r="AO905" s="276"/>
      <c r="AP905" s="275"/>
      <c r="AQ905" s="275"/>
      <c r="AR905" s="275"/>
      <c r="AS905" s="275">
        <v>360000</v>
      </c>
      <c r="AT905" s="275"/>
      <c r="AU905" s="275"/>
      <c r="AV905" s="275"/>
      <c r="AW905" s="275"/>
      <c r="AX905" s="275"/>
      <c r="AY905" s="275"/>
      <c r="AZ905" s="275"/>
      <c r="BA905" s="275"/>
      <c r="BB905" s="275"/>
      <c r="BC905" s="275"/>
      <c r="BD905" s="275"/>
      <c r="BE905" s="275"/>
      <c r="BF905" s="275"/>
      <c r="BH905" s="277"/>
    </row>
    <row r="906" spans="1:60" ht="16.5" hidden="1" customHeight="1" x14ac:dyDescent="0.3">
      <c r="A906" s="260">
        <v>884</v>
      </c>
      <c r="B906" s="261"/>
      <c r="C906" s="261"/>
      <c r="D906" s="262" t="s">
        <v>15</v>
      </c>
      <c r="E906" s="262" t="s">
        <v>277</v>
      </c>
      <c r="F906" s="263" t="s">
        <v>15</v>
      </c>
      <c r="G906" s="264" t="s">
        <v>277</v>
      </c>
      <c r="H906" s="281"/>
      <c r="I906" s="265"/>
      <c r="J906" s="266" t="s">
        <v>295</v>
      </c>
      <c r="K906" s="262"/>
      <c r="L906" s="262"/>
      <c r="M906" s="262">
        <v>58722</v>
      </c>
      <c r="N906" s="262" t="s">
        <v>22</v>
      </c>
      <c r="O906" s="262" t="s">
        <v>212</v>
      </c>
      <c r="P906" s="262"/>
      <c r="Q906" s="262" t="s">
        <v>30</v>
      </c>
      <c r="R906" s="262" t="s">
        <v>31</v>
      </c>
      <c r="S906" s="267" t="s">
        <v>31</v>
      </c>
      <c r="T906" s="268"/>
      <c r="U906" s="269">
        <v>160000</v>
      </c>
      <c r="V906" s="269">
        <v>288000</v>
      </c>
      <c r="W906" s="278">
        <v>-32000</v>
      </c>
      <c r="X906" s="270"/>
      <c r="Y906" s="262" t="s">
        <v>27</v>
      </c>
      <c r="Z906" s="271" t="s">
        <v>24</v>
      </c>
      <c r="AA906" s="287"/>
      <c r="AB906" s="287"/>
      <c r="AC906" s="272">
        <f t="shared" si="29"/>
        <v>300000</v>
      </c>
      <c r="AD906" s="272">
        <v>300000</v>
      </c>
      <c r="AE906" s="272">
        <f t="shared" si="30"/>
        <v>0</v>
      </c>
      <c r="AF906" s="273"/>
      <c r="AG906" s="274"/>
      <c r="AH906" s="273"/>
      <c r="AI906" s="273"/>
      <c r="AJ906" s="274"/>
      <c r="AK906" s="273"/>
      <c r="AL906" s="275"/>
      <c r="AM906" s="290"/>
      <c r="AN906" s="275"/>
      <c r="AO906" s="276"/>
      <c r="AP906" s="275"/>
      <c r="AQ906" s="275"/>
      <c r="AR906" s="275"/>
      <c r="AS906" s="275"/>
      <c r="AT906" s="275"/>
      <c r="AU906" s="275"/>
      <c r="AV906" s="275"/>
      <c r="AW906" s="275"/>
      <c r="AX906" s="275"/>
      <c r="AY906" s="275"/>
      <c r="AZ906" s="275"/>
      <c r="BA906" s="275">
        <v>300000</v>
      </c>
      <c r="BB906" s="275"/>
      <c r="BC906" s="275"/>
      <c r="BD906" s="275"/>
      <c r="BE906" s="275"/>
      <c r="BF906" s="275"/>
      <c r="BH906" s="277"/>
    </row>
    <row r="907" spans="1:60" ht="16.5" hidden="1" customHeight="1" x14ac:dyDescent="0.3">
      <c r="A907" s="260">
        <v>885</v>
      </c>
      <c r="B907" s="261"/>
      <c r="C907" s="261"/>
      <c r="D907" s="262" t="s">
        <v>15</v>
      </c>
      <c r="E907" s="262" t="s">
        <v>277</v>
      </c>
      <c r="F907" s="263" t="s">
        <v>15</v>
      </c>
      <c r="G907" s="264" t="s">
        <v>277</v>
      </c>
      <c r="H907" s="281"/>
      <c r="I907" s="265"/>
      <c r="J907" s="266" t="s">
        <v>296</v>
      </c>
      <c r="K907" s="262"/>
      <c r="L907" s="262"/>
      <c r="M907" s="262">
        <v>800</v>
      </c>
      <c r="N907" s="262" t="s">
        <v>32</v>
      </c>
      <c r="O907" s="262" t="s">
        <v>56</v>
      </c>
      <c r="P907" s="262" t="s">
        <v>57</v>
      </c>
      <c r="Q907" s="262" t="s">
        <v>63</v>
      </c>
      <c r="R907" s="262" t="s">
        <v>28</v>
      </c>
      <c r="S907" s="267" t="s">
        <v>28</v>
      </c>
      <c r="T907" s="268" t="s">
        <v>951</v>
      </c>
      <c r="U907" s="269">
        <v>114000000</v>
      </c>
      <c r="V907" s="269">
        <v>130860000</v>
      </c>
      <c r="W907" s="278">
        <v>139999995</v>
      </c>
      <c r="X907" s="270"/>
      <c r="Y907" s="262" t="s">
        <v>27</v>
      </c>
      <c r="Z907" s="271" t="s">
        <v>27</v>
      </c>
      <c r="AA907" s="287"/>
      <c r="AB907" s="287"/>
      <c r="AC907" s="272">
        <f t="shared" si="29"/>
        <v>154200000</v>
      </c>
      <c r="AD907" s="272">
        <v>154200000</v>
      </c>
      <c r="AE907" s="272">
        <f t="shared" si="30"/>
        <v>0</v>
      </c>
      <c r="AF907" s="273"/>
      <c r="AG907" s="274"/>
      <c r="AH907" s="273"/>
      <c r="AI907" s="273"/>
      <c r="AJ907" s="274"/>
      <c r="AK907" s="273"/>
      <c r="AL907" s="275">
        <v>15000000</v>
      </c>
      <c r="AM907" s="290"/>
      <c r="AN907" s="275"/>
      <c r="AO907" s="276">
        <v>30000000</v>
      </c>
      <c r="AP907" s="275"/>
      <c r="AQ907" s="275">
        <v>15000000</v>
      </c>
      <c r="AR907" s="275"/>
      <c r="AS907" s="275">
        <v>15000000</v>
      </c>
      <c r="AT907" s="275"/>
      <c r="AU907" s="275">
        <v>15000000</v>
      </c>
      <c r="AV907" s="275"/>
      <c r="AW907" s="275">
        <v>15000000</v>
      </c>
      <c r="AX907" s="275"/>
      <c r="AY907" s="275">
        <v>15000000</v>
      </c>
      <c r="AZ907" s="275"/>
      <c r="BA907" s="275">
        <v>15000000</v>
      </c>
      <c r="BB907" s="275"/>
      <c r="BC907" s="275">
        <v>15000000</v>
      </c>
      <c r="BD907" s="275"/>
      <c r="BE907" s="275">
        <v>19200000</v>
      </c>
      <c r="BF907" s="275"/>
      <c r="BH907" s="277"/>
    </row>
    <row r="908" spans="1:60" ht="16.5" hidden="1" customHeight="1" x14ac:dyDescent="0.3">
      <c r="A908" s="260">
        <v>886</v>
      </c>
      <c r="B908" s="261"/>
      <c r="C908" s="261"/>
      <c r="D908" s="262" t="s">
        <v>15</v>
      </c>
      <c r="E908" s="262" t="s">
        <v>277</v>
      </c>
      <c r="F908" s="263" t="s">
        <v>15</v>
      </c>
      <c r="G908" s="264" t="s">
        <v>277</v>
      </c>
      <c r="H908" s="281"/>
      <c r="I908" s="265"/>
      <c r="J908" s="266" t="s">
        <v>296</v>
      </c>
      <c r="K908" s="262"/>
      <c r="L908" s="262"/>
      <c r="M908" s="262">
        <v>800</v>
      </c>
      <c r="N908" s="262" t="s">
        <v>32</v>
      </c>
      <c r="O908" s="262" t="s">
        <v>56</v>
      </c>
      <c r="P908" s="262" t="s">
        <v>57</v>
      </c>
      <c r="Q908" s="262" t="s">
        <v>23</v>
      </c>
      <c r="R908" s="262" t="s">
        <v>397</v>
      </c>
      <c r="S908" s="267" t="s">
        <v>823</v>
      </c>
      <c r="T908" s="268"/>
      <c r="U908" s="269">
        <v>48000000</v>
      </c>
      <c r="V908" s="269">
        <v>22190000</v>
      </c>
      <c r="W908" s="278">
        <v>0</v>
      </c>
      <c r="X908" s="270"/>
      <c r="Y908" s="262" t="s">
        <v>27</v>
      </c>
      <c r="Z908" s="271" t="s">
        <v>27</v>
      </c>
      <c r="AA908" s="287"/>
      <c r="AB908" s="287"/>
      <c r="AC908" s="272">
        <f t="shared" si="29"/>
        <v>25454545</v>
      </c>
      <c r="AD908" s="272">
        <v>25454545</v>
      </c>
      <c r="AE908" s="272">
        <f t="shared" si="30"/>
        <v>0</v>
      </c>
      <c r="AF908" s="273"/>
      <c r="AG908" s="274"/>
      <c r="AH908" s="273"/>
      <c r="AI908" s="273"/>
      <c r="AJ908" s="274"/>
      <c r="AK908" s="273"/>
      <c r="AL908" s="275"/>
      <c r="AM908" s="290"/>
      <c r="AN908" s="275"/>
      <c r="AO908" s="276"/>
      <c r="AP908" s="275"/>
      <c r="AQ908" s="275"/>
      <c r="AR908" s="275"/>
      <c r="AS908" s="275"/>
      <c r="AT908" s="275"/>
      <c r="AU908" s="275"/>
      <c r="AV908" s="275"/>
      <c r="AW908" s="275"/>
      <c r="AX908" s="275"/>
      <c r="AY908" s="275"/>
      <c r="AZ908" s="275"/>
      <c r="BA908" s="275">
        <v>25454545</v>
      </c>
      <c r="BB908" s="275"/>
      <c r="BC908" s="275"/>
      <c r="BD908" s="275"/>
      <c r="BE908" s="275"/>
      <c r="BF908" s="275"/>
      <c r="BH908" s="277"/>
    </row>
    <row r="909" spans="1:60" ht="16.5" hidden="1" customHeight="1" x14ac:dyDescent="0.3">
      <c r="A909" s="260">
        <v>887</v>
      </c>
      <c r="B909" s="261"/>
      <c r="C909" s="261"/>
      <c r="D909" s="262" t="s">
        <v>15</v>
      </c>
      <c r="E909" s="262" t="s">
        <v>277</v>
      </c>
      <c r="F909" s="263" t="s">
        <v>15</v>
      </c>
      <c r="G909" s="264" t="s">
        <v>277</v>
      </c>
      <c r="H909" s="281"/>
      <c r="I909" s="265"/>
      <c r="J909" s="266" t="s">
        <v>297</v>
      </c>
      <c r="K909" s="262"/>
      <c r="L909" s="262"/>
      <c r="M909" s="262">
        <v>43832</v>
      </c>
      <c r="N909" s="262" t="s">
        <v>22</v>
      </c>
      <c r="O909" s="262" t="s">
        <v>178</v>
      </c>
      <c r="P909" s="262"/>
      <c r="Q909" s="262" t="s">
        <v>18</v>
      </c>
      <c r="R909" s="262" t="s">
        <v>19</v>
      </c>
      <c r="S909" s="267" t="s">
        <v>822</v>
      </c>
      <c r="T909" s="268"/>
      <c r="U909" s="269">
        <v>2200000</v>
      </c>
      <c r="V909" s="269">
        <v>0</v>
      </c>
      <c r="W909" s="278">
        <v>0</v>
      </c>
      <c r="X909" s="270"/>
      <c r="Y909" s="262" t="s">
        <v>21</v>
      </c>
      <c r="Z909" s="271" t="s">
        <v>25</v>
      </c>
      <c r="AA909" s="287"/>
      <c r="AB909" s="287"/>
      <c r="AC909" s="272">
        <f t="shared" si="29"/>
        <v>2000000</v>
      </c>
      <c r="AD909" s="272">
        <v>2000000</v>
      </c>
      <c r="AE909" s="272">
        <f t="shared" si="30"/>
        <v>0</v>
      </c>
      <c r="AF909" s="273"/>
      <c r="AG909" s="274"/>
      <c r="AH909" s="273"/>
      <c r="AI909" s="273"/>
      <c r="AJ909" s="274"/>
      <c r="AK909" s="273"/>
      <c r="AL909" s="275"/>
      <c r="AM909" s="290"/>
      <c r="AN909" s="275"/>
      <c r="AO909" s="276"/>
      <c r="AP909" s="275"/>
      <c r="AQ909" s="275"/>
      <c r="AR909" s="275"/>
      <c r="AS909" s="275">
        <v>2000000</v>
      </c>
      <c r="AT909" s="275"/>
      <c r="AU909" s="275"/>
      <c r="AV909" s="275"/>
      <c r="AW909" s="275"/>
      <c r="AX909" s="275"/>
      <c r="AY909" s="275"/>
      <c r="AZ909" s="275"/>
      <c r="BA909" s="275"/>
      <c r="BB909" s="275"/>
      <c r="BC909" s="275"/>
      <c r="BD909" s="275"/>
      <c r="BE909" s="275"/>
      <c r="BF909" s="275"/>
      <c r="BH909" s="277"/>
    </row>
    <row r="910" spans="1:60" ht="16.5" hidden="1" customHeight="1" x14ac:dyDescent="0.3">
      <c r="A910" s="260">
        <v>888</v>
      </c>
      <c r="B910" s="261"/>
      <c r="C910" s="261"/>
      <c r="D910" s="262"/>
      <c r="E910" s="262"/>
      <c r="F910" s="263" t="s">
        <v>15</v>
      </c>
      <c r="G910" s="264" t="s">
        <v>277</v>
      </c>
      <c r="H910" s="281"/>
      <c r="I910" s="265"/>
      <c r="J910" s="266" t="s">
        <v>298</v>
      </c>
      <c r="K910" s="262"/>
      <c r="L910" s="262"/>
      <c r="M910" s="262">
        <v>13065</v>
      </c>
      <c r="N910" s="262" t="s">
        <v>22</v>
      </c>
      <c r="O910" s="262" t="s">
        <v>56</v>
      </c>
      <c r="P910" s="262" t="s">
        <v>124</v>
      </c>
      <c r="Q910" s="262" t="s">
        <v>44</v>
      </c>
      <c r="R910" s="262" t="s">
        <v>469</v>
      </c>
      <c r="S910" s="267" t="s">
        <v>469</v>
      </c>
      <c r="T910" s="268"/>
      <c r="U910" s="269"/>
      <c r="V910" s="269">
        <v>15000000</v>
      </c>
      <c r="W910" s="278">
        <v>0</v>
      </c>
      <c r="X910" s="270"/>
      <c r="Y910" s="262" t="s">
        <v>20</v>
      </c>
      <c r="Z910" s="271" t="s">
        <v>27</v>
      </c>
      <c r="AA910" s="287"/>
      <c r="AB910" s="287"/>
      <c r="AC910" s="272">
        <f t="shared" si="29"/>
        <v>30000000</v>
      </c>
      <c r="AD910" s="272">
        <v>30000000</v>
      </c>
      <c r="AE910" s="272">
        <f t="shared" si="30"/>
        <v>0</v>
      </c>
      <c r="AF910" s="273"/>
      <c r="AG910" s="274">
        <v>30000000</v>
      </c>
      <c r="AH910" s="273"/>
      <c r="AI910" s="273"/>
      <c r="AJ910" s="274"/>
      <c r="AK910" s="273"/>
      <c r="AL910" s="275"/>
      <c r="AM910" s="290"/>
      <c r="AN910" s="275"/>
      <c r="AO910" s="276"/>
      <c r="AP910" s="275"/>
      <c r="AQ910" s="275"/>
      <c r="AR910" s="275"/>
      <c r="AS910" s="275"/>
      <c r="AT910" s="275"/>
      <c r="AU910" s="275"/>
      <c r="AV910" s="275"/>
      <c r="AW910" s="275"/>
      <c r="AX910" s="275"/>
      <c r="AY910" s="275"/>
      <c r="AZ910" s="275"/>
      <c r="BA910" s="275"/>
      <c r="BB910" s="275"/>
      <c r="BC910" s="275"/>
      <c r="BD910" s="275"/>
      <c r="BE910" s="275"/>
      <c r="BF910" s="275"/>
      <c r="BH910" s="277"/>
    </row>
    <row r="911" spans="1:60" ht="16.5" hidden="1" customHeight="1" x14ac:dyDescent="0.3">
      <c r="A911" s="260">
        <v>889</v>
      </c>
      <c r="B911" s="261"/>
      <c r="C911" s="261"/>
      <c r="D911" s="262" t="s">
        <v>15</v>
      </c>
      <c r="E911" s="262" t="s">
        <v>277</v>
      </c>
      <c r="F911" s="263" t="s">
        <v>15</v>
      </c>
      <c r="G911" s="264" t="s">
        <v>277</v>
      </c>
      <c r="H911" s="281"/>
      <c r="I911" s="265"/>
      <c r="J911" s="266" t="s">
        <v>298</v>
      </c>
      <c r="K911" s="262"/>
      <c r="L911" s="262"/>
      <c r="M911" s="262">
        <v>13065</v>
      </c>
      <c r="N911" s="262"/>
      <c r="O911" s="262"/>
      <c r="P911" s="262"/>
      <c r="Q911" s="262"/>
      <c r="R911" s="262"/>
      <c r="S911" s="267" t="s">
        <v>478</v>
      </c>
      <c r="T911" s="268"/>
      <c r="U911" s="269"/>
      <c r="V911" s="269"/>
      <c r="W911" s="278">
        <v>20500000</v>
      </c>
      <c r="X911" s="270"/>
      <c r="Y911" s="262"/>
      <c r="Z911" s="271" t="s">
        <v>718</v>
      </c>
      <c r="AA911" s="287"/>
      <c r="AB911" s="287"/>
      <c r="AC911" s="272">
        <f t="shared" si="29"/>
        <v>0</v>
      </c>
      <c r="AD911" s="272">
        <v>0</v>
      </c>
      <c r="AE911" s="272">
        <f t="shared" si="30"/>
        <v>0</v>
      </c>
      <c r="AF911" s="273"/>
      <c r="AG911" s="274"/>
      <c r="AH911" s="273"/>
      <c r="AI911" s="273"/>
      <c r="AJ911" s="274"/>
      <c r="AK911" s="273"/>
      <c r="AL911" s="275"/>
      <c r="AM911" s="290"/>
      <c r="AN911" s="275"/>
      <c r="AO911" s="276"/>
      <c r="AP911" s="275"/>
      <c r="AQ911" s="275"/>
      <c r="AR911" s="275"/>
      <c r="AS911" s="275"/>
      <c r="AT911" s="275"/>
      <c r="AU911" s="275"/>
      <c r="AV911" s="275"/>
      <c r="AW911" s="275"/>
      <c r="AX911" s="275"/>
      <c r="AY911" s="275"/>
      <c r="AZ911" s="275"/>
      <c r="BA911" s="275"/>
      <c r="BB911" s="275"/>
      <c r="BC911" s="275"/>
      <c r="BD911" s="275"/>
      <c r="BE911" s="275"/>
      <c r="BF911" s="275"/>
      <c r="BH911" s="277"/>
    </row>
    <row r="912" spans="1:60" ht="16.5" hidden="1" customHeight="1" x14ac:dyDescent="0.3">
      <c r="A912" s="260">
        <v>890</v>
      </c>
      <c r="B912" s="261"/>
      <c r="C912" s="261"/>
      <c r="D912" s="262" t="s">
        <v>15</v>
      </c>
      <c r="E912" s="262" t="s">
        <v>277</v>
      </c>
      <c r="F912" s="263" t="s">
        <v>15</v>
      </c>
      <c r="G912" s="264" t="s">
        <v>277</v>
      </c>
      <c r="H912" s="281"/>
      <c r="I912" s="265"/>
      <c r="J912" s="266" t="s">
        <v>298</v>
      </c>
      <c r="K912" s="262"/>
      <c r="L912" s="262"/>
      <c r="M912" s="262">
        <v>13065</v>
      </c>
      <c r="N912" s="262" t="s">
        <v>22</v>
      </c>
      <c r="O912" s="262" t="s">
        <v>35</v>
      </c>
      <c r="P912" s="262"/>
      <c r="Q912" s="262"/>
      <c r="R912" s="262"/>
      <c r="S912" s="267" t="s">
        <v>822</v>
      </c>
      <c r="T912" s="268"/>
      <c r="U912" s="269"/>
      <c r="V912" s="269"/>
      <c r="W912" s="278">
        <v>0</v>
      </c>
      <c r="X912" s="270"/>
      <c r="Y912" s="262"/>
      <c r="Z912" s="271" t="s">
        <v>25</v>
      </c>
      <c r="AA912" s="287"/>
      <c r="AB912" s="287"/>
      <c r="AC912" s="272">
        <f t="shared" si="29"/>
        <v>0</v>
      </c>
      <c r="AD912" s="272">
        <v>0</v>
      </c>
      <c r="AE912" s="272">
        <f t="shared" si="30"/>
        <v>0</v>
      </c>
      <c r="AF912" s="273"/>
      <c r="AG912" s="274"/>
      <c r="AH912" s="273"/>
      <c r="AI912" s="273"/>
      <c r="AJ912" s="274"/>
      <c r="AK912" s="273"/>
      <c r="AL912" s="275"/>
      <c r="AM912" s="290"/>
      <c r="AN912" s="275"/>
      <c r="AO912" s="276"/>
      <c r="AP912" s="275"/>
      <c r="AQ912" s="275"/>
      <c r="AR912" s="275"/>
      <c r="AS912" s="275"/>
      <c r="AT912" s="275"/>
      <c r="AU912" s="275"/>
      <c r="AV912" s="275"/>
      <c r="AW912" s="275"/>
      <c r="AX912" s="275"/>
      <c r="AY912" s="275"/>
      <c r="AZ912" s="275"/>
      <c r="BA912" s="275"/>
      <c r="BB912" s="275"/>
      <c r="BC912" s="275"/>
      <c r="BD912" s="275"/>
      <c r="BE912" s="275"/>
      <c r="BF912" s="275"/>
      <c r="BH912" s="277"/>
    </row>
    <row r="913" spans="1:60" ht="16.5" hidden="1" customHeight="1" x14ac:dyDescent="0.3">
      <c r="A913" s="260">
        <v>891</v>
      </c>
      <c r="B913" s="261"/>
      <c r="C913" s="261"/>
      <c r="D913" s="262" t="s">
        <v>15</v>
      </c>
      <c r="E913" s="262" t="s">
        <v>277</v>
      </c>
      <c r="F913" s="263" t="s">
        <v>15</v>
      </c>
      <c r="G913" s="264" t="s">
        <v>277</v>
      </c>
      <c r="H913" s="281"/>
      <c r="I913" s="265"/>
      <c r="J913" s="266" t="s">
        <v>298</v>
      </c>
      <c r="K913" s="262"/>
      <c r="L913" s="262"/>
      <c r="M913" s="262">
        <v>13065</v>
      </c>
      <c r="N913" s="262" t="s">
        <v>22</v>
      </c>
      <c r="O913" s="262" t="s">
        <v>56</v>
      </c>
      <c r="P913" s="262"/>
      <c r="Q913" s="262" t="s">
        <v>23</v>
      </c>
      <c r="R913" s="262" t="s">
        <v>397</v>
      </c>
      <c r="S913" s="267" t="s">
        <v>823</v>
      </c>
      <c r="T913" s="268"/>
      <c r="U913" s="269">
        <v>50000000</v>
      </c>
      <c r="V913" s="269">
        <v>40450000</v>
      </c>
      <c r="W913" s="278">
        <v>15000000</v>
      </c>
      <c r="X913" s="270"/>
      <c r="Y913" s="262" t="s">
        <v>27</v>
      </c>
      <c r="Z913" s="271" t="s">
        <v>27</v>
      </c>
      <c r="AA913" s="287"/>
      <c r="AB913" s="287"/>
      <c r="AC913" s="272">
        <f t="shared" si="29"/>
        <v>10000000</v>
      </c>
      <c r="AD913" s="272">
        <v>10000000</v>
      </c>
      <c r="AE913" s="272">
        <f t="shared" si="30"/>
        <v>0</v>
      </c>
      <c r="AF913" s="273"/>
      <c r="AG913" s="274">
        <v>10000000</v>
      </c>
      <c r="AH913" s="273"/>
      <c r="AI913" s="273"/>
      <c r="AJ913" s="274"/>
      <c r="AK913" s="273"/>
      <c r="AL913" s="275"/>
      <c r="AM913" s="290"/>
      <c r="AN913" s="275"/>
      <c r="AO913" s="276"/>
      <c r="AP913" s="275"/>
      <c r="AQ913" s="275"/>
      <c r="AR913" s="275"/>
      <c r="AS913" s="275"/>
      <c r="AT913" s="275"/>
      <c r="AU913" s="275"/>
      <c r="AV913" s="275"/>
      <c r="AW913" s="275"/>
      <c r="AX913" s="275"/>
      <c r="AY913" s="275"/>
      <c r="AZ913" s="275"/>
      <c r="BA913" s="275"/>
      <c r="BB913" s="275"/>
      <c r="BC913" s="275"/>
      <c r="BD913" s="275"/>
      <c r="BE913" s="275"/>
      <c r="BF913" s="275"/>
      <c r="BH913" s="277"/>
    </row>
    <row r="914" spans="1:60" ht="16.5" hidden="1" customHeight="1" x14ac:dyDescent="0.3">
      <c r="A914" s="260">
        <v>892</v>
      </c>
      <c r="B914" s="261"/>
      <c r="C914" s="261"/>
      <c r="D914" s="262" t="s">
        <v>15</v>
      </c>
      <c r="E914" s="262" t="s">
        <v>277</v>
      </c>
      <c r="F914" s="263" t="s">
        <v>15</v>
      </c>
      <c r="G914" s="264" t="s">
        <v>277</v>
      </c>
      <c r="H914" s="281"/>
      <c r="I914" s="265"/>
      <c r="J914" s="266" t="s">
        <v>299</v>
      </c>
      <c r="K914" s="262"/>
      <c r="L914" s="262"/>
      <c r="M914" s="262">
        <v>41214</v>
      </c>
      <c r="N914" s="262" t="s">
        <v>22</v>
      </c>
      <c r="O914" s="262" t="s">
        <v>56</v>
      </c>
      <c r="P914" s="262" t="s">
        <v>57</v>
      </c>
      <c r="Q914" s="262" t="s">
        <v>46</v>
      </c>
      <c r="R914" s="262" t="s">
        <v>47</v>
      </c>
      <c r="S914" s="267" t="s">
        <v>47</v>
      </c>
      <c r="T914" s="268"/>
      <c r="U914" s="269">
        <v>30258000</v>
      </c>
      <c r="V914" s="269">
        <v>18028000</v>
      </c>
      <c r="W914" s="278">
        <v>0</v>
      </c>
      <c r="X914" s="270"/>
      <c r="Y914" s="262" t="s">
        <v>74</v>
      </c>
      <c r="Z914" s="271" t="s">
        <v>20</v>
      </c>
      <c r="AA914" s="287"/>
      <c r="AB914" s="287"/>
      <c r="AC914" s="272">
        <f t="shared" si="29"/>
        <v>0</v>
      </c>
      <c r="AD914" s="272">
        <v>0</v>
      </c>
      <c r="AE914" s="272">
        <f t="shared" si="30"/>
        <v>0</v>
      </c>
      <c r="AF914" s="273"/>
      <c r="AG914" s="274"/>
      <c r="AH914" s="273"/>
      <c r="AI914" s="273"/>
      <c r="AJ914" s="274"/>
      <c r="AK914" s="273"/>
      <c r="AL914" s="275"/>
      <c r="AM914" s="290"/>
      <c r="AN914" s="275"/>
      <c r="AO914" s="276"/>
      <c r="AP914" s="275"/>
      <c r="AQ914" s="275"/>
      <c r="AR914" s="275"/>
      <c r="AS914" s="275"/>
      <c r="AT914" s="275"/>
      <c r="AU914" s="275"/>
      <c r="AV914" s="275"/>
      <c r="AW914" s="275"/>
      <c r="AX914" s="275"/>
      <c r="AY914" s="275"/>
      <c r="AZ914" s="275"/>
      <c r="BA914" s="275"/>
      <c r="BB914" s="275"/>
      <c r="BC914" s="275"/>
      <c r="BD914" s="275"/>
      <c r="BE914" s="275"/>
      <c r="BF914" s="275"/>
      <c r="BH914" s="277"/>
    </row>
    <row r="915" spans="1:60" ht="16.5" hidden="1" customHeight="1" x14ac:dyDescent="0.3">
      <c r="A915" s="260">
        <v>893</v>
      </c>
      <c r="B915" s="261"/>
      <c r="C915" s="261"/>
      <c r="D915" s="262" t="s">
        <v>15</v>
      </c>
      <c r="E915" s="262" t="s">
        <v>277</v>
      </c>
      <c r="F915" s="263" t="s">
        <v>15</v>
      </c>
      <c r="G915" s="264" t="s">
        <v>277</v>
      </c>
      <c r="H915" s="281"/>
      <c r="I915" s="265"/>
      <c r="J915" s="266" t="s">
        <v>621</v>
      </c>
      <c r="K915" s="262"/>
      <c r="L915" s="262"/>
      <c r="M915" s="262">
        <v>49426</v>
      </c>
      <c r="N915" s="262" t="s">
        <v>22</v>
      </c>
      <c r="O915" s="262" t="s">
        <v>212</v>
      </c>
      <c r="P915" s="262"/>
      <c r="Q915" s="262"/>
      <c r="R915" s="262" t="s">
        <v>47</v>
      </c>
      <c r="S915" s="267" t="s">
        <v>47</v>
      </c>
      <c r="T915" s="268"/>
      <c r="U915" s="269"/>
      <c r="V915" s="269">
        <v>0</v>
      </c>
      <c r="W915" s="278">
        <v>900000</v>
      </c>
      <c r="X915" s="270"/>
      <c r="Y915" s="262" t="s">
        <v>27</v>
      </c>
      <c r="Z915" s="271" t="s">
        <v>27</v>
      </c>
      <c r="AA915" s="287"/>
      <c r="AB915" s="287"/>
      <c r="AC915" s="272">
        <f t="shared" si="29"/>
        <v>900000</v>
      </c>
      <c r="AD915" s="272">
        <v>900000</v>
      </c>
      <c r="AE915" s="272">
        <f t="shared" si="30"/>
        <v>0</v>
      </c>
      <c r="AF915" s="273"/>
      <c r="AG915" s="274">
        <v>900000</v>
      </c>
      <c r="AH915" s="273"/>
      <c r="AI915" s="273"/>
      <c r="AJ915" s="274"/>
      <c r="AK915" s="273"/>
      <c r="AL915" s="275"/>
      <c r="AM915" s="290"/>
      <c r="AN915" s="275"/>
      <c r="AO915" s="276"/>
      <c r="AP915" s="275"/>
      <c r="AQ915" s="275"/>
      <c r="AR915" s="275"/>
      <c r="AS915" s="275"/>
      <c r="AT915" s="275"/>
      <c r="AU915" s="275"/>
      <c r="AV915" s="275"/>
      <c r="AW915" s="275"/>
      <c r="AX915" s="275"/>
      <c r="AY915" s="275"/>
      <c r="AZ915" s="275"/>
      <c r="BA915" s="275"/>
      <c r="BB915" s="275"/>
      <c r="BC915" s="275"/>
      <c r="BD915" s="275"/>
      <c r="BE915" s="275"/>
      <c r="BF915" s="275"/>
      <c r="BH915" s="277"/>
    </row>
    <row r="916" spans="1:60" ht="16.5" hidden="1" customHeight="1" x14ac:dyDescent="0.3">
      <c r="A916" s="260">
        <v>894</v>
      </c>
      <c r="B916" s="261"/>
      <c r="C916" s="261"/>
      <c r="D916" s="262" t="s">
        <v>15</v>
      </c>
      <c r="E916" s="262" t="s">
        <v>277</v>
      </c>
      <c r="F916" s="263" t="s">
        <v>15</v>
      </c>
      <c r="G916" s="264" t="s">
        <v>277</v>
      </c>
      <c r="H916" s="281"/>
      <c r="I916" s="265"/>
      <c r="J916" s="266" t="s">
        <v>300</v>
      </c>
      <c r="K916" s="262"/>
      <c r="L916" s="262"/>
      <c r="M916" s="262">
        <v>45117</v>
      </c>
      <c r="N916" s="262" t="s">
        <v>22</v>
      </c>
      <c r="O916" s="262" t="s">
        <v>56</v>
      </c>
      <c r="P916" s="262"/>
      <c r="Q916" s="262" t="s">
        <v>18</v>
      </c>
      <c r="R916" s="262" t="s">
        <v>19</v>
      </c>
      <c r="S916" s="267" t="s">
        <v>19</v>
      </c>
      <c r="T916" s="268"/>
      <c r="U916" s="269">
        <v>4260000</v>
      </c>
      <c r="V916" s="269">
        <v>0</v>
      </c>
      <c r="W916" s="278">
        <v>0</v>
      </c>
      <c r="X916" s="270"/>
      <c r="Y916" s="262" t="s">
        <v>21</v>
      </c>
      <c r="Z916" s="271" t="s">
        <v>21</v>
      </c>
      <c r="AA916" s="287"/>
      <c r="AB916" s="287"/>
      <c r="AC916" s="272">
        <f t="shared" si="29"/>
        <v>0</v>
      </c>
      <c r="AD916" s="272">
        <v>0</v>
      </c>
      <c r="AE916" s="272">
        <f t="shared" si="30"/>
        <v>0</v>
      </c>
      <c r="AF916" s="273"/>
      <c r="AG916" s="274"/>
      <c r="AH916" s="273"/>
      <c r="AI916" s="273"/>
      <c r="AJ916" s="274"/>
      <c r="AK916" s="273"/>
      <c r="AL916" s="275"/>
      <c r="AM916" s="290"/>
      <c r="AN916" s="275"/>
      <c r="AO916" s="276"/>
      <c r="AP916" s="275"/>
      <c r="AQ916" s="275"/>
      <c r="AR916" s="275"/>
      <c r="AS916" s="275"/>
      <c r="AT916" s="275"/>
      <c r="AU916" s="275"/>
      <c r="AV916" s="275"/>
      <c r="AW916" s="275"/>
      <c r="AX916" s="275"/>
      <c r="AY916" s="275"/>
      <c r="AZ916" s="275"/>
      <c r="BA916" s="275"/>
      <c r="BB916" s="275"/>
      <c r="BC916" s="275"/>
      <c r="BD916" s="275"/>
      <c r="BE916" s="275"/>
      <c r="BF916" s="275"/>
      <c r="BH916" s="277"/>
    </row>
    <row r="917" spans="1:60" ht="16.5" hidden="1" customHeight="1" x14ac:dyDescent="0.3">
      <c r="A917" s="260">
        <v>895</v>
      </c>
      <c r="B917" s="261"/>
      <c r="C917" s="261"/>
      <c r="D917" s="262" t="s">
        <v>15</v>
      </c>
      <c r="E917" s="262" t="s">
        <v>277</v>
      </c>
      <c r="F917" s="263" t="s">
        <v>15</v>
      </c>
      <c r="G917" s="264" t="s">
        <v>277</v>
      </c>
      <c r="H917" s="281"/>
      <c r="I917" s="265"/>
      <c r="J917" s="266" t="s">
        <v>300</v>
      </c>
      <c r="K917" s="262"/>
      <c r="L917" s="262"/>
      <c r="M917" s="262">
        <v>45117</v>
      </c>
      <c r="N917" s="262" t="s">
        <v>22</v>
      </c>
      <c r="O917" s="262" t="s">
        <v>56</v>
      </c>
      <c r="P917" s="262"/>
      <c r="Q917" s="262" t="s">
        <v>30</v>
      </c>
      <c r="R917" s="262" t="s">
        <v>31</v>
      </c>
      <c r="S917" s="267" t="s">
        <v>31</v>
      </c>
      <c r="T917" s="268"/>
      <c r="U917" s="269"/>
      <c r="V917" s="269">
        <v>3290000</v>
      </c>
      <c r="W917" s="278">
        <v>3740000</v>
      </c>
      <c r="X917" s="270"/>
      <c r="Y917" s="262" t="s">
        <v>24</v>
      </c>
      <c r="Z917" s="271" t="s">
        <v>24</v>
      </c>
      <c r="AA917" s="287"/>
      <c r="AB917" s="287"/>
      <c r="AC917" s="272">
        <f t="shared" si="29"/>
        <v>3000000</v>
      </c>
      <c r="AD917" s="272">
        <v>3000000</v>
      </c>
      <c r="AE917" s="272">
        <f t="shared" si="30"/>
        <v>0</v>
      </c>
      <c r="AF917" s="273"/>
      <c r="AG917" s="274"/>
      <c r="AH917" s="273"/>
      <c r="AI917" s="273"/>
      <c r="AJ917" s="274"/>
      <c r="AK917" s="273"/>
      <c r="AL917" s="275"/>
      <c r="AM917" s="290"/>
      <c r="AN917" s="275"/>
      <c r="AO917" s="276"/>
      <c r="AP917" s="275"/>
      <c r="AQ917" s="275">
        <v>3000000</v>
      </c>
      <c r="AR917" s="275"/>
      <c r="AS917" s="275"/>
      <c r="AT917" s="275"/>
      <c r="AU917" s="275"/>
      <c r="AV917" s="275"/>
      <c r="AW917" s="275"/>
      <c r="AX917" s="275"/>
      <c r="AY917" s="275"/>
      <c r="AZ917" s="275"/>
      <c r="BA917" s="275"/>
      <c r="BB917" s="275"/>
      <c r="BC917" s="275"/>
      <c r="BD917" s="275"/>
      <c r="BE917" s="275"/>
      <c r="BF917" s="275"/>
      <c r="BH917" s="277"/>
    </row>
    <row r="918" spans="1:60" ht="16.5" hidden="1" customHeight="1" x14ac:dyDescent="0.3">
      <c r="A918" s="260">
        <v>896</v>
      </c>
      <c r="B918" s="261"/>
      <c r="C918" s="261"/>
      <c r="D918" s="262" t="s">
        <v>15</v>
      </c>
      <c r="E918" s="262" t="s">
        <v>277</v>
      </c>
      <c r="F918" s="263" t="s">
        <v>15</v>
      </c>
      <c r="G918" s="264" t="s">
        <v>277</v>
      </c>
      <c r="H918" s="281"/>
      <c r="I918" s="265"/>
      <c r="J918" s="266" t="s">
        <v>300</v>
      </c>
      <c r="K918" s="262"/>
      <c r="L918" s="262"/>
      <c r="M918" s="262">
        <v>45117</v>
      </c>
      <c r="N918" s="262" t="s">
        <v>53</v>
      </c>
      <c r="O918" s="262" t="s">
        <v>56</v>
      </c>
      <c r="P918" s="262" t="s">
        <v>57</v>
      </c>
      <c r="Q918" s="262" t="s">
        <v>46</v>
      </c>
      <c r="R918" s="262" t="s">
        <v>47</v>
      </c>
      <c r="S918" s="267" t="s">
        <v>47</v>
      </c>
      <c r="T918" s="268"/>
      <c r="U918" s="269">
        <v>540000</v>
      </c>
      <c r="V918" s="269">
        <v>0</v>
      </c>
      <c r="W918" s="278">
        <v>0</v>
      </c>
      <c r="X918" s="270"/>
      <c r="Y918" s="262" t="s">
        <v>24</v>
      </c>
      <c r="Z918" s="271" t="s">
        <v>21</v>
      </c>
      <c r="AA918" s="287"/>
      <c r="AB918" s="287"/>
      <c r="AC918" s="272">
        <f t="shared" si="29"/>
        <v>0</v>
      </c>
      <c r="AD918" s="272">
        <v>0</v>
      </c>
      <c r="AE918" s="272">
        <f t="shared" si="30"/>
        <v>0</v>
      </c>
      <c r="AF918" s="273"/>
      <c r="AG918" s="274"/>
      <c r="AH918" s="273"/>
      <c r="AI918" s="273"/>
      <c r="AJ918" s="274"/>
      <c r="AK918" s="273"/>
      <c r="AL918" s="275"/>
      <c r="AM918" s="290"/>
      <c r="AN918" s="275"/>
      <c r="AO918" s="276"/>
      <c r="AP918" s="275"/>
      <c r="AQ918" s="275"/>
      <c r="AR918" s="275"/>
      <c r="AS918" s="275"/>
      <c r="AT918" s="275"/>
      <c r="AU918" s="275"/>
      <c r="AV918" s="275"/>
      <c r="AW918" s="275"/>
      <c r="AX918" s="275"/>
      <c r="AY918" s="275"/>
      <c r="AZ918" s="275"/>
      <c r="BA918" s="275"/>
      <c r="BB918" s="275"/>
      <c r="BC918" s="275"/>
      <c r="BD918" s="275"/>
      <c r="BE918" s="275"/>
      <c r="BF918" s="275"/>
      <c r="BH918" s="277"/>
    </row>
    <row r="919" spans="1:60" ht="16.5" hidden="1" customHeight="1" x14ac:dyDescent="0.3">
      <c r="A919" s="260">
        <v>897</v>
      </c>
      <c r="B919" s="261"/>
      <c r="C919" s="261"/>
      <c r="D919" s="262"/>
      <c r="E919" s="262"/>
      <c r="F919" s="263" t="s">
        <v>15</v>
      </c>
      <c r="G919" s="264" t="s">
        <v>277</v>
      </c>
      <c r="H919" s="281"/>
      <c r="I919" s="265"/>
      <c r="J919" s="266" t="s">
        <v>300</v>
      </c>
      <c r="K919" s="262"/>
      <c r="L919" s="262"/>
      <c r="M919" s="262">
        <v>45117</v>
      </c>
      <c r="N919" s="262" t="s">
        <v>22</v>
      </c>
      <c r="O919" s="262" t="s">
        <v>56</v>
      </c>
      <c r="P919" s="262"/>
      <c r="Q919" s="262" t="s">
        <v>23</v>
      </c>
      <c r="R919" s="262" t="s">
        <v>397</v>
      </c>
      <c r="S919" s="267" t="s">
        <v>823</v>
      </c>
      <c r="T919" s="268"/>
      <c r="U919" s="269"/>
      <c r="V919" s="269">
        <v>0</v>
      </c>
      <c r="W919" s="278">
        <v>0</v>
      </c>
      <c r="X919" s="270"/>
      <c r="Y919" s="262" t="s">
        <v>24</v>
      </c>
      <c r="Z919" s="271" t="s">
        <v>25</v>
      </c>
      <c r="AA919" s="287"/>
      <c r="AB919" s="287"/>
      <c r="AC919" s="272">
        <f t="shared" ref="AC919:AC982" si="31">AG919+AJ919+AM919+AO919+AQ919+AS919+AU919+AW919+AY919+BA919+BC919+BE919</f>
        <v>3000000</v>
      </c>
      <c r="AD919" s="272">
        <v>3000000</v>
      </c>
      <c r="AE919" s="272">
        <f t="shared" ref="AE919:AE982" si="32">AC919-AD919</f>
        <v>0</v>
      </c>
      <c r="AF919" s="273"/>
      <c r="AG919" s="274"/>
      <c r="AH919" s="273"/>
      <c r="AI919" s="273"/>
      <c r="AJ919" s="274"/>
      <c r="AK919" s="273"/>
      <c r="AL919" s="275"/>
      <c r="AM919" s="290"/>
      <c r="AN919" s="275"/>
      <c r="AO919" s="276"/>
      <c r="AP919" s="275"/>
      <c r="AQ919" s="275">
        <v>3000000</v>
      </c>
      <c r="AR919" s="275"/>
      <c r="AS919" s="275"/>
      <c r="AT919" s="275"/>
      <c r="AU919" s="275"/>
      <c r="AV919" s="275"/>
      <c r="AW919" s="275"/>
      <c r="AX919" s="275"/>
      <c r="AY919" s="275"/>
      <c r="AZ919" s="275"/>
      <c r="BA919" s="275"/>
      <c r="BB919" s="275"/>
      <c r="BC919" s="275"/>
      <c r="BD919" s="275"/>
      <c r="BE919" s="275"/>
      <c r="BF919" s="275"/>
      <c r="BH919" s="277"/>
    </row>
    <row r="920" spans="1:60" ht="16.5" hidden="1" customHeight="1" x14ac:dyDescent="0.3">
      <c r="A920" s="260">
        <v>898</v>
      </c>
      <c r="B920" s="261"/>
      <c r="C920" s="261"/>
      <c r="D920" s="262" t="s">
        <v>15</v>
      </c>
      <c r="E920" s="262" t="s">
        <v>277</v>
      </c>
      <c r="F920" s="263" t="s">
        <v>15</v>
      </c>
      <c r="G920" s="264" t="s">
        <v>277</v>
      </c>
      <c r="H920" s="281"/>
      <c r="I920" s="265"/>
      <c r="J920" s="266" t="s">
        <v>301</v>
      </c>
      <c r="K920" s="262"/>
      <c r="L920" s="262"/>
      <c r="M920" s="262">
        <v>28603</v>
      </c>
      <c r="N920" s="262" t="s">
        <v>22</v>
      </c>
      <c r="O920" s="262" t="s">
        <v>56</v>
      </c>
      <c r="P920" s="262" t="s">
        <v>57</v>
      </c>
      <c r="Q920" s="262" t="s">
        <v>46</v>
      </c>
      <c r="R920" s="262" t="s">
        <v>47</v>
      </c>
      <c r="S920" s="267" t="s">
        <v>47</v>
      </c>
      <c r="T920" s="268"/>
      <c r="U920" s="269">
        <v>25500000</v>
      </c>
      <c r="V920" s="269">
        <v>25500000</v>
      </c>
      <c r="W920" s="278">
        <v>25500000</v>
      </c>
      <c r="X920" s="270"/>
      <c r="Y920" s="262" t="s">
        <v>24</v>
      </c>
      <c r="Z920" s="271" t="s">
        <v>24</v>
      </c>
      <c r="AA920" s="287"/>
      <c r="AB920" s="287"/>
      <c r="AC920" s="272">
        <f t="shared" si="31"/>
        <v>25500000</v>
      </c>
      <c r="AD920" s="272">
        <v>25500000</v>
      </c>
      <c r="AE920" s="272">
        <f t="shared" si="32"/>
        <v>0</v>
      </c>
      <c r="AF920" s="273"/>
      <c r="AG920" s="274"/>
      <c r="AH920" s="273"/>
      <c r="AI920" s="273"/>
      <c r="AJ920" s="274"/>
      <c r="AK920" s="273"/>
      <c r="AL920" s="275"/>
      <c r="AM920" s="290"/>
      <c r="AN920" s="275"/>
      <c r="AO920" s="276"/>
      <c r="AP920" s="275"/>
      <c r="AQ920" s="275"/>
      <c r="AR920" s="275"/>
      <c r="AS920" s="275"/>
      <c r="AT920" s="275"/>
      <c r="AU920" s="275"/>
      <c r="AV920" s="275"/>
      <c r="AW920" s="275">
        <v>5100000</v>
      </c>
      <c r="AX920" s="275"/>
      <c r="AY920" s="275">
        <v>5100000</v>
      </c>
      <c r="AZ920" s="275"/>
      <c r="BA920" s="275">
        <v>5100000</v>
      </c>
      <c r="BB920" s="275"/>
      <c r="BC920" s="275">
        <v>5100000</v>
      </c>
      <c r="BD920" s="275"/>
      <c r="BE920" s="275">
        <v>5100000</v>
      </c>
      <c r="BF920" s="275"/>
      <c r="BH920" s="277"/>
    </row>
    <row r="921" spans="1:60" ht="16.5" hidden="1" customHeight="1" x14ac:dyDescent="0.3">
      <c r="A921" s="260">
        <v>899</v>
      </c>
      <c r="B921" s="261"/>
      <c r="C921" s="261"/>
      <c r="D921" s="262" t="s">
        <v>15</v>
      </c>
      <c r="E921" s="262" t="s">
        <v>277</v>
      </c>
      <c r="F921" s="263" t="s">
        <v>15</v>
      </c>
      <c r="G921" s="264" t="s">
        <v>277</v>
      </c>
      <c r="H921" s="281"/>
      <c r="I921" s="265"/>
      <c r="J921" s="266" t="s">
        <v>301</v>
      </c>
      <c r="K921" s="262"/>
      <c r="L921" s="262"/>
      <c r="M921" s="262"/>
      <c r="N921" s="262"/>
      <c r="O921" s="262" t="s">
        <v>35</v>
      </c>
      <c r="P921" s="262"/>
      <c r="Q921" s="262"/>
      <c r="R921" s="262"/>
      <c r="S921" s="267" t="s">
        <v>469</v>
      </c>
      <c r="T921" s="268"/>
      <c r="U921" s="269"/>
      <c r="V921" s="269"/>
      <c r="W921" s="278">
        <v>0</v>
      </c>
      <c r="X921" s="270"/>
      <c r="Y921" s="262"/>
      <c r="Z921" s="271" t="s">
        <v>25</v>
      </c>
      <c r="AA921" s="287"/>
      <c r="AB921" s="287"/>
      <c r="AC921" s="272">
        <f t="shared" si="31"/>
        <v>50000000</v>
      </c>
      <c r="AD921" s="272">
        <v>50000000</v>
      </c>
      <c r="AE921" s="272">
        <f t="shared" si="32"/>
        <v>0</v>
      </c>
      <c r="AF921" s="273"/>
      <c r="AG921" s="274"/>
      <c r="AH921" s="273"/>
      <c r="AI921" s="273"/>
      <c r="AJ921" s="274"/>
      <c r="AK921" s="273"/>
      <c r="AL921" s="275"/>
      <c r="AM921" s="290"/>
      <c r="AN921" s="275"/>
      <c r="AO921" s="276"/>
      <c r="AP921" s="275"/>
      <c r="AQ921" s="275">
        <v>50000000</v>
      </c>
      <c r="AR921" s="275"/>
      <c r="AS921" s="275"/>
      <c r="AT921" s="275"/>
      <c r="AU921" s="275"/>
      <c r="AV921" s="275"/>
      <c r="AW921" s="275"/>
      <c r="AX921" s="275"/>
      <c r="AY921" s="275"/>
      <c r="AZ921" s="275"/>
      <c r="BA921" s="275"/>
      <c r="BB921" s="275"/>
      <c r="BC921" s="275"/>
      <c r="BD921" s="275"/>
      <c r="BE921" s="275"/>
      <c r="BF921" s="275"/>
      <c r="BH921" s="277"/>
    </row>
    <row r="922" spans="1:60" ht="16.5" hidden="1" customHeight="1" x14ac:dyDescent="0.3">
      <c r="A922" s="260">
        <v>900</v>
      </c>
      <c r="B922" s="261"/>
      <c r="C922" s="261"/>
      <c r="D922" s="262" t="s">
        <v>15</v>
      </c>
      <c r="E922" s="262" t="s">
        <v>277</v>
      </c>
      <c r="F922" s="263" t="s">
        <v>15</v>
      </c>
      <c r="G922" s="264" t="s">
        <v>277</v>
      </c>
      <c r="H922" s="281"/>
      <c r="I922" s="265"/>
      <c r="J922" s="266" t="s">
        <v>302</v>
      </c>
      <c r="K922" s="262"/>
      <c r="L922" s="262"/>
      <c r="M922" s="262">
        <v>16700</v>
      </c>
      <c r="N922" s="262" t="s">
        <v>22</v>
      </c>
      <c r="O922" s="262" t="s">
        <v>56</v>
      </c>
      <c r="P922" s="262"/>
      <c r="Q922" s="262" t="s">
        <v>30</v>
      </c>
      <c r="R922" s="262" t="s">
        <v>31</v>
      </c>
      <c r="S922" s="267" t="s">
        <v>31</v>
      </c>
      <c r="T922" s="268"/>
      <c r="U922" s="269">
        <v>17942000</v>
      </c>
      <c r="V922" s="269">
        <v>20616000</v>
      </c>
      <c r="W922" s="278">
        <v>24426000</v>
      </c>
      <c r="X922" s="270"/>
      <c r="Y922" s="262" t="s">
        <v>27</v>
      </c>
      <c r="Z922" s="271" t="s">
        <v>24</v>
      </c>
      <c r="AA922" s="287"/>
      <c r="AB922" s="287"/>
      <c r="AC922" s="272">
        <f t="shared" si="31"/>
        <v>20000000</v>
      </c>
      <c r="AD922" s="272">
        <v>20000000</v>
      </c>
      <c r="AE922" s="272">
        <f t="shared" si="32"/>
        <v>0</v>
      </c>
      <c r="AF922" s="273"/>
      <c r="AG922" s="274"/>
      <c r="AH922" s="273"/>
      <c r="AI922" s="273"/>
      <c r="AJ922" s="274"/>
      <c r="AK922" s="273"/>
      <c r="AL922" s="275"/>
      <c r="AM922" s="290"/>
      <c r="AN922" s="275"/>
      <c r="AO922" s="276"/>
      <c r="AP922" s="275"/>
      <c r="AQ922" s="275"/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>
        <v>20000000</v>
      </c>
      <c r="BF922" s="275"/>
      <c r="BH922" s="277"/>
    </row>
    <row r="923" spans="1:60" ht="16.5" hidden="1" customHeight="1" x14ac:dyDescent="0.3">
      <c r="A923" s="260">
        <v>901</v>
      </c>
      <c r="B923" s="261"/>
      <c r="C923" s="261"/>
      <c r="D923" s="262" t="s">
        <v>15</v>
      </c>
      <c r="E923" s="262" t="s">
        <v>277</v>
      </c>
      <c r="F923" s="263" t="s">
        <v>15</v>
      </c>
      <c r="G923" s="264" t="s">
        <v>277</v>
      </c>
      <c r="H923" s="281"/>
      <c r="I923" s="265"/>
      <c r="J923" s="266" t="s">
        <v>302</v>
      </c>
      <c r="K923" s="262"/>
      <c r="L923" s="262"/>
      <c r="M923" s="262">
        <v>16700</v>
      </c>
      <c r="N923" s="262" t="s">
        <v>22</v>
      </c>
      <c r="O923" s="262" t="s">
        <v>56</v>
      </c>
      <c r="P923" s="262"/>
      <c r="Q923" s="262" t="s">
        <v>30</v>
      </c>
      <c r="R923" s="262" t="s">
        <v>31</v>
      </c>
      <c r="S923" s="267" t="s">
        <v>31</v>
      </c>
      <c r="T923" s="268"/>
      <c r="U923" s="269"/>
      <c r="V923" s="269">
        <v>0</v>
      </c>
      <c r="W923" s="278">
        <v>0</v>
      </c>
      <c r="X923" s="270"/>
      <c r="Y923" s="262" t="s">
        <v>24</v>
      </c>
      <c r="Z923" s="271" t="s">
        <v>562</v>
      </c>
      <c r="AA923" s="287"/>
      <c r="AB923" s="287"/>
      <c r="AC923" s="272">
        <f t="shared" si="31"/>
        <v>0</v>
      </c>
      <c r="AD923" s="272">
        <v>0</v>
      </c>
      <c r="AE923" s="272">
        <f t="shared" si="32"/>
        <v>0</v>
      </c>
      <c r="AF923" s="273"/>
      <c r="AG923" s="274"/>
      <c r="AH923" s="273"/>
      <c r="AI923" s="273"/>
      <c r="AJ923" s="274"/>
      <c r="AK923" s="273"/>
      <c r="AL923" s="275"/>
      <c r="AM923" s="290"/>
      <c r="AN923" s="275"/>
      <c r="AO923" s="276"/>
      <c r="AP923" s="275"/>
      <c r="AQ923" s="275"/>
      <c r="AR923" s="275"/>
      <c r="AS923" s="275"/>
      <c r="AT923" s="275"/>
      <c r="AU923" s="275"/>
      <c r="AV923" s="275"/>
      <c r="AW923" s="275"/>
      <c r="AX923" s="275"/>
      <c r="AY923" s="275"/>
      <c r="AZ923" s="275"/>
      <c r="BA923" s="275"/>
      <c r="BB923" s="275"/>
      <c r="BC923" s="275"/>
      <c r="BD923" s="275"/>
      <c r="BE923" s="275"/>
      <c r="BF923" s="275"/>
      <c r="BH923" s="277"/>
    </row>
    <row r="924" spans="1:60" ht="16.5" hidden="1" customHeight="1" x14ac:dyDescent="0.3">
      <c r="A924" s="260">
        <v>902</v>
      </c>
      <c r="B924" s="261"/>
      <c r="C924" s="261"/>
      <c r="D924" s="262" t="s">
        <v>15</v>
      </c>
      <c r="E924" s="262" t="s">
        <v>277</v>
      </c>
      <c r="F924" s="263" t="s">
        <v>15</v>
      </c>
      <c r="G924" s="264" t="s">
        <v>277</v>
      </c>
      <c r="H924" s="281"/>
      <c r="I924" s="265"/>
      <c r="J924" s="266" t="s">
        <v>302</v>
      </c>
      <c r="K924" s="262"/>
      <c r="L924" s="262"/>
      <c r="M924" s="262">
        <v>16700</v>
      </c>
      <c r="N924" s="262"/>
      <c r="O924" s="262" t="s">
        <v>35</v>
      </c>
      <c r="P924" s="262"/>
      <c r="Q924" s="262"/>
      <c r="R924" s="262" t="s">
        <v>478</v>
      </c>
      <c r="S924" s="267" t="s">
        <v>478</v>
      </c>
      <c r="T924" s="268"/>
      <c r="U924" s="269"/>
      <c r="V924" s="269"/>
      <c r="W924" s="278">
        <v>0</v>
      </c>
      <c r="X924" s="270"/>
      <c r="Y924" s="262"/>
      <c r="Z924" s="271" t="s">
        <v>25</v>
      </c>
      <c r="AA924" s="287"/>
      <c r="AB924" s="287"/>
      <c r="AC924" s="272">
        <f t="shared" si="31"/>
        <v>10000000</v>
      </c>
      <c r="AD924" s="272">
        <v>10000000</v>
      </c>
      <c r="AE924" s="272">
        <f t="shared" si="32"/>
        <v>0</v>
      </c>
      <c r="AF924" s="273"/>
      <c r="AG924" s="274"/>
      <c r="AH924" s="273"/>
      <c r="AI924" s="273"/>
      <c r="AJ924" s="274"/>
      <c r="AK924" s="273"/>
      <c r="AL924" s="275"/>
      <c r="AM924" s="290"/>
      <c r="AN924" s="275"/>
      <c r="AO924" s="276"/>
      <c r="AP924" s="275"/>
      <c r="AQ924" s="275"/>
      <c r="AR924" s="275"/>
      <c r="AS924" s="275">
        <v>5000000</v>
      </c>
      <c r="AT924" s="275"/>
      <c r="AU924" s="275"/>
      <c r="AV924" s="275"/>
      <c r="AW924" s="275"/>
      <c r="AX924" s="275"/>
      <c r="AY924" s="275"/>
      <c r="AZ924" s="275"/>
      <c r="BA924" s="275">
        <v>5000000</v>
      </c>
      <c r="BB924" s="275"/>
      <c r="BC924" s="275"/>
      <c r="BD924" s="275"/>
      <c r="BE924" s="275"/>
      <c r="BF924" s="275"/>
      <c r="BH924" s="277"/>
    </row>
    <row r="925" spans="1:60" ht="16.5" hidden="1" customHeight="1" x14ac:dyDescent="0.3">
      <c r="A925" s="260">
        <v>903</v>
      </c>
      <c r="B925" s="261"/>
      <c r="C925" s="261"/>
      <c r="D925" s="262" t="s">
        <v>15</v>
      </c>
      <c r="E925" s="262" t="s">
        <v>277</v>
      </c>
      <c r="F925" s="263" t="s">
        <v>15</v>
      </c>
      <c r="G925" s="264" t="s">
        <v>277</v>
      </c>
      <c r="H925" s="281"/>
      <c r="I925" s="265"/>
      <c r="J925" s="266" t="s">
        <v>302</v>
      </c>
      <c r="K925" s="262"/>
      <c r="L925" s="262"/>
      <c r="M925" s="262">
        <v>16700</v>
      </c>
      <c r="N925" s="262" t="s">
        <v>22</v>
      </c>
      <c r="O925" s="262" t="s">
        <v>35</v>
      </c>
      <c r="P925" s="262"/>
      <c r="Q925" s="262"/>
      <c r="R925" s="262"/>
      <c r="S925" s="267" t="s">
        <v>828</v>
      </c>
      <c r="T925" s="268"/>
      <c r="U925" s="269"/>
      <c r="V925" s="269"/>
      <c r="W925" s="278">
        <v>0</v>
      </c>
      <c r="X925" s="270"/>
      <c r="Y925" s="262"/>
      <c r="Z925" s="271" t="s">
        <v>25</v>
      </c>
      <c r="AA925" s="287"/>
      <c r="AB925" s="287"/>
      <c r="AC925" s="272">
        <f t="shared" si="31"/>
        <v>10000000</v>
      </c>
      <c r="AD925" s="272">
        <v>10000000</v>
      </c>
      <c r="AE925" s="272">
        <f t="shared" si="32"/>
        <v>0</v>
      </c>
      <c r="AF925" s="273"/>
      <c r="AG925" s="274"/>
      <c r="AH925" s="273"/>
      <c r="AI925" s="273"/>
      <c r="AJ925" s="274"/>
      <c r="AK925" s="273"/>
      <c r="AL925" s="275"/>
      <c r="AM925" s="290"/>
      <c r="AN925" s="275"/>
      <c r="AO925" s="276">
        <v>5000000</v>
      </c>
      <c r="AP925" s="275"/>
      <c r="AQ925" s="275">
        <v>5000000</v>
      </c>
      <c r="AR925" s="275"/>
      <c r="AS925" s="275"/>
      <c r="AT925" s="275"/>
      <c r="AU925" s="275"/>
      <c r="AV925" s="275"/>
      <c r="AW925" s="275"/>
      <c r="AX925" s="275"/>
      <c r="AY925" s="275"/>
      <c r="AZ925" s="275"/>
      <c r="BA925" s="275"/>
      <c r="BB925" s="275"/>
      <c r="BC925" s="275"/>
      <c r="BD925" s="275"/>
      <c r="BE925" s="275"/>
      <c r="BF925" s="275"/>
      <c r="BH925" s="277"/>
    </row>
    <row r="926" spans="1:60" ht="16.5" hidden="1" customHeight="1" x14ac:dyDescent="0.3">
      <c r="A926" s="260">
        <v>904</v>
      </c>
      <c r="B926" s="261"/>
      <c r="C926" s="261"/>
      <c r="D926" s="262" t="s">
        <v>15</v>
      </c>
      <c r="E926" s="262" t="s">
        <v>277</v>
      </c>
      <c r="F926" s="263" t="s">
        <v>15</v>
      </c>
      <c r="G926" s="264" t="s">
        <v>277</v>
      </c>
      <c r="H926" s="281"/>
      <c r="I926" s="265"/>
      <c r="J926" s="266" t="s">
        <v>303</v>
      </c>
      <c r="K926" s="262"/>
      <c r="L926" s="262"/>
      <c r="M926" s="262">
        <v>61288</v>
      </c>
      <c r="N926" s="262" t="s">
        <v>22</v>
      </c>
      <c r="O926" s="262" t="s">
        <v>212</v>
      </c>
      <c r="P926" s="262"/>
      <c r="Q926" s="262" t="s">
        <v>18</v>
      </c>
      <c r="R926" s="262" t="s">
        <v>19</v>
      </c>
      <c r="S926" s="267" t="s">
        <v>19</v>
      </c>
      <c r="T926" s="268" t="s">
        <v>951</v>
      </c>
      <c r="U926" s="269">
        <v>6364220</v>
      </c>
      <c r="V926" s="269">
        <v>8982500</v>
      </c>
      <c r="W926" s="278">
        <v>9512000</v>
      </c>
      <c r="X926" s="270"/>
      <c r="Y926" s="262" t="s">
        <v>27</v>
      </c>
      <c r="Z926" s="271" t="s">
        <v>27</v>
      </c>
      <c r="AA926" s="287"/>
      <c r="AB926" s="287"/>
      <c r="AC926" s="272">
        <f t="shared" si="31"/>
        <v>7000000</v>
      </c>
      <c r="AD926" s="272">
        <v>7000000</v>
      </c>
      <c r="AE926" s="272">
        <f t="shared" si="32"/>
        <v>0</v>
      </c>
      <c r="AF926" s="273"/>
      <c r="AG926" s="274"/>
      <c r="AH926" s="273"/>
      <c r="AI926" s="273"/>
      <c r="AJ926" s="274"/>
      <c r="AK926" s="273"/>
      <c r="AL926" s="275"/>
      <c r="AM926" s="290"/>
      <c r="AN926" s="275"/>
      <c r="AO926" s="276"/>
      <c r="AP926" s="275"/>
      <c r="AQ926" s="275"/>
      <c r="AR926" s="275"/>
      <c r="AS926" s="275"/>
      <c r="AT926" s="275"/>
      <c r="AU926" s="275">
        <v>3500000</v>
      </c>
      <c r="AV926" s="275"/>
      <c r="AW926" s="275"/>
      <c r="AX926" s="275"/>
      <c r="AY926" s="275"/>
      <c r="AZ926" s="275"/>
      <c r="BA926" s="275"/>
      <c r="BB926" s="275"/>
      <c r="BC926" s="275"/>
      <c r="BD926" s="275"/>
      <c r="BE926" s="275">
        <v>3500000</v>
      </c>
      <c r="BF926" s="275"/>
      <c r="BH926" s="277"/>
    </row>
    <row r="927" spans="1:60" ht="16.5" hidden="1" customHeight="1" x14ac:dyDescent="0.3">
      <c r="A927" s="260">
        <v>905</v>
      </c>
      <c r="B927" s="261"/>
      <c r="C927" s="261"/>
      <c r="D927" s="262" t="s">
        <v>15</v>
      </c>
      <c r="E927" s="262" t="s">
        <v>277</v>
      </c>
      <c r="F927" s="263" t="s">
        <v>15</v>
      </c>
      <c r="G927" s="264" t="s">
        <v>277</v>
      </c>
      <c r="H927" s="281"/>
      <c r="I927" s="265"/>
      <c r="J927" s="266" t="s">
        <v>303</v>
      </c>
      <c r="K927" s="262"/>
      <c r="L927" s="262"/>
      <c r="M927" s="262">
        <v>61288</v>
      </c>
      <c r="N927" s="262" t="s">
        <v>22</v>
      </c>
      <c r="O927" s="262" t="s">
        <v>35</v>
      </c>
      <c r="P927" s="262"/>
      <c r="Q927" s="262"/>
      <c r="R927" s="262"/>
      <c r="S927" s="267" t="s">
        <v>822</v>
      </c>
      <c r="T927" s="268"/>
      <c r="U927" s="269"/>
      <c r="V927" s="269"/>
      <c r="W927" s="278">
        <v>0</v>
      </c>
      <c r="X927" s="270"/>
      <c r="Y927" s="262"/>
      <c r="Z927" s="271" t="s">
        <v>25</v>
      </c>
      <c r="AA927" s="287"/>
      <c r="AB927" s="287"/>
      <c r="AC927" s="272">
        <f t="shared" si="31"/>
        <v>5000000</v>
      </c>
      <c r="AD927" s="272">
        <v>5000000</v>
      </c>
      <c r="AE927" s="272">
        <f t="shared" si="32"/>
        <v>0</v>
      </c>
      <c r="AF927" s="273"/>
      <c r="AG927" s="274"/>
      <c r="AH927" s="273"/>
      <c r="AI927" s="273"/>
      <c r="AJ927" s="274"/>
      <c r="AK927" s="273"/>
      <c r="AL927" s="275"/>
      <c r="AM927" s="290"/>
      <c r="AN927" s="275"/>
      <c r="AO927" s="276"/>
      <c r="AP927" s="275"/>
      <c r="AQ927" s="291">
        <v>5000000</v>
      </c>
      <c r="AR927" s="275"/>
      <c r="AS927" s="275"/>
      <c r="AT927" s="275"/>
      <c r="AU927" s="275"/>
      <c r="AV927" s="275"/>
      <c r="AW927" s="275"/>
      <c r="AX927" s="275"/>
      <c r="AY927" s="275"/>
      <c r="AZ927" s="275"/>
      <c r="BA927" s="275"/>
      <c r="BB927" s="275"/>
      <c r="BC927" s="275"/>
      <c r="BD927" s="275"/>
      <c r="BE927" s="275"/>
      <c r="BF927" s="275"/>
      <c r="BH927" s="277"/>
    </row>
    <row r="928" spans="1:60" ht="16.5" hidden="1" customHeight="1" x14ac:dyDescent="0.3">
      <c r="A928" s="260">
        <v>906</v>
      </c>
      <c r="B928" s="261"/>
      <c r="C928" s="261"/>
      <c r="D928" s="262" t="s">
        <v>15</v>
      </c>
      <c r="E928" s="262" t="s">
        <v>277</v>
      </c>
      <c r="F928" s="263" t="s">
        <v>15</v>
      </c>
      <c r="G928" s="264" t="s">
        <v>277</v>
      </c>
      <c r="H928" s="281"/>
      <c r="I928" s="265"/>
      <c r="J928" s="266" t="s">
        <v>581</v>
      </c>
      <c r="K928" s="262"/>
      <c r="L928" s="262"/>
      <c r="M928" s="262">
        <v>18326</v>
      </c>
      <c r="N928" s="262" t="s">
        <v>22</v>
      </c>
      <c r="O928" s="262" t="s">
        <v>56</v>
      </c>
      <c r="P928" s="262"/>
      <c r="Q928" s="262" t="s">
        <v>18</v>
      </c>
      <c r="R928" s="262" t="s">
        <v>19</v>
      </c>
      <c r="S928" s="267" t="s">
        <v>19</v>
      </c>
      <c r="T928" s="268"/>
      <c r="U928" s="269">
        <v>8323500</v>
      </c>
      <c r="V928" s="269">
        <v>2920000</v>
      </c>
      <c r="W928" s="278">
        <v>225000</v>
      </c>
      <c r="X928" s="270"/>
      <c r="Y928" s="262" t="s">
        <v>24</v>
      </c>
      <c r="Z928" s="271" t="s">
        <v>25</v>
      </c>
      <c r="AA928" s="287"/>
      <c r="AB928" s="287"/>
      <c r="AC928" s="272">
        <f t="shared" si="31"/>
        <v>5000000</v>
      </c>
      <c r="AD928" s="272">
        <v>5000000</v>
      </c>
      <c r="AE928" s="272">
        <f t="shared" si="32"/>
        <v>0</v>
      </c>
      <c r="AF928" s="273"/>
      <c r="AG928" s="274"/>
      <c r="AH928" s="273"/>
      <c r="AI928" s="273"/>
      <c r="AJ928" s="274"/>
      <c r="AK928" s="273"/>
      <c r="AL928" s="275"/>
      <c r="AM928" s="290"/>
      <c r="AN928" s="275"/>
      <c r="AO928" s="276"/>
      <c r="AP928" s="275"/>
      <c r="AQ928" s="291">
        <v>5000000</v>
      </c>
      <c r="AR928" s="275"/>
      <c r="AS928" s="275"/>
      <c r="AT928" s="275"/>
      <c r="AU928" s="275"/>
      <c r="AV928" s="275"/>
      <c r="AW928" s="275"/>
      <c r="AX928" s="275"/>
      <c r="AY928" s="275"/>
      <c r="AZ928" s="275"/>
      <c r="BA928" s="275"/>
      <c r="BB928" s="275"/>
      <c r="BC928" s="275"/>
      <c r="BD928" s="275"/>
      <c r="BE928" s="275"/>
      <c r="BF928" s="275"/>
      <c r="BH928" s="277"/>
    </row>
    <row r="929" spans="1:60" ht="16.5" hidden="1" customHeight="1" x14ac:dyDescent="0.3">
      <c r="A929" s="260">
        <v>907</v>
      </c>
      <c r="B929" s="261"/>
      <c r="C929" s="261"/>
      <c r="D929" s="262" t="s">
        <v>15</v>
      </c>
      <c r="E929" s="262" t="s">
        <v>277</v>
      </c>
      <c r="F929" s="263" t="s">
        <v>15</v>
      </c>
      <c r="G929" s="264" t="s">
        <v>277</v>
      </c>
      <c r="H929" s="281"/>
      <c r="I929" s="265"/>
      <c r="J929" s="266" t="s">
        <v>581</v>
      </c>
      <c r="K929" s="262"/>
      <c r="L929" s="262"/>
      <c r="M929" s="262">
        <v>18326</v>
      </c>
      <c r="N929" s="262" t="s">
        <v>22</v>
      </c>
      <c r="O929" s="262" t="s">
        <v>56</v>
      </c>
      <c r="P929" s="262"/>
      <c r="Q929" s="262"/>
      <c r="R929" s="262" t="s">
        <v>31</v>
      </c>
      <c r="S929" s="267" t="s">
        <v>31</v>
      </c>
      <c r="T929" s="268"/>
      <c r="U929" s="269"/>
      <c r="V929" s="269"/>
      <c r="W929" s="278">
        <v>4235000</v>
      </c>
      <c r="X929" s="270"/>
      <c r="Y929" s="262" t="s">
        <v>27</v>
      </c>
      <c r="Z929" s="271" t="s">
        <v>24</v>
      </c>
      <c r="AA929" s="287"/>
      <c r="AB929" s="287"/>
      <c r="AC929" s="272">
        <f t="shared" si="31"/>
        <v>4300000</v>
      </c>
      <c r="AD929" s="272">
        <v>4300000</v>
      </c>
      <c r="AE929" s="272">
        <f t="shared" si="32"/>
        <v>0</v>
      </c>
      <c r="AF929" s="273"/>
      <c r="AG929" s="274"/>
      <c r="AH929" s="273"/>
      <c r="AI929" s="273"/>
      <c r="AJ929" s="274"/>
      <c r="AK929" s="273"/>
      <c r="AL929" s="275"/>
      <c r="AM929" s="290"/>
      <c r="AN929" s="275"/>
      <c r="AO929" s="276"/>
      <c r="AP929" s="275"/>
      <c r="AQ929" s="291">
        <v>4300000</v>
      </c>
      <c r="AR929" s="275"/>
      <c r="AS929" s="275"/>
      <c r="AT929" s="275"/>
      <c r="AU929" s="275"/>
      <c r="AV929" s="275"/>
      <c r="AW929" s="275"/>
      <c r="AX929" s="275"/>
      <c r="AY929" s="275"/>
      <c r="AZ929" s="275"/>
      <c r="BA929" s="275"/>
      <c r="BB929" s="275"/>
      <c r="BC929" s="275"/>
      <c r="BD929" s="275"/>
      <c r="BE929" s="275"/>
      <c r="BF929" s="275"/>
      <c r="BH929" s="277"/>
    </row>
    <row r="930" spans="1:60" ht="16.5" hidden="1" customHeight="1" x14ac:dyDescent="0.3">
      <c r="A930" s="260">
        <v>908</v>
      </c>
      <c r="B930" s="261"/>
      <c r="C930" s="261"/>
      <c r="D930" s="262" t="s">
        <v>15</v>
      </c>
      <c r="E930" s="262" t="s">
        <v>277</v>
      </c>
      <c r="F930" s="263" t="s">
        <v>15</v>
      </c>
      <c r="G930" s="264" t="s">
        <v>277</v>
      </c>
      <c r="H930" s="281"/>
      <c r="I930" s="265"/>
      <c r="J930" s="266" t="s">
        <v>581</v>
      </c>
      <c r="K930" s="262"/>
      <c r="L930" s="262"/>
      <c r="M930" s="262">
        <v>18326</v>
      </c>
      <c r="N930" s="262" t="s">
        <v>22</v>
      </c>
      <c r="O930" s="262" t="s">
        <v>56</v>
      </c>
      <c r="P930" s="262"/>
      <c r="Q930" s="262" t="s">
        <v>26</v>
      </c>
      <c r="R930" s="262" t="s">
        <v>468</v>
      </c>
      <c r="S930" s="267" t="s">
        <v>468</v>
      </c>
      <c r="T930" s="268"/>
      <c r="U930" s="269">
        <v>2100000</v>
      </c>
      <c r="V930" s="269">
        <v>0</v>
      </c>
      <c r="W930" s="278">
        <v>6850000</v>
      </c>
      <c r="X930" s="270"/>
      <c r="Y930" s="262" t="s">
        <v>27</v>
      </c>
      <c r="Z930" s="271" t="s">
        <v>27</v>
      </c>
      <c r="AA930" s="287"/>
      <c r="AB930" s="287"/>
      <c r="AC930" s="272">
        <f t="shared" si="31"/>
        <v>1600000</v>
      </c>
      <c r="AD930" s="272">
        <v>1600000</v>
      </c>
      <c r="AE930" s="272">
        <f t="shared" si="32"/>
        <v>0</v>
      </c>
      <c r="AF930" s="273"/>
      <c r="AG930" s="274"/>
      <c r="AH930" s="273"/>
      <c r="AI930" s="273"/>
      <c r="AJ930" s="274"/>
      <c r="AK930" s="273"/>
      <c r="AL930" s="275"/>
      <c r="AM930" s="290"/>
      <c r="AN930" s="275"/>
      <c r="AO930" s="276"/>
      <c r="AP930" s="275"/>
      <c r="AQ930" s="275">
        <v>1600000</v>
      </c>
      <c r="AR930" s="275"/>
      <c r="AS930" s="275"/>
      <c r="AT930" s="275"/>
      <c r="AU930" s="275"/>
      <c r="AV930" s="275"/>
      <c r="AW930" s="275"/>
      <c r="AX930" s="275"/>
      <c r="AY930" s="275"/>
      <c r="AZ930" s="275"/>
      <c r="BA930" s="275"/>
      <c r="BB930" s="275"/>
      <c r="BC930" s="275"/>
      <c r="BD930" s="275"/>
      <c r="BE930" s="275"/>
      <c r="BF930" s="275"/>
      <c r="BH930" s="277"/>
    </row>
    <row r="931" spans="1:60" ht="16.5" hidden="1" customHeight="1" x14ac:dyDescent="0.3">
      <c r="A931" s="260">
        <v>909</v>
      </c>
      <c r="B931" s="261"/>
      <c r="C931" s="261"/>
      <c r="D931" s="262" t="s">
        <v>15</v>
      </c>
      <c r="E931" s="262" t="s">
        <v>277</v>
      </c>
      <c r="F931" s="263" t="s">
        <v>15</v>
      </c>
      <c r="G931" s="264" t="s">
        <v>277</v>
      </c>
      <c r="H931" s="281"/>
      <c r="I931" s="265"/>
      <c r="J931" s="266" t="s">
        <v>1005</v>
      </c>
      <c r="K931" s="262"/>
      <c r="L931" s="262"/>
      <c r="M931" s="262">
        <v>42175</v>
      </c>
      <c r="N931" s="262" t="s">
        <v>22</v>
      </c>
      <c r="O931" s="262" t="s">
        <v>56</v>
      </c>
      <c r="P931" s="262"/>
      <c r="Q931" s="262" t="s">
        <v>55</v>
      </c>
      <c r="R931" s="262" t="s">
        <v>475</v>
      </c>
      <c r="S931" s="267" t="s">
        <v>830</v>
      </c>
      <c r="T931" s="268"/>
      <c r="U931" s="269"/>
      <c r="V931" s="269">
        <v>500000</v>
      </c>
      <c r="W931" s="278">
        <v>0</v>
      </c>
      <c r="X931" s="270"/>
      <c r="Y931" s="262" t="s">
        <v>24</v>
      </c>
      <c r="Z931" s="271" t="s">
        <v>20</v>
      </c>
      <c r="AA931" s="287"/>
      <c r="AB931" s="287"/>
      <c r="AC931" s="272">
        <f t="shared" si="31"/>
        <v>0</v>
      </c>
      <c r="AD931" s="272">
        <v>0</v>
      </c>
      <c r="AE931" s="272">
        <f t="shared" si="32"/>
        <v>0</v>
      </c>
      <c r="AF931" s="273"/>
      <c r="AG931" s="274"/>
      <c r="AH931" s="273"/>
      <c r="AI931" s="273"/>
      <c r="AJ931" s="274"/>
      <c r="AK931" s="273"/>
      <c r="AL931" s="275"/>
      <c r="AM931" s="290"/>
      <c r="AN931" s="275"/>
      <c r="AO931" s="276"/>
      <c r="AP931" s="275"/>
      <c r="AQ931" s="275"/>
      <c r="AR931" s="275"/>
      <c r="AS931" s="275"/>
      <c r="AT931" s="275"/>
      <c r="AU931" s="275"/>
      <c r="AV931" s="275"/>
      <c r="AW931" s="275"/>
      <c r="AX931" s="275"/>
      <c r="AY931" s="275"/>
      <c r="AZ931" s="275"/>
      <c r="BA931" s="275"/>
      <c r="BB931" s="275"/>
      <c r="BC931" s="275"/>
      <c r="BD931" s="275"/>
      <c r="BE931" s="275"/>
      <c r="BF931" s="275"/>
      <c r="BH931" s="277"/>
    </row>
    <row r="932" spans="1:60" ht="16.5" hidden="1" customHeight="1" x14ac:dyDescent="0.3">
      <c r="A932" s="260">
        <v>910</v>
      </c>
      <c r="B932" s="261"/>
      <c r="C932" s="261"/>
      <c r="D932" s="262" t="s">
        <v>15</v>
      </c>
      <c r="E932" s="262" t="s">
        <v>277</v>
      </c>
      <c r="F932" s="263" t="s">
        <v>15</v>
      </c>
      <c r="G932" s="264" t="s">
        <v>277</v>
      </c>
      <c r="H932" s="281"/>
      <c r="I932" s="265"/>
      <c r="J932" s="266" t="s">
        <v>1027</v>
      </c>
      <c r="K932" s="262"/>
      <c r="L932" s="262"/>
      <c r="M932" s="262">
        <v>7169</v>
      </c>
      <c r="N932" s="262" t="s">
        <v>32</v>
      </c>
      <c r="O932" s="262" t="s">
        <v>212</v>
      </c>
      <c r="P932" s="262"/>
      <c r="Q932" s="262" t="s">
        <v>63</v>
      </c>
      <c r="R932" s="262" t="s">
        <v>28</v>
      </c>
      <c r="S932" s="267" t="s">
        <v>28</v>
      </c>
      <c r="T932" s="268" t="s">
        <v>951</v>
      </c>
      <c r="U932" s="269">
        <v>29819020</v>
      </c>
      <c r="V932" s="269">
        <v>80309982</v>
      </c>
      <c r="W932" s="278">
        <v>74351780</v>
      </c>
      <c r="X932" s="270"/>
      <c r="Y932" s="262" t="s">
        <v>27</v>
      </c>
      <c r="Z932" s="271" t="s">
        <v>27</v>
      </c>
      <c r="AA932" s="287"/>
      <c r="AB932" s="287"/>
      <c r="AC932" s="272">
        <f t="shared" si="31"/>
        <v>43626980</v>
      </c>
      <c r="AD932" s="272">
        <v>43626980</v>
      </c>
      <c r="AE932" s="272">
        <f t="shared" si="32"/>
        <v>0</v>
      </c>
      <c r="AF932" s="273">
        <v>5000000</v>
      </c>
      <c r="AG932" s="274"/>
      <c r="AH932" s="273"/>
      <c r="AI932" s="273">
        <v>5000000</v>
      </c>
      <c r="AJ932" s="274"/>
      <c r="AK932" s="273"/>
      <c r="AL932" s="275">
        <v>5000000</v>
      </c>
      <c r="AM932" s="290"/>
      <c r="AN932" s="275"/>
      <c r="AO932" s="276">
        <v>33626980</v>
      </c>
      <c r="AP932" s="275"/>
      <c r="AQ932" s="275">
        <v>5000000</v>
      </c>
      <c r="AR932" s="275"/>
      <c r="AS932" s="275">
        <v>5000000</v>
      </c>
      <c r="AT932" s="275"/>
      <c r="AU932" s="275"/>
      <c r="AV932" s="275"/>
      <c r="AW932" s="275"/>
      <c r="AX932" s="275"/>
      <c r="AY932" s="275"/>
      <c r="AZ932" s="275"/>
      <c r="BA932" s="275"/>
      <c r="BB932" s="275"/>
      <c r="BC932" s="275"/>
      <c r="BD932" s="275"/>
      <c r="BE932" s="275"/>
      <c r="BF932" s="275"/>
      <c r="BH932" s="277"/>
    </row>
    <row r="933" spans="1:60" ht="16.5" hidden="1" customHeight="1" x14ac:dyDescent="0.3">
      <c r="A933" s="260">
        <v>911</v>
      </c>
      <c r="B933" s="261"/>
      <c r="C933" s="261"/>
      <c r="D933" s="262" t="s">
        <v>15</v>
      </c>
      <c r="E933" s="262" t="s">
        <v>277</v>
      </c>
      <c r="F933" s="263" t="s">
        <v>15</v>
      </c>
      <c r="G933" s="264" t="s">
        <v>277</v>
      </c>
      <c r="H933" s="281"/>
      <c r="I933" s="265"/>
      <c r="J933" s="266" t="s">
        <v>304</v>
      </c>
      <c r="K933" s="262"/>
      <c r="L933" s="262"/>
      <c r="M933" s="262">
        <v>7169</v>
      </c>
      <c r="N933" s="262" t="s">
        <v>32</v>
      </c>
      <c r="O933" s="262" t="s">
        <v>56</v>
      </c>
      <c r="P933" s="262"/>
      <c r="Q933" s="262" t="s">
        <v>63</v>
      </c>
      <c r="R933" s="262" t="s">
        <v>28</v>
      </c>
      <c r="S933" s="267" t="s">
        <v>28</v>
      </c>
      <c r="T933" s="268"/>
      <c r="U933" s="269"/>
      <c r="V933" s="269">
        <v>0</v>
      </c>
      <c r="W933" s="278">
        <v>0</v>
      </c>
      <c r="X933" s="270"/>
      <c r="Y933" s="262" t="s">
        <v>24</v>
      </c>
      <c r="Z933" s="271" t="s">
        <v>24</v>
      </c>
      <c r="AA933" s="287"/>
      <c r="AB933" s="287"/>
      <c r="AC933" s="272">
        <f t="shared" si="31"/>
        <v>42000000</v>
      </c>
      <c r="AD933" s="272">
        <v>42000000</v>
      </c>
      <c r="AE933" s="272">
        <f t="shared" si="32"/>
        <v>0</v>
      </c>
      <c r="AF933" s="273"/>
      <c r="AG933" s="274"/>
      <c r="AH933" s="273"/>
      <c r="AI933" s="273"/>
      <c r="AJ933" s="274"/>
      <c r="AK933" s="273"/>
      <c r="AL933" s="275"/>
      <c r="AM933" s="290"/>
      <c r="AN933" s="275"/>
      <c r="AO933" s="276"/>
      <c r="AP933" s="275"/>
      <c r="AQ933" s="275"/>
      <c r="AR933" s="275"/>
      <c r="AS933" s="275"/>
      <c r="AT933" s="275"/>
      <c r="AU933" s="275">
        <v>7000000</v>
      </c>
      <c r="AV933" s="275"/>
      <c r="AW933" s="275">
        <v>7000000</v>
      </c>
      <c r="AX933" s="275"/>
      <c r="AY933" s="275">
        <v>7000000</v>
      </c>
      <c r="AZ933" s="275"/>
      <c r="BA933" s="275">
        <v>7000000</v>
      </c>
      <c r="BB933" s="275"/>
      <c r="BC933" s="275">
        <v>7000000</v>
      </c>
      <c r="BD933" s="275"/>
      <c r="BE933" s="275">
        <v>7000000</v>
      </c>
      <c r="BF933" s="275"/>
      <c r="BH933" s="277"/>
    </row>
    <row r="934" spans="1:60" ht="16.5" hidden="1" customHeight="1" x14ac:dyDescent="0.3">
      <c r="A934" s="260">
        <v>912</v>
      </c>
      <c r="B934" s="261"/>
      <c r="C934" s="261"/>
      <c r="D934" s="262" t="s">
        <v>15</v>
      </c>
      <c r="E934" s="262" t="s">
        <v>277</v>
      </c>
      <c r="F934" s="263" t="s">
        <v>15</v>
      </c>
      <c r="G934" s="264" t="s">
        <v>277</v>
      </c>
      <c r="H934" s="281"/>
      <c r="I934" s="265"/>
      <c r="J934" s="266" t="s">
        <v>304</v>
      </c>
      <c r="K934" s="262"/>
      <c r="L934" s="262"/>
      <c r="M934" s="262">
        <v>7169</v>
      </c>
      <c r="N934" s="262" t="s">
        <v>32</v>
      </c>
      <c r="O934" s="262" t="s">
        <v>56</v>
      </c>
      <c r="P934" s="262"/>
      <c r="Q934" s="262" t="s">
        <v>26</v>
      </c>
      <c r="R934" s="262" t="s">
        <v>478</v>
      </c>
      <c r="S934" s="267" t="s">
        <v>478</v>
      </c>
      <c r="T934" s="268"/>
      <c r="U934" s="269"/>
      <c r="V934" s="269">
        <v>7450000</v>
      </c>
      <c r="W934" s="278">
        <v>9000000</v>
      </c>
      <c r="X934" s="270"/>
      <c r="Y934" s="262" t="s">
        <v>20</v>
      </c>
      <c r="Z934" s="271" t="s">
        <v>25</v>
      </c>
      <c r="AA934" s="287"/>
      <c r="AB934" s="287"/>
      <c r="AC934" s="272">
        <f t="shared" si="31"/>
        <v>8000000</v>
      </c>
      <c r="AD934" s="272">
        <v>8000000</v>
      </c>
      <c r="AE934" s="272">
        <f t="shared" si="32"/>
        <v>0</v>
      </c>
      <c r="AF934" s="273"/>
      <c r="AG934" s="274"/>
      <c r="AH934" s="273"/>
      <c r="AI934" s="273"/>
      <c r="AJ934" s="274"/>
      <c r="AK934" s="273"/>
      <c r="AL934" s="275"/>
      <c r="AM934" s="290"/>
      <c r="AN934" s="275"/>
      <c r="AO934" s="276"/>
      <c r="AP934" s="275"/>
      <c r="AQ934" s="275"/>
      <c r="AR934" s="275"/>
      <c r="AS934" s="275"/>
      <c r="AT934" s="275"/>
      <c r="AU934" s="275"/>
      <c r="AV934" s="275"/>
      <c r="AW934" s="275"/>
      <c r="AX934" s="275"/>
      <c r="AY934" s="275"/>
      <c r="AZ934" s="275"/>
      <c r="BA934" s="275"/>
      <c r="BB934" s="275"/>
      <c r="BC934" s="275">
        <v>8000000</v>
      </c>
      <c r="BD934" s="275"/>
      <c r="BE934" s="275"/>
      <c r="BF934" s="275"/>
      <c r="BH934" s="277"/>
    </row>
    <row r="935" spans="1:60" ht="16.5" hidden="1" customHeight="1" x14ac:dyDescent="0.3">
      <c r="A935" s="260">
        <v>913</v>
      </c>
      <c r="B935" s="261"/>
      <c r="C935" s="261"/>
      <c r="D935" s="262" t="s">
        <v>15</v>
      </c>
      <c r="E935" s="262" t="s">
        <v>277</v>
      </c>
      <c r="F935" s="263" t="s">
        <v>15</v>
      </c>
      <c r="G935" s="264" t="s">
        <v>277</v>
      </c>
      <c r="H935" s="281"/>
      <c r="I935" s="265"/>
      <c r="J935" s="266" t="s">
        <v>304</v>
      </c>
      <c r="K935" s="262"/>
      <c r="L935" s="262"/>
      <c r="M935" s="262">
        <v>7169</v>
      </c>
      <c r="N935" s="262" t="s">
        <v>32</v>
      </c>
      <c r="O935" s="262" t="s">
        <v>56</v>
      </c>
      <c r="P935" s="262"/>
      <c r="Q935" s="262" t="s">
        <v>23</v>
      </c>
      <c r="R935" s="262" t="s">
        <v>397</v>
      </c>
      <c r="S935" s="267" t="s">
        <v>823</v>
      </c>
      <c r="T935" s="268"/>
      <c r="U935" s="269">
        <v>15102700</v>
      </c>
      <c r="V935" s="269">
        <v>8900000</v>
      </c>
      <c r="W935" s="278">
        <v>7000000</v>
      </c>
      <c r="X935" s="270"/>
      <c r="Y935" s="262" t="s">
        <v>24</v>
      </c>
      <c r="Z935" s="271" t="s">
        <v>24</v>
      </c>
      <c r="AA935" s="287"/>
      <c r="AB935" s="287"/>
      <c r="AC935" s="272">
        <f t="shared" si="31"/>
        <v>9000000</v>
      </c>
      <c r="AD935" s="272">
        <v>9000000</v>
      </c>
      <c r="AE935" s="272">
        <f t="shared" si="32"/>
        <v>0</v>
      </c>
      <c r="AF935" s="273"/>
      <c r="AG935" s="274"/>
      <c r="AH935" s="273"/>
      <c r="AI935" s="273"/>
      <c r="AJ935" s="274"/>
      <c r="AK935" s="273"/>
      <c r="AL935" s="275"/>
      <c r="AM935" s="290"/>
      <c r="AN935" s="275"/>
      <c r="AO935" s="276"/>
      <c r="AP935" s="275"/>
      <c r="AQ935" s="275"/>
      <c r="AR935" s="275"/>
      <c r="AS935" s="275"/>
      <c r="AT935" s="275"/>
      <c r="AU935" s="275"/>
      <c r="AV935" s="275"/>
      <c r="AW935" s="275"/>
      <c r="AX935" s="275"/>
      <c r="AY935" s="275"/>
      <c r="AZ935" s="275"/>
      <c r="BA935" s="275"/>
      <c r="BB935" s="275"/>
      <c r="BC935" s="275">
        <v>9000000</v>
      </c>
      <c r="BD935" s="275"/>
      <c r="BE935" s="275"/>
      <c r="BF935" s="275"/>
      <c r="BH935" s="277"/>
    </row>
    <row r="936" spans="1:60" ht="16.5" hidden="1" customHeight="1" x14ac:dyDescent="0.3">
      <c r="A936" s="260">
        <v>914</v>
      </c>
      <c r="B936" s="261"/>
      <c r="C936" s="261"/>
      <c r="D936" s="262" t="s">
        <v>15</v>
      </c>
      <c r="E936" s="262" t="s">
        <v>277</v>
      </c>
      <c r="F936" s="263" t="s">
        <v>15</v>
      </c>
      <c r="G936" s="264" t="s">
        <v>277</v>
      </c>
      <c r="H936" s="281"/>
      <c r="I936" s="265"/>
      <c r="J936" s="266" t="s">
        <v>667</v>
      </c>
      <c r="K936" s="262"/>
      <c r="L936" s="262"/>
      <c r="M936" s="262">
        <v>4706</v>
      </c>
      <c r="N936" s="262" t="s">
        <v>32</v>
      </c>
      <c r="O936" s="262" t="s">
        <v>56</v>
      </c>
      <c r="P936" s="262"/>
      <c r="Q936" s="262"/>
      <c r="R936" s="262" t="s">
        <v>478</v>
      </c>
      <c r="S936" s="267" t="s">
        <v>478</v>
      </c>
      <c r="T936" s="268"/>
      <c r="U936" s="269"/>
      <c r="V936" s="269">
        <v>0</v>
      </c>
      <c r="W936" s="278">
        <v>0</v>
      </c>
      <c r="X936" s="270"/>
      <c r="Y936" s="262" t="s">
        <v>27</v>
      </c>
      <c r="Z936" s="271" t="s">
        <v>24</v>
      </c>
      <c r="AA936" s="287"/>
      <c r="AB936" s="287"/>
      <c r="AC936" s="272">
        <f t="shared" si="31"/>
        <v>100000000</v>
      </c>
      <c r="AD936" s="272">
        <v>100000000</v>
      </c>
      <c r="AE936" s="272">
        <f t="shared" si="32"/>
        <v>0</v>
      </c>
      <c r="AF936" s="273"/>
      <c r="AG936" s="274"/>
      <c r="AH936" s="273"/>
      <c r="AI936" s="273"/>
      <c r="AJ936" s="274"/>
      <c r="AK936" s="273"/>
      <c r="AL936" s="275"/>
      <c r="AM936" s="290"/>
      <c r="AN936" s="275"/>
      <c r="AO936" s="276"/>
      <c r="AP936" s="275"/>
      <c r="AQ936" s="291">
        <v>100000000</v>
      </c>
      <c r="AR936" s="275"/>
      <c r="AS936" s="275"/>
      <c r="AT936" s="275"/>
      <c r="AU936" s="275"/>
      <c r="AV936" s="275"/>
      <c r="AW936" s="275"/>
      <c r="AX936" s="275"/>
      <c r="AY936" s="275"/>
      <c r="AZ936" s="275"/>
      <c r="BA936" s="275"/>
      <c r="BB936" s="275"/>
      <c r="BC936" s="275"/>
      <c r="BD936" s="275"/>
      <c r="BE936" s="275"/>
      <c r="BF936" s="275"/>
      <c r="BH936" s="277"/>
    </row>
    <row r="937" spans="1:60" ht="16.5" hidden="1" customHeight="1" x14ac:dyDescent="0.3">
      <c r="A937" s="260">
        <v>915</v>
      </c>
      <c r="B937" s="261"/>
      <c r="C937" s="261"/>
      <c r="D937" s="262" t="s">
        <v>15</v>
      </c>
      <c r="E937" s="262" t="s">
        <v>277</v>
      </c>
      <c r="F937" s="263" t="s">
        <v>15</v>
      </c>
      <c r="G937" s="264" t="s">
        <v>277</v>
      </c>
      <c r="H937" s="281"/>
      <c r="I937" s="265"/>
      <c r="J937" s="266" t="s">
        <v>667</v>
      </c>
      <c r="K937" s="262"/>
      <c r="L937" s="262"/>
      <c r="M937" s="262">
        <v>4706</v>
      </c>
      <c r="N937" s="262" t="s">
        <v>478</v>
      </c>
      <c r="O937" s="262" t="s">
        <v>35</v>
      </c>
      <c r="P937" s="262"/>
      <c r="Q937" s="262"/>
      <c r="R937" s="262" t="s">
        <v>478</v>
      </c>
      <c r="S937" s="267" t="s">
        <v>478</v>
      </c>
      <c r="T937" s="268"/>
      <c r="U937" s="269"/>
      <c r="V937" s="269"/>
      <c r="W937" s="278">
        <v>0</v>
      </c>
      <c r="X937" s="270"/>
      <c r="Y937" s="262"/>
      <c r="Z937" s="271" t="s">
        <v>25</v>
      </c>
      <c r="AA937" s="287"/>
      <c r="AB937" s="287"/>
      <c r="AC937" s="272">
        <f t="shared" si="31"/>
        <v>200000000</v>
      </c>
      <c r="AD937" s="272">
        <v>200000000</v>
      </c>
      <c r="AE937" s="272">
        <f t="shared" si="32"/>
        <v>0</v>
      </c>
      <c r="AF937" s="273"/>
      <c r="AG937" s="274"/>
      <c r="AH937" s="273"/>
      <c r="AI937" s="273"/>
      <c r="AJ937" s="274"/>
      <c r="AK937" s="273"/>
      <c r="AL937" s="275"/>
      <c r="AM937" s="290"/>
      <c r="AN937" s="275"/>
      <c r="AO937" s="276"/>
      <c r="AP937" s="275"/>
      <c r="AQ937" s="275"/>
      <c r="AR937" s="275"/>
      <c r="AS937" s="275"/>
      <c r="AT937" s="275"/>
      <c r="AU937" s="275"/>
      <c r="AV937" s="275"/>
      <c r="AW937" s="275"/>
      <c r="AX937" s="275"/>
      <c r="AY937" s="275"/>
      <c r="AZ937" s="275"/>
      <c r="BA937" s="275"/>
      <c r="BB937" s="275"/>
      <c r="BC937" s="275">
        <v>200000000</v>
      </c>
      <c r="BD937" s="275"/>
      <c r="BE937" s="275"/>
      <c r="BF937" s="275"/>
      <c r="BH937" s="277"/>
    </row>
    <row r="938" spans="1:60" ht="16.5" hidden="1" customHeight="1" x14ac:dyDescent="0.3">
      <c r="A938" s="260">
        <v>916</v>
      </c>
      <c r="B938" s="261"/>
      <c r="C938" s="261"/>
      <c r="D938" s="262" t="s">
        <v>15</v>
      </c>
      <c r="E938" s="262" t="s">
        <v>277</v>
      </c>
      <c r="F938" s="263" t="s">
        <v>15</v>
      </c>
      <c r="G938" s="264" t="s">
        <v>277</v>
      </c>
      <c r="H938" s="281"/>
      <c r="I938" s="265"/>
      <c r="J938" s="266" t="s">
        <v>667</v>
      </c>
      <c r="K938" s="262"/>
      <c r="L938" s="262"/>
      <c r="M938" s="262">
        <v>4706</v>
      </c>
      <c r="N938" s="262" t="s">
        <v>32</v>
      </c>
      <c r="O938" s="262" t="s">
        <v>56</v>
      </c>
      <c r="P938" s="262"/>
      <c r="Q938" s="262"/>
      <c r="R938" s="262" t="s">
        <v>478</v>
      </c>
      <c r="S938" s="267" t="s">
        <v>478</v>
      </c>
      <c r="T938" s="268"/>
      <c r="U938" s="269"/>
      <c r="V938" s="269">
        <v>0</v>
      </c>
      <c r="W938" s="278">
        <v>245630970</v>
      </c>
      <c r="X938" s="270"/>
      <c r="Y938" s="262" t="s">
        <v>27</v>
      </c>
      <c r="Z938" s="271" t="s">
        <v>74</v>
      </c>
      <c r="AA938" s="287"/>
      <c r="AB938" s="287"/>
      <c r="AC938" s="272">
        <f t="shared" si="31"/>
        <v>180000000</v>
      </c>
      <c r="AD938" s="272">
        <v>180000000</v>
      </c>
      <c r="AE938" s="272">
        <f t="shared" si="32"/>
        <v>0</v>
      </c>
      <c r="AF938" s="273"/>
      <c r="AG938" s="274"/>
      <c r="AH938" s="273"/>
      <c r="AI938" s="273"/>
      <c r="AJ938" s="274"/>
      <c r="AK938" s="273"/>
      <c r="AL938" s="275"/>
      <c r="AM938" s="290"/>
      <c r="AN938" s="275"/>
      <c r="AO938" s="276"/>
      <c r="AP938" s="275"/>
      <c r="AQ938" s="275"/>
      <c r="AR938" s="275"/>
      <c r="AS938" s="275"/>
      <c r="AT938" s="275"/>
      <c r="AU938" s="275"/>
      <c r="AV938" s="275"/>
      <c r="AW938" s="275"/>
      <c r="AX938" s="275"/>
      <c r="AY938" s="275"/>
      <c r="AZ938" s="275"/>
      <c r="BA938" s="275"/>
      <c r="BB938" s="275"/>
      <c r="BC938" s="275">
        <v>180000000</v>
      </c>
      <c r="BD938" s="275"/>
      <c r="BE938" s="275"/>
      <c r="BF938" s="275"/>
      <c r="BH938" s="277"/>
    </row>
    <row r="939" spans="1:60" ht="16.5" hidden="1" customHeight="1" x14ac:dyDescent="0.3">
      <c r="A939" s="260">
        <v>917</v>
      </c>
      <c r="B939" s="261"/>
      <c r="C939" s="261"/>
      <c r="D939" s="262" t="s">
        <v>15</v>
      </c>
      <c r="E939" s="262" t="s">
        <v>277</v>
      </c>
      <c r="F939" s="263" t="s">
        <v>15</v>
      </c>
      <c r="G939" s="264" t="s">
        <v>277</v>
      </c>
      <c r="H939" s="281"/>
      <c r="I939" s="265"/>
      <c r="J939" s="266" t="s">
        <v>305</v>
      </c>
      <c r="K939" s="262"/>
      <c r="L939" s="262"/>
      <c r="M939" s="262">
        <v>28822</v>
      </c>
      <c r="N939" s="262" t="s">
        <v>32</v>
      </c>
      <c r="O939" s="262" t="s">
        <v>178</v>
      </c>
      <c r="P939" s="262"/>
      <c r="Q939" s="262" t="s">
        <v>30</v>
      </c>
      <c r="R939" s="262" t="s">
        <v>31</v>
      </c>
      <c r="S939" s="267" t="s">
        <v>31</v>
      </c>
      <c r="T939" s="268"/>
      <c r="U939" s="269">
        <v>800000</v>
      </c>
      <c r="V939" s="269">
        <v>0</v>
      </c>
      <c r="W939" s="278">
        <v>0</v>
      </c>
      <c r="X939" s="270"/>
      <c r="Y939" s="262" t="s">
        <v>21</v>
      </c>
      <c r="Z939" s="271" t="s">
        <v>21</v>
      </c>
      <c r="AA939" s="287"/>
      <c r="AB939" s="287"/>
      <c r="AC939" s="272">
        <f t="shared" si="31"/>
        <v>0</v>
      </c>
      <c r="AD939" s="272">
        <v>0</v>
      </c>
      <c r="AE939" s="272">
        <f t="shared" si="32"/>
        <v>0</v>
      </c>
      <c r="AF939" s="273"/>
      <c r="AG939" s="274"/>
      <c r="AH939" s="273"/>
      <c r="AI939" s="273"/>
      <c r="AJ939" s="274"/>
      <c r="AK939" s="273"/>
      <c r="AL939" s="275"/>
      <c r="AM939" s="290"/>
      <c r="AN939" s="275"/>
      <c r="AO939" s="276"/>
      <c r="AP939" s="275"/>
      <c r="AQ939" s="275"/>
      <c r="AR939" s="275"/>
      <c r="AS939" s="275"/>
      <c r="AT939" s="275"/>
      <c r="AU939" s="275"/>
      <c r="AV939" s="275"/>
      <c r="AW939" s="275"/>
      <c r="AX939" s="275"/>
      <c r="AY939" s="275"/>
      <c r="AZ939" s="275"/>
      <c r="BA939" s="275"/>
      <c r="BB939" s="275"/>
      <c r="BC939" s="275"/>
      <c r="BD939" s="275"/>
      <c r="BE939" s="275"/>
      <c r="BF939" s="275"/>
      <c r="BH939" s="277"/>
    </row>
    <row r="940" spans="1:60" ht="16.5" hidden="1" customHeight="1" x14ac:dyDescent="0.3">
      <c r="A940" s="260">
        <v>918</v>
      </c>
      <c r="B940" s="261"/>
      <c r="C940" s="261"/>
      <c r="D940" s="262" t="s">
        <v>15</v>
      </c>
      <c r="E940" s="262" t="s">
        <v>277</v>
      </c>
      <c r="F940" s="263" t="s">
        <v>15</v>
      </c>
      <c r="G940" s="264" t="s">
        <v>277</v>
      </c>
      <c r="H940" s="281"/>
      <c r="I940" s="265"/>
      <c r="J940" s="266" t="s">
        <v>305</v>
      </c>
      <c r="K940" s="262"/>
      <c r="L940" s="262"/>
      <c r="M940" s="262">
        <v>28822</v>
      </c>
      <c r="N940" s="262" t="s">
        <v>32</v>
      </c>
      <c r="O940" s="262" t="s">
        <v>56</v>
      </c>
      <c r="P940" s="262"/>
      <c r="Q940" s="262" t="s">
        <v>26</v>
      </c>
      <c r="R940" s="262" t="s">
        <v>468</v>
      </c>
      <c r="S940" s="267" t="s">
        <v>468</v>
      </c>
      <c r="T940" s="268"/>
      <c r="U940" s="269">
        <v>4203364</v>
      </c>
      <c r="V940" s="269">
        <v>25018000</v>
      </c>
      <c r="W940" s="278">
        <v>0</v>
      </c>
      <c r="X940" s="270"/>
      <c r="Y940" s="262" t="s">
        <v>24</v>
      </c>
      <c r="Z940" s="271" t="s">
        <v>25</v>
      </c>
      <c r="AA940" s="287"/>
      <c r="AB940" s="287"/>
      <c r="AC940" s="272">
        <f t="shared" si="31"/>
        <v>20000000</v>
      </c>
      <c r="AD940" s="272">
        <v>20000000</v>
      </c>
      <c r="AE940" s="272">
        <f t="shared" si="32"/>
        <v>0</v>
      </c>
      <c r="AF940" s="273"/>
      <c r="AG940" s="274"/>
      <c r="AH940" s="273"/>
      <c r="AI940" s="273"/>
      <c r="AJ940" s="274"/>
      <c r="AK940" s="273"/>
      <c r="AL940" s="275"/>
      <c r="AM940" s="290"/>
      <c r="AN940" s="275"/>
      <c r="AO940" s="276"/>
      <c r="AP940" s="275"/>
      <c r="AQ940" s="291">
        <v>20000000</v>
      </c>
      <c r="AR940" s="275"/>
      <c r="AS940" s="275"/>
      <c r="AT940" s="275"/>
      <c r="AU940" s="275"/>
      <c r="AV940" s="275"/>
      <c r="AW940" s="275"/>
      <c r="AX940" s="275"/>
      <c r="AY940" s="275"/>
      <c r="AZ940" s="275"/>
      <c r="BA940" s="275"/>
      <c r="BB940" s="275"/>
      <c r="BC940" s="275"/>
      <c r="BD940" s="275"/>
      <c r="BE940" s="275"/>
      <c r="BF940" s="275"/>
      <c r="BH940" s="277"/>
    </row>
    <row r="941" spans="1:60" ht="16.5" hidden="1" customHeight="1" x14ac:dyDescent="0.3">
      <c r="A941" s="260">
        <v>919</v>
      </c>
      <c r="B941" s="261"/>
      <c r="C941" s="261"/>
      <c r="D941" s="262" t="s">
        <v>15</v>
      </c>
      <c r="E941" s="262" t="s">
        <v>277</v>
      </c>
      <c r="F941" s="263" t="s">
        <v>15</v>
      </c>
      <c r="G941" s="264" t="s">
        <v>277</v>
      </c>
      <c r="H941" s="281"/>
      <c r="I941" s="265"/>
      <c r="J941" s="266" t="s">
        <v>306</v>
      </c>
      <c r="K941" s="262"/>
      <c r="L941" s="262"/>
      <c r="M941" s="262">
        <v>20503</v>
      </c>
      <c r="N941" s="262" t="s">
        <v>22</v>
      </c>
      <c r="O941" s="262" t="s">
        <v>35</v>
      </c>
      <c r="P941" s="262"/>
      <c r="Q941" s="262"/>
      <c r="R941" s="262" t="s">
        <v>467</v>
      </c>
      <c r="S941" s="267" t="s">
        <v>19</v>
      </c>
      <c r="T941" s="268"/>
      <c r="U941" s="269"/>
      <c r="V941" s="269">
        <v>0</v>
      </c>
      <c r="W941" s="278">
        <v>6520000</v>
      </c>
      <c r="X941" s="270"/>
      <c r="Y941" s="262" t="s">
        <v>25</v>
      </c>
      <c r="Z941" s="271" t="s">
        <v>25</v>
      </c>
      <c r="AA941" s="287"/>
      <c r="AB941" s="287"/>
      <c r="AC941" s="272">
        <f t="shared" si="31"/>
        <v>5000000</v>
      </c>
      <c r="AD941" s="272">
        <v>5000000</v>
      </c>
      <c r="AE941" s="272">
        <f t="shared" si="32"/>
        <v>0</v>
      </c>
      <c r="AF941" s="273"/>
      <c r="AG941" s="274"/>
      <c r="AH941" s="273"/>
      <c r="AI941" s="273"/>
      <c r="AJ941" s="274"/>
      <c r="AK941" s="273"/>
      <c r="AL941" s="275"/>
      <c r="AM941" s="290"/>
      <c r="AN941" s="275"/>
      <c r="AO941" s="276"/>
      <c r="AP941" s="275"/>
      <c r="AQ941" s="275"/>
      <c r="AR941" s="275"/>
      <c r="AS941" s="275"/>
      <c r="AT941" s="275"/>
      <c r="AU941" s="275"/>
      <c r="AV941" s="275"/>
      <c r="AW941" s="275"/>
      <c r="AX941" s="275"/>
      <c r="AY941" s="275">
        <v>5000000</v>
      </c>
      <c r="AZ941" s="275"/>
      <c r="BA941" s="275"/>
      <c r="BB941" s="275"/>
      <c r="BC941" s="275"/>
      <c r="BD941" s="275"/>
      <c r="BE941" s="275"/>
      <c r="BF941" s="275"/>
      <c r="BH941" s="277"/>
    </row>
    <row r="942" spans="1:60" ht="16.5" hidden="1" customHeight="1" x14ac:dyDescent="0.3">
      <c r="A942" s="260">
        <v>920</v>
      </c>
      <c r="B942" s="261"/>
      <c r="C942" s="261"/>
      <c r="D942" s="262" t="s">
        <v>15</v>
      </c>
      <c r="E942" s="262" t="s">
        <v>277</v>
      </c>
      <c r="F942" s="263" t="s">
        <v>15</v>
      </c>
      <c r="G942" s="264" t="s">
        <v>277</v>
      </c>
      <c r="H942" s="281"/>
      <c r="I942" s="265"/>
      <c r="J942" s="266" t="s">
        <v>306</v>
      </c>
      <c r="K942" s="262"/>
      <c r="L942" s="262"/>
      <c r="M942" s="262">
        <v>20503</v>
      </c>
      <c r="N942" s="262" t="s">
        <v>22</v>
      </c>
      <c r="O942" s="262" t="s">
        <v>35</v>
      </c>
      <c r="P942" s="262"/>
      <c r="Q942" s="262" t="s">
        <v>26</v>
      </c>
      <c r="R942" s="262" t="s">
        <v>468</v>
      </c>
      <c r="S942" s="267" t="s">
        <v>468</v>
      </c>
      <c r="T942" s="268"/>
      <c r="U942" s="269"/>
      <c r="V942" s="269">
        <v>0</v>
      </c>
      <c r="W942" s="278">
        <v>54800000</v>
      </c>
      <c r="X942" s="270"/>
      <c r="Y942" s="262" t="s">
        <v>27</v>
      </c>
      <c r="Z942" s="271" t="s">
        <v>27</v>
      </c>
      <c r="AA942" s="287"/>
      <c r="AB942" s="287"/>
      <c r="AC942" s="272">
        <f t="shared" si="31"/>
        <v>11280000</v>
      </c>
      <c r="AD942" s="272">
        <v>11280000</v>
      </c>
      <c r="AE942" s="272">
        <f t="shared" si="32"/>
        <v>0</v>
      </c>
      <c r="AF942" s="273">
        <v>11280000</v>
      </c>
      <c r="AG942" s="274">
        <v>11280000</v>
      </c>
      <c r="AH942" s="273"/>
      <c r="AI942" s="273"/>
      <c r="AJ942" s="274"/>
      <c r="AK942" s="273"/>
      <c r="AL942" s="275"/>
      <c r="AM942" s="290"/>
      <c r="AN942" s="275"/>
      <c r="AO942" s="276"/>
      <c r="AP942" s="275"/>
      <c r="AQ942" s="275"/>
      <c r="AR942" s="275"/>
      <c r="AS942" s="275"/>
      <c r="AT942" s="275"/>
      <c r="AU942" s="275"/>
      <c r="AV942" s="275"/>
      <c r="AW942" s="275"/>
      <c r="AX942" s="275"/>
      <c r="AY942" s="275"/>
      <c r="AZ942" s="275"/>
      <c r="BA942" s="275"/>
      <c r="BB942" s="275"/>
      <c r="BC942" s="275"/>
      <c r="BD942" s="275"/>
      <c r="BE942" s="275"/>
      <c r="BF942" s="275"/>
      <c r="BH942" s="277"/>
    </row>
    <row r="943" spans="1:60" ht="16.5" hidden="1" customHeight="1" x14ac:dyDescent="0.3">
      <c r="A943" s="260">
        <v>921</v>
      </c>
      <c r="B943" s="261"/>
      <c r="C943" s="261"/>
      <c r="D943" s="262" t="s">
        <v>15</v>
      </c>
      <c r="E943" s="262" t="s">
        <v>277</v>
      </c>
      <c r="F943" s="263" t="s">
        <v>15</v>
      </c>
      <c r="G943" s="264" t="s">
        <v>277</v>
      </c>
      <c r="H943" s="281"/>
      <c r="I943" s="265"/>
      <c r="J943" s="266" t="s">
        <v>306</v>
      </c>
      <c r="K943" s="262"/>
      <c r="L943" s="262"/>
      <c r="M943" s="262">
        <v>20503</v>
      </c>
      <c r="N943" s="262" t="s">
        <v>22</v>
      </c>
      <c r="O943" s="262" t="s">
        <v>35</v>
      </c>
      <c r="P943" s="262"/>
      <c r="Q943" s="262" t="s">
        <v>77</v>
      </c>
      <c r="R943" s="262" t="s">
        <v>473</v>
      </c>
      <c r="S943" s="267" t="s">
        <v>468</v>
      </c>
      <c r="T943" s="268"/>
      <c r="U943" s="269"/>
      <c r="V943" s="269">
        <v>0</v>
      </c>
      <c r="W943" s="278">
        <v>0</v>
      </c>
      <c r="X943" s="270"/>
      <c r="Y943" s="262" t="s">
        <v>25</v>
      </c>
      <c r="Z943" s="271" t="s">
        <v>27</v>
      </c>
      <c r="AA943" s="287"/>
      <c r="AB943" s="287"/>
      <c r="AC943" s="272">
        <f t="shared" si="31"/>
        <v>20000000</v>
      </c>
      <c r="AD943" s="272">
        <v>20000000</v>
      </c>
      <c r="AE943" s="272">
        <f t="shared" si="32"/>
        <v>0</v>
      </c>
      <c r="AF943" s="273"/>
      <c r="AG943" s="274"/>
      <c r="AH943" s="273"/>
      <c r="AI943" s="273"/>
      <c r="AJ943" s="274"/>
      <c r="AK943" s="273"/>
      <c r="AL943" s="275"/>
      <c r="AM943" s="290"/>
      <c r="AN943" s="275"/>
      <c r="AO943" s="276"/>
      <c r="AP943" s="275"/>
      <c r="AQ943" s="275">
        <v>20000000</v>
      </c>
      <c r="AR943" s="275"/>
      <c r="AS943" s="275"/>
      <c r="AT943" s="275"/>
      <c r="AU943" s="275"/>
      <c r="AV943" s="275"/>
      <c r="AW943" s="275"/>
      <c r="AX943" s="275"/>
      <c r="AY943" s="275"/>
      <c r="AZ943" s="275"/>
      <c r="BA943" s="275"/>
      <c r="BB943" s="275"/>
      <c r="BC943" s="275"/>
      <c r="BD943" s="275"/>
      <c r="BE943" s="275"/>
      <c r="BF943" s="275"/>
      <c r="BH943" s="277"/>
    </row>
    <row r="944" spans="1:60" ht="16.5" hidden="1" customHeight="1" x14ac:dyDescent="0.3">
      <c r="A944" s="260">
        <v>922</v>
      </c>
      <c r="B944" s="261"/>
      <c r="C944" s="261"/>
      <c r="D944" s="262" t="s">
        <v>15</v>
      </c>
      <c r="E944" s="262" t="s">
        <v>277</v>
      </c>
      <c r="F944" s="263" t="s">
        <v>15</v>
      </c>
      <c r="G944" s="264" t="s">
        <v>277</v>
      </c>
      <c r="H944" s="281"/>
      <c r="I944" s="265"/>
      <c r="J944" s="266" t="s">
        <v>306</v>
      </c>
      <c r="K944" s="262"/>
      <c r="L944" s="262"/>
      <c r="M944" s="262">
        <v>20503</v>
      </c>
      <c r="N944" s="262" t="s">
        <v>22</v>
      </c>
      <c r="O944" s="262" t="s">
        <v>56</v>
      </c>
      <c r="P944" s="262"/>
      <c r="Q944" s="262" t="s">
        <v>26</v>
      </c>
      <c r="R944" s="262" t="s">
        <v>468</v>
      </c>
      <c r="S944" s="267" t="s">
        <v>468</v>
      </c>
      <c r="T944" s="268"/>
      <c r="U944" s="269"/>
      <c r="V944" s="269">
        <v>18200000</v>
      </c>
      <c r="W944" s="278">
        <v>0</v>
      </c>
      <c r="X944" s="270"/>
      <c r="Y944" s="262" t="s">
        <v>27</v>
      </c>
      <c r="Z944" s="271" t="s">
        <v>27</v>
      </c>
      <c r="AA944" s="287"/>
      <c r="AB944" s="287"/>
      <c r="AC944" s="272">
        <f t="shared" si="31"/>
        <v>40000000</v>
      </c>
      <c r="AD944" s="272">
        <v>40000000</v>
      </c>
      <c r="AE944" s="272">
        <f t="shared" si="32"/>
        <v>0</v>
      </c>
      <c r="AF944" s="273"/>
      <c r="AG944" s="274"/>
      <c r="AH944" s="273"/>
      <c r="AI944" s="273"/>
      <c r="AJ944" s="274"/>
      <c r="AK944" s="273"/>
      <c r="AL944" s="275"/>
      <c r="AM944" s="290"/>
      <c r="AN944" s="275"/>
      <c r="AO944" s="276"/>
      <c r="AP944" s="275"/>
      <c r="AQ944" s="275"/>
      <c r="AR944" s="275"/>
      <c r="AS944" s="275"/>
      <c r="AT944" s="275"/>
      <c r="AU944" s="275">
        <v>40000000</v>
      </c>
      <c r="AV944" s="275"/>
      <c r="AW944" s="275"/>
      <c r="AX944" s="275"/>
      <c r="AY944" s="275"/>
      <c r="AZ944" s="275"/>
      <c r="BA944" s="275"/>
      <c r="BB944" s="275"/>
      <c r="BC944" s="275"/>
      <c r="BD944" s="275"/>
      <c r="BE944" s="275"/>
      <c r="BF944" s="275"/>
      <c r="BH944" s="277"/>
    </row>
    <row r="945" spans="1:60" ht="16.5" hidden="1" customHeight="1" x14ac:dyDescent="0.3">
      <c r="A945" s="260">
        <v>923</v>
      </c>
      <c r="B945" s="261"/>
      <c r="C945" s="261"/>
      <c r="D945" s="262" t="s">
        <v>15</v>
      </c>
      <c r="E945" s="262" t="s">
        <v>277</v>
      </c>
      <c r="F945" s="263" t="s">
        <v>15</v>
      </c>
      <c r="G945" s="264" t="s">
        <v>277</v>
      </c>
      <c r="H945" s="281"/>
      <c r="I945" s="265"/>
      <c r="J945" s="266" t="s">
        <v>307</v>
      </c>
      <c r="K945" s="262"/>
      <c r="L945" s="262"/>
      <c r="M945" s="262">
        <v>3944</v>
      </c>
      <c r="N945" s="262" t="s">
        <v>22</v>
      </c>
      <c r="O945" s="262" t="s">
        <v>35</v>
      </c>
      <c r="P945" s="262"/>
      <c r="Q945" s="262" t="s">
        <v>26</v>
      </c>
      <c r="R945" s="262" t="s">
        <v>468</v>
      </c>
      <c r="S945" s="267" t="s">
        <v>468</v>
      </c>
      <c r="T945" s="268"/>
      <c r="U945" s="269"/>
      <c r="V945" s="269">
        <v>0</v>
      </c>
      <c r="W945" s="278">
        <v>0</v>
      </c>
      <c r="X945" s="270"/>
      <c r="Y945" s="262" t="s">
        <v>25</v>
      </c>
      <c r="Z945" s="271" t="s">
        <v>25</v>
      </c>
      <c r="AA945" s="287"/>
      <c r="AB945" s="287"/>
      <c r="AC945" s="272">
        <f t="shared" si="31"/>
        <v>5000000</v>
      </c>
      <c r="AD945" s="272">
        <v>5000000</v>
      </c>
      <c r="AE945" s="272">
        <f t="shared" si="32"/>
        <v>0</v>
      </c>
      <c r="AF945" s="273"/>
      <c r="AG945" s="274"/>
      <c r="AH945" s="273"/>
      <c r="AI945" s="273"/>
      <c r="AJ945" s="274"/>
      <c r="AK945" s="273"/>
      <c r="AL945" s="275"/>
      <c r="AM945" s="290"/>
      <c r="AN945" s="275"/>
      <c r="AO945" s="276"/>
      <c r="AP945" s="275"/>
      <c r="AQ945" s="275">
        <v>5000000</v>
      </c>
      <c r="AR945" s="275"/>
      <c r="AS945" s="275"/>
      <c r="AT945" s="275"/>
      <c r="AU945" s="275"/>
      <c r="AV945" s="275"/>
      <c r="AW945" s="275"/>
      <c r="AX945" s="275"/>
      <c r="AY945" s="275"/>
      <c r="AZ945" s="275"/>
      <c r="BA945" s="275"/>
      <c r="BB945" s="275"/>
      <c r="BC945" s="275"/>
      <c r="BD945" s="275"/>
      <c r="BE945" s="275"/>
      <c r="BF945" s="275"/>
      <c r="BH945" s="277"/>
    </row>
    <row r="946" spans="1:60" ht="16.5" hidden="1" customHeight="1" x14ac:dyDescent="0.3">
      <c r="A946" s="260">
        <v>924</v>
      </c>
      <c r="B946" s="261"/>
      <c r="C946" s="261"/>
      <c r="D946" s="262" t="s">
        <v>15</v>
      </c>
      <c r="E946" s="262" t="s">
        <v>277</v>
      </c>
      <c r="F946" s="263" t="s">
        <v>15</v>
      </c>
      <c r="G946" s="264" t="s">
        <v>277</v>
      </c>
      <c r="H946" s="281"/>
      <c r="I946" s="265"/>
      <c r="J946" s="266" t="s">
        <v>307</v>
      </c>
      <c r="K946" s="262"/>
      <c r="L946" s="262"/>
      <c r="M946" s="262">
        <v>3944</v>
      </c>
      <c r="N946" s="262" t="s">
        <v>22</v>
      </c>
      <c r="O946" s="262" t="s">
        <v>35</v>
      </c>
      <c r="P946" s="262"/>
      <c r="Q946" s="262" t="s">
        <v>18</v>
      </c>
      <c r="R946" s="262" t="s">
        <v>28</v>
      </c>
      <c r="S946" s="267" t="s">
        <v>822</v>
      </c>
      <c r="T946" s="268"/>
      <c r="U946" s="269"/>
      <c r="V946" s="269">
        <v>0</v>
      </c>
      <c r="W946" s="278">
        <v>0</v>
      </c>
      <c r="X946" s="270"/>
      <c r="Y946" s="262" t="s">
        <v>25</v>
      </c>
      <c r="Z946" s="271" t="s">
        <v>25</v>
      </c>
      <c r="AA946" s="287"/>
      <c r="AB946" s="287"/>
      <c r="AC946" s="272">
        <f t="shared" si="31"/>
        <v>10000000</v>
      </c>
      <c r="AD946" s="272">
        <v>10000000</v>
      </c>
      <c r="AE946" s="272">
        <f t="shared" si="32"/>
        <v>0</v>
      </c>
      <c r="AF946" s="273"/>
      <c r="AG946" s="274"/>
      <c r="AH946" s="273"/>
      <c r="AI946" s="273"/>
      <c r="AJ946" s="274"/>
      <c r="AK946" s="273"/>
      <c r="AL946" s="275"/>
      <c r="AM946" s="290"/>
      <c r="AN946" s="275"/>
      <c r="AO946" s="276"/>
      <c r="AP946" s="275"/>
      <c r="AQ946" s="275"/>
      <c r="AR946" s="275"/>
      <c r="AS946" s="275"/>
      <c r="AT946" s="275"/>
      <c r="AU946" s="275"/>
      <c r="AV946" s="275"/>
      <c r="AW946" s="275"/>
      <c r="AX946" s="275"/>
      <c r="AY946" s="275">
        <v>10000000</v>
      </c>
      <c r="AZ946" s="275"/>
      <c r="BA946" s="275"/>
      <c r="BB946" s="275"/>
      <c r="BC946" s="275"/>
      <c r="BD946" s="275"/>
      <c r="BE946" s="275"/>
      <c r="BF946" s="275"/>
      <c r="BH946" s="277"/>
    </row>
    <row r="947" spans="1:60" ht="16.5" hidden="1" customHeight="1" x14ac:dyDescent="0.3">
      <c r="A947" s="260">
        <v>925</v>
      </c>
      <c r="B947" s="261"/>
      <c r="C947" s="261"/>
      <c r="D947" s="262"/>
      <c r="E947" s="262"/>
      <c r="F947" s="263" t="s">
        <v>15</v>
      </c>
      <c r="G947" s="264" t="s">
        <v>277</v>
      </c>
      <c r="H947" s="281"/>
      <c r="I947" s="265"/>
      <c r="J947" s="266" t="s">
        <v>580</v>
      </c>
      <c r="K947" s="262"/>
      <c r="L947" s="262"/>
      <c r="M947" s="262">
        <v>18079</v>
      </c>
      <c r="N947" s="262" t="s">
        <v>22</v>
      </c>
      <c r="O947" s="262" t="s">
        <v>212</v>
      </c>
      <c r="P947" s="262"/>
      <c r="Q947" s="262" t="s">
        <v>18</v>
      </c>
      <c r="R947" s="262" t="s">
        <v>19</v>
      </c>
      <c r="S947" s="267" t="s">
        <v>19</v>
      </c>
      <c r="T947" s="268"/>
      <c r="U947" s="269">
        <v>19455000</v>
      </c>
      <c r="V947" s="269">
        <v>29702000</v>
      </c>
      <c r="W947" s="278">
        <v>24849000</v>
      </c>
      <c r="X947" s="270"/>
      <c r="Y947" s="262" t="s">
        <v>27</v>
      </c>
      <c r="Z947" s="271" t="s">
        <v>27</v>
      </c>
      <c r="AA947" s="287"/>
      <c r="AB947" s="287"/>
      <c r="AC947" s="272">
        <f t="shared" si="31"/>
        <v>20000000</v>
      </c>
      <c r="AD947" s="272">
        <v>20000000</v>
      </c>
      <c r="AE947" s="272">
        <f t="shared" si="32"/>
        <v>0</v>
      </c>
      <c r="AF947" s="273"/>
      <c r="AG947" s="274"/>
      <c r="AH947" s="273"/>
      <c r="AI947" s="273">
        <v>4000000</v>
      </c>
      <c r="AJ947" s="274">
        <v>880000</v>
      </c>
      <c r="AK947" s="273"/>
      <c r="AL947" s="275">
        <v>2000000</v>
      </c>
      <c r="AM947" s="290">
        <v>110000</v>
      </c>
      <c r="AN947" s="275"/>
      <c r="AO947" s="276">
        <v>2000000</v>
      </c>
      <c r="AP947" s="275"/>
      <c r="AQ947" s="275">
        <v>2000000</v>
      </c>
      <c r="AR947" s="275"/>
      <c r="AS947" s="275">
        <v>2000000</v>
      </c>
      <c r="AT947" s="275"/>
      <c r="AU947" s="275">
        <v>2000000</v>
      </c>
      <c r="AV947" s="275"/>
      <c r="AW947" s="275">
        <v>2000000</v>
      </c>
      <c r="AX947" s="275"/>
      <c r="AY947" s="275">
        <v>2000000</v>
      </c>
      <c r="AZ947" s="275"/>
      <c r="BA947" s="275">
        <v>3890000</v>
      </c>
      <c r="BB947" s="275"/>
      <c r="BC947" s="275">
        <v>3120000</v>
      </c>
      <c r="BD947" s="275"/>
      <c r="BE947" s="275"/>
      <c r="BF947" s="275"/>
      <c r="BH947" s="277"/>
    </row>
    <row r="948" spans="1:60" ht="16.5" hidden="1" customHeight="1" x14ac:dyDescent="0.3">
      <c r="A948" s="260">
        <v>926</v>
      </c>
      <c r="B948" s="261"/>
      <c r="C948" s="261"/>
      <c r="D948" s="262" t="s">
        <v>15</v>
      </c>
      <c r="E948" s="262" t="s">
        <v>277</v>
      </c>
      <c r="F948" s="263" t="s">
        <v>15</v>
      </c>
      <c r="G948" s="264" t="s">
        <v>277</v>
      </c>
      <c r="H948" s="281"/>
      <c r="I948" s="265"/>
      <c r="J948" s="266" t="s">
        <v>580</v>
      </c>
      <c r="K948" s="262"/>
      <c r="L948" s="262"/>
      <c r="M948" s="262">
        <v>18079</v>
      </c>
      <c r="N948" s="262"/>
      <c r="O948" s="262"/>
      <c r="P948" s="262"/>
      <c r="Q948" s="262"/>
      <c r="R948" s="262"/>
      <c r="S948" s="267" t="s">
        <v>31</v>
      </c>
      <c r="T948" s="268"/>
      <c r="U948" s="269"/>
      <c r="V948" s="269"/>
      <c r="W948" s="278">
        <v>6919000</v>
      </c>
      <c r="X948" s="270"/>
      <c r="Y948" s="262"/>
      <c r="Z948" s="271" t="s">
        <v>718</v>
      </c>
      <c r="AA948" s="287"/>
      <c r="AB948" s="287"/>
      <c r="AC948" s="272">
        <f t="shared" si="31"/>
        <v>0</v>
      </c>
      <c r="AD948" s="272">
        <v>0</v>
      </c>
      <c r="AE948" s="272">
        <f t="shared" si="32"/>
        <v>0</v>
      </c>
      <c r="AF948" s="273"/>
      <c r="AG948" s="274"/>
      <c r="AH948" s="273"/>
      <c r="AI948" s="273"/>
      <c r="AJ948" s="274"/>
      <c r="AK948" s="273"/>
      <c r="AL948" s="275"/>
      <c r="AM948" s="290"/>
      <c r="AN948" s="275"/>
      <c r="AO948" s="276"/>
      <c r="AP948" s="275"/>
      <c r="AQ948" s="275"/>
      <c r="AR948" s="275"/>
      <c r="AS948" s="275"/>
      <c r="AT948" s="275"/>
      <c r="AU948" s="275"/>
      <c r="AV948" s="275"/>
      <c r="AW948" s="275"/>
      <c r="AX948" s="275"/>
      <c r="AY948" s="275"/>
      <c r="AZ948" s="275"/>
      <c r="BA948" s="275"/>
      <c r="BB948" s="275"/>
      <c r="BC948" s="275"/>
      <c r="BD948" s="275"/>
      <c r="BE948" s="275"/>
      <c r="BF948" s="275"/>
      <c r="BH948" s="277"/>
    </row>
    <row r="949" spans="1:60" ht="16.5" hidden="1" customHeight="1" x14ac:dyDescent="0.3">
      <c r="A949" s="260">
        <v>927</v>
      </c>
      <c r="B949" s="261"/>
      <c r="C949" s="261"/>
      <c r="D949" s="262" t="s">
        <v>15</v>
      </c>
      <c r="E949" s="262" t="s">
        <v>175</v>
      </c>
      <c r="F949" s="263" t="s">
        <v>15</v>
      </c>
      <c r="G949" s="264" t="s">
        <v>277</v>
      </c>
      <c r="H949" s="281"/>
      <c r="I949" s="265"/>
      <c r="J949" s="266" t="s">
        <v>580</v>
      </c>
      <c r="K949" s="262"/>
      <c r="L949" s="262"/>
      <c r="M949" s="262">
        <v>18079</v>
      </c>
      <c r="N949" s="262" t="s">
        <v>22</v>
      </c>
      <c r="O949" s="262" t="s">
        <v>35</v>
      </c>
      <c r="P949" s="262"/>
      <c r="Q949" s="262"/>
      <c r="R949" s="262"/>
      <c r="S949" s="267" t="s">
        <v>828</v>
      </c>
      <c r="T949" s="268"/>
      <c r="U949" s="269"/>
      <c r="V949" s="269"/>
      <c r="W949" s="278">
        <v>0</v>
      </c>
      <c r="X949" s="270"/>
      <c r="Y949" s="262"/>
      <c r="Z949" s="271" t="s">
        <v>25</v>
      </c>
      <c r="AA949" s="287"/>
      <c r="AB949" s="287"/>
      <c r="AC949" s="272">
        <f t="shared" si="31"/>
        <v>10000000</v>
      </c>
      <c r="AD949" s="272">
        <v>10000000</v>
      </c>
      <c r="AE949" s="272">
        <f t="shared" si="32"/>
        <v>0</v>
      </c>
      <c r="AF949" s="273"/>
      <c r="AG949" s="274"/>
      <c r="AH949" s="273"/>
      <c r="AI949" s="273"/>
      <c r="AJ949" s="274"/>
      <c r="AK949" s="273"/>
      <c r="AL949" s="275"/>
      <c r="AM949" s="290"/>
      <c r="AN949" s="275"/>
      <c r="AO949" s="276"/>
      <c r="AP949" s="275"/>
      <c r="AQ949" s="275">
        <v>5000000</v>
      </c>
      <c r="AR949" s="275"/>
      <c r="AS949" s="275"/>
      <c r="AT949" s="275"/>
      <c r="AU949" s="275">
        <v>5000000</v>
      </c>
      <c r="AV949" s="275"/>
      <c r="AW949" s="275"/>
      <c r="AX949" s="275"/>
      <c r="AY949" s="275"/>
      <c r="AZ949" s="275"/>
      <c r="BA949" s="275"/>
      <c r="BB949" s="275"/>
      <c r="BC949" s="275"/>
      <c r="BD949" s="275"/>
      <c r="BE949" s="275"/>
      <c r="BF949" s="275"/>
      <c r="BH949" s="277"/>
    </row>
    <row r="950" spans="1:60" ht="16.5" hidden="1" customHeight="1" x14ac:dyDescent="0.3">
      <c r="A950" s="260">
        <v>928</v>
      </c>
      <c r="B950" s="261"/>
      <c r="C950" s="261"/>
      <c r="D950" s="262" t="s">
        <v>15</v>
      </c>
      <c r="E950" s="262" t="s">
        <v>175</v>
      </c>
      <c r="F950" s="263" t="s">
        <v>15</v>
      </c>
      <c r="G950" s="264" t="s">
        <v>277</v>
      </c>
      <c r="H950" s="281"/>
      <c r="I950" s="265"/>
      <c r="J950" s="266" t="s">
        <v>354</v>
      </c>
      <c r="K950" s="262"/>
      <c r="L950" s="262"/>
      <c r="M950" s="262">
        <v>3770</v>
      </c>
      <c r="N950" s="262" t="s">
        <v>22</v>
      </c>
      <c r="O950" s="262" t="s">
        <v>212</v>
      </c>
      <c r="P950" s="262" t="s">
        <v>57</v>
      </c>
      <c r="Q950" s="262" t="s">
        <v>30</v>
      </c>
      <c r="R950" s="262" t="s">
        <v>31</v>
      </c>
      <c r="S950" s="267" t="s">
        <v>31</v>
      </c>
      <c r="T950" s="268"/>
      <c r="U950" s="269">
        <v>12091000</v>
      </c>
      <c r="V950" s="269">
        <v>43100500</v>
      </c>
      <c r="W950" s="278">
        <v>27386000</v>
      </c>
      <c r="X950" s="270"/>
      <c r="Y950" s="262" t="s">
        <v>27</v>
      </c>
      <c r="Z950" s="271" t="s">
        <v>24</v>
      </c>
      <c r="AA950" s="287"/>
      <c r="AB950" s="287"/>
      <c r="AC950" s="272">
        <f t="shared" si="31"/>
        <v>10000000</v>
      </c>
      <c r="AD950" s="272">
        <v>10000000</v>
      </c>
      <c r="AE950" s="272">
        <f t="shared" si="32"/>
        <v>0</v>
      </c>
      <c r="AF950" s="273"/>
      <c r="AG950" s="274"/>
      <c r="AH950" s="273"/>
      <c r="AI950" s="273"/>
      <c r="AJ950" s="274"/>
      <c r="AK950" s="273"/>
      <c r="AL950" s="275"/>
      <c r="AM950" s="290"/>
      <c r="AN950" s="275"/>
      <c r="AO950" s="276"/>
      <c r="AP950" s="275"/>
      <c r="AQ950" s="275"/>
      <c r="AR950" s="275"/>
      <c r="AS950" s="275">
        <v>5000000</v>
      </c>
      <c r="AT950" s="275"/>
      <c r="AU950" s="275"/>
      <c r="AV950" s="275"/>
      <c r="AW950" s="275"/>
      <c r="AX950" s="275"/>
      <c r="AY950" s="275"/>
      <c r="AZ950" s="275"/>
      <c r="BA950" s="275"/>
      <c r="BB950" s="275"/>
      <c r="BC950" s="275">
        <v>5000000</v>
      </c>
      <c r="BD950" s="275"/>
      <c r="BE950" s="275"/>
      <c r="BF950" s="275"/>
      <c r="BH950" s="277"/>
    </row>
    <row r="951" spans="1:60" ht="16.5" hidden="1" customHeight="1" x14ac:dyDescent="0.3">
      <c r="A951" s="260">
        <v>929</v>
      </c>
      <c r="B951" s="261"/>
      <c r="C951" s="261"/>
      <c r="D951" s="262" t="s">
        <v>15</v>
      </c>
      <c r="E951" s="262" t="s">
        <v>277</v>
      </c>
      <c r="F951" s="263" t="s">
        <v>15</v>
      </c>
      <c r="G951" s="264" t="s">
        <v>277</v>
      </c>
      <c r="H951" s="281"/>
      <c r="I951" s="265"/>
      <c r="J951" s="266" t="s">
        <v>354</v>
      </c>
      <c r="K951" s="262"/>
      <c r="L951" s="262"/>
      <c r="M951" s="262">
        <v>3770</v>
      </c>
      <c r="N951" s="262" t="s">
        <v>22</v>
      </c>
      <c r="O951" s="262" t="s">
        <v>35</v>
      </c>
      <c r="P951" s="262" t="s">
        <v>57</v>
      </c>
      <c r="Q951" s="262" t="s">
        <v>73</v>
      </c>
      <c r="R951" s="262" t="s">
        <v>468</v>
      </c>
      <c r="S951" s="267" t="s">
        <v>468</v>
      </c>
      <c r="T951" s="268"/>
      <c r="U951" s="269" t="s">
        <v>154</v>
      </c>
      <c r="V951" s="269">
        <v>28900000</v>
      </c>
      <c r="W951" s="278">
        <v>0</v>
      </c>
      <c r="X951" s="270"/>
      <c r="Y951" s="262" t="s">
        <v>25</v>
      </c>
      <c r="Z951" s="271" t="s">
        <v>25</v>
      </c>
      <c r="AA951" s="287"/>
      <c r="AB951" s="287"/>
      <c r="AC951" s="272">
        <f t="shared" si="31"/>
        <v>20000000</v>
      </c>
      <c r="AD951" s="272">
        <v>20000000</v>
      </c>
      <c r="AE951" s="272">
        <f t="shared" si="32"/>
        <v>0</v>
      </c>
      <c r="AF951" s="273"/>
      <c r="AG951" s="274"/>
      <c r="AH951" s="273"/>
      <c r="AI951" s="273"/>
      <c r="AJ951" s="274"/>
      <c r="AK951" s="273"/>
      <c r="AL951" s="275"/>
      <c r="AM951" s="290"/>
      <c r="AN951" s="275"/>
      <c r="AO951" s="276"/>
      <c r="AP951" s="275"/>
      <c r="AQ951" s="275"/>
      <c r="AR951" s="275"/>
      <c r="AS951" s="275">
        <v>20000000</v>
      </c>
      <c r="AT951" s="275"/>
      <c r="AU951" s="275"/>
      <c r="AV951" s="275"/>
      <c r="AW951" s="275"/>
      <c r="AX951" s="275"/>
      <c r="AY951" s="275"/>
      <c r="AZ951" s="275"/>
      <c r="BA951" s="275"/>
      <c r="BB951" s="275"/>
      <c r="BC951" s="275"/>
      <c r="BD951" s="275"/>
      <c r="BE951" s="275"/>
      <c r="BF951" s="275"/>
      <c r="BH951" s="277"/>
    </row>
    <row r="952" spans="1:60" ht="16.5" hidden="1" customHeight="1" x14ac:dyDescent="0.3">
      <c r="A952" s="260">
        <v>930</v>
      </c>
      <c r="B952" s="261"/>
      <c r="C952" s="261"/>
      <c r="D952" s="262" t="s">
        <v>15</v>
      </c>
      <c r="E952" s="262" t="s">
        <v>277</v>
      </c>
      <c r="F952" s="263" t="s">
        <v>15</v>
      </c>
      <c r="G952" s="264" t="s">
        <v>277</v>
      </c>
      <c r="H952" s="281"/>
      <c r="I952" s="265"/>
      <c r="J952" s="266" t="s">
        <v>309</v>
      </c>
      <c r="K952" s="262"/>
      <c r="L952" s="262"/>
      <c r="M952" s="262">
        <v>3707</v>
      </c>
      <c r="N952" s="262" t="s">
        <v>22</v>
      </c>
      <c r="O952" s="262" t="s">
        <v>56</v>
      </c>
      <c r="P952" s="262"/>
      <c r="Q952" s="262"/>
      <c r="R952" s="262" t="s">
        <v>468</v>
      </c>
      <c r="S952" s="267" t="s">
        <v>468</v>
      </c>
      <c r="T952" s="268"/>
      <c r="U952" s="269"/>
      <c r="V952" s="269">
        <v>0</v>
      </c>
      <c r="W952" s="278">
        <v>45600000</v>
      </c>
      <c r="X952" s="270"/>
      <c r="Y952" s="262" t="s">
        <v>27</v>
      </c>
      <c r="Z952" s="271" t="s">
        <v>27</v>
      </c>
      <c r="AA952" s="287"/>
      <c r="AB952" s="287"/>
      <c r="AC952" s="272">
        <f t="shared" si="31"/>
        <v>41800000</v>
      </c>
      <c r="AD952" s="272">
        <v>41800000</v>
      </c>
      <c r="AE952" s="272">
        <f t="shared" si="32"/>
        <v>0</v>
      </c>
      <c r="AF952" s="273"/>
      <c r="AG952" s="274"/>
      <c r="AH952" s="273"/>
      <c r="AI952" s="273"/>
      <c r="AJ952" s="274"/>
      <c r="AK952" s="273"/>
      <c r="AL952" s="275"/>
      <c r="AM952" s="290"/>
      <c r="AN952" s="275"/>
      <c r="AO952" s="276"/>
      <c r="AP952" s="275"/>
      <c r="AQ952" s="275"/>
      <c r="AR952" s="275"/>
      <c r="AS952" s="275">
        <v>41800000</v>
      </c>
      <c r="AT952" s="275"/>
      <c r="AU952" s="275"/>
      <c r="AV952" s="275"/>
      <c r="AW952" s="275"/>
      <c r="AX952" s="275"/>
      <c r="AY952" s="275"/>
      <c r="AZ952" s="275"/>
      <c r="BA952" s="275"/>
      <c r="BB952" s="275"/>
      <c r="BC952" s="275"/>
      <c r="BD952" s="275"/>
      <c r="BE952" s="275"/>
      <c r="BF952" s="275"/>
      <c r="BH952" s="277"/>
    </row>
    <row r="953" spans="1:60" ht="16.5" hidden="1" customHeight="1" x14ac:dyDescent="0.3">
      <c r="A953" s="260">
        <v>931</v>
      </c>
      <c r="B953" s="261"/>
      <c r="C953" s="261"/>
      <c r="D953" s="262" t="s">
        <v>15</v>
      </c>
      <c r="E953" s="262" t="s">
        <v>277</v>
      </c>
      <c r="F953" s="263" t="s">
        <v>15</v>
      </c>
      <c r="G953" s="264" t="s">
        <v>277</v>
      </c>
      <c r="H953" s="281"/>
      <c r="I953" s="265"/>
      <c r="J953" s="266" t="s">
        <v>309</v>
      </c>
      <c r="K953" s="262"/>
      <c r="L953" s="262"/>
      <c r="M953" s="262">
        <v>3707</v>
      </c>
      <c r="N953" s="262" t="s">
        <v>22</v>
      </c>
      <c r="O953" s="262" t="s">
        <v>56</v>
      </c>
      <c r="P953" s="262"/>
      <c r="Q953" s="262" t="s">
        <v>26</v>
      </c>
      <c r="R953" s="262" t="s">
        <v>468</v>
      </c>
      <c r="S953" s="267" t="s">
        <v>468</v>
      </c>
      <c r="T953" s="268"/>
      <c r="U953" s="269"/>
      <c r="V953" s="269">
        <v>500000</v>
      </c>
      <c r="W953" s="278">
        <v>0</v>
      </c>
      <c r="X953" s="270"/>
      <c r="Y953" s="262" t="s">
        <v>27</v>
      </c>
      <c r="Z953" s="271" t="s">
        <v>20</v>
      </c>
      <c r="AA953" s="287"/>
      <c r="AB953" s="287"/>
      <c r="AC953" s="272">
        <f t="shared" si="31"/>
        <v>0</v>
      </c>
      <c r="AD953" s="272">
        <v>0</v>
      </c>
      <c r="AE953" s="272">
        <f t="shared" si="32"/>
        <v>0</v>
      </c>
      <c r="AF953" s="273"/>
      <c r="AG953" s="274"/>
      <c r="AH953" s="273"/>
      <c r="AI953" s="273"/>
      <c r="AJ953" s="274"/>
      <c r="AK953" s="273"/>
      <c r="AL953" s="275"/>
      <c r="AM953" s="290"/>
      <c r="AN953" s="275"/>
      <c r="AO953" s="276"/>
      <c r="AP953" s="275"/>
      <c r="AQ953" s="275"/>
      <c r="AR953" s="275"/>
      <c r="AS953" s="275"/>
      <c r="AT953" s="275"/>
      <c r="AU953" s="275"/>
      <c r="AV953" s="275"/>
      <c r="AW953" s="275">
        <v>0</v>
      </c>
      <c r="AX953" s="275"/>
      <c r="AY953" s="275"/>
      <c r="AZ953" s="275"/>
      <c r="BA953" s="275"/>
      <c r="BB953" s="275"/>
      <c r="BC953" s="275"/>
      <c r="BD953" s="275"/>
      <c r="BE953" s="275"/>
      <c r="BF953" s="275"/>
      <c r="BH953" s="277"/>
    </row>
    <row r="954" spans="1:60" ht="16.5" hidden="1" customHeight="1" x14ac:dyDescent="0.3">
      <c r="A954" s="260">
        <v>932</v>
      </c>
      <c r="B954" s="261"/>
      <c r="C954" s="261"/>
      <c r="D954" s="262" t="s">
        <v>15</v>
      </c>
      <c r="E954" s="262" t="s">
        <v>277</v>
      </c>
      <c r="F954" s="263" t="s">
        <v>15</v>
      </c>
      <c r="G954" s="264" t="s">
        <v>277</v>
      </c>
      <c r="H954" s="281"/>
      <c r="I954" s="265"/>
      <c r="J954" s="266" t="s">
        <v>309</v>
      </c>
      <c r="K954" s="262"/>
      <c r="L954" s="262"/>
      <c r="M954" s="262">
        <v>3707</v>
      </c>
      <c r="N954" s="262" t="s">
        <v>22</v>
      </c>
      <c r="O954" s="262" t="s">
        <v>35</v>
      </c>
      <c r="P954" s="262"/>
      <c r="Q954" s="262"/>
      <c r="R954" s="262"/>
      <c r="S954" s="267" t="s">
        <v>822</v>
      </c>
      <c r="T954" s="268"/>
      <c r="U954" s="269"/>
      <c r="V954" s="269"/>
      <c r="W954" s="278">
        <v>0</v>
      </c>
      <c r="X954" s="270"/>
      <c r="Y954" s="262"/>
      <c r="Z954" s="271" t="s">
        <v>25</v>
      </c>
      <c r="AA954" s="287"/>
      <c r="AB954" s="287"/>
      <c r="AC954" s="272">
        <f t="shared" si="31"/>
        <v>10000000</v>
      </c>
      <c r="AD954" s="272">
        <v>10000000</v>
      </c>
      <c r="AE954" s="272">
        <f t="shared" si="32"/>
        <v>0</v>
      </c>
      <c r="AF954" s="273"/>
      <c r="AG954" s="274"/>
      <c r="AH954" s="273"/>
      <c r="AI954" s="273"/>
      <c r="AJ954" s="274"/>
      <c r="AK954" s="273"/>
      <c r="AL954" s="275"/>
      <c r="AM954" s="290"/>
      <c r="AN954" s="275"/>
      <c r="AO954" s="276"/>
      <c r="AP954" s="275"/>
      <c r="AQ954" s="275">
        <v>10000000</v>
      </c>
      <c r="AR954" s="275"/>
      <c r="AS954" s="275"/>
      <c r="AT954" s="275"/>
      <c r="AU954" s="275"/>
      <c r="AV954" s="275"/>
      <c r="AW954" s="275"/>
      <c r="AX954" s="275"/>
      <c r="AY954" s="275"/>
      <c r="AZ954" s="275"/>
      <c r="BA954" s="275"/>
      <c r="BB954" s="275"/>
      <c r="BC954" s="275"/>
      <c r="BD954" s="275"/>
      <c r="BE954" s="275"/>
      <c r="BF954" s="275"/>
      <c r="BH954" s="277"/>
    </row>
    <row r="955" spans="1:60" ht="16.5" hidden="1" customHeight="1" x14ac:dyDescent="0.3">
      <c r="A955" s="260">
        <v>933</v>
      </c>
      <c r="B955" s="261"/>
      <c r="C955" s="261"/>
      <c r="D955" s="262" t="s">
        <v>15</v>
      </c>
      <c r="E955" s="262" t="s">
        <v>277</v>
      </c>
      <c r="F955" s="263" t="s">
        <v>15</v>
      </c>
      <c r="G955" s="264" t="s">
        <v>277</v>
      </c>
      <c r="H955" s="281"/>
      <c r="I955" s="265"/>
      <c r="J955" s="266" t="s">
        <v>310</v>
      </c>
      <c r="K955" s="262"/>
      <c r="L955" s="262"/>
      <c r="M955" s="262">
        <v>18491</v>
      </c>
      <c r="N955" s="262" t="s">
        <v>22</v>
      </c>
      <c r="O955" s="262" t="s">
        <v>35</v>
      </c>
      <c r="P955" s="262"/>
      <c r="Q955" s="262" t="s">
        <v>18</v>
      </c>
      <c r="R955" s="262" t="s">
        <v>19</v>
      </c>
      <c r="S955" s="267" t="s">
        <v>19</v>
      </c>
      <c r="T955" s="268"/>
      <c r="U955" s="269">
        <v>21600000</v>
      </c>
      <c r="V955" s="269">
        <v>0</v>
      </c>
      <c r="W955" s="278">
        <v>0</v>
      </c>
      <c r="X955" s="270"/>
      <c r="Y955" s="262" t="s">
        <v>25</v>
      </c>
      <c r="Z955" s="271" t="s">
        <v>21</v>
      </c>
      <c r="AA955" s="287"/>
      <c r="AB955" s="287"/>
      <c r="AC955" s="272">
        <f t="shared" si="31"/>
        <v>0</v>
      </c>
      <c r="AD955" s="272">
        <v>0</v>
      </c>
      <c r="AE955" s="272">
        <f t="shared" si="32"/>
        <v>0</v>
      </c>
      <c r="AF955" s="273"/>
      <c r="AG955" s="274"/>
      <c r="AH955" s="273"/>
      <c r="AI955" s="273"/>
      <c r="AJ955" s="274"/>
      <c r="AK955" s="273"/>
      <c r="AL955" s="275"/>
      <c r="AM955" s="290"/>
      <c r="AN955" s="275"/>
      <c r="AO955" s="276"/>
      <c r="AP955" s="275"/>
      <c r="AQ955" s="275"/>
      <c r="AR955" s="275"/>
      <c r="AS955" s="275"/>
      <c r="AT955" s="275"/>
      <c r="AU955" s="275"/>
      <c r="AV955" s="275"/>
      <c r="AW955" s="275"/>
      <c r="AX955" s="275"/>
      <c r="AY955" s="275"/>
      <c r="AZ955" s="275"/>
      <c r="BA955" s="275"/>
      <c r="BB955" s="275"/>
      <c r="BC955" s="275"/>
      <c r="BD955" s="275"/>
      <c r="BE955" s="275"/>
      <c r="BF955" s="275"/>
      <c r="BH955" s="277"/>
    </row>
    <row r="956" spans="1:60" ht="16.5" hidden="1" customHeight="1" x14ac:dyDescent="0.3">
      <c r="A956" s="260">
        <v>934</v>
      </c>
      <c r="B956" s="261"/>
      <c r="C956" s="261"/>
      <c r="D956" s="262" t="s">
        <v>15</v>
      </c>
      <c r="E956" s="262" t="s">
        <v>277</v>
      </c>
      <c r="F956" s="263" t="s">
        <v>15</v>
      </c>
      <c r="G956" s="264" t="s">
        <v>277</v>
      </c>
      <c r="H956" s="281"/>
      <c r="I956" s="265"/>
      <c r="J956" s="266" t="s">
        <v>310</v>
      </c>
      <c r="K956" s="262"/>
      <c r="L956" s="262"/>
      <c r="M956" s="262">
        <v>18491</v>
      </c>
      <c r="N956" s="262" t="s">
        <v>22</v>
      </c>
      <c r="O956" s="262" t="s">
        <v>35</v>
      </c>
      <c r="P956" s="262"/>
      <c r="Q956" s="262" t="s">
        <v>77</v>
      </c>
      <c r="R956" s="262" t="s">
        <v>468</v>
      </c>
      <c r="S956" s="267" t="s">
        <v>468</v>
      </c>
      <c r="T956" s="268"/>
      <c r="U956" s="269"/>
      <c r="V956" s="269">
        <v>6700000</v>
      </c>
      <c r="W956" s="278">
        <v>172534727</v>
      </c>
      <c r="X956" s="270"/>
      <c r="Y956" s="262" t="s">
        <v>27</v>
      </c>
      <c r="Z956" s="271" t="s">
        <v>27</v>
      </c>
      <c r="AA956" s="287"/>
      <c r="AB956" s="287"/>
      <c r="AC956" s="272">
        <f t="shared" si="31"/>
        <v>5700000</v>
      </c>
      <c r="AD956" s="272">
        <v>5700000</v>
      </c>
      <c r="AE956" s="272">
        <f t="shared" si="32"/>
        <v>0</v>
      </c>
      <c r="AF956" s="273"/>
      <c r="AG956" s="274"/>
      <c r="AH956" s="273"/>
      <c r="AI956" s="273"/>
      <c r="AJ956" s="274"/>
      <c r="AK956" s="273"/>
      <c r="AL956" s="275">
        <v>6000000</v>
      </c>
      <c r="AM956" s="290">
        <v>5700000</v>
      </c>
      <c r="AN956" s="275"/>
      <c r="AO956" s="276"/>
      <c r="AP956" s="275"/>
      <c r="AQ956" s="275"/>
      <c r="AR956" s="275"/>
      <c r="AS956" s="275"/>
      <c r="AT956" s="275"/>
      <c r="AU956" s="275"/>
      <c r="AV956" s="275"/>
      <c r="AW956" s="275"/>
      <c r="AX956" s="275"/>
      <c r="AY956" s="275"/>
      <c r="AZ956" s="275"/>
      <c r="BA956" s="275"/>
      <c r="BB956" s="275"/>
      <c r="BC956" s="275"/>
      <c r="BD956" s="275"/>
      <c r="BE956" s="275"/>
      <c r="BF956" s="275"/>
      <c r="BH956" s="277"/>
    </row>
    <row r="957" spans="1:60" ht="16.5" hidden="1" customHeight="1" x14ac:dyDescent="0.3">
      <c r="A957" s="260">
        <v>935</v>
      </c>
      <c r="B957" s="261"/>
      <c r="C957" s="261"/>
      <c r="D957" s="262" t="s">
        <v>15</v>
      </c>
      <c r="E957" s="262" t="s">
        <v>277</v>
      </c>
      <c r="F957" s="263" t="s">
        <v>15</v>
      </c>
      <c r="G957" s="264" t="s">
        <v>277</v>
      </c>
      <c r="H957" s="281"/>
      <c r="I957" s="265"/>
      <c r="J957" s="266" t="s">
        <v>310</v>
      </c>
      <c r="K957" s="262"/>
      <c r="L957" s="262"/>
      <c r="M957" s="262">
        <v>18491</v>
      </c>
      <c r="N957" s="262" t="s">
        <v>22</v>
      </c>
      <c r="O957" s="262" t="s">
        <v>56</v>
      </c>
      <c r="P957" s="262"/>
      <c r="Q957" s="262" t="s">
        <v>26</v>
      </c>
      <c r="R957" s="262" t="s">
        <v>468</v>
      </c>
      <c r="S957" s="267" t="s">
        <v>468</v>
      </c>
      <c r="T957" s="268"/>
      <c r="U957" s="269"/>
      <c r="V957" s="269">
        <v>2800000</v>
      </c>
      <c r="W957" s="278">
        <v>0</v>
      </c>
      <c r="X957" s="270"/>
      <c r="Y957" s="262" t="s">
        <v>25</v>
      </c>
      <c r="Z957" s="271" t="s">
        <v>20</v>
      </c>
      <c r="AA957" s="287"/>
      <c r="AB957" s="287"/>
      <c r="AC957" s="272">
        <f t="shared" si="31"/>
        <v>0</v>
      </c>
      <c r="AD957" s="272">
        <v>0</v>
      </c>
      <c r="AE957" s="272">
        <f t="shared" si="32"/>
        <v>0</v>
      </c>
      <c r="AF957" s="273"/>
      <c r="AG957" s="274"/>
      <c r="AH957" s="273"/>
      <c r="AI957" s="273"/>
      <c r="AJ957" s="274"/>
      <c r="AK957" s="273"/>
      <c r="AL957" s="275"/>
      <c r="AM957" s="290"/>
      <c r="AN957" s="275"/>
      <c r="AO957" s="276"/>
      <c r="AP957" s="275"/>
      <c r="AQ957" s="275"/>
      <c r="AR957" s="275"/>
      <c r="AS957" s="275"/>
      <c r="AT957" s="275"/>
      <c r="AU957" s="275"/>
      <c r="AV957" s="275"/>
      <c r="AW957" s="275"/>
      <c r="AX957" s="275"/>
      <c r="AY957" s="275"/>
      <c r="AZ957" s="275"/>
      <c r="BA957" s="275"/>
      <c r="BB957" s="275"/>
      <c r="BC957" s="275"/>
      <c r="BD957" s="275"/>
      <c r="BE957" s="275"/>
      <c r="BF957" s="275"/>
      <c r="BH957" s="277"/>
    </row>
    <row r="958" spans="1:60" ht="16.5" hidden="1" customHeight="1" x14ac:dyDescent="0.3">
      <c r="A958" s="260">
        <v>936</v>
      </c>
      <c r="B958" s="261"/>
      <c r="C958" s="261"/>
      <c r="D958" s="262" t="s">
        <v>15</v>
      </c>
      <c r="E958" s="262" t="s">
        <v>277</v>
      </c>
      <c r="F958" s="263" t="s">
        <v>15</v>
      </c>
      <c r="G958" s="264" t="s">
        <v>277</v>
      </c>
      <c r="H958" s="281"/>
      <c r="I958" s="265"/>
      <c r="J958" s="266" t="s">
        <v>782</v>
      </c>
      <c r="K958" s="262"/>
      <c r="L958" s="262"/>
      <c r="M958" s="262">
        <v>52860</v>
      </c>
      <c r="N958" s="262" t="s">
        <v>22</v>
      </c>
      <c r="O958" s="262" t="s">
        <v>35</v>
      </c>
      <c r="P958" s="262"/>
      <c r="Q958" s="262"/>
      <c r="R958" s="262"/>
      <c r="S958" s="267" t="s">
        <v>822</v>
      </c>
      <c r="T958" s="268"/>
      <c r="U958" s="269"/>
      <c r="V958" s="269"/>
      <c r="W958" s="278">
        <v>0</v>
      </c>
      <c r="X958" s="270"/>
      <c r="Y958" s="262"/>
      <c r="Z958" s="271" t="s">
        <v>25</v>
      </c>
      <c r="AA958" s="287"/>
      <c r="AB958" s="287"/>
      <c r="AC958" s="272">
        <f t="shared" si="31"/>
        <v>10000000</v>
      </c>
      <c r="AD958" s="272">
        <v>10000000</v>
      </c>
      <c r="AE958" s="272">
        <f t="shared" si="32"/>
        <v>0</v>
      </c>
      <c r="AF958" s="273"/>
      <c r="AG958" s="274"/>
      <c r="AH958" s="273"/>
      <c r="AI958" s="273"/>
      <c r="AJ958" s="274"/>
      <c r="AK958" s="273"/>
      <c r="AL958" s="275"/>
      <c r="AM958" s="290"/>
      <c r="AN958" s="275"/>
      <c r="AO958" s="276"/>
      <c r="AP958" s="275"/>
      <c r="AQ958" s="291">
        <v>10000000</v>
      </c>
      <c r="AR958" s="275"/>
      <c r="AS958" s="275"/>
      <c r="AT958" s="275"/>
      <c r="AU958" s="275"/>
      <c r="AV958" s="275"/>
      <c r="AW958" s="275"/>
      <c r="AX958" s="275"/>
      <c r="AY958" s="275"/>
      <c r="AZ958" s="275"/>
      <c r="BA958" s="275"/>
      <c r="BB958" s="275"/>
      <c r="BC958" s="275"/>
      <c r="BD958" s="275"/>
      <c r="BE958" s="275"/>
      <c r="BF958" s="275"/>
      <c r="BH958" s="277"/>
    </row>
    <row r="959" spans="1:60" ht="16.5" hidden="1" customHeight="1" x14ac:dyDescent="0.3">
      <c r="A959" s="260">
        <v>937</v>
      </c>
      <c r="B959" s="261"/>
      <c r="C959" s="261"/>
      <c r="D959" s="262" t="s">
        <v>15</v>
      </c>
      <c r="E959" s="262" t="s">
        <v>277</v>
      </c>
      <c r="F959" s="263" t="s">
        <v>15</v>
      </c>
      <c r="G959" s="264" t="s">
        <v>277</v>
      </c>
      <c r="H959" s="281"/>
      <c r="I959" s="265"/>
      <c r="J959" s="266" t="s">
        <v>311</v>
      </c>
      <c r="K959" s="262"/>
      <c r="L959" s="262"/>
      <c r="M959" s="262">
        <v>3878</v>
      </c>
      <c r="N959" s="262" t="s">
        <v>22</v>
      </c>
      <c r="O959" s="262" t="s">
        <v>35</v>
      </c>
      <c r="P959" s="262"/>
      <c r="Q959" s="262" t="s">
        <v>18</v>
      </c>
      <c r="R959" s="262" t="s">
        <v>19</v>
      </c>
      <c r="S959" s="267" t="s">
        <v>19</v>
      </c>
      <c r="T959" s="268"/>
      <c r="U959" s="269"/>
      <c r="V959" s="269">
        <v>0</v>
      </c>
      <c r="W959" s="278">
        <v>0</v>
      </c>
      <c r="X959" s="270"/>
      <c r="Y959" s="262" t="s">
        <v>25</v>
      </c>
      <c r="Z959" s="271" t="s">
        <v>25</v>
      </c>
      <c r="AA959" s="287"/>
      <c r="AB959" s="287"/>
      <c r="AC959" s="272">
        <f t="shared" si="31"/>
        <v>5000000</v>
      </c>
      <c r="AD959" s="272">
        <v>5000000</v>
      </c>
      <c r="AE959" s="272">
        <f t="shared" si="32"/>
        <v>0</v>
      </c>
      <c r="AF959" s="273"/>
      <c r="AG959" s="274"/>
      <c r="AH959" s="273"/>
      <c r="AI959" s="273"/>
      <c r="AJ959" s="274"/>
      <c r="AK959" s="273"/>
      <c r="AL959" s="275"/>
      <c r="AM959" s="290"/>
      <c r="AN959" s="275"/>
      <c r="AO959" s="276"/>
      <c r="AP959" s="275"/>
      <c r="AQ959" s="275"/>
      <c r="AR959" s="275"/>
      <c r="AS959" s="275">
        <v>5000000</v>
      </c>
      <c r="AT959" s="275"/>
      <c r="AU959" s="275"/>
      <c r="AV959" s="275"/>
      <c r="AW959" s="275"/>
      <c r="AX959" s="275"/>
      <c r="AY959" s="275"/>
      <c r="AZ959" s="275"/>
      <c r="BA959" s="275"/>
      <c r="BB959" s="275"/>
      <c r="BC959" s="275"/>
      <c r="BD959" s="275"/>
      <c r="BE959" s="275"/>
      <c r="BF959" s="275"/>
      <c r="BH959" s="277"/>
    </row>
    <row r="960" spans="1:60" ht="16.5" hidden="1" customHeight="1" x14ac:dyDescent="0.3">
      <c r="A960" s="260">
        <v>938</v>
      </c>
      <c r="B960" s="261"/>
      <c r="C960" s="261"/>
      <c r="D960" s="262" t="s">
        <v>15</v>
      </c>
      <c r="E960" s="262" t="s">
        <v>277</v>
      </c>
      <c r="F960" s="263" t="s">
        <v>15</v>
      </c>
      <c r="G960" s="264" t="s">
        <v>277</v>
      </c>
      <c r="H960" s="281"/>
      <c r="I960" s="265"/>
      <c r="J960" s="266" t="s">
        <v>311</v>
      </c>
      <c r="K960" s="262"/>
      <c r="L960" s="262"/>
      <c r="M960" s="262">
        <v>3878</v>
      </c>
      <c r="N960" s="262" t="s">
        <v>22</v>
      </c>
      <c r="O960" s="262" t="s">
        <v>56</v>
      </c>
      <c r="P960" s="262"/>
      <c r="Q960" s="262"/>
      <c r="R960" s="262" t="s">
        <v>470</v>
      </c>
      <c r="S960" s="267" t="s">
        <v>478</v>
      </c>
      <c r="T960" s="268"/>
      <c r="U960" s="269"/>
      <c r="V960" s="269">
        <v>0</v>
      </c>
      <c r="W960" s="278">
        <v>0</v>
      </c>
      <c r="X960" s="270"/>
      <c r="Y960" s="262" t="s">
        <v>25</v>
      </c>
      <c r="Z960" s="271" t="s">
        <v>25</v>
      </c>
      <c r="AA960" s="287"/>
      <c r="AB960" s="287"/>
      <c r="AC960" s="272">
        <f t="shared" si="31"/>
        <v>5000000</v>
      </c>
      <c r="AD960" s="272">
        <v>5000000</v>
      </c>
      <c r="AE960" s="272">
        <f t="shared" si="32"/>
        <v>0</v>
      </c>
      <c r="AF960" s="273"/>
      <c r="AG960" s="274"/>
      <c r="AH960" s="273"/>
      <c r="AI960" s="273"/>
      <c r="AJ960" s="274"/>
      <c r="AK960" s="273"/>
      <c r="AL960" s="275"/>
      <c r="AM960" s="290"/>
      <c r="AN960" s="275"/>
      <c r="AO960" s="276"/>
      <c r="AP960" s="275"/>
      <c r="AQ960" s="275"/>
      <c r="AR960" s="275"/>
      <c r="AS960" s="275">
        <v>5000000</v>
      </c>
      <c r="AT960" s="275"/>
      <c r="AU960" s="275"/>
      <c r="AV960" s="275"/>
      <c r="AW960" s="275"/>
      <c r="AX960" s="275"/>
      <c r="AY960" s="275"/>
      <c r="AZ960" s="275"/>
      <c r="BA960" s="275"/>
      <c r="BB960" s="275"/>
      <c r="BC960" s="275"/>
      <c r="BD960" s="275"/>
      <c r="BE960" s="275"/>
      <c r="BF960" s="275"/>
      <c r="BH960" s="277"/>
    </row>
    <row r="961" spans="1:60" ht="16.5" hidden="1" customHeight="1" x14ac:dyDescent="0.3">
      <c r="A961" s="260">
        <v>939</v>
      </c>
      <c r="B961" s="261"/>
      <c r="C961" s="261"/>
      <c r="D961" s="262" t="s">
        <v>15</v>
      </c>
      <c r="E961" s="262" t="s">
        <v>277</v>
      </c>
      <c r="F961" s="263" t="s">
        <v>15</v>
      </c>
      <c r="G961" s="264" t="s">
        <v>277</v>
      </c>
      <c r="H961" s="281"/>
      <c r="I961" s="265"/>
      <c r="J961" s="266" t="s">
        <v>311</v>
      </c>
      <c r="K961" s="262"/>
      <c r="L961" s="262"/>
      <c r="M961" s="262">
        <v>3878</v>
      </c>
      <c r="N961" s="262" t="s">
        <v>22</v>
      </c>
      <c r="O961" s="262" t="s">
        <v>56</v>
      </c>
      <c r="P961" s="262"/>
      <c r="Q961" s="262"/>
      <c r="R961" s="262" t="s">
        <v>475</v>
      </c>
      <c r="S961" s="267" t="s">
        <v>830</v>
      </c>
      <c r="T961" s="268"/>
      <c r="U961" s="269"/>
      <c r="V961" s="269">
        <v>500000</v>
      </c>
      <c r="W961" s="278">
        <v>0</v>
      </c>
      <c r="X961" s="270"/>
      <c r="Y961" s="262" t="s">
        <v>25</v>
      </c>
      <c r="Z961" s="271" t="s">
        <v>25</v>
      </c>
      <c r="AA961" s="287"/>
      <c r="AB961" s="287"/>
      <c r="AC961" s="272">
        <f t="shared" si="31"/>
        <v>1000000</v>
      </c>
      <c r="AD961" s="272">
        <v>1000000</v>
      </c>
      <c r="AE961" s="272">
        <f t="shared" si="32"/>
        <v>0</v>
      </c>
      <c r="AF961" s="273"/>
      <c r="AG961" s="274"/>
      <c r="AH961" s="273"/>
      <c r="AI961" s="273"/>
      <c r="AJ961" s="274"/>
      <c r="AK961" s="273"/>
      <c r="AL961" s="275"/>
      <c r="AM961" s="290"/>
      <c r="AN961" s="275"/>
      <c r="AO961" s="276"/>
      <c r="AP961" s="275"/>
      <c r="AQ961" s="275"/>
      <c r="AR961" s="275"/>
      <c r="AS961" s="275"/>
      <c r="AT961" s="275"/>
      <c r="AU961" s="275"/>
      <c r="AV961" s="275"/>
      <c r="AW961" s="275"/>
      <c r="AX961" s="275"/>
      <c r="AY961" s="275"/>
      <c r="AZ961" s="275"/>
      <c r="BA961" s="275">
        <v>1000000</v>
      </c>
      <c r="BB961" s="275"/>
      <c r="BC961" s="275"/>
      <c r="BD961" s="275"/>
      <c r="BE961" s="275"/>
      <c r="BF961" s="275"/>
      <c r="BH961" s="277"/>
    </row>
    <row r="962" spans="1:60" ht="16.5" hidden="1" customHeight="1" x14ac:dyDescent="0.3">
      <c r="A962" s="260">
        <v>940</v>
      </c>
      <c r="B962" s="261"/>
      <c r="C962" s="261"/>
      <c r="D962" s="262" t="s">
        <v>15</v>
      </c>
      <c r="E962" s="262" t="s">
        <v>277</v>
      </c>
      <c r="F962" s="263" t="s">
        <v>15</v>
      </c>
      <c r="G962" s="264" t="s">
        <v>277</v>
      </c>
      <c r="H962" s="281"/>
      <c r="I962" s="265"/>
      <c r="J962" s="266" t="s">
        <v>312</v>
      </c>
      <c r="K962" s="262"/>
      <c r="L962" s="262"/>
      <c r="M962" s="262">
        <v>54502</v>
      </c>
      <c r="N962" s="262" t="s">
        <v>22</v>
      </c>
      <c r="O962" s="262" t="s">
        <v>56</v>
      </c>
      <c r="P962" s="262"/>
      <c r="Q962" s="262" t="s">
        <v>30</v>
      </c>
      <c r="R962" s="262" t="s">
        <v>31</v>
      </c>
      <c r="S962" s="267" t="s">
        <v>31</v>
      </c>
      <c r="T962" s="268"/>
      <c r="U962" s="269"/>
      <c r="V962" s="269">
        <v>5913600</v>
      </c>
      <c r="W962" s="278">
        <v>5808000</v>
      </c>
      <c r="X962" s="270"/>
      <c r="Y962" s="262" t="s">
        <v>24</v>
      </c>
      <c r="Z962" s="271" t="s">
        <v>25</v>
      </c>
      <c r="AA962" s="287"/>
      <c r="AB962" s="287"/>
      <c r="AC962" s="272">
        <f t="shared" si="31"/>
        <v>6000000</v>
      </c>
      <c r="AD962" s="272">
        <v>6000000</v>
      </c>
      <c r="AE962" s="272">
        <f t="shared" si="32"/>
        <v>0</v>
      </c>
      <c r="AF962" s="273"/>
      <c r="AG962" s="274"/>
      <c r="AH962" s="273"/>
      <c r="AI962" s="273"/>
      <c r="AJ962" s="274"/>
      <c r="AK962" s="273"/>
      <c r="AL962" s="275"/>
      <c r="AM962" s="290"/>
      <c r="AN962" s="275"/>
      <c r="AO962" s="276"/>
      <c r="AP962" s="275"/>
      <c r="AQ962" s="275"/>
      <c r="AR962" s="275"/>
      <c r="AS962" s="275"/>
      <c r="AT962" s="275"/>
      <c r="AU962" s="275"/>
      <c r="AV962" s="275"/>
      <c r="AW962" s="275"/>
      <c r="AX962" s="275"/>
      <c r="AY962" s="275"/>
      <c r="AZ962" s="275"/>
      <c r="BA962" s="275">
        <v>6000000</v>
      </c>
      <c r="BB962" s="275"/>
      <c r="BC962" s="275"/>
      <c r="BD962" s="275"/>
      <c r="BE962" s="275"/>
      <c r="BF962" s="275"/>
      <c r="BH962" s="277"/>
    </row>
    <row r="963" spans="1:60" ht="16.5" hidden="1" customHeight="1" x14ac:dyDescent="0.3">
      <c r="A963" s="260">
        <v>941</v>
      </c>
      <c r="B963" s="261"/>
      <c r="C963" s="261"/>
      <c r="D963" s="262" t="s">
        <v>15</v>
      </c>
      <c r="E963" s="262" t="s">
        <v>277</v>
      </c>
      <c r="F963" s="263" t="s">
        <v>15</v>
      </c>
      <c r="G963" s="264" t="s">
        <v>277</v>
      </c>
      <c r="H963" s="281"/>
      <c r="I963" s="265"/>
      <c r="J963" s="266" t="s">
        <v>312</v>
      </c>
      <c r="K963" s="262"/>
      <c r="L963" s="262"/>
      <c r="M963" s="262">
        <v>54502</v>
      </c>
      <c r="N963" s="262" t="s">
        <v>22</v>
      </c>
      <c r="O963" s="262" t="s">
        <v>35</v>
      </c>
      <c r="P963" s="262"/>
      <c r="Q963" s="262"/>
      <c r="R963" s="262" t="s">
        <v>478</v>
      </c>
      <c r="S963" s="267" t="s">
        <v>478</v>
      </c>
      <c r="T963" s="268"/>
      <c r="U963" s="269"/>
      <c r="V963" s="269">
        <v>0</v>
      </c>
      <c r="W963" s="278">
        <v>1600000</v>
      </c>
      <c r="X963" s="270"/>
      <c r="Y963" s="262" t="s">
        <v>27</v>
      </c>
      <c r="Z963" s="271" t="s">
        <v>25</v>
      </c>
      <c r="AA963" s="287"/>
      <c r="AB963" s="287"/>
      <c r="AC963" s="272">
        <f t="shared" si="31"/>
        <v>5000000</v>
      </c>
      <c r="AD963" s="272">
        <v>5000000</v>
      </c>
      <c r="AE963" s="272">
        <f t="shared" si="32"/>
        <v>0</v>
      </c>
      <c r="AF963" s="273"/>
      <c r="AG963" s="274"/>
      <c r="AH963" s="273"/>
      <c r="AI963" s="273"/>
      <c r="AJ963" s="274"/>
      <c r="AK963" s="273"/>
      <c r="AL963" s="275"/>
      <c r="AM963" s="290"/>
      <c r="AN963" s="275"/>
      <c r="AO963" s="276"/>
      <c r="AP963" s="275"/>
      <c r="AQ963" s="275"/>
      <c r="AR963" s="275"/>
      <c r="AS963" s="275"/>
      <c r="AT963" s="275"/>
      <c r="AU963" s="275"/>
      <c r="AV963" s="275"/>
      <c r="AW963" s="275"/>
      <c r="AX963" s="275"/>
      <c r="AY963" s="275"/>
      <c r="AZ963" s="275"/>
      <c r="BA963" s="275">
        <v>5000000</v>
      </c>
      <c r="BB963" s="275"/>
      <c r="BC963" s="275"/>
      <c r="BD963" s="275"/>
      <c r="BE963" s="275"/>
      <c r="BF963" s="275"/>
      <c r="BH963" s="277"/>
    </row>
    <row r="964" spans="1:60" ht="16.5" hidden="1" customHeight="1" x14ac:dyDescent="0.3">
      <c r="A964" s="260">
        <v>942</v>
      </c>
      <c r="B964" s="261"/>
      <c r="C964" s="261"/>
      <c r="D964" s="262" t="s">
        <v>15</v>
      </c>
      <c r="E964" s="262" t="s">
        <v>277</v>
      </c>
      <c r="F964" s="263" t="s">
        <v>15</v>
      </c>
      <c r="G964" s="264" t="s">
        <v>277</v>
      </c>
      <c r="H964" s="281"/>
      <c r="I964" s="265"/>
      <c r="J964" s="266" t="s">
        <v>313</v>
      </c>
      <c r="K964" s="262"/>
      <c r="L964" s="262"/>
      <c r="M964" s="262">
        <v>4748</v>
      </c>
      <c r="N964" s="262" t="s">
        <v>22</v>
      </c>
      <c r="O964" s="262" t="s">
        <v>56</v>
      </c>
      <c r="P964" s="262"/>
      <c r="Q964" s="262" t="s">
        <v>26</v>
      </c>
      <c r="R964" s="262" t="s">
        <v>468</v>
      </c>
      <c r="S964" s="267" t="s">
        <v>468</v>
      </c>
      <c r="T964" s="268"/>
      <c r="U964" s="269"/>
      <c r="V964" s="269">
        <v>23600000</v>
      </c>
      <c r="W964" s="278">
        <v>0</v>
      </c>
      <c r="X964" s="270"/>
      <c r="Y964" s="262" t="s">
        <v>562</v>
      </c>
      <c r="Z964" s="271" t="s">
        <v>25</v>
      </c>
      <c r="AA964" s="287"/>
      <c r="AB964" s="287"/>
      <c r="AC964" s="272">
        <f t="shared" si="31"/>
        <v>10000000</v>
      </c>
      <c r="AD964" s="272">
        <v>10000000</v>
      </c>
      <c r="AE964" s="272">
        <f t="shared" si="32"/>
        <v>0</v>
      </c>
      <c r="AF964" s="273"/>
      <c r="AG964" s="274"/>
      <c r="AH964" s="273"/>
      <c r="AI964" s="273"/>
      <c r="AJ964" s="274"/>
      <c r="AK964" s="273"/>
      <c r="AL964" s="275"/>
      <c r="AM964" s="290"/>
      <c r="AN964" s="275"/>
      <c r="AO964" s="276"/>
      <c r="AP964" s="275"/>
      <c r="AQ964" s="275">
        <v>10000000</v>
      </c>
      <c r="AR964" s="275"/>
      <c r="AS964" s="275"/>
      <c r="AT964" s="275"/>
      <c r="AU964" s="275"/>
      <c r="AV964" s="275"/>
      <c r="AW964" s="275"/>
      <c r="AX964" s="275"/>
      <c r="AY964" s="275"/>
      <c r="AZ964" s="275"/>
      <c r="BA964" s="275"/>
      <c r="BB964" s="275"/>
      <c r="BC964" s="275"/>
      <c r="BD964" s="275"/>
      <c r="BE964" s="275"/>
      <c r="BF964" s="275"/>
      <c r="BH964" s="277"/>
    </row>
    <row r="965" spans="1:60" ht="16.5" hidden="1" customHeight="1" x14ac:dyDescent="0.3">
      <c r="A965" s="260">
        <v>943</v>
      </c>
      <c r="B965" s="261"/>
      <c r="C965" s="261"/>
      <c r="D965" s="262" t="s">
        <v>15</v>
      </c>
      <c r="E965" s="262" t="s">
        <v>153</v>
      </c>
      <c r="F965" s="263" t="s">
        <v>15</v>
      </c>
      <c r="G965" s="264" t="s">
        <v>277</v>
      </c>
      <c r="H965" s="281"/>
      <c r="I965" s="265"/>
      <c r="J965" s="266" t="s">
        <v>783</v>
      </c>
      <c r="K965" s="262"/>
      <c r="L965" s="262"/>
      <c r="M965" s="262">
        <v>29617</v>
      </c>
      <c r="N965" s="262" t="s">
        <v>22</v>
      </c>
      <c r="O965" s="262" t="s">
        <v>35</v>
      </c>
      <c r="P965" s="262"/>
      <c r="Q965" s="262"/>
      <c r="R965" s="262"/>
      <c r="S965" s="267" t="s">
        <v>828</v>
      </c>
      <c r="T965" s="268"/>
      <c r="U965" s="269"/>
      <c r="V965" s="269"/>
      <c r="W965" s="278">
        <v>0</v>
      </c>
      <c r="X965" s="270"/>
      <c r="Y965" s="262"/>
      <c r="Z965" s="271" t="s">
        <v>25</v>
      </c>
      <c r="AA965" s="287"/>
      <c r="AB965" s="287"/>
      <c r="AC965" s="272">
        <f t="shared" si="31"/>
        <v>10000000</v>
      </c>
      <c r="AD965" s="272">
        <v>10000000</v>
      </c>
      <c r="AE965" s="272">
        <f t="shared" si="32"/>
        <v>0</v>
      </c>
      <c r="AF965" s="273"/>
      <c r="AG965" s="274"/>
      <c r="AH965" s="273"/>
      <c r="AI965" s="273"/>
      <c r="AJ965" s="274"/>
      <c r="AK965" s="273"/>
      <c r="AL965" s="275"/>
      <c r="AM965" s="290"/>
      <c r="AN965" s="275"/>
      <c r="AO965" s="276"/>
      <c r="AP965" s="275"/>
      <c r="AQ965" s="291">
        <v>10000000</v>
      </c>
      <c r="AR965" s="275"/>
      <c r="AS965" s="275"/>
      <c r="AT965" s="275"/>
      <c r="AU965" s="275"/>
      <c r="AV965" s="275"/>
      <c r="AW965" s="275"/>
      <c r="AX965" s="275"/>
      <c r="AY965" s="275"/>
      <c r="AZ965" s="275"/>
      <c r="BA965" s="275"/>
      <c r="BB965" s="275"/>
      <c r="BC965" s="275"/>
      <c r="BD965" s="275"/>
      <c r="BE965" s="275"/>
      <c r="BF965" s="275"/>
      <c r="BH965" s="277"/>
    </row>
    <row r="966" spans="1:60" ht="16.5" hidden="1" customHeight="1" x14ac:dyDescent="0.3">
      <c r="A966" s="260">
        <v>944</v>
      </c>
      <c r="B966" s="261"/>
      <c r="C966" s="261"/>
      <c r="D966" s="262" t="s">
        <v>15</v>
      </c>
      <c r="E966" s="262" t="s">
        <v>153</v>
      </c>
      <c r="F966" s="263" t="s">
        <v>15</v>
      </c>
      <c r="G966" s="264" t="s">
        <v>153</v>
      </c>
      <c r="H966" s="281"/>
      <c r="I966" s="265"/>
      <c r="J966" s="266" t="s">
        <v>856</v>
      </c>
      <c r="K966" s="262"/>
      <c r="L966" s="262"/>
      <c r="M966" s="262">
        <v>8831</v>
      </c>
      <c r="N966" s="262" t="s">
        <v>22</v>
      </c>
      <c r="O966" s="262" t="s">
        <v>56</v>
      </c>
      <c r="P966" s="262" t="s">
        <v>57</v>
      </c>
      <c r="Q966" s="262" t="s">
        <v>44</v>
      </c>
      <c r="R966" s="262" t="s">
        <v>469</v>
      </c>
      <c r="S966" s="267" t="s">
        <v>469</v>
      </c>
      <c r="T966" s="268"/>
      <c r="U966" s="269"/>
      <c r="V966" s="269">
        <v>28900000</v>
      </c>
      <c r="W966" s="278">
        <v>0</v>
      </c>
      <c r="X966" s="270"/>
      <c r="Y966" s="262" t="s">
        <v>25</v>
      </c>
      <c r="Z966" s="271" t="s">
        <v>25</v>
      </c>
      <c r="AA966" s="287"/>
      <c r="AB966" s="287"/>
      <c r="AC966" s="272">
        <f t="shared" si="31"/>
        <v>10000000</v>
      </c>
      <c r="AD966" s="272">
        <v>10000000</v>
      </c>
      <c r="AE966" s="272">
        <f t="shared" si="32"/>
        <v>0</v>
      </c>
      <c r="AF966" s="273"/>
      <c r="AG966" s="274"/>
      <c r="AH966" s="273"/>
      <c r="AI966" s="273"/>
      <c r="AJ966" s="274"/>
      <c r="AK966" s="273"/>
      <c r="AL966" s="275"/>
      <c r="AM966" s="290"/>
      <c r="AN966" s="275"/>
      <c r="AO966" s="276"/>
      <c r="AP966" s="275"/>
      <c r="AQ966" s="275"/>
      <c r="AR966" s="275"/>
      <c r="AS966" s="275"/>
      <c r="AT966" s="275"/>
      <c r="AU966" s="275"/>
      <c r="AV966" s="275"/>
      <c r="AW966" s="275"/>
      <c r="AX966" s="275"/>
      <c r="AY966" s="275"/>
      <c r="AZ966" s="275"/>
      <c r="BA966" s="275">
        <v>10000000</v>
      </c>
      <c r="BB966" s="275"/>
      <c r="BC966" s="275"/>
      <c r="BD966" s="275"/>
      <c r="BE966" s="275"/>
      <c r="BF966" s="275"/>
      <c r="BH966" s="277"/>
    </row>
    <row r="967" spans="1:60" ht="16.5" hidden="1" customHeight="1" x14ac:dyDescent="0.3">
      <c r="A967" s="260">
        <v>945</v>
      </c>
      <c r="B967" s="261"/>
      <c r="C967" s="261"/>
      <c r="D967" s="262" t="s">
        <v>15</v>
      </c>
      <c r="E967" s="262" t="s">
        <v>153</v>
      </c>
      <c r="F967" s="263" t="s">
        <v>15</v>
      </c>
      <c r="G967" s="264" t="s">
        <v>153</v>
      </c>
      <c r="H967" s="281"/>
      <c r="I967" s="265"/>
      <c r="J967" s="266" t="s">
        <v>856</v>
      </c>
      <c r="K967" s="262"/>
      <c r="L967" s="262"/>
      <c r="M967" s="262">
        <v>8831</v>
      </c>
      <c r="N967" s="262" t="s">
        <v>22</v>
      </c>
      <c r="O967" s="262" t="s">
        <v>35</v>
      </c>
      <c r="P967" s="262" t="s">
        <v>124</v>
      </c>
      <c r="Q967" s="262"/>
      <c r="R967" s="262"/>
      <c r="S967" s="267" t="s">
        <v>828</v>
      </c>
      <c r="T967" s="268"/>
      <c r="U967" s="269"/>
      <c r="V967" s="269"/>
      <c r="W967" s="278">
        <v>0</v>
      </c>
      <c r="X967" s="270"/>
      <c r="Y967" s="262"/>
      <c r="Z967" s="271" t="s">
        <v>562</v>
      </c>
      <c r="AA967" s="287"/>
      <c r="AB967" s="287"/>
      <c r="AC967" s="272">
        <f t="shared" si="31"/>
        <v>0</v>
      </c>
      <c r="AD967" s="272">
        <v>0</v>
      </c>
      <c r="AE967" s="272">
        <f t="shared" si="32"/>
        <v>0</v>
      </c>
      <c r="AF967" s="273"/>
      <c r="AG967" s="274"/>
      <c r="AH967" s="273"/>
      <c r="AI967" s="273">
        <v>20000000</v>
      </c>
      <c r="AJ967" s="274"/>
      <c r="AK967" s="273"/>
      <c r="AL967" s="275"/>
      <c r="AM967" s="290"/>
      <c r="AN967" s="275"/>
      <c r="AO967" s="276"/>
      <c r="AP967" s="275"/>
      <c r="AQ967" s="275"/>
      <c r="AR967" s="275"/>
      <c r="AS967" s="275"/>
      <c r="AT967" s="275"/>
      <c r="AU967" s="275"/>
      <c r="AV967" s="275"/>
      <c r="AW967" s="275"/>
      <c r="AX967" s="275"/>
      <c r="AY967" s="275"/>
      <c r="AZ967" s="275"/>
      <c r="BA967" s="275"/>
      <c r="BB967" s="275"/>
      <c r="BC967" s="275"/>
      <c r="BD967" s="275"/>
      <c r="BE967" s="275"/>
      <c r="BF967" s="275"/>
      <c r="BH967" s="277"/>
    </row>
    <row r="968" spans="1:60" ht="16.5" hidden="1" customHeight="1" x14ac:dyDescent="0.3">
      <c r="A968" s="260">
        <v>946</v>
      </c>
      <c r="B968" s="261"/>
      <c r="C968" s="261"/>
      <c r="D968" s="262" t="s">
        <v>15</v>
      </c>
      <c r="E968" s="262" t="s">
        <v>153</v>
      </c>
      <c r="F968" s="263" t="s">
        <v>15</v>
      </c>
      <c r="G968" s="264" t="s">
        <v>153</v>
      </c>
      <c r="H968" s="281"/>
      <c r="I968" s="265"/>
      <c r="J968" s="266" t="s">
        <v>857</v>
      </c>
      <c r="K968" s="262"/>
      <c r="L968" s="262"/>
      <c r="M968" s="262">
        <v>55714</v>
      </c>
      <c r="N968" s="262" t="s">
        <v>22</v>
      </c>
      <c r="O968" s="262" t="s">
        <v>56</v>
      </c>
      <c r="P968" s="262" t="s">
        <v>57</v>
      </c>
      <c r="Q968" s="262" t="s">
        <v>18</v>
      </c>
      <c r="R968" s="262" t="s">
        <v>19</v>
      </c>
      <c r="S968" s="267" t="s">
        <v>19</v>
      </c>
      <c r="T968" s="268"/>
      <c r="U968" s="269">
        <v>3960000</v>
      </c>
      <c r="V968" s="269">
        <v>2280000</v>
      </c>
      <c r="W968" s="278">
        <v>0</v>
      </c>
      <c r="X968" s="270"/>
      <c r="Y968" s="262" t="s">
        <v>25</v>
      </c>
      <c r="Z968" s="271" t="s">
        <v>562</v>
      </c>
      <c r="AA968" s="287"/>
      <c r="AB968" s="287"/>
      <c r="AC968" s="272">
        <f t="shared" si="31"/>
        <v>10000000</v>
      </c>
      <c r="AD968" s="272">
        <v>10000000</v>
      </c>
      <c r="AE968" s="272">
        <f t="shared" si="32"/>
        <v>0</v>
      </c>
      <c r="AF968" s="273"/>
      <c r="AG968" s="274"/>
      <c r="AH968" s="273"/>
      <c r="AI968" s="273"/>
      <c r="AJ968" s="274"/>
      <c r="AK968" s="273"/>
      <c r="AL968" s="275"/>
      <c r="AM968" s="290"/>
      <c r="AN968" s="275"/>
      <c r="AO968" s="276"/>
      <c r="AP968" s="275"/>
      <c r="AQ968" s="275"/>
      <c r="AR968" s="275"/>
      <c r="AS968" s="275"/>
      <c r="AT968" s="275"/>
      <c r="AU968" s="275">
        <v>10000000</v>
      </c>
      <c r="AV968" s="275"/>
      <c r="AW968" s="275"/>
      <c r="AX968" s="275"/>
      <c r="AY968" s="275"/>
      <c r="AZ968" s="275"/>
      <c r="BA968" s="275"/>
      <c r="BB968" s="275"/>
      <c r="BC968" s="275"/>
      <c r="BD968" s="275"/>
      <c r="BE968" s="275"/>
      <c r="BF968" s="275"/>
      <c r="BH968" s="277"/>
    </row>
    <row r="969" spans="1:60" ht="16.5" hidden="1" customHeight="1" x14ac:dyDescent="0.3">
      <c r="A969" s="260">
        <v>947</v>
      </c>
      <c r="B969" s="261"/>
      <c r="C969" s="261"/>
      <c r="D969" s="262" t="s">
        <v>15</v>
      </c>
      <c r="E969" s="262" t="s">
        <v>153</v>
      </c>
      <c r="F969" s="263" t="s">
        <v>15</v>
      </c>
      <c r="G969" s="264" t="s">
        <v>153</v>
      </c>
      <c r="H969" s="281"/>
      <c r="I969" s="265"/>
      <c r="J969" s="266" t="s">
        <v>857</v>
      </c>
      <c r="K969" s="262"/>
      <c r="L969" s="262"/>
      <c r="M969" s="262">
        <v>55714</v>
      </c>
      <c r="N969" s="262" t="s">
        <v>22</v>
      </c>
      <c r="O969" s="262" t="s">
        <v>35</v>
      </c>
      <c r="P969" s="262" t="s">
        <v>57</v>
      </c>
      <c r="Q969" s="262" t="s">
        <v>26</v>
      </c>
      <c r="R969" s="262" t="s">
        <v>468</v>
      </c>
      <c r="S969" s="267" t="s">
        <v>468</v>
      </c>
      <c r="T969" s="268"/>
      <c r="U969" s="269">
        <v>4200000</v>
      </c>
      <c r="V969" s="269">
        <v>0</v>
      </c>
      <c r="W969" s="278">
        <v>0</v>
      </c>
      <c r="X969" s="270"/>
      <c r="Y969" s="262" t="s">
        <v>25</v>
      </c>
      <c r="Z969" s="271" t="s">
        <v>562</v>
      </c>
      <c r="AA969" s="287"/>
      <c r="AB969" s="287"/>
      <c r="AC969" s="272">
        <f t="shared" si="31"/>
        <v>0</v>
      </c>
      <c r="AD969" s="272">
        <v>0</v>
      </c>
      <c r="AE969" s="272">
        <f t="shared" si="32"/>
        <v>0</v>
      </c>
      <c r="AF969" s="273"/>
      <c r="AG969" s="274"/>
      <c r="AH969" s="273"/>
      <c r="AI969" s="273"/>
      <c r="AJ969" s="274"/>
      <c r="AK969" s="273"/>
      <c r="AL969" s="275"/>
      <c r="AM969" s="290"/>
      <c r="AN969" s="275"/>
      <c r="AO969" s="276"/>
      <c r="AP969" s="275"/>
      <c r="AQ969" s="275"/>
      <c r="AR969" s="275"/>
      <c r="AS969" s="275"/>
      <c r="AT969" s="275"/>
      <c r="AU969" s="275"/>
      <c r="AV969" s="275"/>
      <c r="AW969" s="275"/>
      <c r="AX969" s="275"/>
      <c r="AY969" s="275"/>
      <c r="AZ969" s="275"/>
      <c r="BA969" s="275"/>
      <c r="BB969" s="275"/>
      <c r="BC969" s="275"/>
      <c r="BD969" s="275"/>
      <c r="BE969" s="275"/>
      <c r="BF969" s="275"/>
      <c r="BH969" s="277"/>
    </row>
    <row r="970" spans="1:60" ht="16.5" hidden="1" customHeight="1" x14ac:dyDescent="0.3">
      <c r="A970" s="260">
        <v>948</v>
      </c>
      <c r="B970" s="261"/>
      <c r="C970" s="261"/>
      <c r="D970" s="262" t="s">
        <v>15</v>
      </c>
      <c r="E970" s="262" t="s">
        <v>153</v>
      </c>
      <c r="F970" s="263" t="s">
        <v>15</v>
      </c>
      <c r="G970" s="264" t="s">
        <v>153</v>
      </c>
      <c r="H970" s="281"/>
      <c r="I970" s="265"/>
      <c r="J970" s="266" t="s">
        <v>857</v>
      </c>
      <c r="K970" s="262"/>
      <c r="L970" s="262"/>
      <c r="M970" s="262">
        <v>55714</v>
      </c>
      <c r="N970" s="262" t="s">
        <v>22</v>
      </c>
      <c r="O970" s="262" t="s">
        <v>35</v>
      </c>
      <c r="P970" s="262" t="s">
        <v>124</v>
      </c>
      <c r="Q970" s="262"/>
      <c r="R970" s="262" t="s">
        <v>19</v>
      </c>
      <c r="S970" s="267" t="s">
        <v>828</v>
      </c>
      <c r="T970" s="268"/>
      <c r="U970" s="269"/>
      <c r="V970" s="269"/>
      <c r="W970" s="278">
        <v>0</v>
      </c>
      <c r="X970" s="270"/>
      <c r="Y970" s="262"/>
      <c r="Z970" s="271" t="s">
        <v>562</v>
      </c>
      <c r="AA970" s="287"/>
      <c r="AB970" s="287"/>
      <c r="AC970" s="272">
        <f t="shared" si="31"/>
        <v>10000000</v>
      </c>
      <c r="AD970" s="272">
        <v>10000000</v>
      </c>
      <c r="AE970" s="272">
        <f t="shared" si="32"/>
        <v>0</v>
      </c>
      <c r="AF970" s="273"/>
      <c r="AG970" s="274"/>
      <c r="AH970" s="273"/>
      <c r="AI970" s="273"/>
      <c r="AJ970" s="274"/>
      <c r="AK970" s="273"/>
      <c r="AL970" s="275"/>
      <c r="AM970" s="290"/>
      <c r="AN970" s="275"/>
      <c r="AO970" s="276">
        <v>10000000</v>
      </c>
      <c r="AP970" s="275"/>
      <c r="AQ970" s="275"/>
      <c r="AR970" s="275"/>
      <c r="AS970" s="275"/>
      <c r="AT970" s="275"/>
      <c r="AU970" s="275"/>
      <c r="AV970" s="275"/>
      <c r="AW970" s="275"/>
      <c r="AX970" s="275"/>
      <c r="AY970" s="275"/>
      <c r="AZ970" s="275"/>
      <c r="BA970" s="275"/>
      <c r="BB970" s="275"/>
      <c r="BC970" s="275"/>
      <c r="BD970" s="275"/>
      <c r="BE970" s="275"/>
      <c r="BF970" s="275"/>
      <c r="BH970" s="277"/>
    </row>
    <row r="971" spans="1:60" ht="16.5" hidden="1" customHeight="1" x14ac:dyDescent="0.3">
      <c r="A971" s="260">
        <v>949</v>
      </c>
      <c r="B971" s="261"/>
      <c r="C971" s="261"/>
      <c r="D971" s="262" t="s">
        <v>15</v>
      </c>
      <c r="E971" s="262" t="s">
        <v>153</v>
      </c>
      <c r="F971" s="263" t="s">
        <v>15</v>
      </c>
      <c r="G971" s="264" t="s">
        <v>153</v>
      </c>
      <c r="H971" s="281"/>
      <c r="I971" s="265"/>
      <c r="J971" s="266" t="s">
        <v>858</v>
      </c>
      <c r="K971" s="262"/>
      <c r="L971" s="262"/>
      <c r="M971" s="262">
        <v>54464</v>
      </c>
      <c r="N971" s="262" t="s">
        <v>22</v>
      </c>
      <c r="O971" s="262" t="s">
        <v>35</v>
      </c>
      <c r="P971" s="262" t="s">
        <v>57</v>
      </c>
      <c r="Q971" s="262" t="s">
        <v>18</v>
      </c>
      <c r="R971" s="262" t="s">
        <v>19</v>
      </c>
      <c r="S971" s="267" t="s">
        <v>19</v>
      </c>
      <c r="T971" s="268"/>
      <c r="U971" s="269">
        <v>6320000</v>
      </c>
      <c r="V971" s="269">
        <v>0</v>
      </c>
      <c r="W971" s="278">
        <v>0</v>
      </c>
      <c r="X971" s="270"/>
      <c r="Y971" s="262" t="s">
        <v>25</v>
      </c>
      <c r="Z971" s="271" t="s">
        <v>562</v>
      </c>
      <c r="AA971" s="287"/>
      <c r="AB971" s="287"/>
      <c r="AC971" s="272">
        <f t="shared" si="31"/>
        <v>0</v>
      </c>
      <c r="AD971" s="272">
        <v>0</v>
      </c>
      <c r="AE971" s="272">
        <f t="shared" si="32"/>
        <v>0</v>
      </c>
      <c r="AF971" s="273"/>
      <c r="AG971" s="274"/>
      <c r="AH971" s="273"/>
      <c r="AI971" s="273"/>
      <c r="AJ971" s="274"/>
      <c r="AK971" s="273"/>
      <c r="AL971" s="275"/>
      <c r="AM971" s="290"/>
      <c r="AN971" s="275"/>
      <c r="AO971" s="276"/>
      <c r="AP971" s="275"/>
      <c r="AQ971" s="275"/>
      <c r="AR971" s="275"/>
      <c r="AS971" s="275"/>
      <c r="AT971" s="275"/>
      <c r="AU971" s="275"/>
      <c r="AV971" s="275"/>
      <c r="AW971" s="275"/>
      <c r="AX971" s="275"/>
      <c r="AY971" s="275"/>
      <c r="AZ971" s="275"/>
      <c r="BA971" s="275"/>
      <c r="BB971" s="275"/>
      <c r="BC971" s="275"/>
      <c r="BD971" s="275"/>
      <c r="BE971" s="275"/>
      <c r="BF971" s="275"/>
      <c r="BH971" s="277"/>
    </row>
    <row r="972" spans="1:60" ht="16.5" hidden="1" customHeight="1" x14ac:dyDescent="0.3">
      <c r="A972" s="260">
        <v>950</v>
      </c>
      <c r="B972" s="261"/>
      <c r="C972" s="261"/>
      <c r="D972" s="262"/>
      <c r="E972" s="262"/>
      <c r="F972" s="263" t="s">
        <v>15</v>
      </c>
      <c r="G972" s="264" t="s">
        <v>153</v>
      </c>
      <c r="H972" s="281"/>
      <c r="I972" s="265"/>
      <c r="J972" s="266" t="s">
        <v>859</v>
      </c>
      <c r="K972" s="262"/>
      <c r="L972" s="262"/>
      <c r="M972" s="262">
        <v>14057</v>
      </c>
      <c r="N972" s="262" t="s">
        <v>22</v>
      </c>
      <c r="O972" s="262" t="s">
        <v>35</v>
      </c>
      <c r="P972" s="262" t="s">
        <v>124</v>
      </c>
      <c r="Q972" s="262"/>
      <c r="R972" s="262" t="s">
        <v>19</v>
      </c>
      <c r="S972" s="267" t="s">
        <v>828</v>
      </c>
      <c r="T972" s="268"/>
      <c r="U972" s="269"/>
      <c r="V972" s="269"/>
      <c r="W972" s="278">
        <v>0</v>
      </c>
      <c r="X972" s="270"/>
      <c r="Y972" s="262"/>
      <c r="Z972" s="271" t="s">
        <v>562</v>
      </c>
      <c r="AA972" s="287"/>
      <c r="AB972" s="287"/>
      <c r="AC972" s="272">
        <f t="shared" si="31"/>
        <v>10000000</v>
      </c>
      <c r="AD972" s="272">
        <v>10000000</v>
      </c>
      <c r="AE972" s="272">
        <f t="shared" si="32"/>
        <v>0</v>
      </c>
      <c r="AF972" s="273"/>
      <c r="AG972" s="274"/>
      <c r="AH972" s="273"/>
      <c r="AI972" s="273"/>
      <c r="AJ972" s="274"/>
      <c r="AK972" s="273"/>
      <c r="AL972" s="275"/>
      <c r="AM972" s="290"/>
      <c r="AN972" s="275"/>
      <c r="AO972" s="276">
        <v>10000000</v>
      </c>
      <c r="AP972" s="275"/>
      <c r="AQ972" s="275"/>
      <c r="AR972" s="275"/>
      <c r="AS972" s="275"/>
      <c r="AT972" s="275"/>
      <c r="AU972" s="275"/>
      <c r="AV972" s="275"/>
      <c r="AW972" s="275"/>
      <c r="AX972" s="275"/>
      <c r="AY972" s="275"/>
      <c r="AZ972" s="275"/>
      <c r="BA972" s="275"/>
      <c r="BB972" s="275"/>
      <c r="BC972" s="275"/>
      <c r="BD972" s="275"/>
      <c r="BE972" s="275"/>
      <c r="BF972" s="275"/>
      <c r="BH972" s="277"/>
    </row>
    <row r="973" spans="1:60" ht="16.5" hidden="1" customHeight="1" x14ac:dyDescent="0.3">
      <c r="A973" s="260">
        <v>951</v>
      </c>
      <c r="B973" s="261"/>
      <c r="C973" s="261"/>
      <c r="D973" s="262" t="s">
        <v>15</v>
      </c>
      <c r="E973" s="262" t="s">
        <v>153</v>
      </c>
      <c r="F973" s="263" t="s">
        <v>15</v>
      </c>
      <c r="G973" s="264" t="s">
        <v>153</v>
      </c>
      <c r="H973" s="281"/>
      <c r="I973" s="265"/>
      <c r="J973" s="266" t="s">
        <v>914</v>
      </c>
      <c r="K973" s="262"/>
      <c r="L973" s="262"/>
      <c r="M973" s="262">
        <v>63720</v>
      </c>
      <c r="N973" s="262"/>
      <c r="O973" s="262"/>
      <c r="P973" s="262"/>
      <c r="Q973" s="262"/>
      <c r="R973" s="262"/>
      <c r="S973" s="267" t="s">
        <v>468</v>
      </c>
      <c r="T973" s="268"/>
      <c r="U973" s="269"/>
      <c r="V973" s="269"/>
      <c r="W973" s="278">
        <v>3181818</v>
      </c>
      <c r="X973" s="270"/>
      <c r="Y973" s="262"/>
      <c r="Z973" s="271" t="s">
        <v>718</v>
      </c>
      <c r="AA973" s="287"/>
      <c r="AB973" s="287"/>
      <c r="AC973" s="272">
        <f t="shared" si="31"/>
        <v>0</v>
      </c>
      <c r="AD973" s="272">
        <v>0</v>
      </c>
      <c r="AE973" s="272">
        <f t="shared" si="32"/>
        <v>0</v>
      </c>
      <c r="AF973" s="273"/>
      <c r="AG973" s="274"/>
      <c r="AH973" s="273"/>
      <c r="AI973" s="273"/>
      <c r="AJ973" s="274"/>
      <c r="AK973" s="273"/>
      <c r="AL973" s="275"/>
      <c r="AM973" s="290"/>
      <c r="AN973" s="275"/>
      <c r="AO973" s="276"/>
      <c r="AP973" s="275"/>
      <c r="AQ973" s="275"/>
      <c r="AR973" s="275"/>
      <c r="AS973" s="275"/>
      <c r="AT973" s="275"/>
      <c r="AU973" s="275"/>
      <c r="AV973" s="275"/>
      <c r="AW973" s="275"/>
      <c r="AX973" s="275"/>
      <c r="AY973" s="275"/>
      <c r="AZ973" s="275"/>
      <c r="BA973" s="275"/>
      <c r="BB973" s="275"/>
      <c r="BC973" s="275"/>
      <c r="BD973" s="275"/>
      <c r="BE973" s="275"/>
      <c r="BF973" s="275"/>
      <c r="BH973" s="277"/>
    </row>
    <row r="974" spans="1:60" ht="16.5" hidden="1" customHeight="1" x14ac:dyDescent="0.3">
      <c r="A974" s="260">
        <v>952</v>
      </c>
      <c r="B974" s="261"/>
      <c r="C974" s="261"/>
      <c r="D974" s="262" t="s">
        <v>15</v>
      </c>
      <c r="E974" s="262" t="s">
        <v>153</v>
      </c>
      <c r="F974" s="263" t="s">
        <v>15</v>
      </c>
      <c r="G974" s="264" t="s">
        <v>153</v>
      </c>
      <c r="H974" s="281"/>
      <c r="I974" s="265"/>
      <c r="J974" s="266" t="s">
        <v>860</v>
      </c>
      <c r="K974" s="262"/>
      <c r="L974" s="262"/>
      <c r="M974" s="262">
        <v>3689</v>
      </c>
      <c r="N974" s="262" t="s">
        <v>22</v>
      </c>
      <c r="O974" s="262" t="s">
        <v>56</v>
      </c>
      <c r="P974" s="262"/>
      <c r="Q974" s="262"/>
      <c r="R974" s="262" t="s">
        <v>397</v>
      </c>
      <c r="S974" s="267" t="s">
        <v>823</v>
      </c>
      <c r="T974" s="268"/>
      <c r="U974" s="269"/>
      <c r="V974" s="269"/>
      <c r="W974" s="278">
        <v>0</v>
      </c>
      <c r="X974" s="270"/>
      <c r="Y974" s="262" t="s">
        <v>74</v>
      </c>
      <c r="Z974" s="271" t="s">
        <v>562</v>
      </c>
      <c r="AA974" s="287"/>
      <c r="AB974" s="287"/>
      <c r="AC974" s="272">
        <f t="shared" si="31"/>
        <v>20000000</v>
      </c>
      <c r="AD974" s="272">
        <v>20000000</v>
      </c>
      <c r="AE974" s="272">
        <f t="shared" si="32"/>
        <v>0</v>
      </c>
      <c r="AF974" s="273"/>
      <c r="AG974" s="274"/>
      <c r="AH974" s="273"/>
      <c r="AI974" s="273"/>
      <c r="AJ974" s="274"/>
      <c r="AK974" s="273"/>
      <c r="AL974" s="275"/>
      <c r="AM974" s="290"/>
      <c r="AN974" s="275"/>
      <c r="AO974" s="276">
        <v>20000000</v>
      </c>
      <c r="AP974" s="275"/>
      <c r="AQ974" s="275"/>
      <c r="AR974" s="275"/>
      <c r="AS974" s="275"/>
      <c r="AT974" s="275"/>
      <c r="AU974" s="275"/>
      <c r="AV974" s="275"/>
      <c r="AW974" s="275"/>
      <c r="AX974" s="275"/>
      <c r="AY974" s="275"/>
      <c r="AZ974" s="275"/>
      <c r="BA974" s="275"/>
      <c r="BB974" s="275"/>
      <c r="BC974" s="275"/>
      <c r="BD974" s="275"/>
      <c r="BE974" s="275"/>
      <c r="BF974" s="275"/>
      <c r="BH974" s="277"/>
    </row>
    <row r="975" spans="1:60" ht="16.5" hidden="1" customHeight="1" x14ac:dyDescent="0.3">
      <c r="A975" s="260">
        <v>953</v>
      </c>
      <c r="B975" s="261"/>
      <c r="C975" s="261"/>
      <c r="D975" s="262" t="s">
        <v>15</v>
      </c>
      <c r="E975" s="262" t="s">
        <v>153</v>
      </c>
      <c r="F975" s="263" t="s">
        <v>15</v>
      </c>
      <c r="G975" s="264" t="s">
        <v>153</v>
      </c>
      <c r="H975" s="281"/>
      <c r="I975" s="265"/>
      <c r="J975" s="266" t="s">
        <v>861</v>
      </c>
      <c r="K975" s="262"/>
      <c r="L975" s="262"/>
      <c r="M975" s="262">
        <v>3689</v>
      </c>
      <c r="N975" s="262" t="s">
        <v>22</v>
      </c>
      <c r="O975" s="262" t="s">
        <v>56</v>
      </c>
      <c r="P975" s="262" t="s">
        <v>124</v>
      </c>
      <c r="Q975" s="262" t="s">
        <v>26</v>
      </c>
      <c r="R975" s="262" t="s">
        <v>468</v>
      </c>
      <c r="S975" s="267" t="s">
        <v>468</v>
      </c>
      <c r="T975" s="268"/>
      <c r="U975" s="269"/>
      <c r="V975" s="269">
        <v>0</v>
      </c>
      <c r="W975" s="278">
        <v>0</v>
      </c>
      <c r="X975" s="270"/>
      <c r="Y975" s="262" t="s">
        <v>562</v>
      </c>
      <c r="Z975" s="271" t="s">
        <v>562</v>
      </c>
      <c r="AA975" s="287"/>
      <c r="AB975" s="287"/>
      <c r="AC975" s="272">
        <f t="shared" si="31"/>
        <v>0</v>
      </c>
      <c r="AD975" s="272">
        <v>0</v>
      </c>
      <c r="AE975" s="272">
        <f t="shared" si="32"/>
        <v>0</v>
      </c>
      <c r="AF975" s="273"/>
      <c r="AG975" s="274"/>
      <c r="AH975" s="273"/>
      <c r="AI975" s="273"/>
      <c r="AJ975" s="274"/>
      <c r="AK975" s="273"/>
      <c r="AL975" s="275"/>
      <c r="AM975" s="290"/>
      <c r="AN975" s="275"/>
      <c r="AO975" s="276"/>
      <c r="AP975" s="275"/>
      <c r="AQ975" s="275"/>
      <c r="AR975" s="275"/>
      <c r="AS975" s="275"/>
      <c r="AT975" s="275"/>
      <c r="AU975" s="275"/>
      <c r="AV975" s="275"/>
      <c r="AW975" s="275"/>
      <c r="AX975" s="275"/>
      <c r="AY975" s="275"/>
      <c r="AZ975" s="275"/>
      <c r="BA975" s="275"/>
      <c r="BB975" s="275"/>
      <c r="BC975" s="275"/>
      <c r="BD975" s="275"/>
      <c r="BE975" s="275"/>
      <c r="BF975" s="275"/>
      <c r="BH975" s="277"/>
    </row>
    <row r="976" spans="1:60" ht="16.5" hidden="1" customHeight="1" x14ac:dyDescent="0.3">
      <c r="A976" s="260">
        <v>954</v>
      </c>
      <c r="B976" s="261"/>
      <c r="C976" s="261"/>
      <c r="D976" s="262" t="s">
        <v>15</v>
      </c>
      <c r="E976" s="262" t="s">
        <v>153</v>
      </c>
      <c r="F976" s="263" t="s">
        <v>15</v>
      </c>
      <c r="G976" s="264" t="s">
        <v>153</v>
      </c>
      <c r="H976" s="281"/>
      <c r="I976" s="265"/>
      <c r="J976" s="266" t="s">
        <v>862</v>
      </c>
      <c r="K976" s="262"/>
      <c r="L976" s="262"/>
      <c r="M976" s="262">
        <v>3689</v>
      </c>
      <c r="N976" s="262" t="s">
        <v>22</v>
      </c>
      <c r="O976" s="262" t="s">
        <v>56</v>
      </c>
      <c r="P976" s="262" t="s">
        <v>124</v>
      </c>
      <c r="Q976" s="262" t="s">
        <v>26</v>
      </c>
      <c r="R976" s="262" t="s">
        <v>468</v>
      </c>
      <c r="S976" s="267" t="s">
        <v>468</v>
      </c>
      <c r="T976" s="268"/>
      <c r="U976" s="269">
        <v>69625000</v>
      </c>
      <c r="V976" s="269">
        <v>0</v>
      </c>
      <c r="W976" s="278">
        <v>0</v>
      </c>
      <c r="X976" s="270"/>
      <c r="Y976" s="262" t="s">
        <v>562</v>
      </c>
      <c r="Z976" s="271" t="s">
        <v>562</v>
      </c>
      <c r="AA976" s="287"/>
      <c r="AB976" s="287"/>
      <c r="AC976" s="272">
        <f t="shared" si="31"/>
        <v>0</v>
      </c>
      <c r="AD976" s="272">
        <v>0</v>
      </c>
      <c r="AE976" s="272">
        <f t="shared" si="32"/>
        <v>0</v>
      </c>
      <c r="AF976" s="273"/>
      <c r="AG976" s="274"/>
      <c r="AH976" s="273"/>
      <c r="AI976" s="273"/>
      <c r="AJ976" s="274"/>
      <c r="AK976" s="273"/>
      <c r="AL976" s="275"/>
      <c r="AM976" s="290"/>
      <c r="AN976" s="275"/>
      <c r="AO976" s="276"/>
      <c r="AP976" s="275"/>
      <c r="AQ976" s="275"/>
      <c r="AR976" s="275"/>
      <c r="AS976" s="275"/>
      <c r="AT976" s="275"/>
      <c r="AU976" s="275"/>
      <c r="AV976" s="275"/>
      <c r="AW976" s="275"/>
      <c r="AX976" s="275"/>
      <c r="AY976" s="275"/>
      <c r="AZ976" s="275"/>
      <c r="BA976" s="275"/>
      <c r="BB976" s="275"/>
      <c r="BC976" s="275"/>
      <c r="BD976" s="275"/>
      <c r="BE976" s="275"/>
      <c r="BF976" s="275"/>
      <c r="BH976" s="277"/>
    </row>
    <row r="977" spans="1:60" ht="16.5" hidden="1" customHeight="1" x14ac:dyDescent="0.3">
      <c r="A977" s="260">
        <v>955</v>
      </c>
      <c r="B977" s="261"/>
      <c r="C977" s="261"/>
      <c r="D977" s="262" t="s">
        <v>15</v>
      </c>
      <c r="E977" s="262" t="s">
        <v>153</v>
      </c>
      <c r="F977" s="263" t="s">
        <v>15</v>
      </c>
      <c r="G977" s="264" t="s">
        <v>153</v>
      </c>
      <c r="H977" s="281"/>
      <c r="I977" s="265"/>
      <c r="J977" s="266" t="s">
        <v>979</v>
      </c>
      <c r="K977" s="262"/>
      <c r="L977" s="262"/>
      <c r="M977" s="262">
        <v>3689</v>
      </c>
      <c r="N977" s="262"/>
      <c r="O977" s="262"/>
      <c r="P977" s="262"/>
      <c r="Q977" s="262"/>
      <c r="R977" s="262" t="s">
        <v>468</v>
      </c>
      <c r="S977" s="267" t="s">
        <v>468</v>
      </c>
      <c r="T977" s="268"/>
      <c r="U977" s="269"/>
      <c r="V977" s="269"/>
      <c r="W977" s="278">
        <v>62100000</v>
      </c>
      <c r="X977" s="270"/>
      <c r="Y977" s="262" t="s">
        <v>27</v>
      </c>
      <c r="Z977" s="271" t="s">
        <v>27</v>
      </c>
      <c r="AA977" s="287"/>
      <c r="AB977" s="287"/>
      <c r="AC977" s="272">
        <f t="shared" si="31"/>
        <v>350000000</v>
      </c>
      <c r="AD977" s="272">
        <v>350000000</v>
      </c>
      <c r="AE977" s="272">
        <f t="shared" si="32"/>
        <v>0</v>
      </c>
      <c r="AF977" s="273"/>
      <c r="AG977" s="274"/>
      <c r="AH977" s="273"/>
      <c r="AI977" s="273"/>
      <c r="AJ977" s="274"/>
      <c r="AK977" s="273"/>
      <c r="AL977" s="275"/>
      <c r="AM977" s="290">
        <v>6900000</v>
      </c>
      <c r="AN977" s="275"/>
      <c r="AO977" s="276"/>
      <c r="AP977" s="275" t="s">
        <v>1002</v>
      </c>
      <c r="AQ977" s="275">
        <v>57183000</v>
      </c>
      <c r="AR977" s="275"/>
      <c r="AS977" s="275">
        <v>57183000</v>
      </c>
      <c r="AT977" s="275"/>
      <c r="AU977" s="275">
        <v>57183000</v>
      </c>
      <c r="AV977" s="275"/>
      <c r="AW977" s="275">
        <v>57183000</v>
      </c>
      <c r="AX977" s="275"/>
      <c r="AY977" s="275">
        <v>57183000</v>
      </c>
      <c r="AZ977" s="275"/>
      <c r="BA977" s="275">
        <v>57185000</v>
      </c>
      <c r="BB977" s="275"/>
      <c r="BC977" s="275"/>
      <c r="BD977" s="275"/>
      <c r="BE977" s="275"/>
      <c r="BF977" s="275"/>
      <c r="BH977" s="277"/>
    </row>
    <row r="978" spans="1:60" ht="16.5" hidden="1" customHeight="1" x14ac:dyDescent="0.3">
      <c r="A978" s="260">
        <v>956</v>
      </c>
      <c r="B978" s="261"/>
      <c r="C978" s="261"/>
      <c r="D978" s="262" t="s">
        <v>15</v>
      </c>
      <c r="E978" s="262" t="s">
        <v>153</v>
      </c>
      <c r="F978" s="263" t="s">
        <v>15</v>
      </c>
      <c r="G978" s="264" t="s">
        <v>153</v>
      </c>
      <c r="H978" s="281"/>
      <c r="I978" s="265"/>
      <c r="J978" s="266" t="s">
        <v>863</v>
      </c>
      <c r="K978" s="262"/>
      <c r="L978" s="262"/>
      <c r="M978" s="262">
        <v>3689</v>
      </c>
      <c r="N978" s="262" t="s">
        <v>22</v>
      </c>
      <c r="O978" s="262" t="s">
        <v>35</v>
      </c>
      <c r="P978" s="262" t="s">
        <v>124</v>
      </c>
      <c r="Q978" s="262" t="s">
        <v>26</v>
      </c>
      <c r="R978" s="262" t="s">
        <v>468</v>
      </c>
      <c r="S978" s="267" t="s">
        <v>468</v>
      </c>
      <c r="T978" s="268"/>
      <c r="U978" s="269"/>
      <c r="V978" s="269">
        <v>0</v>
      </c>
      <c r="W978" s="278">
        <v>0</v>
      </c>
      <c r="X978" s="270"/>
      <c r="Y978" s="262" t="s">
        <v>25</v>
      </c>
      <c r="Z978" s="271" t="s">
        <v>25</v>
      </c>
      <c r="AA978" s="287"/>
      <c r="AB978" s="287"/>
      <c r="AC978" s="272">
        <f t="shared" si="31"/>
        <v>10000000</v>
      </c>
      <c r="AD978" s="272">
        <v>10000000</v>
      </c>
      <c r="AE978" s="272">
        <f t="shared" si="32"/>
        <v>0</v>
      </c>
      <c r="AF978" s="273"/>
      <c r="AG978" s="274"/>
      <c r="AH978" s="273"/>
      <c r="AI978" s="273"/>
      <c r="AJ978" s="274"/>
      <c r="AK978" s="273"/>
      <c r="AL978" s="275"/>
      <c r="AM978" s="290"/>
      <c r="AN978" s="275"/>
      <c r="AO978" s="276"/>
      <c r="AP978" s="275"/>
      <c r="AQ978" s="275"/>
      <c r="AR978" s="275"/>
      <c r="AS978" s="275"/>
      <c r="AT978" s="275"/>
      <c r="AU978" s="275"/>
      <c r="AV978" s="275"/>
      <c r="AW978" s="275">
        <v>10000000</v>
      </c>
      <c r="AX978" s="275"/>
      <c r="AY978" s="275"/>
      <c r="AZ978" s="275"/>
      <c r="BA978" s="275"/>
      <c r="BB978" s="275"/>
      <c r="BC978" s="275"/>
      <c r="BD978" s="275"/>
      <c r="BE978" s="275"/>
      <c r="BF978" s="275"/>
      <c r="BH978" s="277"/>
    </row>
    <row r="979" spans="1:60" ht="16.5" hidden="1" customHeight="1" x14ac:dyDescent="0.3">
      <c r="A979" s="260">
        <v>957</v>
      </c>
      <c r="B979" s="261"/>
      <c r="C979" s="261"/>
      <c r="D979" s="262" t="s">
        <v>15</v>
      </c>
      <c r="E979" s="262" t="s">
        <v>153</v>
      </c>
      <c r="F979" s="263" t="s">
        <v>15</v>
      </c>
      <c r="G979" s="264" t="s">
        <v>153</v>
      </c>
      <c r="H979" s="281"/>
      <c r="I979" s="265"/>
      <c r="J979" s="266" t="s">
        <v>165</v>
      </c>
      <c r="K979" s="262"/>
      <c r="L979" s="262"/>
      <c r="M979" s="262">
        <v>3689</v>
      </c>
      <c r="N979" s="262" t="s">
        <v>22</v>
      </c>
      <c r="O979" s="262" t="s">
        <v>56</v>
      </c>
      <c r="P979" s="262" t="s">
        <v>124</v>
      </c>
      <c r="Q979" s="262" t="s">
        <v>18</v>
      </c>
      <c r="R979" s="262" t="s">
        <v>19</v>
      </c>
      <c r="S979" s="267" t="s">
        <v>19</v>
      </c>
      <c r="T979" s="268"/>
      <c r="U979" s="269">
        <v>30000000</v>
      </c>
      <c r="V979" s="269">
        <v>101640000</v>
      </c>
      <c r="W979" s="278">
        <v>62970000</v>
      </c>
      <c r="X979" s="270"/>
      <c r="Y979" s="262" t="s">
        <v>27</v>
      </c>
      <c r="Z979" s="271" t="s">
        <v>24</v>
      </c>
      <c r="AA979" s="287"/>
      <c r="AB979" s="287"/>
      <c r="AC979" s="272">
        <f t="shared" si="31"/>
        <v>100000000</v>
      </c>
      <c r="AD979" s="272">
        <v>100000000</v>
      </c>
      <c r="AE979" s="272">
        <f t="shared" si="32"/>
        <v>0</v>
      </c>
      <c r="AF979" s="273"/>
      <c r="AG979" s="274"/>
      <c r="AH979" s="273"/>
      <c r="AI979" s="273"/>
      <c r="AJ979" s="274"/>
      <c r="AK979" s="273"/>
      <c r="AL979" s="275"/>
      <c r="AM979" s="290"/>
      <c r="AN979" s="275"/>
      <c r="AO979" s="276"/>
      <c r="AP979" s="275"/>
      <c r="AQ979" s="275"/>
      <c r="AR979" s="275"/>
      <c r="AS979" s="275"/>
      <c r="AT979" s="275"/>
      <c r="AU979" s="275"/>
      <c r="AV979" s="275"/>
      <c r="AW979" s="275"/>
      <c r="AX979" s="275"/>
      <c r="AY979" s="275">
        <v>50000000</v>
      </c>
      <c r="AZ979" s="275"/>
      <c r="BA979" s="275"/>
      <c r="BB979" s="275"/>
      <c r="BC979" s="275">
        <v>50000000</v>
      </c>
      <c r="BD979" s="275"/>
      <c r="BE979" s="275"/>
      <c r="BF979" s="275"/>
      <c r="BH979" s="277"/>
    </row>
    <row r="980" spans="1:60" ht="16.5" hidden="1" customHeight="1" x14ac:dyDescent="0.3">
      <c r="A980" s="260">
        <v>958</v>
      </c>
      <c r="B980" s="261"/>
      <c r="C980" s="261"/>
      <c r="D980" s="262" t="s">
        <v>15</v>
      </c>
      <c r="E980" s="262" t="s">
        <v>153</v>
      </c>
      <c r="F980" s="263" t="s">
        <v>15</v>
      </c>
      <c r="G980" s="264" t="s">
        <v>153</v>
      </c>
      <c r="H980" s="281"/>
      <c r="I980" s="265"/>
      <c r="J980" s="266" t="s">
        <v>864</v>
      </c>
      <c r="K980" s="262"/>
      <c r="L980" s="262"/>
      <c r="M980" s="262">
        <v>3689</v>
      </c>
      <c r="N980" s="262" t="s">
        <v>22</v>
      </c>
      <c r="O980" s="262" t="s">
        <v>56</v>
      </c>
      <c r="P980" s="262" t="s">
        <v>124</v>
      </c>
      <c r="Q980" s="262" t="s">
        <v>46</v>
      </c>
      <c r="R980" s="262" t="s">
        <v>47</v>
      </c>
      <c r="S980" s="267" t="s">
        <v>47</v>
      </c>
      <c r="T980" s="268"/>
      <c r="U980" s="269">
        <v>60580000</v>
      </c>
      <c r="V980" s="269">
        <v>1800000</v>
      </c>
      <c r="W980" s="278">
        <v>0</v>
      </c>
      <c r="X980" s="270"/>
      <c r="Y980" s="262" t="s">
        <v>25</v>
      </c>
      <c r="Z980" s="271" t="s">
        <v>562</v>
      </c>
      <c r="AA980" s="287"/>
      <c r="AB980" s="287"/>
      <c r="AC980" s="272">
        <f t="shared" si="31"/>
        <v>10000000</v>
      </c>
      <c r="AD980" s="272">
        <v>10000000</v>
      </c>
      <c r="AE980" s="272">
        <f t="shared" si="32"/>
        <v>0</v>
      </c>
      <c r="AF980" s="273"/>
      <c r="AG980" s="274"/>
      <c r="AH980" s="273"/>
      <c r="AI980" s="273"/>
      <c r="AJ980" s="274"/>
      <c r="AK980" s="273"/>
      <c r="AL980" s="275"/>
      <c r="AM980" s="290"/>
      <c r="AN980" s="275"/>
      <c r="AO980" s="276"/>
      <c r="AP980" s="275"/>
      <c r="AQ980" s="275"/>
      <c r="AR980" s="275"/>
      <c r="AS980" s="275"/>
      <c r="AT980" s="275"/>
      <c r="AU980" s="275"/>
      <c r="AV980" s="275"/>
      <c r="AW980" s="275"/>
      <c r="AX980" s="275"/>
      <c r="AY980" s="275"/>
      <c r="AZ980" s="275"/>
      <c r="BA980" s="275"/>
      <c r="BB980" s="275"/>
      <c r="BC980" s="275"/>
      <c r="BD980" s="275"/>
      <c r="BE980" s="275">
        <v>10000000</v>
      </c>
      <c r="BF980" s="275"/>
      <c r="BH980" s="277"/>
    </row>
    <row r="981" spans="1:60" ht="16.5" hidden="1" customHeight="1" x14ac:dyDescent="0.3">
      <c r="A981" s="260">
        <v>959</v>
      </c>
      <c r="B981" s="261"/>
      <c r="C981" s="261"/>
      <c r="D981" s="262" t="s">
        <v>15</v>
      </c>
      <c r="E981" s="262" t="s">
        <v>153</v>
      </c>
      <c r="F981" s="263" t="s">
        <v>15</v>
      </c>
      <c r="G981" s="264" t="s">
        <v>153</v>
      </c>
      <c r="H981" s="281"/>
      <c r="I981" s="265"/>
      <c r="J981" s="266" t="s">
        <v>919</v>
      </c>
      <c r="K981" s="262"/>
      <c r="L981" s="262"/>
      <c r="M981" s="262">
        <v>3689</v>
      </c>
      <c r="N981" s="262"/>
      <c r="O981" s="262"/>
      <c r="P981" s="262"/>
      <c r="Q981" s="262"/>
      <c r="R981" s="262"/>
      <c r="S981" s="267" t="s">
        <v>469</v>
      </c>
      <c r="T981" s="268"/>
      <c r="U981" s="269"/>
      <c r="V981" s="269"/>
      <c r="W981" s="278">
        <v>4800000</v>
      </c>
      <c r="X981" s="270"/>
      <c r="Y981" s="262"/>
      <c r="Z981" s="271" t="s">
        <v>718</v>
      </c>
      <c r="AA981" s="287"/>
      <c r="AB981" s="287"/>
      <c r="AC981" s="272">
        <f t="shared" si="31"/>
        <v>0</v>
      </c>
      <c r="AD981" s="272">
        <v>0</v>
      </c>
      <c r="AE981" s="272">
        <f t="shared" si="32"/>
        <v>0</v>
      </c>
      <c r="AF981" s="273"/>
      <c r="AG981" s="274"/>
      <c r="AH981" s="273"/>
      <c r="AI981" s="273"/>
      <c r="AJ981" s="274"/>
      <c r="AK981" s="273"/>
      <c r="AL981" s="275"/>
      <c r="AM981" s="290"/>
      <c r="AN981" s="275"/>
      <c r="AO981" s="276"/>
      <c r="AP981" s="275"/>
      <c r="AQ981" s="275"/>
      <c r="AR981" s="275"/>
      <c r="AS981" s="275"/>
      <c r="AT981" s="275"/>
      <c r="AU981" s="275"/>
      <c r="AV981" s="275"/>
      <c r="AW981" s="275"/>
      <c r="AX981" s="275"/>
      <c r="AY981" s="275"/>
      <c r="AZ981" s="275"/>
      <c r="BA981" s="275"/>
      <c r="BB981" s="275"/>
      <c r="BC981" s="275"/>
      <c r="BD981" s="275"/>
      <c r="BE981" s="275"/>
      <c r="BF981" s="275"/>
      <c r="BH981" s="277"/>
    </row>
    <row r="982" spans="1:60" ht="16.5" hidden="1" customHeight="1" x14ac:dyDescent="0.3">
      <c r="A982" s="260">
        <v>960</v>
      </c>
      <c r="B982" s="261"/>
      <c r="C982" s="261"/>
      <c r="D982" s="262" t="s">
        <v>15</v>
      </c>
      <c r="E982" s="262" t="s">
        <v>153</v>
      </c>
      <c r="F982" s="263" t="s">
        <v>15</v>
      </c>
      <c r="G982" s="264" t="s">
        <v>153</v>
      </c>
      <c r="H982" s="281"/>
      <c r="I982" s="265"/>
      <c r="J982" s="266" t="s">
        <v>865</v>
      </c>
      <c r="K982" s="262"/>
      <c r="L982" s="262"/>
      <c r="M982" s="262">
        <v>3689</v>
      </c>
      <c r="N982" s="262" t="s">
        <v>22</v>
      </c>
      <c r="O982" s="262" t="s">
        <v>56</v>
      </c>
      <c r="P982" s="262" t="s">
        <v>124</v>
      </c>
      <c r="Q982" s="262" t="s">
        <v>23</v>
      </c>
      <c r="R982" s="262" t="s">
        <v>397</v>
      </c>
      <c r="S982" s="267" t="s">
        <v>823</v>
      </c>
      <c r="T982" s="268"/>
      <c r="U982" s="269">
        <v>11869000</v>
      </c>
      <c r="V982" s="269">
        <v>0</v>
      </c>
      <c r="W982" s="278">
        <v>0</v>
      </c>
      <c r="X982" s="270"/>
      <c r="Y982" s="262" t="s">
        <v>21</v>
      </c>
      <c r="Z982" s="271" t="s">
        <v>562</v>
      </c>
      <c r="AA982" s="287"/>
      <c r="AB982" s="287"/>
      <c r="AC982" s="272">
        <f t="shared" si="31"/>
        <v>0</v>
      </c>
      <c r="AD982" s="272">
        <v>0</v>
      </c>
      <c r="AE982" s="272">
        <f t="shared" si="32"/>
        <v>0</v>
      </c>
      <c r="AF982" s="273"/>
      <c r="AG982" s="274"/>
      <c r="AH982" s="273"/>
      <c r="AI982" s="273"/>
      <c r="AJ982" s="274"/>
      <c r="AK982" s="273"/>
      <c r="AL982" s="275"/>
      <c r="AM982" s="290"/>
      <c r="AN982" s="275"/>
      <c r="AO982" s="276"/>
      <c r="AP982" s="275"/>
      <c r="AQ982" s="275"/>
      <c r="AR982" s="275"/>
      <c r="AS982" s="275"/>
      <c r="AT982" s="275"/>
      <c r="AU982" s="275"/>
      <c r="AV982" s="275"/>
      <c r="AW982" s="275"/>
      <c r="AX982" s="275"/>
      <c r="AY982" s="275"/>
      <c r="AZ982" s="275"/>
      <c r="BA982" s="275"/>
      <c r="BB982" s="275"/>
      <c r="BC982" s="275"/>
      <c r="BD982" s="275"/>
      <c r="BE982" s="275"/>
      <c r="BF982" s="275"/>
      <c r="BH982" s="277"/>
    </row>
    <row r="983" spans="1:60" ht="16.5" hidden="1" customHeight="1" x14ac:dyDescent="0.3">
      <c r="A983" s="260">
        <v>961</v>
      </c>
      <c r="B983" s="261"/>
      <c r="C983" s="261"/>
      <c r="D983" s="262" t="s">
        <v>15</v>
      </c>
      <c r="E983" s="262" t="s">
        <v>153</v>
      </c>
      <c r="F983" s="263" t="s">
        <v>15</v>
      </c>
      <c r="G983" s="264" t="s">
        <v>153</v>
      </c>
      <c r="H983" s="281"/>
      <c r="I983" s="265"/>
      <c r="J983" s="266" t="s">
        <v>866</v>
      </c>
      <c r="K983" s="262"/>
      <c r="L983" s="262"/>
      <c r="M983" s="262">
        <v>3689</v>
      </c>
      <c r="N983" s="262" t="s">
        <v>22</v>
      </c>
      <c r="O983" s="262" t="s">
        <v>56</v>
      </c>
      <c r="P983" s="262" t="s">
        <v>124</v>
      </c>
      <c r="Q983" s="262" t="s">
        <v>26</v>
      </c>
      <c r="R983" s="262" t="s">
        <v>468</v>
      </c>
      <c r="S983" s="267" t="s">
        <v>468</v>
      </c>
      <c r="T983" s="268"/>
      <c r="U983" s="269"/>
      <c r="V983" s="269">
        <v>0</v>
      </c>
      <c r="W983" s="278">
        <v>0</v>
      </c>
      <c r="X983" s="270"/>
      <c r="Y983" s="262" t="s">
        <v>562</v>
      </c>
      <c r="Z983" s="271" t="s">
        <v>562</v>
      </c>
      <c r="AA983" s="287"/>
      <c r="AB983" s="287"/>
      <c r="AC983" s="272">
        <f t="shared" ref="AC983:AC1046" si="33">AG983+AJ983+AM983+AO983+AQ983+AS983+AU983+AW983+AY983+BA983+BC983+BE983</f>
        <v>0</v>
      </c>
      <c r="AD983" s="272">
        <v>0</v>
      </c>
      <c r="AE983" s="272">
        <f t="shared" ref="AE983:AE1046" si="34">AC983-AD983</f>
        <v>0</v>
      </c>
      <c r="AF983" s="273"/>
      <c r="AG983" s="274"/>
      <c r="AH983" s="273"/>
      <c r="AI983" s="273"/>
      <c r="AJ983" s="274"/>
      <c r="AK983" s="273"/>
      <c r="AL983" s="275"/>
      <c r="AM983" s="290"/>
      <c r="AN983" s="275"/>
      <c r="AO983" s="276"/>
      <c r="AP983" s="275"/>
      <c r="AQ983" s="275"/>
      <c r="AR983" s="275"/>
      <c r="AS983" s="275"/>
      <c r="AT983" s="275"/>
      <c r="AU983" s="275"/>
      <c r="AV983" s="275"/>
      <c r="AW983" s="275"/>
      <c r="AX983" s="275"/>
      <c r="AY983" s="275"/>
      <c r="AZ983" s="275"/>
      <c r="BA983" s="275"/>
      <c r="BB983" s="275"/>
      <c r="BC983" s="275"/>
      <c r="BD983" s="275"/>
      <c r="BE983" s="275"/>
      <c r="BF983" s="275"/>
      <c r="BH983" s="277"/>
    </row>
    <row r="984" spans="1:60" ht="16.5" hidden="1" customHeight="1" x14ac:dyDescent="0.3">
      <c r="A984" s="260">
        <v>962</v>
      </c>
      <c r="B984" s="261"/>
      <c r="C984" s="261"/>
      <c r="D984" s="262" t="s">
        <v>15</v>
      </c>
      <c r="E984" s="262" t="s">
        <v>153</v>
      </c>
      <c r="F984" s="263" t="s">
        <v>15</v>
      </c>
      <c r="G984" s="264" t="s">
        <v>153</v>
      </c>
      <c r="H984" s="281"/>
      <c r="I984" s="265"/>
      <c r="J984" s="266" t="s">
        <v>166</v>
      </c>
      <c r="K984" s="262"/>
      <c r="L984" s="262"/>
      <c r="M984" s="262">
        <v>3689</v>
      </c>
      <c r="N984" s="262" t="s">
        <v>22</v>
      </c>
      <c r="O984" s="262" t="s">
        <v>56</v>
      </c>
      <c r="P984" s="262" t="s">
        <v>124</v>
      </c>
      <c r="Q984" s="262" t="s">
        <v>23</v>
      </c>
      <c r="R984" s="262" t="s">
        <v>397</v>
      </c>
      <c r="S984" s="267" t="s">
        <v>823</v>
      </c>
      <c r="T984" s="268"/>
      <c r="U984" s="269"/>
      <c r="V984" s="269">
        <v>150000000</v>
      </c>
      <c r="W984" s="278">
        <v>40432000</v>
      </c>
      <c r="X984" s="270"/>
      <c r="Y984" s="262" t="s">
        <v>27</v>
      </c>
      <c r="Z984" s="271" t="s">
        <v>27</v>
      </c>
      <c r="AA984" s="287"/>
      <c r="AB984" s="287"/>
      <c r="AC984" s="272">
        <f t="shared" si="33"/>
        <v>18000000</v>
      </c>
      <c r="AD984" s="272">
        <v>18000000</v>
      </c>
      <c r="AE984" s="272">
        <f t="shared" si="34"/>
        <v>0</v>
      </c>
      <c r="AF984" s="273"/>
      <c r="AG984" s="274"/>
      <c r="AH984" s="273"/>
      <c r="AI984" s="273"/>
      <c r="AJ984" s="274"/>
      <c r="AK984" s="273"/>
      <c r="AL984" s="275"/>
      <c r="AM984" s="290">
        <v>7500000</v>
      </c>
      <c r="AN984" s="275"/>
      <c r="AO984" s="276"/>
      <c r="AP984" s="275"/>
      <c r="AQ984" s="275"/>
      <c r="AR984" s="275"/>
      <c r="AS984" s="275">
        <v>1500000</v>
      </c>
      <c r="AT984" s="275"/>
      <c r="AU984" s="275"/>
      <c r="AV984" s="275"/>
      <c r="AW984" s="275"/>
      <c r="AX984" s="275"/>
      <c r="AY984" s="275"/>
      <c r="AZ984" s="275"/>
      <c r="BA984" s="275">
        <v>7500000</v>
      </c>
      <c r="BB984" s="275"/>
      <c r="BC984" s="275"/>
      <c r="BD984" s="275"/>
      <c r="BE984" s="275">
        <v>1500000</v>
      </c>
      <c r="BF984" s="275"/>
      <c r="BH984" s="277"/>
    </row>
    <row r="985" spans="1:60" ht="16.5" hidden="1" customHeight="1" x14ac:dyDescent="0.3">
      <c r="A985" s="260">
        <v>963</v>
      </c>
      <c r="B985" s="261"/>
      <c r="C985" s="261"/>
      <c r="D985" s="262" t="s">
        <v>15</v>
      </c>
      <c r="E985" s="262" t="s">
        <v>153</v>
      </c>
      <c r="F985" s="263" t="s">
        <v>15</v>
      </c>
      <c r="G985" s="264" t="s">
        <v>153</v>
      </c>
      <c r="H985" s="281"/>
      <c r="I985" s="265"/>
      <c r="J985" s="266" t="s">
        <v>867</v>
      </c>
      <c r="K985" s="262"/>
      <c r="L985" s="262"/>
      <c r="M985" s="262">
        <v>3689</v>
      </c>
      <c r="N985" s="262" t="s">
        <v>22</v>
      </c>
      <c r="O985" s="262" t="s">
        <v>56</v>
      </c>
      <c r="P985" s="262" t="s">
        <v>124</v>
      </c>
      <c r="Q985" s="262" t="s">
        <v>18</v>
      </c>
      <c r="R985" s="262" t="s">
        <v>19</v>
      </c>
      <c r="S985" s="267" t="s">
        <v>19</v>
      </c>
      <c r="T985" s="268"/>
      <c r="U985" s="269"/>
      <c r="V985" s="269">
        <v>0</v>
      </c>
      <c r="W985" s="278">
        <v>11030000</v>
      </c>
      <c r="X985" s="270"/>
      <c r="Y985" s="262" t="s">
        <v>24</v>
      </c>
      <c r="Z985" s="271" t="s">
        <v>25</v>
      </c>
      <c r="AA985" s="287"/>
      <c r="AB985" s="287"/>
      <c r="AC985" s="272">
        <f t="shared" si="33"/>
        <v>20000000</v>
      </c>
      <c r="AD985" s="272">
        <v>20000000</v>
      </c>
      <c r="AE985" s="272">
        <f t="shared" si="34"/>
        <v>0</v>
      </c>
      <c r="AF985" s="273"/>
      <c r="AG985" s="274"/>
      <c r="AH985" s="273"/>
      <c r="AI985" s="273"/>
      <c r="AJ985" s="274"/>
      <c r="AK985" s="273"/>
      <c r="AL985" s="275"/>
      <c r="AM985" s="290"/>
      <c r="AN985" s="275"/>
      <c r="AO985" s="276"/>
      <c r="AP985" s="275"/>
      <c r="AQ985" s="275"/>
      <c r="AR985" s="275"/>
      <c r="AS985" s="275"/>
      <c r="AT985" s="275"/>
      <c r="AU985" s="275"/>
      <c r="AV985" s="275"/>
      <c r="AW985" s="275"/>
      <c r="AX985" s="275"/>
      <c r="AY985" s="275"/>
      <c r="AZ985" s="275"/>
      <c r="BA985" s="275">
        <v>20000000</v>
      </c>
      <c r="BB985" s="275"/>
      <c r="BC985" s="275"/>
      <c r="BD985" s="275"/>
      <c r="BE985" s="275"/>
      <c r="BF985" s="275"/>
      <c r="BH985" s="277"/>
    </row>
    <row r="986" spans="1:60" ht="16.5" hidden="1" customHeight="1" x14ac:dyDescent="0.3">
      <c r="A986" s="260">
        <v>964</v>
      </c>
      <c r="B986" s="261"/>
      <c r="C986" s="261"/>
      <c r="D986" s="262" t="s">
        <v>15</v>
      </c>
      <c r="E986" s="262" t="s">
        <v>153</v>
      </c>
      <c r="F986" s="263" t="s">
        <v>15</v>
      </c>
      <c r="G986" s="264" t="s">
        <v>153</v>
      </c>
      <c r="H986" s="281"/>
      <c r="I986" s="265"/>
      <c r="J986" s="266" t="s">
        <v>868</v>
      </c>
      <c r="K986" s="262"/>
      <c r="L986" s="262"/>
      <c r="M986" s="262">
        <v>3689</v>
      </c>
      <c r="N986" s="262" t="s">
        <v>22</v>
      </c>
      <c r="O986" s="262" t="s">
        <v>35</v>
      </c>
      <c r="P986" s="262" t="s">
        <v>124</v>
      </c>
      <c r="Q986" s="262" t="s">
        <v>23</v>
      </c>
      <c r="R986" s="262" t="s">
        <v>397</v>
      </c>
      <c r="S986" s="267" t="s">
        <v>823</v>
      </c>
      <c r="T986" s="268"/>
      <c r="U986" s="269"/>
      <c r="V986" s="269">
        <v>0</v>
      </c>
      <c r="W986" s="278">
        <v>0</v>
      </c>
      <c r="X986" s="270"/>
      <c r="Y986" s="262" t="s">
        <v>24</v>
      </c>
      <c r="Z986" s="271" t="s">
        <v>562</v>
      </c>
      <c r="AA986" s="287"/>
      <c r="AB986" s="287"/>
      <c r="AC986" s="272">
        <f t="shared" si="33"/>
        <v>20000000</v>
      </c>
      <c r="AD986" s="272">
        <v>20000000</v>
      </c>
      <c r="AE986" s="272">
        <f t="shared" si="34"/>
        <v>0</v>
      </c>
      <c r="AF986" s="273"/>
      <c r="AG986" s="274"/>
      <c r="AH986" s="273"/>
      <c r="AI986" s="273"/>
      <c r="AJ986" s="274"/>
      <c r="AK986" s="273"/>
      <c r="AL986" s="275"/>
      <c r="AM986" s="290"/>
      <c r="AN986" s="275"/>
      <c r="AO986" s="276"/>
      <c r="AP986" s="275"/>
      <c r="AQ986" s="275">
        <v>20000000</v>
      </c>
      <c r="AR986" s="275"/>
      <c r="AS986" s="275"/>
      <c r="AT986" s="275"/>
      <c r="AU986" s="275"/>
      <c r="AV986" s="275"/>
      <c r="AW986" s="275"/>
      <c r="AX986" s="275"/>
      <c r="AY986" s="275"/>
      <c r="AZ986" s="275"/>
      <c r="BA986" s="275"/>
      <c r="BB986" s="275"/>
      <c r="BC986" s="275"/>
      <c r="BD986" s="275"/>
      <c r="BE986" s="275"/>
      <c r="BF986" s="275"/>
      <c r="BH986" s="277"/>
    </row>
    <row r="987" spans="1:60" ht="16.5" hidden="1" customHeight="1" x14ac:dyDescent="0.3">
      <c r="A987" s="260">
        <v>965</v>
      </c>
      <c r="B987" s="261"/>
      <c r="C987" s="261"/>
      <c r="D987" s="262" t="s">
        <v>15</v>
      </c>
      <c r="E987" s="262" t="s">
        <v>153</v>
      </c>
      <c r="F987" s="263" t="s">
        <v>15</v>
      </c>
      <c r="G987" s="264" t="s">
        <v>153</v>
      </c>
      <c r="H987" s="281"/>
      <c r="I987" s="265"/>
      <c r="J987" s="266" t="s">
        <v>869</v>
      </c>
      <c r="K987" s="262"/>
      <c r="L987" s="262"/>
      <c r="M987" s="262">
        <v>3689</v>
      </c>
      <c r="N987" s="262" t="s">
        <v>22</v>
      </c>
      <c r="O987" s="262" t="s">
        <v>56</v>
      </c>
      <c r="P987" s="262" t="s">
        <v>124</v>
      </c>
      <c r="Q987" s="262" t="s">
        <v>26</v>
      </c>
      <c r="R987" s="262" t="s">
        <v>468</v>
      </c>
      <c r="S987" s="267" t="s">
        <v>468</v>
      </c>
      <c r="T987" s="268"/>
      <c r="U987" s="269"/>
      <c r="V987" s="269">
        <v>519282600</v>
      </c>
      <c r="W987" s="278">
        <v>0</v>
      </c>
      <c r="X987" s="270"/>
      <c r="Y987" s="262" t="s">
        <v>74</v>
      </c>
      <c r="Z987" s="271" t="s">
        <v>562</v>
      </c>
      <c r="AA987" s="287"/>
      <c r="AB987" s="287"/>
      <c r="AC987" s="272">
        <f t="shared" si="33"/>
        <v>0</v>
      </c>
      <c r="AD987" s="272">
        <v>0</v>
      </c>
      <c r="AE987" s="272">
        <f t="shared" si="34"/>
        <v>0</v>
      </c>
      <c r="AF987" s="273"/>
      <c r="AG987" s="274"/>
      <c r="AH987" s="273"/>
      <c r="AI987" s="273"/>
      <c r="AJ987" s="274"/>
      <c r="AK987" s="273"/>
      <c r="AL987" s="275"/>
      <c r="AM987" s="290"/>
      <c r="AN987" s="275"/>
      <c r="AO987" s="276"/>
      <c r="AP987" s="275"/>
      <c r="AQ987" s="275"/>
      <c r="AR987" s="275"/>
      <c r="AS987" s="275"/>
      <c r="AT987" s="275"/>
      <c r="AU987" s="275"/>
      <c r="AV987" s="275"/>
      <c r="AW987" s="275"/>
      <c r="AX987" s="275"/>
      <c r="AY987" s="275"/>
      <c r="AZ987" s="275"/>
      <c r="BA987" s="275"/>
      <c r="BB987" s="275"/>
      <c r="BC987" s="275"/>
      <c r="BD987" s="275"/>
      <c r="BE987" s="275"/>
      <c r="BF987" s="275"/>
      <c r="BH987" s="277"/>
    </row>
    <row r="988" spans="1:60" ht="16.5" hidden="1" customHeight="1" x14ac:dyDescent="0.3">
      <c r="A988" s="260">
        <v>966</v>
      </c>
      <c r="B988" s="261"/>
      <c r="C988" s="261"/>
      <c r="D988" s="262" t="s">
        <v>15</v>
      </c>
      <c r="E988" s="262" t="s">
        <v>153</v>
      </c>
      <c r="F988" s="263" t="s">
        <v>15</v>
      </c>
      <c r="G988" s="264" t="s">
        <v>153</v>
      </c>
      <c r="H988" s="281"/>
      <c r="I988" s="265"/>
      <c r="J988" s="266" t="s">
        <v>870</v>
      </c>
      <c r="K988" s="262"/>
      <c r="L988" s="262"/>
      <c r="M988" s="262">
        <v>3689</v>
      </c>
      <c r="N988" s="262" t="s">
        <v>22</v>
      </c>
      <c r="O988" s="262" t="s">
        <v>56</v>
      </c>
      <c r="P988" s="262" t="s">
        <v>124</v>
      </c>
      <c r="Q988" s="262" t="s">
        <v>55</v>
      </c>
      <c r="R988" s="262" t="s">
        <v>475</v>
      </c>
      <c r="S988" s="267" t="s">
        <v>830</v>
      </c>
      <c r="T988" s="268"/>
      <c r="U988" s="269"/>
      <c r="V988" s="269">
        <v>3000000</v>
      </c>
      <c r="W988" s="278">
        <v>600000</v>
      </c>
      <c r="X988" s="270"/>
      <c r="Y988" s="262" t="s">
        <v>25</v>
      </c>
      <c r="Z988" s="271" t="s">
        <v>25</v>
      </c>
      <c r="AA988" s="287"/>
      <c r="AB988" s="287"/>
      <c r="AC988" s="272">
        <f t="shared" si="33"/>
        <v>3000000</v>
      </c>
      <c r="AD988" s="272">
        <v>3000000</v>
      </c>
      <c r="AE988" s="272">
        <f t="shared" si="34"/>
        <v>0</v>
      </c>
      <c r="AF988" s="273"/>
      <c r="AG988" s="274"/>
      <c r="AH988" s="273"/>
      <c r="AI988" s="273"/>
      <c r="AJ988" s="274"/>
      <c r="AK988" s="273"/>
      <c r="AL988" s="275"/>
      <c r="AM988" s="290"/>
      <c r="AN988" s="275"/>
      <c r="AO988" s="276"/>
      <c r="AP988" s="275"/>
      <c r="AQ988" s="275"/>
      <c r="AR988" s="275"/>
      <c r="AS988" s="275"/>
      <c r="AT988" s="275"/>
      <c r="AU988" s="275"/>
      <c r="AV988" s="275"/>
      <c r="AW988" s="275"/>
      <c r="AX988" s="275"/>
      <c r="AY988" s="275">
        <v>3000000</v>
      </c>
      <c r="AZ988" s="275"/>
      <c r="BA988" s="275"/>
      <c r="BB988" s="275"/>
      <c r="BC988" s="275"/>
      <c r="BD988" s="275"/>
      <c r="BE988" s="275"/>
      <c r="BF988" s="275"/>
      <c r="BH988" s="277"/>
    </row>
    <row r="989" spans="1:60" ht="16.5" hidden="1" customHeight="1" x14ac:dyDescent="0.3">
      <c r="A989" s="260">
        <v>967</v>
      </c>
      <c r="B989" s="261"/>
      <c r="C989" s="261"/>
      <c r="D989" s="262" t="s">
        <v>15</v>
      </c>
      <c r="E989" s="262" t="s">
        <v>153</v>
      </c>
      <c r="F989" s="263" t="s">
        <v>15</v>
      </c>
      <c r="G989" s="264" t="s">
        <v>153</v>
      </c>
      <c r="H989" s="281"/>
      <c r="I989" s="265"/>
      <c r="J989" s="266" t="s">
        <v>315</v>
      </c>
      <c r="K989" s="262"/>
      <c r="L989" s="262"/>
      <c r="M989" s="262">
        <v>15652</v>
      </c>
      <c r="N989" s="262" t="s">
        <v>32</v>
      </c>
      <c r="O989" s="262" t="s">
        <v>56</v>
      </c>
      <c r="P989" s="262" t="s">
        <v>57</v>
      </c>
      <c r="Q989" s="262" t="s">
        <v>63</v>
      </c>
      <c r="R989" s="262" t="s">
        <v>28</v>
      </c>
      <c r="S989" s="267" t="s">
        <v>28</v>
      </c>
      <c r="T989" s="268"/>
      <c r="U989" s="269">
        <v>154636364</v>
      </c>
      <c r="V989" s="269">
        <v>151500000</v>
      </c>
      <c r="W989" s="278">
        <v>147368182</v>
      </c>
      <c r="X989" s="270"/>
      <c r="Y989" s="262" t="s">
        <v>27</v>
      </c>
      <c r="Z989" s="271" t="s">
        <v>27</v>
      </c>
      <c r="AA989" s="287"/>
      <c r="AB989" s="287"/>
      <c r="AC989" s="272">
        <f t="shared" si="33"/>
        <v>135360000</v>
      </c>
      <c r="AD989" s="272">
        <v>135360000</v>
      </c>
      <c r="AE989" s="272">
        <f t="shared" si="34"/>
        <v>0</v>
      </c>
      <c r="AF989" s="273"/>
      <c r="AG989" s="274"/>
      <c r="AH989" s="273"/>
      <c r="AI989" s="273">
        <v>81216000</v>
      </c>
      <c r="AJ989" s="274">
        <v>81216000</v>
      </c>
      <c r="AK989" s="273" t="s">
        <v>971</v>
      </c>
      <c r="AL989" s="275"/>
      <c r="AM989" s="290"/>
      <c r="AN989" s="275"/>
      <c r="AO989" s="276"/>
      <c r="AP989" s="275"/>
      <c r="AQ989" s="275"/>
      <c r="AR989" s="275"/>
      <c r="AS989" s="275"/>
      <c r="AT989" s="275"/>
      <c r="AU989" s="275"/>
      <c r="AV989" s="275"/>
      <c r="AW989" s="275"/>
      <c r="AX989" s="275"/>
      <c r="AY989" s="275"/>
      <c r="AZ989" s="275"/>
      <c r="BA989" s="275"/>
      <c r="BB989" s="275"/>
      <c r="BC989" s="275"/>
      <c r="BD989" s="275"/>
      <c r="BE989" s="275">
        <v>54144000</v>
      </c>
      <c r="BF989" s="275" t="s">
        <v>935</v>
      </c>
      <c r="BH989" s="277"/>
    </row>
    <row r="990" spans="1:60" ht="16.5" hidden="1" customHeight="1" x14ac:dyDescent="0.3">
      <c r="A990" s="260">
        <v>968</v>
      </c>
      <c r="B990" s="261"/>
      <c r="C990" s="261"/>
      <c r="D990" s="262" t="s">
        <v>15</v>
      </c>
      <c r="E990" s="262" t="s">
        <v>153</v>
      </c>
      <c r="F990" s="263" t="s">
        <v>15</v>
      </c>
      <c r="G990" s="264" t="s">
        <v>153</v>
      </c>
      <c r="H990" s="281"/>
      <c r="I990" s="265"/>
      <c r="J990" s="266" t="s">
        <v>871</v>
      </c>
      <c r="K990" s="262"/>
      <c r="L990" s="262"/>
      <c r="M990" s="262">
        <v>9342</v>
      </c>
      <c r="N990" s="262" t="s">
        <v>32</v>
      </c>
      <c r="O990" s="262" t="s">
        <v>56</v>
      </c>
      <c r="P990" s="262"/>
      <c r="Q990" s="262" t="s">
        <v>18</v>
      </c>
      <c r="R990" s="262" t="s">
        <v>19</v>
      </c>
      <c r="S990" s="267" t="s">
        <v>19</v>
      </c>
      <c r="T990" s="268"/>
      <c r="U990" s="269"/>
      <c r="V990" s="269">
        <v>810000</v>
      </c>
      <c r="W990" s="278">
        <v>3680000</v>
      </c>
      <c r="X990" s="270"/>
      <c r="Y990" s="262" t="s">
        <v>24</v>
      </c>
      <c r="Z990" s="271" t="s">
        <v>25</v>
      </c>
      <c r="AA990" s="287"/>
      <c r="AB990" s="287"/>
      <c r="AC990" s="272">
        <f t="shared" si="33"/>
        <v>1000000</v>
      </c>
      <c r="AD990" s="272">
        <v>1000000</v>
      </c>
      <c r="AE990" s="272">
        <f t="shared" si="34"/>
        <v>0</v>
      </c>
      <c r="AF990" s="273"/>
      <c r="AG990" s="274"/>
      <c r="AH990" s="273"/>
      <c r="AI990" s="273"/>
      <c r="AJ990" s="274"/>
      <c r="AK990" s="273"/>
      <c r="AL990" s="275"/>
      <c r="AM990" s="290"/>
      <c r="AN990" s="275"/>
      <c r="AO990" s="276"/>
      <c r="AP990" s="275"/>
      <c r="AQ990" s="275"/>
      <c r="AR990" s="275"/>
      <c r="AS990" s="275"/>
      <c r="AT990" s="275"/>
      <c r="AU990" s="275"/>
      <c r="AV990" s="275"/>
      <c r="AW990" s="275"/>
      <c r="AX990" s="275"/>
      <c r="AY990" s="275">
        <v>1000000</v>
      </c>
      <c r="AZ990" s="275"/>
      <c r="BA990" s="275"/>
      <c r="BB990" s="275"/>
      <c r="BC990" s="275"/>
      <c r="BD990" s="275"/>
      <c r="BE990" s="275"/>
      <c r="BF990" s="275"/>
      <c r="BH990" s="277"/>
    </row>
    <row r="991" spans="1:60" ht="16.5" hidden="1" customHeight="1" x14ac:dyDescent="0.3">
      <c r="A991" s="260">
        <v>969</v>
      </c>
      <c r="B991" s="261"/>
      <c r="C991" s="261"/>
      <c r="D991" s="262" t="s">
        <v>15</v>
      </c>
      <c r="E991" s="262" t="s">
        <v>153</v>
      </c>
      <c r="F991" s="263" t="s">
        <v>15</v>
      </c>
      <c r="G991" s="264" t="s">
        <v>153</v>
      </c>
      <c r="H991" s="281"/>
      <c r="I991" s="265"/>
      <c r="J991" s="266" t="s">
        <v>872</v>
      </c>
      <c r="K991" s="262"/>
      <c r="L991" s="262"/>
      <c r="M991" s="262">
        <v>699</v>
      </c>
      <c r="N991" s="262" t="s">
        <v>22</v>
      </c>
      <c r="O991" s="262" t="s">
        <v>212</v>
      </c>
      <c r="P991" s="262" t="s">
        <v>124</v>
      </c>
      <c r="Q991" s="262" t="s">
        <v>63</v>
      </c>
      <c r="R991" s="262" t="s">
        <v>28</v>
      </c>
      <c r="S991" s="267" t="s">
        <v>28</v>
      </c>
      <c r="T991" s="268" t="s">
        <v>951</v>
      </c>
      <c r="U991" s="269">
        <v>29322136</v>
      </c>
      <c r="V991" s="269">
        <v>34837934</v>
      </c>
      <c r="W991" s="278">
        <v>46983800</v>
      </c>
      <c r="X991" s="270"/>
      <c r="Y991" s="262" t="s">
        <v>27</v>
      </c>
      <c r="Z991" s="271" t="s">
        <v>27</v>
      </c>
      <c r="AA991" s="287"/>
      <c r="AB991" s="287"/>
      <c r="AC991" s="272">
        <f t="shared" si="33"/>
        <v>28205000</v>
      </c>
      <c r="AD991" s="272">
        <v>28205000</v>
      </c>
      <c r="AE991" s="272">
        <f t="shared" si="34"/>
        <v>0</v>
      </c>
      <c r="AF991" s="273">
        <v>2500000</v>
      </c>
      <c r="AG991" s="274">
        <v>1648000</v>
      </c>
      <c r="AH991" s="273" t="s">
        <v>972</v>
      </c>
      <c r="AI991" s="273">
        <v>1500000</v>
      </c>
      <c r="AJ991" s="274">
        <v>420000</v>
      </c>
      <c r="AK991" s="273"/>
      <c r="AL991" s="275">
        <v>1360000</v>
      </c>
      <c r="AM991" s="290">
        <v>3637000</v>
      </c>
      <c r="AN991" s="275"/>
      <c r="AO991" s="276">
        <v>2500000</v>
      </c>
      <c r="AP991" s="275"/>
      <c r="AQ991" s="275">
        <v>2500000</v>
      </c>
      <c r="AR991" s="275"/>
      <c r="AS991" s="275">
        <v>2500000</v>
      </c>
      <c r="AT991" s="275"/>
      <c r="AU991" s="275">
        <v>2500000</v>
      </c>
      <c r="AV991" s="275"/>
      <c r="AW991" s="275">
        <v>2500000</v>
      </c>
      <c r="AX991" s="275"/>
      <c r="AY991" s="275">
        <v>2500000</v>
      </c>
      <c r="AZ991" s="275"/>
      <c r="BA991" s="275">
        <v>2500000</v>
      </c>
      <c r="BB991" s="275"/>
      <c r="BC991" s="275">
        <v>2500000</v>
      </c>
      <c r="BD991" s="275"/>
      <c r="BE991" s="275">
        <v>2500000</v>
      </c>
      <c r="BF991" s="275"/>
      <c r="BH991" s="277"/>
    </row>
    <row r="992" spans="1:60" ht="16.5" hidden="1" customHeight="1" x14ac:dyDescent="0.3">
      <c r="A992" s="260">
        <v>970</v>
      </c>
      <c r="B992" s="261"/>
      <c r="C992" s="261"/>
      <c r="D992" s="262" t="s">
        <v>15</v>
      </c>
      <c r="E992" s="262" t="s">
        <v>153</v>
      </c>
      <c r="F992" s="263" t="s">
        <v>15</v>
      </c>
      <c r="G992" s="264" t="s">
        <v>153</v>
      </c>
      <c r="H992" s="281"/>
      <c r="I992" s="265"/>
      <c r="J992" s="266" t="s">
        <v>872</v>
      </c>
      <c r="K992" s="262"/>
      <c r="L992" s="262"/>
      <c r="M992" s="262">
        <v>699</v>
      </c>
      <c r="N992" s="262" t="s">
        <v>22</v>
      </c>
      <c r="O992" s="262" t="s">
        <v>56</v>
      </c>
      <c r="P992" s="262" t="s">
        <v>124</v>
      </c>
      <c r="Q992" s="262" t="s">
        <v>30</v>
      </c>
      <c r="R992" s="262" t="s">
        <v>31</v>
      </c>
      <c r="S992" s="267" t="s">
        <v>31</v>
      </c>
      <c r="T992" s="268"/>
      <c r="U992" s="269">
        <v>15078000</v>
      </c>
      <c r="V992" s="269">
        <v>15204000</v>
      </c>
      <c r="W992" s="278">
        <v>0</v>
      </c>
      <c r="X992" s="270"/>
      <c r="Y992" s="262" t="s">
        <v>24</v>
      </c>
      <c r="Z992" s="271" t="s">
        <v>24</v>
      </c>
      <c r="AA992" s="287"/>
      <c r="AB992" s="287"/>
      <c r="AC992" s="272">
        <f t="shared" si="33"/>
        <v>15000000</v>
      </c>
      <c r="AD992" s="272">
        <v>15000000</v>
      </c>
      <c r="AE992" s="272">
        <f t="shared" si="34"/>
        <v>0</v>
      </c>
      <c r="AF992" s="273"/>
      <c r="AG992" s="274"/>
      <c r="AH992" s="273"/>
      <c r="AI992" s="273"/>
      <c r="AJ992" s="274"/>
      <c r="AK992" s="273"/>
      <c r="AL992" s="275"/>
      <c r="AM992" s="290"/>
      <c r="AN992" s="275"/>
      <c r="AO992" s="276"/>
      <c r="AP992" s="275"/>
      <c r="AQ992" s="275"/>
      <c r="AR992" s="275"/>
      <c r="AS992" s="275"/>
      <c r="AT992" s="275"/>
      <c r="AU992" s="275"/>
      <c r="AV992" s="275"/>
      <c r="AW992" s="275"/>
      <c r="AX992" s="275"/>
      <c r="AY992" s="275">
        <v>15000000</v>
      </c>
      <c r="AZ992" s="275"/>
      <c r="BA992" s="275"/>
      <c r="BB992" s="275"/>
      <c r="BC992" s="275"/>
      <c r="BD992" s="275"/>
      <c r="BE992" s="275"/>
      <c r="BF992" s="275"/>
      <c r="BH992" s="277"/>
    </row>
    <row r="993" spans="1:60" ht="16.5" hidden="1" customHeight="1" x14ac:dyDescent="0.3">
      <c r="A993" s="260">
        <v>971</v>
      </c>
      <c r="B993" s="261"/>
      <c r="C993" s="261"/>
      <c r="D993" s="262" t="s">
        <v>15</v>
      </c>
      <c r="E993" s="262" t="s">
        <v>153</v>
      </c>
      <c r="F993" s="263" t="s">
        <v>15</v>
      </c>
      <c r="G993" s="264" t="s">
        <v>153</v>
      </c>
      <c r="H993" s="281"/>
      <c r="I993" s="265"/>
      <c r="J993" s="266" t="s">
        <v>316</v>
      </c>
      <c r="K993" s="262"/>
      <c r="L993" s="262"/>
      <c r="M993" s="262">
        <v>18342</v>
      </c>
      <c r="N993" s="262" t="s">
        <v>397</v>
      </c>
      <c r="O993" s="262" t="s">
        <v>397</v>
      </c>
      <c r="P993" s="262"/>
      <c r="Q993" s="262"/>
      <c r="R993" s="262" t="s">
        <v>397</v>
      </c>
      <c r="S993" s="267" t="s">
        <v>823</v>
      </c>
      <c r="T993" s="268"/>
      <c r="U993" s="269"/>
      <c r="V993" s="269"/>
      <c r="W993" s="278">
        <v>64500000</v>
      </c>
      <c r="X993" s="270"/>
      <c r="Y993" s="262"/>
      <c r="Z993" s="271" t="s">
        <v>27</v>
      </c>
      <c r="AA993" s="287"/>
      <c r="AB993" s="287"/>
      <c r="AC993" s="272">
        <f t="shared" si="33"/>
        <v>64500000</v>
      </c>
      <c r="AD993" s="272">
        <v>64500000</v>
      </c>
      <c r="AE993" s="272">
        <f t="shared" si="34"/>
        <v>0</v>
      </c>
      <c r="AF993" s="273"/>
      <c r="AG993" s="274"/>
      <c r="AH993" s="273"/>
      <c r="AI993" s="273">
        <v>32250000</v>
      </c>
      <c r="AJ993" s="274">
        <v>32250000</v>
      </c>
      <c r="AK993" s="273"/>
      <c r="AL993" s="275"/>
      <c r="AM993" s="290"/>
      <c r="AN993" s="275"/>
      <c r="AO993" s="276"/>
      <c r="AP993" s="275"/>
      <c r="AQ993" s="275"/>
      <c r="AR993" s="275"/>
      <c r="AS993" s="275"/>
      <c r="AT993" s="275"/>
      <c r="AU993" s="275"/>
      <c r="AV993" s="275"/>
      <c r="AW993" s="275"/>
      <c r="AX993" s="275"/>
      <c r="AY993" s="275"/>
      <c r="AZ993" s="275"/>
      <c r="BA993" s="275"/>
      <c r="BB993" s="275"/>
      <c r="BC993" s="275"/>
      <c r="BD993" s="275"/>
      <c r="BE993" s="275">
        <v>32250000</v>
      </c>
      <c r="BF993" s="275"/>
      <c r="BH993" s="277"/>
    </row>
    <row r="994" spans="1:60" ht="16.5" hidden="1" customHeight="1" x14ac:dyDescent="0.3">
      <c r="A994" s="260">
        <v>972</v>
      </c>
      <c r="B994" s="261"/>
      <c r="C994" s="261"/>
      <c r="D994" s="262" t="s">
        <v>15</v>
      </c>
      <c r="E994" s="262" t="s">
        <v>153</v>
      </c>
      <c r="F994" s="263" t="s">
        <v>15</v>
      </c>
      <c r="G994" s="264" t="s">
        <v>153</v>
      </c>
      <c r="H994" s="281"/>
      <c r="I994" s="265"/>
      <c r="J994" s="266" t="s">
        <v>316</v>
      </c>
      <c r="K994" s="262"/>
      <c r="L994" s="262"/>
      <c r="M994" s="262">
        <v>18342</v>
      </c>
      <c r="N994" s="262" t="s">
        <v>32</v>
      </c>
      <c r="O994" s="262" t="s">
        <v>56</v>
      </c>
      <c r="P994" s="262" t="s">
        <v>124</v>
      </c>
      <c r="Q994" s="262" t="s">
        <v>111</v>
      </c>
      <c r="R994" s="262" t="s">
        <v>472</v>
      </c>
      <c r="S994" s="267" t="s">
        <v>824</v>
      </c>
      <c r="T994" s="268"/>
      <c r="U994" s="269">
        <v>205154545</v>
      </c>
      <c r="V994" s="269">
        <v>186818182</v>
      </c>
      <c r="W994" s="278">
        <v>122772728</v>
      </c>
      <c r="X994" s="270"/>
      <c r="Y994" s="262" t="s">
        <v>27</v>
      </c>
      <c r="Z994" s="271" t="s">
        <v>27</v>
      </c>
      <c r="AA994" s="287"/>
      <c r="AB994" s="287"/>
      <c r="AC994" s="272">
        <f t="shared" si="33"/>
        <v>122772727</v>
      </c>
      <c r="AD994" s="272">
        <v>122772727</v>
      </c>
      <c r="AE994" s="272">
        <f t="shared" si="34"/>
        <v>0</v>
      </c>
      <c r="AF994" s="273"/>
      <c r="AG994" s="274"/>
      <c r="AH994" s="273"/>
      <c r="AI994" s="273">
        <v>61386363</v>
      </c>
      <c r="AJ994" s="274">
        <v>61386364</v>
      </c>
      <c r="AK994" s="273"/>
      <c r="AL994" s="275"/>
      <c r="AM994" s="290"/>
      <c r="AN994" s="275"/>
      <c r="AO994" s="276"/>
      <c r="AP994" s="275"/>
      <c r="AQ994" s="275"/>
      <c r="AR994" s="275"/>
      <c r="AS994" s="275"/>
      <c r="AT994" s="275"/>
      <c r="AU994" s="275"/>
      <c r="AV994" s="275"/>
      <c r="AW994" s="275"/>
      <c r="AX994" s="275"/>
      <c r="AY994" s="275"/>
      <c r="AZ994" s="275"/>
      <c r="BA994" s="275"/>
      <c r="BB994" s="275"/>
      <c r="BC994" s="275"/>
      <c r="BD994" s="275"/>
      <c r="BE994" s="275">
        <v>61386363</v>
      </c>
      <c r="BF994" s="275"/>
      <c r="BH994" s="277"/>
    </row>
    <row r="995" spans="1:60" ht="16.5" hidden="1" customHeight="1" x14ac:dyDescent="0.3">
      <c r="A995" s="260">
        <v>973</v>
      </c>
      <c r="B995" s="261"/>
      <c r="C995" s="261"/>
      <c r="D995" s="262" t="s">
        <v>15</v>
      </c>
      <c r="E995" s="262" t="s">
        <v>153</v>
      </c>
      <c r="F995" s="263" t="s">
        <v>15</v>
      </c>
      <c r="G995" s="264" t="s">
        <v>153</v>
      </c>
      <c r="H995" s="281"/>
      <c r="I995" s="265"/>
      <c r="J995" s="266" t="s">
        <v>588</v>
      </c>
      <c r="K995" s="262"/>
      <c r="L995" s="262"/>
      <c r="M995" s="262">
        <v>3806</v>
      </c>
      <c r="N995" s="262" t="s">
        <v>53</v>
      </c>
      <c r="O995" s="262" t="s">
        <v>56</v>
      </c>
      <c r="P995" s="262" t="s">
        <v>57</v>
      </c>
      <c r="Q995" s="262" t="s">
        <v>18</v>
      </c>
      <c r="R995" s="262" t="s">
        <v>19</v>
      </c>
      <c r="S995" s="267" t="s">
        <v>19</v>
      </c>
      <c r="T995" s="268"/>
      <c r="U995" s="269">
        <v>131694000</v>
      </c>
      <c r="V995" s="269">
        <v>222976430</v>
      </c>
      <c r="W995" s="278">
        <v>174265510</v>
      </c>
      <c r="X995" s="270"/>
      <c r="Y995" s="262" t="s">
        <v>27</v>
      </c>
      <c r="Z995" s="271" t="s">
        <v>27</v>
      </c>
      <c r="AA995" s="287"/>
      <c r="AB995" s="287"/>
      <c r="AC995" s="272">
        <f t="shared" si="33"/>
        <v>267000000</v>
      </c>
      <c r="AD995" s="272">
        <v>267000000</v>
      </c>
      <c r="AE995" s="272">
        <f t="shared" si="34"/>
        <v>0</v>
      </c>
      <c r="AF995" s="273"/>
      <c r="AG995" s="274"/>
      <c r="AH995" s="273"/>
      <c r="AI995" s="273"/>
      <c r="AJ995" s="274"/>
      <c r="AK995" s="273"/>
      <c r="AL995" s="275"/>
      <c r="AM995" s="290"/>
      <c r="AN995" s="275"/>
      <c r="AO995" s="276"/>
      <c r="AP995" s="275"/>
      <c r="AQ995" s="275"/>
      <c r="AR995" s="275"/>
      <c r="AS995" s="275"/>
      <c r="AT995" s="275"/>
      <c r="AU995" s="275"/>
      <c r="AV995" s="275"/>
      <c r="AW995" s="275"/>
      <c r="AX995" s="275"/>
      <c r="AY995" s="275"/>
      <c r="AZ995" s="275"/>
      <c r="BA995" s="275">
        <v>267000000</v>
      </c>
      <c r="BB995" s="275"/>
      <c r="BC995" s="275"/>
      <c r="BD995" s="275"/>
      <c r="BE995" s="275"/>
      <c r="BF995" s="275"/>
      <c r="BH995" s="277"/>
    </row>
    <row r="996" spans="1:60" ht="16.5" hidden="1" customHeight="1" x14ac:dyDescent="0.3">
      <c r="A996" s="260">
        <v>974</v>
      </c>
      <c r="B996" s="261"/>
      <c r="C996" s="261"/>
      <c r="D996" s="262" t="s">
        <v>15</v>
      </c>
      <c r="E996" s="262" t="s">
        <v>153</v>
      </c>
      <c r="F996" s="263" t="s">
        <v>15</v>
      </c>
      <c r="G996" s="264" t="s">
        <v>153</v>
      </c>
      <c r="H996" s="281"/>
      <c r="I996" s="265"/>
      <c r="J996" s="266" t="s">
        <v>1017</v>
      </c>
      <c r="K996" s="262"/>
      <c r="L996" s="262"/>
      <c r="M996" s="262">
        <v>3806</v>
      </c>
      <c r="N996" s="262" t="s">
        <v>53</v>
      </c>
      <c r="O996" s="262" t="s">
        <v>56</v>
      </c>
      <c r="P996" s="262"/>
      <c r="Q996" s="262" t="s">
        <v>18</v>
      </c>
      <c r="R996" s="262" t="s">
        <v>31</v>
      </c>
      <c r="S996" s="267" t="s">
        <v>31</v>
      </c>
      <c r="T996" s="268"/>
      <c r="U996" s="269"/>
      <c r="V996" s="269">
        <v>0</v>
      </c>
      <c r="W996" s="278">
        <v>16059000</v>
      </c>
      <c r="X996" s="270"/>
      <c r="Y996" s="262" t="s">
        <v>27</v>
      </c>
      <c r="Z996" s="271" t="s">
        <v>27</v>
      </c>
      <c r="AA996" s="287"/>
      <c r="AB996" s="287"/>
      <c r="AC996" s="272">
        <f t="shared" si="33"/>
        <v>15522000</v>
      </c>
      <c r="AD996" s="272">
        <v>15522000</v>
      </c>
      <c r="AE996" s="272">
        <f t="shared" si="34"/>
        <v>0</v>
      </c>
      <c r="AF996" s="273"/>
      <c r="AG996" s="274">
        <v>2331000</v>
      </c>
      <c r="AH996" s="273" t="s">
        <v>913</v>
      </c>
      <c r="AI996" s="273"/>
      <c r="AJ996" s="274"/>
      <c r="AK996" s="273"/>
      <c r="AL996" s="275"/>
      <c r="AM996" s="290">
        <v>-1809000</v>
      </c>
      <c r="AN996" s="275"/>
      <c r="AO996" s="276"/>
      <c r="AP996" s="275"/>
      <c r="AQ996" s="275"/>
      <c r="AR996" s="275"/>
      <c r="AS996" s="275"/>
      <c r="AT996" s="275"/>
      <c r="AU996" s="275"/>
      <c r="AV996" s="275"/>
      <c r="AW996" s="275"/>
      <c r="AX996" s="275"/>
      <c r="AY996" s="275"/>
      <c r="AZ996" s="275"/>
      <c r="BA996" s="275">
        <v>7500000</v>
      </c>
      <c r="BB996" s="275"/>
      <c r="BC996" s="275">
        <v>7500000</v>
      </c>
      <c r="BD996" s="275"/>
      <c r="BE996" s="275"/>
      <c r="BF996" s="275"/>
      <c r="BH996" s="277"/>
    </row>
    <row r="997" spans="1:60" ht="16.5" hidden="1" customHeight="1" x14ac:dyDescent="0.3">
      <c r="A997" s="260">
        <v>975</v>
      </c>
      <c r="B997" s="261"/>
      <c r="C997" s="261"/>
      <c r="D997" s="262" t="s">
        <v>15</v>
      </c>
      <c r="E997" s="262" t="s">
        <v>153</v>
      </c>
      <c r="F997" s="263" t="s">
        <v>15</v>
      </c>
      <c r="G997" s="264" t="s">
        <v>153</v>
      </c>
      <c r="H997" s="281"/>
      <c r="I997" s="265"/>
      <c r="J997" s="266" t="s">
        <v>578</v>
      </c>
      <c r="K997" s="262"/>
      <c r="L997" s="262"/>
      <c r="M997" s="262">
        <v>15040</v>
      </c>
      <c r="N997" s="262" t="s">
        <v>53</v>
      </c>
      <c r="O997" s="262" t="s">
        <v>212</v>
      </c>
      <c r="P997" s="262" t="s">
        <v>57</v>
      </c>
      <c r="Q997" s="262" t="s">
        <v>63</v>
      </c>
      <c r="R997" s="262" t="s">
        <v>28</v>
      </c>
      <c r="S997" s="267" t="s">
        <v>28</v>
      </c>
      <c r="T997" s="268" t="s">
        <v>951</v>
      </c>
      <c r="U997" s="269">
        <v>34792700</v>
      </c>
      <c r="V997" s="269">
        <v>31536900</v>
      </c>
      <c r="W997" s="278">
        <v>39191700</v>
      </c>
      <c r="X997" s="270"/>
      <c r="Y997" s="262" t="s">
        <v>27</v>
      </c>
      <c r="Z997" s="271" t="s">
        <v>27</v>
      </c>
      <c r="AA997" s="287"/>
      <c r="AB997" s="287"/>
      <c r="AC997" s="272">
        <f t="shared" si="33"/>
        <v>35934800</v>
      </c>
      <c r="AD997" s="272">
        <v>35934800</v>
      </c>
      <c r="AE997" s="272">
        <f t="shared" si="34"/>
        <v>0</v>
      </c>
      <c r="AF997" s="273">
        <v>3000000</v>
      </c>
      <c r="AG997" s="274">
        <v>370000</v>
      </c>
      <c r="AH997" s="273" t="s">
        <v>972</v>
      </c>
      <c r="AI997" s="273">
        <v>3000000</v>
      </c>
      <c r="AJ997" s="274">
        <v>5463800</v>
      </c>
      <c r="AK997" s="273"/>
      <c r="AL997" s="275">
        <v>3101000</v>
      </c>
      <c r="AM997" s="290">
        <v>3101000</v>
      </c>
      <c r="AN997" s="275"/>
      <c r="AO997" s="276">
        <v>3000000</v>
      </c>
      <c r="AP997" s="275"/>
      <c r="AQ997" s="275">
        <v>3000000</v>
      </c>
      <c r="AR997" s="275"/>
      <c r="AS997" s="275">
        <v>3000000</v>
      </c>
      <c r="AT997" s="275"/>
      <c r="AU997" s="275">
        <v>3000000</v>
      </c>
      <c r="AV997" s="275"/>
      <c r="AW997" s="275">
        <v>3000000</v>
      </c>
      <c r="AX997" s="275"/>
      <c r="AY997" s="275">
        <v>3000000</v>
      </c>
      <c r="AZ997" s="275"/>
      <c r="BA997" s="275">
        <v>3000000</v>
      </c>
      <c r="BB997" s="275"/>
      <c r="BC997" s="275">
        <v>3000000</v>
      </c>
      <c r="BD997" s="275"/>
      <c r="BE997" s="275">
        <v>3000000</v>
      </c>
      <c r="BF997" s="275"/>
      <c r="BH997" s="277"/>
    </row>
    <row r="998" spans="1:60" ht="16.5" hidden="1" customHeight="1" x14ac:dyDescent="0.3">
      <c r="A998" s="260">
        <v>976</v>
      </c>
      <c r="B998" s="261"/>
      <c r="C998" s="261"/>
      <c r="D998" s="262" t="s">
        <v>15</v>
      </c>
      <c r="E998" s="262" t="s">
        <v>153</v>
      </c>
      <c r="F998" s="263" t="s">
        <v>15</v>
      </c>
      <c r="G998" s="264" t="s">
        <v>153</v>
      </c>
      <c r="H998" s="281"/>
      <c r="I998" s="265"/>
      <c r="J998" s="266" t="s">
        <v>873</v>
      </c>
      <c r="K998" s="262"/>
      <c r="L998" s="262"/>
      <c r="M998" s="262">
        <v>19211</v>
      </c>
      <c r="N998" s="262" t="s">
        <v>22</v>
      </c>
      <c r="O998" s="262" t="s">
        <v>35</v>
      </c>
      <c r="P998" s="262" t="s">
        <v>156</v>
      </c>
      <c r="Q998" s="262" t="s">
        <v>18</v>
      </c>
      <c r="R998" s="262" t="s">
        <v>19</v>
      </c>
      <c r="S998" s="267" t="s">
        <v>19</v>
      </c>
      <c r="T998" s="268"/>
      <c r="U998" s="269"/>
      <c r="V998" s="269">
        <v>0</v>
      </c>
      <c r="W998" s="278">
        <v>0</v>
      </c>
      <c r="X998" s="270"/>
      <c r="Y998" s="262" t="s">
        <v>562</v>
      </c>
      <c r="Z998" s="271" t="s">
        <v>74</v>
      </c>
      <c r="AA998" s="287"/>
      <c r="AB998" s="287"/>
      <c r="AC998" s="272">
        <f t="shared" si="33"/>
        <v>0</v>
      </c>
      <c r="AD998" s="272">
        <v>0</v>
      </c>
      <c r="AE998" s="272">
        <f t="shared" si="34"/>
        <v>0</v>
      </c>
      <c r="AF998" s="273"/>
      <c r="AG998" s="274"/>
      <c r="AH998" s="273"/>
      <c r="AI998" s="273"/>
      <c r="AJ998" s="274"/>
      <c r="AK998" s="273"/>
      <c r="AL998" s="275">
        <v>20000000</v>
      </c>
      <c r="AM998" s="290"/>
      <c r="AN998" s="275"/>
      <c r="AO998" s="276"/>
      <c r="AP998" s="275"/>
      <c r="AQ998" s="275"/>
      <c r="AR998" s="275"/>
      <c r="AS998" s="275"/>
      <c r="AT998" s="275"/>
      <c r="AU998" s="275"/>
      <c r="AV998" s="275"/>
      <c r="AW998" s="275"/>
      <c r="AX998" s="275"/>
      <c r="AY998" s="275"/>
      <c r="AZ998" s="275"/>
      <c r="BA998" s="275"/>
      <c r="BB998" s="275"/>
      <c r="BC998" s="275"/>
      <c r="BD998" s="275"/>
      <c r="BE998" s="275"/>
      <c r="BF998" s="275"/>
      <c r="BH998" s="277"/>
    </row>
    <row r="999" spans="1:60" ht="16.5" hidden="1" customHeight="1" x14ac:dyDescent="0.3">
      <c r="A999" s="260">
        <v>977</v>
      </c>
      <c r="B999" s="261"/>
      <c r="C999" s="261"/>
      <c r="D999" s="262" t="s">
        <v>15</v>
      </c>
      <c r="E999" s="262" t="s">
        <v>153</v>
      </c>
      <c r="F999" s="263" t="s">
        <v>15</v>
      </c>
      <c r="G999" s="264" t="s">
        <v>153</v>
      </c>
      <c r="H999" s="281"/>
      <c r="I999" s="265"/>
      <c r="J999" s="266" t="s">
        <v>873</v>
      </c>
      <c r="K999" s="262"/>
      <c r="L999" s="262"/>
      <c r="M999" s="262">
        <v>19211</v>
      </c>
      <c r="N999" s="262" t="s">
        <v>22</v>
      </c>
      <c r="O999" s="262" t="s">
        <v>35</v>
      </c>
      <c r="P999" s="262" t="s">
        <v>156</v>
      </c>
      <c r="Q999" s="262" t="s">
        <v>61</v>
      </c>
      <c r="R999" s="262" t="s">
        <v>468</v>
      </c>
      <c r="S999" s="267" t="s">
        <v>468</v>
      </c>
      <c r="T999" s="268"/>
      <c r="U999" s="269"/>
      <c r="V999" s="269">
        <v>0</v>
      </c>
      <c r="W999" s="278">
        <v>0</v>
      </c>
      <c r="X999" s="270"/>
      <c r="Y999" s="262" t="s">
        <v>25</v>
      </c>
      <c r="Z999" s="271" t="s">
        <v>25</v>
      </c>
      <c r="AA999" s="287"/>
      <c r="AB999" s="287"/>
      <c r="AC999" s="272">
        <f t="shared" si="33"/>
        <v>20000000</v>
      </c>
      <c r="AD999" s="272">
        <v>20000000</v>
      </c>
      <c r="AE999" s="272">
        <f t="shared" si="34"/>
        <v>0</v>
      </c>
      <c r="AF999" s="273"/>
      <c r="AG999" s="274"/>
      <c r="AH999" s="273"/>
      <c r="AI999" s="273"/>
      <c r="AJ999" s="274"/>
      <c r="AK999" s="273"/>
      <c r="AL999" s="275"/>
      <c r="AM999" s="290"/>
      <c r="AN999" s="275"/>
      <c r="AO999" s="276"/>
      <c r="AP999" s="275"/>
      <c r="AQ999" s="275"/>
      <c r="AR999" s="275"/>
      <c r="AS999" s="275"/>
      <c r="AT999" s="275"/>
      <c r="AU999" s="275"/>
      <c r="AV999" s="275"/>
      <c r="AW999" s="275">
        <v>10000000</v>
      </c>
      <c r="AX999" s="275"/>
      <c r="AY999" s="275">
        <v>10000000</v>
      </c>
      <c r="AZ999" s="275"/>
      <c r="BA999" s="275"/>
      <c r="BB999" s="275"/>
      <c r="BC999" s="275"/>
      <c r="BD999" s="275"/>
      <c r="BE999" s="275"/>
      <c r="BF999" s="275"/>
      <c r="BH999" s="277"/>
    </row>
    <row r="1000" spans="1:60" ht="16.5" hidden="1" customHeight="1" x14ac:dyDescent="0.3">
      <c r="A1000" s="260">
        <v>978</v>
      </c>
      <c r="B1000" s="261"/>
      <c r="C1000" s="261"/>
      <c r="D1000" s="262" t="s">
        <v>15</v>
      </c>
      <c r="E1000" s="262" t="s">
        <v>153</v>
      </c>
      <c r="F1000" s="263" t="s">
        <v>15</v>
      </c>
      <c r="G1000" s="264" t="s">
        <v>153</v>
      </c>
      <c r="H1000" s="281"/>
      <c r="I1000" s="265"/>
      <c r="J1000" s="266" t="s">
        <v>874</v>
      </c>
      <c r="K1000" s="262"/>
      <c r="L1000" s="262"/>
      <c r="M1000" s="262">
        <v>19211</v>
      </c>
      <c r="N1000" s="262" t="s">
        <v>22</v>
      </c>
      <c r="O1000" s="262" t="s">
        <v>35</v>
      </c>
      <c r="P1000" s="262" t="s">
        <v>156</v>
      </c>
      <c r="Q1000" s="262"/>
      <c r="R1000" s="262" t="s">
        <v>19</v>
      </c>
      <c r="S1000" s="267" t="s">
        <v>19</v>
      </c>
      <c r="T1000" s="268"/>
      <c r="U1000" s="269"/>
      <c r="V1000" s="269">
        <v>0</v>
      </c>
      <c r="W1000" s="278">
        <v>4500000</v>
      </c>
      <c r="X1000" s="270"/>
      <c r="Y1000" s="262" t="s">
        <v>27</v>
      </c>
      <c r="Z1000" s="271" t="s">
        <v>562</v>
      </c>
      <c r="AA1000" s="287"/>
      <c r="AB1000" s="287"/>
      <c r="AC1000" s="272">
        <f t="shared" si="33"/>
        <v>0</v>
      </c>
      <c r="AD1000" s="272">
        <v>0</v>
      </c>
      <c r="AE1000" s="272">
        <f t="shared" si="34"/>
        <v>0</v>
      </c>
      <c r="AF1000" s="273"/>
      <c r="AG1000" s="274"/>
      <c r="AH1000" s="273"/>
      <c r="AI1000" s="273"/>
      <c r="AJ1000" s="274"/>
      <c r="AK1000" s="273"/>
      <c r="AL1000" s="275"/>
      <c r="AM1000" s="290"/>
      <c r="AN1000" s="275"/>
      <c r="AO1000" s="276"/>
      <c r="AP1000" s="275"/>
      <c r="AQ1000" s="275"/>
      <c r="AR1000" s="275"/>
      <c r="AS1000" s="275"/>
      <c r="AT1000" s="275"/>
      <c r="AU1000" s="275"/>
      <c r="AV1000" s="275"/>
      <c r="AW1000" s="275"/>
      <c r="AX1000" s="275"/>
      <c r="AY1000" s="275"/>
      <c r="AZ1000" s="275"/>
      <c r="BA1000" s="275"/>
      <c r="BB1000" s="275"/>
      <c r="BC1000" s="275"/>
      <c r="BD1000" s="275"/>
      <c r="BE1000" s="275"/>
      <c r="BF1000" s="275"/>
      <c r="BH1000" s="277"/>
    </row>
    <row r="1001" spans="1:60" ht="16.5" hidden="1" customHeight="1" x14ac:dyDescent="0.3">
      <c r="A1001" s="260">
        <v>979</v>
      </c>
      <c r="B1001" s="261"/>
      <c r="C1001" s="261"/>
      <c r="D1001" s="262" t="s">
        <v>15</v>
      </c>
      <c r="E1001" s="262" t="s">
        <v>153</v>
      </c>
      <c r="F1001" s="263" t="s">
        <v>15</v>
      </c>
      <c r="G1001" s="264" t="s">
        <v>153</v>
      </c>
      <c r="H1001" s="281"/>
      <c r="I1001" s="265"/>
      <c r="J1001" s="266" t="s">
        <v>317</v>
      </c>
      <c r="K1001" s="262"/>
      <c r="L1001" s="262"/>
      <c r="M1001" s="262">
        <v>9613</v>
      </c>
      <c r="N1001" s="262" t="s">
        <v>22</v>
      </c>
      <c r="O1001" s="262" t="s">
        <v>56</v>
      </c>
      <c r="P1001" s="262"/>
      <c r="Q1001" s="262" t="s">
        <v>61</v>
      </c>
      <c r="R1001" s="262" t="s">
        <v>468</v>
      </c>
      <c r="S1001" s="267" t="s">
        <v>468</v>
      </c>
      <c r="T1001" s="268"/>
      <c r="U1001" s="269"/>
      <c r="V1001" s="269">
        <v>48807000</v>
      </c>
      <c r="W1001" s="278">
        <v>0</v>
      </c>
      <c r="X1001" s="270"/>
      <c r="Y1001" s="262" t="s">
        <v>562</v>
      </c>
      <c r="Z1001" s="271" t="s">
        <v>562</v>
      </c>
      <c r="AA1001" s="287"/>
      <c r="AB1001" s="287"/>
      <c r="AC1001" s="272">
        <f t="shared" si="33"/>
        <v>30000000</v>
      </c>
      <c r="AD1001" s="272">
        <v>30000000</v>
      </c>
      <c r="AE1001" s="272">
        <f t="shared" si="34"/>
        <v>0</v>
      </c>
      <c r="AF1001" s="273"/>
      <c r="AG1001" s="274"/>
      <c r="AH1001" s="273"/>
      <c r="AI1001" s="273"/>
      <c r="AJ1001" s="274"/>
      <c r="AK1001" s="273"/>
      <c r="AL1001" s="275"/>
      <c r="AM1001" s="290"/>
      <c r="AN1001" s="275"/>
      <c r="AO1001" s="276">
        <v>30000000</v>
      </c>
      <c r="AP1001" s="275"/>
      <c r="AQ1001" s="275"/>
      <c r="AR1001" s="275"/>
      <c r="AS1001" s="275"/>
      <c r="AT1001" s="275"/>
      <c r="AU1001" s="275"/>
      <c r="AV1001" s="275"/>
      <c r="AW1001" s="275"/>
      <c r="AX1001" s="275"/>
      <c r="AY1001" s="275"/>
      <c r="AZ1001" s="275"/>
      <c r="BA1001" s="275"/>
      <c r="BB1001" s="275"/>
      <c r="BC1001" s="275"/>
      <c r="BD1001" s="275"/>
      <c r="BE1001" s="275"/>
      <c r="BF1001" s="275"/>
      <c r="BH1001" s="277"/>
    </row>
    <row r="1002" spans="1:60" ht="16.5" hidden="1" customHeight="1" x14ac:dyDescent="0.3">
      <c r="A1002" s="260">
        <v>980</v>
      </c>
      <c r="B1002" s="261"/>
      <c r="C1002" s="261"/>
      <c r="D1002" s="262" t="s">
        <v>15</v>
      </c>
      <c r="E1002" s="262" t="s">
        <v>153</v>
      </c>
      <c r="F1002" s="263" t="s">
        <v>15</v>
      </c>
      <c r="G1002" s="264" t="s">
        <v>153</v>
      </c>
      <c r="H1002" s="281"/>
      <c r="I1002" s="265"/>
      <c r="J1002" s="266" t="s">
        <v>318</v>
      </c>
      <c r="K1002" s="262"/>
      <c r="L1002" s="262"/>
      <c r="M1002" s="262">
        <v>4710</v>
      </c>
      <c r="N1002" s="262" t="s">
        <v>22</v>
      </c>
      <c r="O1002" s="262" t="s">
        <v>56</v>
      </c>
      <c r="P1002" s="262" t="s">
        <v>57</v>
      </c>
      <c r="Q1002" s="262" t="s">
        <v>30</v>
      </c>
      <c r="R1002" s="262" t="s">
        <v>31</v>
      </c>
      <c r="S1002" s="267" t="s">
        <v>31</v>
      </c>
      <c r="T1002" s="268"/>
      <c r="U1002" s="269">
        <v>11491000</v>
      </c>
      <c r="V1002" s="269">
        <v>10727000</v>
      </c>
      <c r="W1002" s="278">
        <v>10398000</v>
      </c>
      <c r="X1002" s="270"/>
      <c r="Y1002" s="262" t="s">
        <v>27</v>
      </c>
      <c r="Z1002" s="271" t="s">
        <v>27</v>
      </c>
      <c r="AA1002" s="287"/>
      <c r="AB1002" s="287"/>
      <c r="AC1002" s="272">
        <f t="shared" si="33"/>
        <v>11000000</v>
      </c>
      <c r="AD1002" s="272">
        <v>11000000</v>
      </c>
      <c r="AE1002" s="272">
        <f t="shared" si="34"/>
        <v>0</v>
      </c>
      <c r="AF1002" s="273"/>
      <c r="AG1002" s="274"/>
      <c r="AH1002" s="273"/>
      <c r="AI1002" s="273"/>
      <c r="AJ1002" s="274"/>
      <c r="AK1002" s="273"/>
      <c r="AL1002" s="275"/>
      <c r="AM1002" s="290"/>
      <c r="AN1002" s="275"/>
      <c r="AO1002" s="276"/>
      <c r="AP1002" s="275"/>
      <c r="AQ1002" s="275"/>
      <c r="AR1002" s="275"/>
      <c r="AS1002" s="275"/>
      <c r="AT1002" s="275"/>
      <c r="AU1002" s="275">
        <v>5500000</v>
      </c>
      <c r="AV1002" s="275"/>
      <c r="AW1002" s="275"/>
      <c r="AX1002" s="275"/>
      <c r="AY1002" s="275"/>
      <c r="AZ1002" s="275"/>
      <c r="BA1002" s="275"/>
      <c r="BB1002" s="275"/>
      <c r="BC1002" s="275"/>
      <c r="BD1002" s="275"/>
      <c r="BE1002" s="275">
        <v>5500000</v>
      </c>
      <c r="BF1002" s="275"/>
      <c r="BH1002" s="277"/>
    </row>
    <row r="1003" spans="1:60" ht="16.5" hidden="1" customHeight="1" x14ac:dyDescent="0.3">
      <c r="A1003" s="260">
        <v>981</v>
      </c>
      <c r="B1003" s="261"/>
      <c r="C1003" s="261"/>
      <c r="D1003" s="262" t="s">
        <v>15</v>
      </c>
      <c r="E1003" s="262" t="s">
        <v>153</v>
      </c>
      <c r="F1003" s="263" t="s">
        <v>15</v>
      </c>
      <c r="G1003" s="264" t="s">
        <v>153</v>
      </c>
      <c r="H1003" s="281"/>
      <c r="I1003" s="265"/>
      <c r="J1003" s="266" t="s">
        <v>875</v>
      </c>
      <c r="K1003" s="262"/>
      <c r="L1003" s="262"/>
      <c r="M1003" s="262">
        <v>4710</v>
      </c>
      <c r="N1003" s="262" t="s">
        <v>22</v>
      </c>
      <c r="O1003" s="262" t="s">
        <v>56</v>
      </c>
      <c r="P1003" s="262" t="s">
        <v>57</v>
      </c>
      <c r="Q1003" s="262" t="s">
        <v>30</v>
      </c>
      <c r="R1003" s="262" t="s">
        <v>31</v>
      </c>
      <c r="S1003" s="267" t="s">
        <v>31</v>
      </c>
      <c r="T1003" s="268"/>
      <c r="U1003" s="269"/>
      <c r="V1003" s="269">
        <v>0</v>
      </c>
      <c r="W1003" s="278">
        <v>80000</v>
      </c>
      <c r="X1003" s="270"/>
      <c r="Y1003" s="262" t="s">
        <v>27</v>
      </c>
      <c r="Z1003" s="271" t="s">
        <v>562</v>
      </c>
      <c r="AA1003" s="287"/>
      <c r="AB1003" s="287"/>
      <c r="AC1003" s="272">
        <f t="shared" si="33"/>
        <v>0</v>
      </c>
      <c r="AD1003" s="272">
        <v>0</v>
      </c>
      <c r="AE1003" s="272">
        <f t="shared" si="34"/>
        <v>0</v>
      </c>
      <c r="AF1003" s="273"/>
      <c r="AG1003" s="274"/>
      <c r="AH1003" s="273"/>
      <c r="AI1003" s="273"/>
      <c r="AJ1003" s="274"/>
      <c r="AK1003" s="273"/>
      <c r="AL1003" s="275"/>
      <c r="AM1003" s="290"/>
      <c r="AN1003" s="275"/>
      <c r="AO1003" s="276"/>
      <c r="AP1003" s="275"/>
      <c r="AQ1003" s="275"/>
      <c r="AR1003" s="275"/>
      <c r="AS1003" s="275"/>
      <c r="AT1003" s="275"/>
      <c r="AU1003" s="275"/>
      <c r="AV1003" s="275"/>
      <c r="AW1003" s="275"/>
      <c r="AX1003" s="275"/>
      <c r="AY1003" s="275"/>
      <c r="AZ1003" s="275"/>
      <c r="BA1003" s="275"/>
      <c r="BB1003" s="275"/>
      <c r="BC1003" s="275"/>
      <c r="BD1003" s="275"/>
      <c r="BE1003" s="275"/>
      <c r="BF1003" s="275"/>
      <c r="BH1003" s="277"/>
    </row>
    <row r="1004" spans="1:60" ht="16.5" hidden="1" customHeight="1" x14ac:dyDescent="0.3">
      <c r="A1004" s="260">
        <v>982</v>
      </c>
      <c r="B1004" s="261"/>
      <c r="C1004" s="261"/>
      <c r="D1004" s="262" t="s">
        <v>15</v>
      </c>
      <c r="E1004" s="262" t="s">
        <v>153</v>
      </c>
      <c r="F1004" s="263" t="s">
        <v>15</v>
      </c>
      <c r="G1004" s="264" t="s">
        <v>153</v>
      </c>
      <c r="H1004" s="281"/>
      <c r="I1004" s="265"/>
      <c r="J1004" s="266" t="s">
        <v>876</v>
      </c>
      <c r="K1004" s="262"/>
      <c r="L1004" s="262"/>
      <c r="M1004" s="262">
        <v>3714</v>
      </c>
      <c r="N1004" s="262" t="s">
        <v>22</v>
      </c>
      <c r="O1004" s="262" t="s">
        <v>35</v>
      </c>
      <c r="P1004" s="262" t="s">
        <v>124</v>
      </c>
      <c r="Q1004" s="262" t="s">
        <v>18</v>
      </c>
      <c r="R1004" s="262" t="s">
        <v>19</v>
      </c>
      <c r="S1004" s="267" t="s">
        <v>19</v>
      </c>
      <c r="T1004" s="268"/>
      <c r="U1004" s="269"/>
      <c r="V1004" s="269">
        <v>0</v>
      </c>
      <c r="W1004" s="278">
        <v>0</v>
      </c>
      <c r="X1004" s="270"/>
      <c r="Y1004" s="262" t="s">
        <v>25</v>
      </c>
      <c r="Z1004" s="271" t="s">
        <v>562</v>
      </c>
      <c r="AA1004" s="287"/>
      <c r="AB1004" s="287"/>
      <c r="AC1004" s="272">
        <f t="shared" si="33"/>
        <v>20000000</v>
      </c>
      <c r="AD1004" s="272">
        <v>20000000</v>
      </c>
      <c r="AE1004" s="272">
        <f t="shared" si="34"/>
        <v>0</v>
      </c>
      <c r="AF1004" s="273"/>
      <c r="AG1004" s="274"/>
      <c r="AH1004" s="273"/>
      <c r="AI1004" s="273"/>
      <c r="AJ1004" s="274"/>
      <c r="AK1004" s="273"/>
      <c r="AL1004" s="275"/>
      <c r="AM1004" s="290"/>
      <c r="AN1004" s="275"/>
      <c r="AO1004" s="276">
        <v>20000000</v>
      </c>
      <c r="AP1004" s="275"/>
      <c r="AQ1004" s="275"/>
      <c r="AR1004" s="275"/>
      <c r="AS1004" s="275"/>
      <c r="AT1004" s="275"/>
      <c r="AU1004" s="275"/>
      <c r="AV1004" s="275"/>
      <c r="AW1004" s="275"/>
      <c r="AX1004" s="275"/>
      <c r="AY1004" s="275"/>
      <c r="AZ1004" s="275"/>
      <c r="BA1004" s="275"/>
      <c r="BB1004" s="275"/>
      <c r="BC1004" s="275"/>
      <c r="BD1004" s="275"/>
      <c r="BE1004" s="275"/>
      <c r="BF1004" s="275"/>
      <c r="BH1004" s="277"/>
    </row>
    <row r="1005" spans="1:60" ht="16.5" hidden="1" customHeight="1" x14ac:dyDescent="0.3">
      <c r="A1005" s="260">
        <v>983</v>
      </c>
      <c r="B1005" s="261"/>
      <c r="C1005" s="261"/>
      <c r="D1005" s="262" t="s">
        <v>15</v>
      </c>
      <c r="E1005" s="262" t="s">
        <v>153</v>
      </c>
      <c r="F1005" s="263" t="s">
        <v>15</v>
      </c>
      <c r="G1005" s="264" t="s">
        <v>153</v>
      </c>
      <c r="H1005" s="281"/>
      <c r="I1005" s="265"/>
      <c r="J1005" s="266" t="s">
        <v>876</v>
      </c>
      <c r="K1005" s="262"/>
      <c r="L1005" s="262"/>
      <c r="M1005" s="262">
        <v>3714</v>
      </c>
      <c r="N1005" s="262" t="s">
        <v>22</v>
      </c>
      <c r="O1005" s="262" t="s">
        <v>56</v>
      </c>
      <c r="P1005" s="262"/>
      <c r="Q1005" s="262" t="s">
        <v>26</v>
      </c>
      <c r="R1005" s="262" t="s">
        <v>478</v>
      </c>
      <c r="S1005" s="267" t="s">
        <v>478</v>
      </c>
      <c r="T1005" s="268"/>
      <c r="U1005" s="269"/>
      <c r="V1005" s="269">
        <v>18480000</v>
      </c>
      <c r="W1005" s="278">
        <v>0</v>
      </c>
      <c r="X1005" s="270"/>
      <c r="Y1005" s="262" t="s">
        <v>20</v>
      </c>
      <c r="Z1005" s="271" t="s">
        <v>25</v>
      </c>
      <c r="AA1005" s="287"/>
      <c r="AB1005" s="287"/>
      <c r="AC1005" s="272">
        <f t="shared" si="33"/>
        <v>20000000</v>
      </c>
      <c r="AD1005" s="272">
        <v>20000000</v>
      </c>
      <c r="AE1005" s="272">
        <f t="shared" si="34"/>
        <v>0</v>
      </c>
      <c r="AF1005" s="273"/>
      <c r="AG1005" s="274"/>
      <c r="AH1005" s="273"/>
      <c r="AI1005" s="273"/>
      <c r="AJ1005" s="274"/>
      <c r="AK1005" s="273"/>
      <c r="AL1005" s="275"/>
      <c r="AM1005" s="290"/>
      <c r="AN1005" s="275"/>
      <c r="AO1005" s="276"/>
      <c r="AP1005" s="275"/>
      <c r="AQ1005" s="275">
        <v>20000000</v>
      </c>
      <c r="AR1005" s="275"/>
      <c r="AS1005" s="275"/>
      <c r="AT1005" s="275"/>
      <c r="AU1005" s="275"/>
      <c r="AV1005" s="275"/>
      <c r="AW1005" s="275"/>
      <c r="AX1005" s="275"/>
      <c r="AY1005" s="275"/>
      <c r="AZ1005" s="275"/>
      <c r="BA1005" s="275"/>
      <c r="BB1005" s="275"/>
      <c r="BC1005" s="275"/>
      <c r="BD1005" s="275"/>
      <c r="BE1005" s="275"/>
      <c r="BF1005" s="275"/>
      <c r="BH1005" s="277"/>
    </row>
    <row r="1006" spans="1:60" ht="16.5" hidden="1" customHeight="1" x14ac:dyDescent="0.3">
      <c r="A1006" s="260">
        <v>984</v>
      </c>
      <c r="B1006" s="261"/>
      <c r="C1006" s="261"/>
      <c r="D1006" s="262" t="s">
        <v>15</v>
      </c>
      <c r="E1006" s="262" t="s">
        <v>153</v>
      </c>
      <c r="F1006" s="263" t="s">
        <v>15</v>
      </c>
      <c r="G1006" s="264" t="s">
        <v>153</v>
      </c>
      <c r="H1006" s="281"/>
      <c r="I1006" s="265"/>
      <c r="J1006" s="266" t="s">
        <v>877</v>
      </c>
      <c r="K1006" s="262"/>
      <c r="L1006" s="262"/>
      <c r="M1006" s="262">
        <v>41913</v>
      </c>
      <c r="N1006" s="262" t="s">
        <v>22</v>
      </c>
      <c r="O1006" s="262" t="s">
        <v>212</v>
      </c>
      <c r="P1006" s="262" t="s">
        <v>57</v>
      </c>
      <c r="Q1006" s="262" t="s">
        <v>63</v>
      </c>
      <c r="R1006" s="262" t="s">
        <v>28</v>
      </c>
      <c r="S1006" s="267" t="s">
        <v>28</v>
      </c>
      <c r="T1006" s="268" t="s">
        <v>951</v>
      </c>
      <c r="U1006" s="269">
        <v>98453926</v>
      </c>
      <c r="V1006" s="269">
        <v>80051200</v>
      </c>
      <c r="W1006" s="278">
        <v>51959500</v>
      </c>
      <c r="X1006" s="270"/>
      <c r="Y1006" s="262" t="s">
        <v>27</v>
      </c>
      <c r="Z1006" s="271" t="s">
        <v>27</v>
      </c>
      <c r="AA1006" s="287"/>
      <c r="AB1006" s="287"/>
      <c r="AC1006" s="272">
        <f t="shared" si="33"/>
        <v>63377160</v>
      </c>
      <c r="AD1006" s="272">
        <v>63377160</v>
      </c>
      <c r="AE1006" s="272">
        <f t="shared" si="34"/>
        <v>0</v>
      </c>
      <c r="AF1006" s="273">
        <v>3000000</v>
      </c>
      <c r="AG1006" s="274">
        <v>9717000</v>
      </c>
      <c r="AH1006" s="273" t="s">
        <v>973</v>
      </c>
      <c r="AI1006" s="273">
        <v>3000000</v>
      </c>
      <c r="AJ1006" s="274">
        <v>1947160</v>
      </c>
      <c r="AK1006" s="273"/>
      <c r="AL1006" s="275">
        <v>713000</v>
      </c>
      <c r="AM1006" s="290">
        <v>713000</v>
      </c>
      <c r="AN1006" s="275"/>
      <c r="AO1006" s="276">
        <v>15000000</v>
      </c>
      <c r="AP1006" s="275"/>
      <c r="AQ1006" s="275">
        <v>3000000</v>
      </c>
      <c r="AR1006" s="275"/>
      <c r="AS1006" s="275">
        <v>3000000</v>
      </c>
      <c r="AT1006" s="275"/>
      <c r="AU1006" s="275">
        <v>3000000</v>
      </c>
      <c r="AV1006" s="275"/>
      <c r="AW1006" s="275">
        <v>3000000</v>
      </c>
      <c r="AX1006" s="275"/>
      <c r="AY1006" s="275">
        <v>15000000</v>
      </c>
      <c r="AZ1006" s="275"/>
      <c r="BA1006" s="275">
        <v>3000000</v>
      </c>
      <c r="BB1006" s="275"/>
      <c r="BC1006" s="275">
        <v>3000000</v>
      </c>
      <c r="BD1006" s="275"/>
      <c r="BE1006" s="275">
        <v>3000000</v>
      </c>
      <c r="BF1006" s="275"/>
      <c r="BH1006" s="277"/>
    </row>
    <row r="1007" spans="1:60" ht="16.5" hidden="1" customHeight="1" x14ac:dyDescent="0.3">
      <c r="A1007" s="260">
        <v>985</v>
      </c>
      <c r="B1007" s="261"/>
      <c r="C1007" s="261"/>
      <c r="D1007" s="262" t="s">
        <v>15</v>
      </c>
      <c r="E1007" s="262" t="s">
        <v>153</v>
      </c>
      <c r="F1007" s="263" t="s">
        <v>15</v>
      </c>
      <c r="G1007" s="264" t="s">
        <v>153</v>
      </c>
      <c r="H1007" s="281"/>
      <c r="I1007" s="265"/>
      <c r="J1007" s="266" t="s">
        <v>877</v>
      </c>
      <c r="K1007" s="262"/>
      <c r="L1007" s="262"/>
      <c r="M1007" s="262">
        <v>41913</v>
      </c>
      <c r="N1007" s="262" t="s">
        <v>22</v>
      </c>
      <c r="O1007" s="262" t="s">
        <v>56</v>
      </c>
      <c r="P1007" s="262"/>
      <c r="Q1007" s="262" t="s">
        <v>26</v>
      </c>
      <c r="R1007" s="262" t="s">
        <v>468</v>
      </c>
      <c r="S1007" s="267" t="s">
        <v>468</v>
      </c>
      <c r="T1007" s="268"/>
      <c r="U1007" s="269"/>
      <c r="V1007" s="269">
        <v>0</v>
      </c>
      <c r="W1007" s="278">
        <v>0</v>
      </c>
      <c r="X1007" s="270"/>
      <c r="Y1007" s="262" t="s">
        <v>20</v>
      </c>
      <c r="Z1007" s="271" t="s">
        <v>562</v>
      </c>
      <c r="AA1007" s="287"/>
      <c r="AB1007" s="287"/>
      <c r="AC1007" s="272">
        <f t="shared" si="33"/>
        <v>0</v>
      </c>
      <c r="AD1007" s="272">
        <v>0</v>
      </c>
      <c r="AE1007" s="272">
        <f t="shared" si="34"/>
        <v>0</v>
      </c>
      <c r="AF1007" s="273"/>
      <c r="AG1007" s="274"/>
      <c r="AH1007" s="273"/>
      <c r="AI1007" s="273"/>
      <c r="AJ1007" s="274"/>
      <c r="AK1007" s="273"/>
      <c r="AL1007" s="275"/>
      <c r="AM1007" s="290"/>
      <c r="AN1007" s="275"/>
      <c r="AO1007" s="276"/>
      <c r="AP1007" s="275"/>
      <c r="AQ1007" s="275"/>
      <c r="AR1007" s="275"/>
      <c r="AS1007" s="275"/>
      <c r="AT1007" s="275"/>
      <c r="AU1007" s="275"/>
      <c r="AV1007" s="275"/>
      <c r="AW1007" s="275"/>
      <c r="AX1007" s="275"/>
      <c r="AY1007" s="275"/>
      <c r="AZ1007" s="275"/>
      <c r="BA1007" s="275"/>
      <c r="BB1007" s="275"/>
      <c r="BC1007" s="275"/>
      <c r="BD1007" s="275"/>
      <c r="BE1007" s="275"/>
      <c r="BF1007" s="275"/>
      <c r="BH1007" s="277"/>
    </row>
    <row r="1008" spans="1:60" ht="16.5" hidden="1" customHeight="1" x14ac:dyDescent="0.3">
      <c r="A1008" s="260">
        <v>986</v>
      </c>
      <c r="B1008" s="261"/>
      <c r="C1008" s="261"/>
      <c r="D1008" s="262" t="s">
        <v>15</v>
      </c>
      <c r="E1008" s="262" t="s">
        <v>153</v>
      </c>
      <c r="F1008" s="263" t="s">
        <v>15</v>
      </c>
      <c r="G1008" s="264" t="s">
        <v>153</v>
      </c>
      <c r="H1008" s="281"/>
      <c r="I1008" s="265"/>
      <c r="J1008" s="266" t="s">
        <v>878</v>
      </c>
      <c r="K1008" s="262"/>
      <c r="L1008" s="262"/>
      <c r="M1008" s="262">
        <v>1246</v>
      </c>
      <c r="N1008" s="262" t="s">
        <v>22</v>
      </c>
      <c r="O1008" s="262" t="s">
        <v>56</v>
      </c>
      <c r="P1008" s="262"/>
      <c r="Q1008" s="262" t="s">
        <v>46</v>
      </c>
      <c r="R1008" s="262" t="s">
        <v>47</v>
      </c>
      <c r="S1008" s="267" t="s">
        <v>47</v>
      </c>
      <c r="T1008" s="268"/>
      <c r="U1008" s="269">
        <v>27000000</v>
      </c>
      <c r="V1008" s="269">
        <v>0</v>
      </c>
      <c r="W1008" s="278">
        <v>0</v>
      </c>
      <c r="X1008" s="270"/>
      <c r="Y1008" s="262" t="s">
        <v>21</v>
      </c>
      <c r="Z1008" s="271" t="s">
        <v>562</v>
      </c>
      <c r="AA1008" s="287"/>
      <c r="AB1008" s="287"/>
      <c r="AC1008" s="272">
        <f t="shared" si="33"/>
        <v>0</v>
      </c>
      <c r="AD1008" s="272">
        <v>0</v>
      </c>
      <c r="AE1008" s="272">
        <f t="shared" si="34"/>
        <v>0</v>
      </c>
      <c r="AF1008" s="273"/>
      <c r="AG1008" s="274"/>
      <c r="AH1008" s="273"/>
      <c r="AI1008" s="273"/>
      <c r="AJ1008" s="274"/>
      <c r="AK1008" s="273"/>
      <c r="AL1008" s="275"/>
      <c r="AM1008" s="290"/>
      <c r="AN1008" s="275"/>
      <c r="AO1008" s="276"/>
      <c r="AP1008" s="275"/>
      <c r="AQ1008" s="275"/>
      <c r="AR1008" s="275"/>
      <c r="AS1008" s="275"/>
      <c r="AT1008" s="275"/>
      <c r="AU1008" s="275"/>
      <c r="AV1008" s="275"/>
      <c r="AW1008" s="275"/>
      <c r="AX1008" s="275"/>
      <c r="AY1008" s="275"/>
      <c r="AZ1008" s="275"/>
      <c r="BA1008" s="275"/>
      <c r="BB1008" s="275"/>
      <c r="BC1008" s="275"/>
      <c r="BD1008" s="275"/>
      <c r="BE1008" s="275"/>
      <c r="BF1008" s="275"/>
      <c r="BH1008" s="277"/>
    </row>
    <row r="1009" spans="1:60" ht="16.5" hidden="1" customHeight="1" x14ac:dyDescent="0.3">
      <c r="A1009" s="260">
        <v>987</v>
      </c>
      <c r="B1009" s="261"/>
      <c r="C1009" s="261"/>
      <c r="D1009" s="262" t="s">
        <v>15</v>
      </c>
      <c r="E1009" s="262" t="s">
        <v>153</v>
      </c>
      <c r="F1009" s="263" t="s">
        <v>15</v>
      </c>
      <c r="G1009" s="264" t="s">
        <v>153</v>
      </c>
      <c r="H1009" s="281"/>
      <c r="I1009" s="265"/>
      <c r="J1009" s="266" t="s">
        <v>878</v>
      </c>
      <c r="K1009" s="262"/>
      <c r="L1009" s="262"/>
      <c r="M1009" s="262">
        <v>1246</v>
      </c>
      <c r="N1009" s="262" t="s">
        <v>22</v>
      </c>
      <c r="O1009" s="262" t="s">
        <v>56</v>
      </c>
      <c r="P1009" s="262" t="s">
        <v>156</v>
      </c>
      <c r="Q1009" s="262" t="s">
        <v>61</v>
      </c>
      <c r="R1009" s="262" t="s">
        <v>468</v>
      </c>
      <c r="S1009" s="267" t="s">
        <v>468</v>
      </c>
      <c r="T1009" s="268"/>
      <c r="U1009" s="269"/>
      <c r="V1009" s="269">
        <v>2000000</v>
      </c>
      <c r="W1009" s="278">
        <v>0</v>
      </c>
      <c r="X1009" s="270"/>
      <c r="Y1009" s="262" t="s">
        <v>25</v>
      </c>
      <c r="Z1009" s="271" t="s">
        <v>25</v>
      </c>
      <c r="AA1009" s="287"/>
      <c r="AB1009" s="287"/>
      <c r="AC1009" s="272">
        <f t="shared" si="33"/>
        <v>20000000</v>
      </c>
      <c r="AD1009" s="272">
        <v>20000000</v>
      </c>
      <c r="AE1009" s="272">
        <f t="shared" si="34"/>
        <v>0</v>
      </c>
      <c r="AF1009" s="273"/>
      <c r="AG1009" s="274"/>
      <c r="AH1009" s="273"/>
      <c r="AI1009" s="273"/>
      <c r="AJ1009" s="274"/>
      <c r="AK1009" s="273"/>
      <c r="AL1009" s="275"/>
      <c r="AM1009" s="290"/>
      <c r="AN1009" s="275"/>
      <c r="AO1009" s="276"/>
      <c r="AP1009" s="275"/>
      <c r="AQ1009" s="275">
        <v>20000000</v>
      </c>
      <c r="AR1009" s="275"/>
      <c r="AS1009" s="275"/>
      <c r="AT1009" s="275"/>
      <c r="AU1009" s="275"/>
      <c r="AV1009" s="275"/>
      <c r="AW1009" s="275"/>
      <c r="AX1009" s="275"/>
      <c r="AY1009" s="275"/>
      <c r="AZ1009" s="275"/>
      <c r="BA1009" s="275"/>
      <c r="BB1009" s="275"/>
      <c r="BC1009" s="275"/>
      <c r="BD1009" s="275"/>
      <c r="BE1009" s="275"/>
      <c r="BF1009" s="275"/>
      <c r="BH1009" s="277"/>
    </row>
    <row r="1010" spans="1:60" ht="16.5" hidden="1" customHeight="1" x14ac:dyDescent="0.3">
      <c r="A1010" s="260">
        <v>988</v>
      </c>
      <c r="B1010" s="261"/>
      <c r="C1010" s="261"/>
      <c r="D1010" s="262" t="s">
        <v>15</v>
      </c>
      <c r="E1010" s="262" t="s">
        <v>153</v>
      </c>
      <c r="F1010" s="263" t="s">
        <v>15</v>
      </c>
      <c r="G1010" s="264" t="s">
        <v>153</v>
      </c>
      <c r="H1010" s="281"/>
      <c r="I1010" s="265"/>
      <c r="J1010" s="266" t="s">
        <v>878</v>
      </c>
      <c r="K1010" s="262"/>
      <c r="L1010" s="262"/>
      <c r="M1010" s="262">
        <v>1246</v>
      </c>
      <c r="N1010" s="262" t="s">
        <v>22</v>
      </c>
      <c r="O1010" s="262" t="s">
        <v>56</v>
      </c>
      <c r="P1010" s="262" t="s">
        <v>57</v>
      </c>
      <c r="Q1010" s="262" t="s">
        <v>58</v>
      </c>
      <c r="R1010" s="262" t="s">
        <v>470</v>
      </c>
      <c r="S1010" s="267" t="s">
        <v>822</v>
      </c>
      <c r="T1010" s="268"/>
      <c r="U1010" s="269"/>
      <c r="V1010" s="269">
        <v>20699000</v>
      </c>
      <c r="W1010" s="278">
        <v>18720000</v>
      </c>
      <c r="X1010" s="270"/>
      <c r="Y1010" s="262" t="s">
        <v>27</v>
      </c>
      <c r="Z1010" s="271" t="s">
        <v>27</v>
      </c>
      <c r="AA1010" s="287"/>
      <c r="AB1010" s="287"/>
      <c r="AC1010" s="272">
        <f t="shared" si="33"/>
        <v>15120000</v>
      </c>
      <c r="AD1010" s="272">
        <v>15120000</v>
      </c>
      <c r="AE1010" s="272">
        <f t="shared" si="34"/>
        <v>0</v>
      </c>
      <c r="AF1010" s="273"/>
      <c r="AG1010" s="274">
        <v>15120000</v>
      </c>
      <c r="AH1010" s="273"/>
      <c r="AI1010" s="273">
        <v>12000000</v>
      </c>
      <c r="AJ1010" s="274"/>
      <c r="AK1010" s="273" t="s">
        <v>879</v>
      </c>
      <c r="AL1010" s="275"/>
      <c r="AM1010" s="290"/>
      <c r="AN1010" s="275"/>
      <c r="AO1010" s="276"/>
      <c r="AP1010" s="275"/>
      <c r="AQ1010" s="275"/>
      <c r="AR1010" s="275"/>
      <c r="AS1010" s="275"/>
      <c r="AT1010" s="275"/>
      <c r="AU1010" s="275"/>
      <c r="AV1010" s="275"/>
      <c r="AW1010" s="275"/>
      <c r="AX1010" s="275"/>
      <c r="AY1010" s="275"/>
      <c r="AZ1010" s="275"/>
      <c r="BA1010" s="275"/>
      <c r="BB1010" s="275"/>
      <c r="BC1010" s="275"/>
      <c r="BD1010" s="275"/>
      <c r="BE1010" s="275"/>
      <c r="BF1010" s="275"/>
      <c r="BH1010" s="277"/>
    </row>
    <row r="1011" spans="1:60" ht="16.5" hidden="1" customHeight="1" x14ac:dyDescent="0.3">
      <c r="A1011" s="260">
        <v>989</v>
      </c>
      <c r="B1011" s="261"/>
      <c r="C1011" s="261"/>
      <c r="D1011" s="262" t="s">
        <v>15</v>
      </c>
      <c r="E1011" s="262" t="s">
        <v>153</v>
      </c>
      <c r="F1011" s="263" t="s">
        <v>15</v>
      </c>
      <c r="G1011" s="264" t="s">
        <v>153</v>
      </c>
      <c r="H1011" s="281"/>
      <c r="I1011" s="265"/>
      <c r="J1011" s="266" t="s">
        <v>880</v>
      </c>
      <c r="K1011" s="262"/>
      <c r="L1011" s="262"/>
      <c r="M1011" s="262">
        <v>1246</v>
      </c>
      <c r="N1011" s="262" t="s">
        <v>22</v>
      </c>
      <c r="O1011" s="262" t="s">
        <v>56</v>
      </c>
      <c r="P1011" s="262"/>
      <c r="Q1011" s="262" t="s">
        <v>26</v>
      </c>
      <c r="R1011" s="262" t="s">
        <v>475</v>
      </c>
      <c r="S1011" s="267" t="s">
        <v>830</v>
      </c>
      <c r="T1011" s="268"/>
      <c r="U1011" s="269"/>
      <c r="V1011" s="269">
        <v>6000000</v>
      </c>
      <c r="W1011" s="278">
        <v>1000000</v>
      </c>
      <c r="X1011" s="270"/>
      <c r="Y1011" s="262" t="s">
        <v>25</v>
      </c>
      <c r="Z1011" s="271" t="s">
        <v>25</v>
      </c>
      <c r="AA1011" s="287"/>
      <c r="AB1011" s="287"/>
      <c r="AC1011" s="272">
        <f t="shared" si="33"/>
        <v>5000000</v>
      </c>
      <c r="AD1011" s="272">
        <v>5000000</v>
      </c>
      <c r="AE1011" s="272">
        <f t="shared" si="34"/>
        <v>0</v>
      </c>
      <c r="AF1011" s="273"/>
      <c r="AG1011" s="274"/>
      <c r="AH1011" s="273"/>
      <c r="AI1011" s="273"/>
      <c r="AJ1011" s="274"/>
      <c r="AK1011" s="273"/>
      <c r="AL1011" s="275"/>
      <c r="AM1011" s="290"/>
      <c r="AN1011" s="275"/>
      <c r="AO1011" s="276"/>
      <c r="AP1011" s="275"/>
      <c r="AQ1011" s="275"/>
      <c r="AR1011" s="275"/>
      <c r="AS1011" s="275"/>
      <c r="AT1011" s="275"/>
      <c r="AU1011" s="275"/>
      <c r="AV1011" s="275"/>
      <c r="AW1011" s="275"/>
      <c r="AX1011" s="275"/>
      <c r="AY1011" s="275">
        <v>5000000</v>
      </c>
      <c r="AZ1011" s="275"/>
      <c r="BA1011" s="275"/>
      <c r="BB1011" s="275"/>
      <c r="BC1011" s="275"/>
      <c r="BD1011" s="275"/>
      <c r="BE1011" s="275"/>
      <c r="BF1011" s="275"/>
      <c r="BH1011" s="277"/>
    </row>
    <row r="1012" spans="1:60" ht="16.5" hidden="1" customHeight="1" x14ac:dyDescent="0.3">
      <c r="A1012" s="260">
        <v>990</v>
      </c>
      <c r="B1012" s="261"/>
      <c r="C1012" s="261"/>
      <c r="D1012" s="262" t="s">
        <v>15</v>
      </c>
      <c r="E1012" s="262" t="s">
        <v>153</v>
      </c>
      <c r="F1012" s="263" t="s">
        <v>15</v>
      </c>
      <c r="G1012" s="264" t="s">
        <v>153</v>
      </c>
      <c r="H1012" s="281"/>
      <c r="I1012" s="265"/>
      <c r="J1012" s="266" t="s">
        <v>579</v>
      </c>
      <c r="K1012" s="262"/>
      <c r="L1012" s="262"/>
      <c r="M1012" s="262">
        <v>16894</v>
      </c>
      <c r="N1012" s="262" t="s">
        <v>53</v>
      </c>
      <c r="O1012" s="262" t="s">
        <v>212</v>
      </c>
      <c r="P1012" s="262" t="s">
        <v>57</v>
      </c>
      <c r="Q1012" s="262" t="s">
        <v>63</v>
      </c>
      <c r="R1012" s="262" t="s">
        <v>28</v>
      </c>
      <c r="S1012" s="267" t="s">
        <v>28</v>
      </c>
      <c r="T1012" s="268" t="s">
        <v>951</v>
      </c>
      <c r="U1012" s="269">
        <v>76615580</v>
      </c>
      <c r="V1012" s="269">
        <v>80917800</v>
      </c>
      <c r="W1012" s="278">
        <v>80922300</v>
      </c>
      <c r="X1012" s="270"/>
      <c r="Y1012" s="262" t="s">
        <v>27</v>
      </c>
      <c r="Z1012" s="271" t="s">
        <v>27</v>
      </c>
      <c r="AA1012" s="287"/>
      <c r="AB1012" s="287"/>
      <c r="AC1012" s="272">
        <f t="shared" si="33"/>
        <v>79404500</v>
      </c>
      <c r="AD1012" s="272">
        <v>79404500</v>
      </c>
      <c r="AE1012" s="272">
        <f t="shared" si="34"/>
        <v>0</v>
      </c>
      <c r="AF1012" s="273">
        <v>6500000</v>
      </c>
      <c r="AG1012" s="274">
        <v>6652500</v>
      </c>
      <c r="AH1012" s="273"/>
      <c r="AI1012" s="273">
        <v>6500000</v>
      </c>
      <c r="AJ1012" s="274">
        <v>7202000</v>
      </c>
      <c r="AK1012" s="273"/>
      <c r="AL1012" s="275">
        <v>7050000</v>
      </c>
      <c r="AM1012" s="290">
        <v>7050000</v>
      </c>
      <c r="AN1012" s="275"/>
      <c r="AO1012" s="276">
        <v>6500000</v>
      </c>
      <c r="AP1012" s="275"/>
      <c r="AQ1012" s="275">
        <v>6500000</v>
      </c>
      <c r="AR1012" s="275"/>
      <c r="AS1012" s="275">
        <v>6500000</v>
      </c>
      <c r="AT1012" s="275"/>
      <c r="AU1012" s="275">
        <v>6500000</v>
      </c>
      <c r="AV1012" s="275"/>
      <c r="AW1012" s="275">
        <v>6500000</v>
      </c>
      <c r="AX1012" s="275"/>
      <c r="AY1012" s="275">
        <v>6500000</v>
      </c>
      <c r="AZ1012" s="275"/>
      <c r="BA1012" s="275">
        <v>6500000</v>
      </c>
      <c r="BB1012" s="275"/>
      <c r="BC1012" s="275">
        <v>6500000</v>
      </c>
      <c r="BD1012" s="275"/>
      <c r="BE1012" s="275">
        <v>6500000</v>
      </c>
      <c r="BF1012" s="275"/>
      <c r="BH1012" s="277"/>
    </row>
    <row r="1013" spans="1:60" ht="16.5" hidden="1" customHeight="1" x14ac:dyDescent="0.3">
      <c r="A1013" s="260">
        <v>991</v>
      </c>
      <c r="B1013" s="261"/>
      <c r="C1013" s="261"/>
      <c r="D1013" s="262" t="s">
        <v>15</v>
      </c>
      <c r="E1013" s="262" t="s">
        <v>153</v>
      </c>
      <c r="F1013" s="263" t="s">
        <v>15</v>
      </c>
      <c r="G1013" s="264" t="s">
        <v>153</v>
      </c>
      <c r="H1013" s="281"/>
      <c r="I1013" s="265"/>
      <c r="J1013" s="266" t="s">
        <v>579</v>
      </c>
      <c r="K1013" s="262"/>
      <c r="L1013" s="262"/>
      <c r="M1013" s="262">
        <v>16894</v>
      </c>
      <c r="N1013" s="262" t="s">
        <v>53</v>
      </c>
      <c r="O1013" s="262" t="s">
        <v>35</v>
      </c>
      <c r="P1013" s="262" t="s">
        <v>57</v>
      </c>
      <c r="Q1013" s="262"/>
      <c r="R1013" s="262" t="s">
        <v>468</v>
      </c>
      <c r="S1013" s="267" t="s">
        <v>468</v>
      </c>
      <c r="T1013" s="268"/>
      <c r="U1013" s="269"/>
      <c r="V1013" s="269">
        <v>0</v>
      </c>
      <c r="W1013" s="278">
        <v>0</v>
      </c>
      <c r="X1013" s="270"/>
      <c r="Y1013" s="262" t="s">
        <v>25</v>
      </c>
      <c r="Z1013" s="271" t="s">
        <v>25</v>
      </c>
      <c r="AA1013" s="287"/>
      <c r="AB1013" s="287"/>
      <c r="AC1013" s="272">
        <f t="shared" si="33"/>
        <v>20000000</v>
      </c>
      <c r="AD1013" s="272">
        <v>20000000</v>
      </c>
      <c r="AE1013" s="272">
        <f t="shared" si="34"/>
        <v>0</v>
      </c>
      <c r="AF1013" s="273"/>
      <c r="AG1013" s="274"/>
      <c r="AH1013" s="273"/>
      <c r="AI1013" s="273"/>
      <c r="AJ1013" s="274"/>
      <c r="AK1013" s="273"/>
      <c r="AL1013" s="275"/>
      <c r="AM1013" s="290"/>
      <c r="AN1013" s="275"/>
      <c r="AO1013" s="276"/>
      <c r="AP1013" s="275"/>
      <c r="AQ1013" s="275"/>
      <c r="AR1013" s="275"/>
      <c r="AS1013" s="275">
        <v>10000000</v>
      </c>
      <c r="AT1013" s="275"/>
      <c r="AU1013" s="275">
        <v>10000000</v>
      </c>
      <c r="AV1013" s="275"/>
      <c r="AW1013" s="275"/>
      <c r="AX1013" s="275"/>
      <c r="AY1013" s="275"/>
      <c r="AZ1013" s="275"/>
      <c r="BA1013" s="275"/>
      <c r="BB1013" s="275"/>
      <c r="BC1013" s="275"/>
      <c r="BD1013" s="275"/>
      <c r="BE1013" s="275"/>
      <c r="BF1013" s="275"/>
      <c r="BH1013" s="277"/>
    </row>
    <row r="1014" spans="1:60" ht="16.5" hidden="1" customHeight="1" x14ac:dyDescent="0.3">
      <c r="A1014" s="260">
        <v>992</v>
      </c>
      <c r="B1014" s="261"/>
      <c r="C1014" s="261"/>
      <c r="D1014" s="262" t="s">
        <v>15</v>
      </c>
      <c r="E1014" s="262" t="s">
        <v>153</v>
      </c>
      <c r="F1014" s="263" t="s">
        <v>15</v>
      </c>
      <c r="G1014" s="264" t="s">
        <v>153</v>
      </c>
      <c r="H1014" s="281"/>
      <c r="I1014" s="265"/>
      <c r="J1014" s="266" t="s">
        <v>881</v>
      </c>
      <c r="K1014" s="262"/>
      <c r="L1014" s="262"/>
      <c r="M1014" s="262">
        <v>16894</v>
      </c>
      <c r="N1014" s="262" t="s">
        <v>53</v>
      </c>
      <c r="O1014" s="262" t="s">
        <v>212</v>
      </c>
      <c r="P1014" s="262" t="s">
        <v>57</v>
      </c>
      <c r="Q1014" s="262" t="s">
        <v>63</v>
      </c>
      <c r="R1014" s="262" t="s">
        <v>28</v>
      </c>
      <c r="S1014" s="267" t="s">
        <v>28</v>
      </c>
      <c r="T1014" s="268"/>
      <c r="U1014" s="269"/>
      <c r="V1014" s="269">
        <v>0</v>
      </c>
      <c r="W1014" s="278">
        <v>8542600</v>
      </c>
      <c r="X1014" s="270"/>
      <c r="Y1014" s="262" t="s">
        <v>27</v>
      </c>
      <c r="Z1014" s="271" t="s">
        <v>562</v>
      </c>
      <c r="AA1014" s="287"/>
      <c r="AB1014" s="287"/>
      <c r="AC1014" s="272">
        <f t="shared" si="33"/>
        <v>0</v>
      </c>
      <c r="AD1014" s="272">
        <v>0</v>
      </c>
      <c r="AE1014" s="272">
        <f t="shared" si="34"/>
        <v>0</v>
      </c>
      <c r="AF1014" s="273"/>
      <c r="AG1014" s="274"/>
      <c r="AH1014" s="273"/>
      <c r="AI1014" s="273"/>
      <c r="AJ1014" s="274"/>
      <c r="AK1014" s="273"/>
      <c r="AL1014" s="275"/>
      <c r="AM1014" s="290"/>
      <c r="AN1014" s="275"/>
      <c r="AO1014" s="276"/>
      <c r="AP1014" s="275"/>
      <c r="AQ1014" s="275"/>
      <c r="AR1014" s="275"/>
      <c r="AS1014" s="275"/>
      <c r="AT1014" s="275"/>
      <c r="AU1014" s="275"/>
      <c r="AV1014" s="275"/>
      <c r="AW1014" s="275"/>
      <c r="AX1014" s="275"/>
      <c r="AY1014" s="275"/>
      <c r="AZ1014" s="275"/>
      <c r="BA1014" s="275"/>
      <c r="BB1014" s="275"/>
      <c r="BC1014" s="275"/>
      <c r="BD1014" s="275"/>
      <c r="BE1014" s="275"/>
      <c r="BF1014" s="275"/>
      <c r="BH1014" s="277"/>
    </row>
    <row r="1015" spans="1:60" ht="16.5" hidden="1" customHeight="1" x14ac:dyDescent="0.3">
      <c r="A1015" s="260">
        <v>993</v>
      </c>
      <c r="B1015" s="261"/>
      <c r="C1015" s="261"/>
      <c r="D1015" s="262" t="s">
        <v>15</v>
      </c>
      <c r="E1015" s="262" t="s">
        <v>153</v>
      </c>
      <c r="F1015" s="263" t="s">
        <v>15</v>
      </c>
      <c r="G1015" s="264" t="s">
        <v>153</v>
      </c>
      <c r="H1015" s="281"/>
      <c r="I1015" s="265"/>
      <c r="J1015" s="266" t="s">
        <v>977</v>
      </c>
      <c r="K1015" s="262"/>
      <c r="L1015" s="262"/>
      <c r="M1015" s="262">
        <v>10148</v>
      </c>
      <c r="N1015" s="262" t="s">
        <v>22</v>
      </c>
      <c r="O1015" s="262" t="s">
        <v>35</v>
      </c>
      <c r="P1015" s="262" t="s">
        <v>156</v>
      </c>
      <c r="Q1015" s="262" t="s">
        <v>46</v>
      </c>
      <c r="R1015" s="262" t="s">
        <v>47</v>
      </c>
      <c r="S1015" s="267" t="s">
        <v>47</v>
      </c>
      <c r="T1015" s="268"/>
      <c r="U1015" s="269"/>
      <c r="V1015" s="269"/>
      <c r="W1015" s="278">
        <v>0</v>
      </c>
      <c r="X1015" s="270"/>
      <c r="Y1015" s="262" t="s">
        <v>74</v>
      </c>
      <c r="Z1015" s="271" t="s">
        <v>562</v>
      </c>
      <c r="AA1015" s="287"/>
      <c r="AB1015" s="287"/>
      <c r="AC1015" s="272">
        <f t="shared" si="33"/>
        <v>20000000</v>
      </c>
      <c r="AD1015" s="272">
        <v>20000000</v>
      </c>
      <c r="AE1015" s="272">
        <f t="shared" si="34"/>
        <v>0</v>
      </c>
      <c r="AF1015" s="273"/>
      <c r="AG1015" s="274"/>
      <c r="AH1015" s="273"/>
      <c r="AI1015" s="273"/>
      <c r="AJ1015" s="274"/>
      <c r="AK1015" s="273"/>
      <c r="AL1015" s="275"/>
      <c r="AM1015" s="290"/>
      <c r="AN1015" s="275"/>
      <c r="AO1015" s="276"/>
      <c r="AP1015" s="275"/>
      <c r="AQ1015" s="275">
        <v>20000000</v>
      </c>
      <c r="AR1015" s="275"/>
      <c r="AS1015" s="275"/>
      <c r="AT1015" s="275"/>
      <c r="AU1015" s="275"/>
      <c r="AV1015" s="275"/>
      <c r="AW1015" s="275"/>
      <c r="AX1015" s="275"/>
      <c r="AY1015" s="275"/>
      <c r="AZ1015" s="275"/>
      <c r="BA1015" s="275"/>
      <c r="BB1015" s="275"/>
      <c r="BC1015" s="275"/>
      <c r="BD1015" s="275"/>
      <c r="BE1015" s="275"/>
      <c r="BF1015" s="275"/>
      <c r="BH1015" s="277"/>
    </row>
    <row r="1016" spans="1:60" ht="16.5" hidden="1" customHeight="1" x14ac:dyDescent="0.3">
      <c r="A1016" s="260">
        <v>994</v>
      </c>
      <c r="B1016" s="261"/>
      <c r="C1016" s="261"/>
      <c r="D1016" s="262" t="s">
        <v>15</v>
      </c>
      <c r="E1016" s="262" t="s">
        <v>153</v>
      </c>
      <c r="F1016" s="263" t="s">
        <v>15</v>
      </c>
      <c r="G1016" s="264" t="s">
        <v>153</v>
      </c>
      <c r="H1016" s="281"/>
      <c r="I1016" s="265"/>
      <c r="J1016" s="266" t="s">
        <v>977</v>
      </c>
      <c r="K1016" s="262"/>
      <c r="L1016" s="262"/>
      <c r="M1016" s="262">
        <v>10148</v>
      </c>
      <c r="N1016" s="262" t="s">
        <v>22</v>
      </c>
      <c r="O1016" s="262" t="s">
        <v>35</v>
      </c>
      <c r="P1016" s="262" t="s">
        <v>124</v>
      </c>
      <c r="Q1016" s="262"/>
      <c r="R1016" s="262" t="s">
        <v>468</v>
      </c>
      <c r="S1016" s="267" t="s">
        <v>468</v>
      </c>
      <c r="T1016" s="268"/>
      <c r="U1016" s="269"/>
      <c r="V1016" s="269"/>
      <c r="W1016" s="278"/>
      <c r="X1016" s="270"/>
      <c r="Y1016" s="262" t="s">
        <v>25</v>
      </c>
      <c r="Z1016" s="271" t="s">
        <v>25</v>
      </c>
      <c r="AA1016" s="287"/>
      <c r="AB1016" s="287"/>
      <c r="AC1016" s="272">
        <f t="shared" si="33"/>
        <v>10000000</v>
      </c>
      <c r="AD1016" s="272">
        <v>10000000</v>
      </c>
      <c r="AE1016" s="272">
        <f t="shared" si="34"/>
        <v>0</v>
      </c>
      <c r="AF1016" s="273"/>
      <c r="AG1016" s="274"/>
      <c r="AH1016" s="273"/>
      <c r="AI1016" s="273"/>
      <c r="AJ1016" s="274"/>
      <c r="AK1016" s="273"/>
      <c r="AL1016" s="275"/>
      <c r="AM1016" s="290"/>
      <c r="AN1016" s="275"/>
      <c r="AO1016" s="276"/>
      <c r="AP1016" s="275"/>
      <c r="AQ1016" s="275">
        <v>10000000</v>
      </c>
      <c r="AR1016" s="275"/>
      <c r="AS1016" s="275"/>
      <c r="AT1016" s="275"/>
      <c r="AU1016" s="275"/>
      <c r="AV1016" s="275"/>
      <c r="AW1016" s="275"/>
      <c r="AX1016" s="275"/>
      <c r="AY1016" s="275"/>
      <c r="AZ1016" s="275"/>
      <c r="BA1016" s="275"/>
      <c r="BB1016" s="275"/>
      <c r="BC1016" s="275"/>
      <c r="BD1016" s="275"/>
      <c r="BE1016" s="275"/>
      <c r="BF1016" s="275"/>
      <c r="BH1016" s="277"/>
    </row>
    <row r="1017" spans="1:60" ht="16.5" hidden="1" customHeight="1" x14ac:dyDescent="0.3">
      <c r="A1017" s="260">
        <v>995</v>
      </c>
      <c r="B1017" s="261"/>
      <c r="C1017" s="261"/>
      <c r="D1017" s="262" t="s">
        <v>15</v>
      </c>
      <c r="E1017" s="262" t="s">
        <v>153</v>
      </c>
      <c r="F1017" s="263" t="s">
        <v>15</v>
      </c>
      <c r="G1017" s="264" t="s">
        <v>153</v>
      </c>
      <c r="H1017" s="281"/>
      <c r="I1017" s="265"/>
      <c r="J1017" s="266" t="s">
        <v>977</v>
      </c>
      <c r="K1017" s="262"/>
      <c r="L1017" s="262"/>
      <c r="M1017" s="262">
        <v>10148</v>
      </c>
      <c r="N1017" s="262" t="s">
        <v>22</v>
      </c>
      <c r="O1017" s="262" t="s">
        <v>35</v>
      </c>
      <c r="P1017" s="262" t="s">
        <v>156</v>
      </c>
      <c r="Q1017" s="262"/>
      <c r="R1017" s="262"/>
      <c r="S1017" s="267" t="s">
        <v>828</v>
      </c>
      <c r="T1017" s="268"/>
      <c r="U1017" s="269"/>
      <c r="V1017" s="269"/>
      <c r="W1017" s="278"/>
      <c r="X1017" s="270"/>
      <c r="Y1017" s="262"/>
      <c r="Z1017" s="271" t="s">
        <v>562</v>
      </c>
      <c r="AA1017" s="287"/>
      <c r="AB1017" s="287"/>
      <c r="AC1017" s="272">
        <f t="shared" si="33"/>
        <v>20000000</v>
      </c>
      <c r="AD1017" s="272">
        <v>20000000</v>
      </c>
      <c r="AE1017" s="272">
        <f t="shared" si="34"/>
        <v>0</v>
      </c>
      <c r="AF1017" s="273"/>
      <c r="AG1017" s="274"/>
      <c r="AH1017" s="273"/>
      <c r="AI1017" s="273"/>
      <c r="AJ1017" s="274"/>
      <c r="AK1017" s="273"/>
      <c r="AL1017" s="275"/>
      <c r="AM1017" s="290"/>
      <c r="AN1017" s="275"/>
      <c r="AO1017" s="276">
        <v>20000000</v>
      </c>
      <c r="AP1017" s="275"/>
      <c r="AQ1017" s="275"/>
      <c r="AR1017" s="275"/>
      <c r="AS1017" s="275"/>
      <c r="AT1017" s="275"/>
      <c r="AU1017" s="275"/>
      <c r="AV1017" s="275"/>
      <c r="AW1017" s="275"/>
      <c r="AX1017" s="275"/>
      <c r="AY1017" s="275"/>
      <c r="AZ1017" s="275"/>
      <c r="BA1017" s="275"/>
      <c r="BB1017" s="275"/>
      <c r="BC1017" s="275"/>
      <c r="BD1017" s="275"/>
      <c r="BE1017" s="275"/>
      <c r="BF1017" s="275"/>
      <c r="BH1017" s="277"/>
    </row>
    <row r="1018" spans="1:60" ht="16.5" hidden="1" customHeight="1" x14ac:dyDescent="0.3">
      <c r="A1018" s="260">
        <v>996</v>
      </c>
      <c r="B1018" s="261"/>
      <c r="C1018" s="261"/>
      <c r="D1018" s="262" t="s">
        <v>15</v>
      </c>
      <c r="E1018" s="262" t="s">
        <v>153</v>
      </c>
      <c r="F1018" s="263" t="s">
        <v>15</v>
      </c>
      <c r="G1018" s="264" t="s">
        <v>153</v>
      </c>
      <c r="H1018" s="281"/>
      <c r="I1018" s="265"/>
      <c r="J1018" s="266" t="s">
        <v>647</v>
      </c>
      <c r="K1018" s="262"/>
      <c r="L1018" s="262"/>
      <c r="M1018" s="262">
        <v>893</v>
      </c>
      <c r="N1018" s="262" t="s">
        <v>32</v>
      </c>
      <c r="O1018" s="262" t="s">
        <v>56</v>
      </c>
      <c r="P1018" s="262" t="s">
        <v>57</v>
      </c>
      <c r="Q1018" s="262" t="s">
        <v>23</v>
      </c>
      <c r="R1018" s="262" t="s">
        <v>397</v>
      </c>
      <c r="S1018" s="267" t="s">
        <v>823</v>
      </c>
      <c r="T1018" s="268"/>
      <c r="U1018" s="269">
        <v>1300000</v>
      </c>
      <c r="V1018" s="269">
        <v>19900000</v>
      </c>
      <c r="W1018" s="278">
        <v>9900000</v>
      </c>
      <c r="X1018" s="270"/>
      <c r="Y1018" s="262" t="s">
        <v>27</v>
      </c>
      <c r="Z1018" s="271" t="s">
        <v>562</v>
      </c>
      <c r="AA1018" s="287"/>
      <c r="AB1018" s="287"/>
      <c r="AC1018" s="272">
        <f t="shared" si="33"/>
        <v>10000000</v>
      </c>
      <c r="AD1018" s="272">
        <v>10000000</v>
      </c>
      <c r="AE1018" s="272">
        <f t="shared" si="34"/>
        <v>0</v>
      </c>
      <c r="AF1018" s="273"/>
      <c r="AG1018" s="274"/>
      <c r="AH1018" s="273"/>
      <c r="AI1018" s="273"/>
      <c r="AJ1018" s="274"/>
      <c r="AK1018" s="273"/>
      <c r="AL1018" s="275"/>
      <c r="AM1018" s="290"/>
      <c r="AN1018" s="275"/>
      <c r="AO1018" s="276">
        <v>10000000</v>
      </c>
      <c r="AP1018" s="275"/>
      <c r="AQ1018" s="275"/>
      <c r="AR1018" s="275"/>
      <c r="AS1018" s="275"/>
      <c r="AT1018" s="275"/>
      <c r="AU1018" s="275"/>
      <c r="AV1018" s="275"/>
      <c r="AW1018" s="275"/>
      <c r="AX1018" s="275"/>
      <c r="AY1018" s="275"/>
      <c r="AZ1018" s="275"/>
      <c r="BA1018" s="275"/>
      <c r="BB1018" s="275"/>
      <c r="BC1018" s="275"/>
      <c r="BD1018" s="275"/>
      <c r="BE1018" s="275"/>
      <c r="BF1018" s="275"/>
      <c r="BH1018" s="277"/>
    </row>
    <row r="1019" spans="1:60" ht="16.5" hidden="1" customHeight="1" x14ac:dyDescent="0.3">
      <c r="A1019" s="260">
        <v>997</v>
      </c>
      <c r="B1019" s="261"/>
      <c r="C1019" s="261"/>
      <c r="D1019" s="262" t="s">
        <v>15</v>
      </c>
      <c r="E1019" s="262" t="s">
        <v>153</v>
      </c>
      <c r="F1019" s="263" t="s">
        <v>15</v>
      </c>
      <c r="G1019" s="264" t="s">
        <v>153</v>
      </c>
      <c r="H1019" s="281"/>
      <c r="I1019" s="265"/>
      <c r="J1019" s="266" t="s">
        <v>882</v>
      </c>
      <c r="K1019" s="262"/>
      <c r="L1019" s="262"/>
      <c r="M1019" s="262">
        <v>893</v>
      </c>
      <c r="N1019" s="262" t="s">
        <v>32</v>
      </c>
      <c r="O1019" s="262" t="s">
        <v>56</v>
      </c>
      <c r="P1019" s="262" t="s">
        <v>57</v>
      </c>
      <c r="Q1019" s="262" t="s">
        <v>63</v>
      </c>
      <c r="R1019" s="262" t="s">
        <v>28</v>
      </c>
      <c r="S1019" s="267" t="s">
        <v>28</v>
      </c>
      <c r="T1019" s="268"/>
      <c r="U1019" s="269">
        <v>652876981</v>
      </c>
      <c r="V1019" s="269">
        <v>360584934</v>
      </c>
      <c r="W1019" s="278">
        <v>0</v>
      </c>
      <c r="X1019" s="270"/>
      <c r="Y1019" s="262" t="s">
        <v>20</v>
      </c>
      <c r="Z1019" s="271" t="s">
        <v>24</v>
      </c>
      <c r="AA1019" s="287"/>
      <c r="AB1019" s="287"/>
      <c r="AC1019" s="272">
        <f t="shared" si="33"/>
        <v>405000000</v>
      </c>
      <c r="AD1019" s="272">
        <v>405000000</v>
      </c>
      <c r="AE1019" s="272">
        <f t="shared" si="34"/>
        <v>0</v>
      </c>
      <c r="AF1019" s="273"/>
      <c r="AG1019" s="274"/>
      <c r="AH1019" s="273"/>
      <c r="AI1019" s="273"/>
      <c r="AJ1019" s="274"/>
      <c r="AK1019" s="273"/>
      <c r="AL1019" s="275"/>
      <c r="AM1019" s="290"/>
      <c r="AN1019" s="275"/>
      <c r="AO1019" s="276">
        <v>45000000</v>
      </c>
      <c r="AP1019" s="275"/>
      <c r="AQ1019" s="275">
        <v>45000000</v>
      </c>
      <c r="AR1019" s="275"/>
      <c r="AS1019" s="275">
        <v>45000000</v>
      </c>
      <c r="AT1019" s="275"/>
      <c r="AU1019" s="275">
        <v>45000000</v>
      </c>
      <c r="AV1019" s="275"/>
      <c r="AW1019" s="275">
        <v>45000000</v>
      </c>
      <c r="AX1019" s="275"/>
      <c r="AY1019" s="275">
        <v>45000000</v>
      </c>
      <c r="AZ1019" s="275"/>
      <c r="BA1019" s="275">
        <v>45000000</v>
      </c>
      <c r="BB1019" s="275"/>
      <c r="BC1019" s="275">
        <v>45000000</v>
      </c>
      <c r="BD1019" s="275"/>
      <c r="BE1019" s="275">
        <v>45000000</v>
      </c>
      <c r="BF1019" s="275"/>
      <c r="BH1019" s="277"/>
    </row>
    <row r="1020" spans="1:60" ht="16.5" hidden="1" customHeight="1" x14ac:dyDescent="0.3">
      <c r="A1020" s="260">
        <v>998</v>
      </c>
      <c r="B1020" s="261"/>
      <c r="C1020" s="261"/>
      <c r="D1020" s="262" t="s">
        <v>15</v>
      </c>
      <c r="E1020" s="262" t="s">
        <v>153</v>
      </c>
      <c r="F1020" s="263" t="s">
        <v>15</v>
      </c>
      <c r="G1020" s="264" t="s">
        <v>153</v>
      </c>
      <c r="H1020" s="281"/>
      <c r="I1020" s="265"/>
      <c r="J1020" s="266" t="s">
        <v>883</v>
      </c>
      <c r="K1020" s="262"/>
      <c r="L1020" s="262"/>
      <c r="M1020" s="262">
        <v>893</v>
      </c>
      <c r="N1020" s="262" t="s">
        <v>32</v>
      </c>
      <c r="O1020" s="262" t="s">
        <v>56</v>
      </c>
      <c r="P1020" s="262" t="s">
        <v>57</v>
      </c>
      <c r="Q1020" s="262" t="s">
        <v>26</v>
      </c>
      <c r="R1020" s="262" t="s">
        <v>468</v>
      </c>
      <c r="S1020" s="267" t="s">
        <v>468</v>
      </c>
      <c r="T1020" s="268"/>
      <c r="U1020" s="269">
        <v>44761455</v>
      </c>
      <c r="V1020" s="269">
        <v>12024788</v>
      </c>
      <c r="W1020" s="278">
        <v>0</v>
      </c>
      <c r="X1020" s="270"/>
      <c r="Y1020" s="262" t="s">
        <v>74</v>
      </c>
      <c r="Z1020" s="271" t="s">
        <v>562</v>
      </c>
      <c r="AA1020" s="287"/>
      <c r="AB1020" s="287"/>
      <c r="AC1020" s="272">
        <f t="shared" si="33"/>
        <v>0</v>
      </c>
      <c r="AD1020" s="272">
        <v>0</v>
      </c>
      <c r="AE1020" s="272">
        <f t="shared" si="34"/>
        <v>0</v>
      </c>
      <c r="AF1020" s="273"/>
      <c r="AG1020" s="274"/>
      <c r="AH1020" s="273"/>
      <c r="AI1020" s="273"/>
      <c r="AJ1020" s="274"/>
      <c r="AK1020" s="273"/>
      <c r="AL1020" s="275"/>
      <c r="AM1020" s="290"/>
      <c r="AN1020" s="275"/>
      <c r="AO1020" s="276"/>
      <c r="AP1020" s="275"/>
      <c r="AQ1020" s="275"/>
      <c r="AR1020" s="275"/>
      <c r="AS1020" s="275"/>
      <c r="AT1020" s="275"/>
      <c r="AU1020" s="275"/>
      <c r="AV1020" s="275"/>
      <c r="AW1020" s="275"/>
      <c r="AX1020" s="275"/>
      <c r="AY1020" s="275"/>
      <c r="AZ1020" s="275"/>
      <c r="BA1020" s="275"/>
      <c r="BB1020" s="275"/>
      <c r="BC1020" s="275"/>
      <c r="BD1020" s="275"/>
      <c r="BE1020" s="275"/>
      <c r="BF1020" s="275"/>
      <c r="BH1020" s="277"/>
    </row>
    <row r="1021" spans="1:60" ht="16.5" hidden="1" customHeight="1" x14ac:dyDescent="0.3">
      <c r="A1021" s="260">
        <v>999</v>
      </c>
      <c r="B1021" s="261"/>
      <c r="C1021" s="261"/>
      <c r="D1021" s="262" t="s">
        <v>15</v>
      </c>
      <c r="E1021" s="262" t="s">
        <v>153</v>
      </c>
      <c r="F1021" s="263" t="s">
        <v>15</v>
      </c>
      <c r="G1021" s="264" t="s">
        <v>153</v>
      </c>
      <c r="H1021" s="281"/>
      <c r="I1021" s="265"/>
      <c r="J1021" s="266" t="s">
        <v>884</v>
      </c>
      <c r="K1021" s="262"/>
      <c r="L1021" s="262"/>
      <c r="M1021" s="262">
        <v>49625</v>
      </c>
      <c r="N1021" s="262" t="s">
        <v>32</v>
      </c>
      <c r="O1021" s="262" t="s">
        <v>56</v>
      </c>
      <c r="P1021" s="262"/>
      <c r="Q1021" s="262" t="s">
        <v>44</v>
      </c>
      <c r="R1021" s="262" t="s">
        <v>469</v>
      </c>
      <c r="S1021" s="267" t="s">
        <v>469</v>
      </c>
      <c r="T1021" s="268"/>
      <c r="U1021" s="269"/>
      <c r="V1021" s="269">
        <v>4090909</v>
      </c>
      <c r="W1021" s="278">
        <v>0</v>
      </c>
      <c r="X1021" s="270"/>
      <c r="Y1021" s="262" t="s">
        <v>20</v>
      </c>
      <c r="Z1021" s="271" t="s">
        <v>562</v>
      </c>
      <c r="AA1021" s="287"/>
      <c r="AB1021" s="287"/>
      <c r="AC1021" s="272">
        <f t="shared" si="33"/>
        <v>0</v>
      </c>
      <c r="AD1021" s="272">
        <v>0</v>
      </c>
      <c r="AE1021" s="272">
        <f t="shared" si="34"/>
        <v>0</v>
      </c>
      <c r="AF1021" s="273"/>
      <c r="AG1021" s="274"/>
      <c r="AH1021" s="273"/>
      <c r="AI1021" s="273"/>
      <c r="AJ1021" s="274"/>
      <c r="AK1021" s="273"/>
      <c r="AL1021" s="275"/>
      <c r="AM1021" s="290"/>
      <c r="AN1021" s="275"/>
      <c r="AO1021" s="276"/>
      <c r="AP1021" s="275"/>
      <c r="AQ1021" s="275"/>
      <c r="AR1021" s="275"/>
      <c r="AS1021" s="275"/>
      <c r="AT1021" s="275"/>
      <c r="AU1021" s="275"/>
      <c r="AV1021" s="275"/>
      <c r="AW1021" s="275"/>
      <c r="AX1021" s="275"/>
      <c r="AY1021" s="275"/>
      <c r="AZ1021" s="275"/>
      <c r="BA1021" s="275"/>
      <c r="BB1021" s="275"/>
      <c r="BC1021" s="275"/>
      <c r="BD1021" s="275"/>
      <c r="BE1021" s="275"/>
      <c r="BF1021" s="275"/>
      <c r="BH1021" s="277"/>
    </row>
    <row r="1022" spans="1:60" ht="16.5" hidden="1" customHeight="1" x14ac:dyDescent="0.3">
      <c r="A1022" s="260">
        <v>1000</v>
      </c>
      <c r="B1022" s="261"/>
      <c r="C1022" s="261"/>
      <c r="D1022" s="262" t="s">
        <v>15</v>
      </c>
      <c r="E1022" s="262" t="s">
        <v>153</v>
      </c>
      <c r="F1022" s="263" t="s">
        <v>15</v>
      </c>
      <c r="G1022" s="264" t="s">
        <v>153</v>
      </c>
      <c r="H1022" s="281"/>
      <c r="I1022" s="265"/>
      <c r="J1022" s="266" t="s">
        <v>885</v>
      </c>
      <c r="K1022" s="262"/>
      <c r="L1022" s="262"/>
      <c r="M1022" s="262">
        <v>13618</v>
      </c>
      <c r="N1022" s="262" t="s">
        <v>32</v>
      </c>
      <c r="O1022" s="262" t="s">
        <v>35</v>
      </c>
      <c r="P1022" s="262" t="s">
        <v>156</v>
      </c>
      <c r="Q1022" s="262"/>
      <c r="R1022" s="262" t="s">
        <v>28</v>
      </c>
      <c r="S1022" s="267" t="s">
        <v>28</v>
      </c>
      <c r="T1022" s="268"/>
      <c r="U1022" s="269"/>
      <c r="V1022" s="269"/>
      <c r="W1022" s="278">
        <v>0</v>
      </c>
      <c r="X1022" s="270"/>
      <c r="Y1022" s="262" t="s">
        <v>25</v>
      </c>
      <c r="Z1022" s="271" t="s">
        <v>27</v>
      </c>
      <c r="AA1022" s="287"/>
      <c r="AB1022" s="287"/>
      <c r="AC1022" s="272">
        <f t="shared" si="33"/>
        <v>1621790880</v>
      </c>
      <c r="AD1022" s="272">
        <v>1621790880</v>
      </c>
      <c r="AE1022" s="272">
        <f t="shared" si="34"/>
        <v>0</v>
      </c>
      <c r="AF1022" s="273">
        <v>0</v>
      </c>
      <c r="AG1022" s="274"/>
      <c r="AH1022" s="273" t="s">
        <v>974</v>
      </c>
      <c r="AI1022" s="273">
        <v>89043374</v>
      </c>
      <c r="AJ1022" s="274">
        <v>89070174</v>
      </c>
      <c r="AK1022" s="273" t="s">
        <v>975</v>
      </c>
      <c r="AL1022" s="275">
        <v>123504912</v>
      </c>
      <c r="AM1022" s="290">
        <v>123504920</v>
      </c>
      <c r="AN1022" s="275"/>
      <c r="AO1022" s="276">
        <v>169215786</v>
      </c>
      <c r="AP1022" s="275"/>
      <c r="AQ1022" s="275">
        <v>170000000</v>
      </c>
      <c r="AR1022" s="275"/>
      <c r="AS1022" s="275">
        <v>150000000</v>
      </c>
      <c r="AT1022" s="275"/>
      <c r="AU1022" s="275">
        <v>150000000</v>
      </c>
      <c r="AV1022" s="275"/>
      <c r="AW1022" s="275">
        <v>150000000</v>
      </c>
      <c r="AX1022" s="275"/>
      <c r="AY1022" s="275">
        <v>150000000</v>
      </c>
      <c r="AZ1022" s="275"/>
      <c r="BA1022" s="275">
        <v>150000000</v>
      </c>
      <c r="BB1022" s="275"/>
      <c r="BC1022" s="275">
        <v>150000000</v>
      </c>
      <c r="BD1022" s="275"/>
      <c r="BE1022" s="275">
        <v>170000000</v>
      </c>
      <c r="BF1022" s="275"/>
      <c r="BH1022" s="277"/>
    </row>
    <row r="1023" spans="1:60" ht="16.5" hidden="1" customHeight="1" x14ac:dyDescent="0.3">
      <c r="A1023" s="260">
        <v>1001</v>
      </c>
      <c r="B1023" s="261"/>
      <c r="C1023" s="261"/>
      <c r="D1023" s="262" t="s">
        <v>15</v>
      </c>
      <c r="E1023" s="262" t="s">
        <v>153</v>
      </c>
      <c r="F1023" s="263" t="s">
        <v>15</v>
      </c>
      <c r="G1023" s="264" t="s">
        <v>153</v>
      </c>
      <c r="H1023" s="281"/>
      <c r="I1023" s="265"/>
      <c r="J1023" s="266" t="s">
        <v>319</v>
      </c>
      <c r="K1023" s="262"/>
      <c r="L1023" s="262"/>
      <c r="M1023" s="262">
        <v>19227</v>
      </c>
      <c r="N1023" s="262" t="s">
        <v>22</v>
      </c>
      <c r="O1023" s="262" t="s">
        <v>35</v>
      </c>
      <c r="P1023" s="262"/>
      <c r="Q1023" s="262" t="s">
        <v>61</v>
      </c>
      <c r="R1023" s="262" t="s">
        <v>468</v>
      </c>
      <c r="S1023" s="267" t="s">
        <v>468</v>
      </c>
      <c r="T1023" s="268"/>
      <c r="U1023" s="269"/>
      <c r="V1023" s="269">
        <v>0</v>
      </c>
      <c r="W1023" s="278">
        <v>81430000</v>
      </c>
      <c r="X1023" s="270"/>
      <c r="Y1023" s="262" t="s">
        <v>25</v>
      </c>
      <c r="Z1023" s="271" t="s">
        <v>27</v>
      </c>
      <c r="AA1023" s="287"/>
      <c r="AB1023" s="287"/>
      <c r="AC1023" s="272">
        <f t="shared" si="33"/>
        <v>25000000</v>
      </c>
      <c r="AD1023" s="272">
        <v>25000000</v>
      </c>
      <c r="AE1023" s="272">
        <f t="shared" si="34"/>
        <v>0</v>
      </c>
      <c r="AF1023" s="273"/>
      <c r="AG1023" s="274"/>
      <c r="AH1023" s="273"/>
      <c r="AI1023" s="273"/>
      <c r="AJ1023" s="274"/>
      <c r="AK1023" s="273"/>
      <c r="AL1023" s="275"/>
      <c r="AM1023" s="290"/>
      <c r="AN1023" s="275"/>
      <c r="AO1023" s="276"/>
      <c r="AP1023" s="275"/>
      <c r="AQ1023" s="275"/>
      <c r="AR1023" s="275"/>
      <c r="AS1023" s="275">
        <v>25000000</v>
      </c>
      <c r="AT1023" s="275"/>
      <c r="AU1023" s="275"/>
      <c r="AV1023" s="275"/>
      <c r="AW1023" s="275"/>
      <c r="AX1023" s="275"/>
      <c r="AY1023" s="275"/>
      <c r="AZ1023" s="275"/>
      <c r="BA1023" s="275"/>
      <c r="BB1023" s="275"/>
      <c r="BC1023" s="275"/>
      <c r="BD1023" s="275"/>
      <c r="BE1023" s="275"/>
      <c r="BF1023" s="275"/>
      <c r="BH1023" s="277"/>
    </row>
    <row r="1024" spans="1:60" ht="16.5" hidden="1" customHeight="1" x14ac:dyDescent="0.3">
      <c r="A1024" s="260">
        <v>1002</v>
      </c>
      <c r="B1024" s="261"/>
      <c r="C1024" s="261"/>
      <c r="D1024" s="262" t="s">
        <v>15</v>
      </c>
      <c r="E1024" s="262" t="s">
        <v>153</v>
      </c>
      <c r="F1024" s="263" t="s">
        <v>15</v>
      </c>
      <c r="G1024" s="264" t="s">
        <v>153</v>
      </c>
      <c r="H1024" s="281"/>
      <c r="I1024" s="265"/>
      <c r="J1024" s="266" t="s">
        <v>319</v>
      </c>
      <c r="K1024" s="262"/>
      <c r="L1024" s="262"/>
      <c r="M1024" s="262">
        <v>19227</v>
      </c>
      <c r="N1024" s="262" t="s">
        <v>22</v>
      </c>
      <c r="O1024" s="262" t="s">
        <v>56</v>
      </c>
      <c r="P1024" s="262"/>
      <c r="Q1024" s="262" t="s">
        <v>61</v>
      </c>
      <c r="R1024" s="262" t="s">
        <v>468</v>
      </c>
      <c r="S1024" s="267" t="s">
        <v>468</v>
      </c>
      <c r="T1024" s="268"/>
      <c r="U1024" s="269"/>
      <c r="V1024" s="269">
        <v>83200000</v>
      </c>
      <c r="W1024" s="278">
        <v>0</v>
      </c>
      <c r="X1024" s="270"/>
      <c r="Y1024" s="262" t="s">
        <v>27</v>
      </c>
      <c r="Z1024" s="271" t="s">
        <v>74</v>
      </c>
      <c r="AA1024" s="287"/>
      <c r="AB1024" s="287"/>
      <c r="AC1024" s="272">
        <f t="shared" si="33"/>
        <v>80000000</v>
      </c>
      <c r="AD1024" s="272">
        <v>80000000</v>
      </c>
      <c r="AE1024" s="272">
        <f t="shared" si="34"/>
        <v>0</v>
      </c>
      <c r="AF1024" s="273"/>
      <c r="AG1024" s="274"/>
      <c r="AH1024" s="273"/>
      <c r="AI1024" s="273"/>
      <c r="AJ1024" s="274"/>
      <c r="AK1024" s="273"/>
      <c r="AL1024" s="275"/>
      <c r="AM1024" s="290"/>
      <c r="AN1024" s="275"/>
      <c r="AO1024" s="276"/>
      <c r="AP1024" s="275"/>
      <c r="AQ1024" s="275"/>
      <c r="AR1024" s="275"/>
      <c r="AS1024" s="275"/>
      <c r="AT1024" s="275"/>
      <c r="AU1024" s="275"/>
      <c r="AV1024" s="275"/>
      <c r="AW1024" s="275"/>
      <c r="AX1024" s="275"/>
      <c r="AY1024" s="275">
        <v>80000000</v>
      </c>
      <c r="AZ1024" s="275"/>
      <c r="BA1024" s="275"/>
      <c r="BB1024" s="275"/>
      <c r="BC1024" s="275"/>
      <c r="BD1024" s="275"/>
      <c r="BE1024" s="275"/>
      <c r="BF1024" s="275"/>
      <c r="BH1024" s="277"/>
    </row>
    <row r="1025" spans="1:60" ht="16.5" hidden="1" customHeight="1" x14ac:dyDescent="0.3">
      <c r="A1025" s="260">
        <v>1003</v>
      </c>
      <c r="B1025" s="261"/>
      <c r="C1025" s="261"/>
      <c r="D1025" s="262"/>
      <c r="E1025" s="262"/>
      <c r="F1025" s="263" t="s">
        <v>15</v>
      </c>
      <c r="G1025" s="264" t="s">
        <v>153</v>
      </c>
      <c r="H1025" s="281"/>
      <c r="I1025" s="265"/>
      <c r="J1025" s="266" t="s">
        <v>886</v>
      </c>
      <c r="K1025" s="262"/>
      <c r="L1025" s="262"/>
      <c r="M1025" s="262">
        <v>3699</v>
      </c>
      <c r="N1025" s="262" t="s">
        <v>22</v>
      </c>
      <c r="O1025" s="262" t="s">
        <v>35</v>
      </c>
      <c r="P1025" s="262" t="s">
        <v>124</v>
      </c>
      <c r="Q1025" s="262" t="s">
        <v>18</v>
      </c>
      <c r="R1025" s="262" t="s">
        <v>19</v>
      </c>
      <c r="S1025" s="267" t="s">
        <v>19</v>
      </c>
      <c r="T1025" s="268"/>
      <c r="U1025" s="269">
        <v>31680000</v>
      </c>
      <c r="V1025" s="269">
        <v>0</v>
      </c>
      <c r="W1025" s="278">
        <v>0</v>
      </c>
      <c r="X1025" s="270"/>
      <c r="Y1025" s="262" t="s">
        <v>562</v>
      </c>
      <c r="Z1025" s="271" t="s">
        <v>562</v>
      </c>
      <c r="AA1025" s="287"/>
      <c r="AB1025" s="287"/>
      <c r="AC1025" s="272">
        <f t="shared" si="33"/>
        <v>20000000</v>
      </c>
      <c r="AD1025" s="272">
        <v>20000000</v>
      </c>
      <c r="AE1025" s="272">
        <f t="shared" si="34"/>
        <v>0</v>
      </c>
      <c r="AF1025" s="273"/>
      <c r="AG1025" s="274"/>
      <c r="AH1025" s="273"/>
      <c r="AI1025" s="273"/>
      <c r="AJ1025" s="274"/>
      <c r="AK1025" s="273"/>
      <c r="AL1025" s="275"/>
      <c r="AM1025" s="290"/>
      <c r="AN1025" s="275"/>
      <c r="AO1025" s="276"/>
      <c r="AP1025" s="275"/>
      <c r="AQ1025" s="275">
        <v>20000000</v>
      </c>
      <c r="AR1025" s="275"/>
      <c r="AS1025" s="275"/>
      <c r="AT1025" s="275"/>
      <c r="AU1025" s="275"/>
      <c r="AV1025" s="275"/>
      <c r="AW1025" s="275"/>
      <c r="AX1025" s="275"/>
      <c r="AY1025" s="275"/>
      <c r="AZ1025" s="275"/>
      <c r="BA1025" s="275"/>
      <c r="BB1025" s="275"/>
      <c r="BC1025" s="275"/>
      <c r="BD1025" s="275"/>
      <c r="BE1025" s="275"/>
      <c r="BF1025" s="275"/>
      <c r="BH1025" s="277"/>
    </row>
    <row r="1026" spans="1:60" ht="16.5" hidden="1" customHeight="1" x14ac:dyDescent="0.3">
      <c r="A1026" s="260">
        <v>1004</v>
      </c>
      <c r="B1026" s="261"/>
      <c r="C1026" s="261"/>
      <c r="D1026" s="262"/>
      <c r="E1026" s="262"/>
      <c r="F1026" s="263" t="s">
        <v>15</v>
      </c>
      <c r="G1026" s="264" t="s">
        <v>153</v>
      </c>
      <c r="H1026" s="281"/>
      <c r="I1026" s="265"/>
      <c r="J1026" s="266" t="s">
        <v>887</v>
      </c>
      <c r="K1026" s="262"/>
      <c r="L1026" s="262"/>
      <c r="M1026" s="262">
        <v>3699</v>
      </c>
      <c r="N1026" s="262" t="s">
        <v>22</v>
      </c>
      <c r="O1026" s="262" t="s">
        <v>35</v>
      </c>
      <c r="P1026" s="262" t="s">
        <v>124</v>
      </c>
      <c r="Q1026" s="262" t="s">
        <v>23</v>
      </c>
      <c r="R1026" s="262" t="s">
        <v>397</v>
      </c>
      <c r="S1026" s="267" t="s">
        <v>823</v>
      </c>
      <c r="T1026" s="268"/>
      <c r="U1026" s="269"/>
      <c r="V1026" s="269">
        <v>0</v>
      </c>
      <c r="W1026" s="278">
        <v>0</v>
      </c>
      <c r="X1026" s="270"/>
      <c r="Y1026" s="262" t="s">
        <v>74</v>
      </c>
      <c r="Z1026" s="271" t="s">
        <v>562</v>
      </c>
      <c r="AA1026" s="287"/>
      <c r="AB1026" s="287"/>
      <c r="AC1026" s="272">
        <f t="shared" si="33"/>
        <v>0</v>
      </c>
      <c r="AD1026" s="272">
        <v>0</v>
      </c>
      <c r="AE1026" s="272">
        <f t="shared" si="34"/>
        <v>0</v>
      </c>
      <c r="AF1026" s="273"/>
      <c r="AG1026" s="274"/>
      <c r="AH1026" s="273"/>
      <c r="AI1026" s="273"/>
      <c r="AJ1026" s="274"/>
      <c r="AK1026" s="273"/>
      <c r="AL1026" s="275"/>
      <c r="AM1026" s="290"/>
      <c r="AN1026" s="275"/>
      <c r="AO1026" s="276"/>
      <c r="AP1026" s="275"/>
      <c r="AQ1026" s="275"/>
      <c r="AR1026" s="275"/>
      <c r="AS1026" s="275"/>
      <c r="AT1026" s="275"/>
      <c r="AU1026" s="275"/>
      <c r="AV1026" s="275"/>
      <c r="AW1026" s="275"/>
      <c r="AX1026" s="275"/>
      <c r="AY1026" s="275"/>
      <c r="AZ1026" s="275"/>
      <c r="BA1026" s="275"/>
      <c r="BB1026" s="275"/>
      <c r="BC1026" s="275"/>
      <c r="BD1026" s="275"/>
      <c r="BE1026" s="275"/>
      <c r="BF1026" s="275"/>
      <c r="BH1026" s="277"/>
    </row>
    <row r="1027" spans="1:60" ht="16.5" hidden="1" customHeight="1" x14ac:dyDescent="0.3">
      <c r="A1027" s="260">
        <v>1005</v>
      </c>
      <c r="B1027" s="261"/>
      <c r="C1027" s="261"/>
      <c r="D1027" s="262" t="s">
        <v>15</v>
      </c>
      <c r="E1027" s="262" t="s">
        <v>153</v>
      </c>
      <c r="F1027" s="263" t="s">
        <v>15</v>
      </c>
      <c r="G1027" s="264" t="s">
        <v>153</v>
      </c>
      <c r="H1027" s="281"/>
      <c r="I1027" s="265"/>
      <c r="J1027" s="266" t="s">
        <v>999</v>
      </c>
      <c r="K1027" s="262"/>
      <c r="L1027" s="262"/>
      <c r="M1027" s="262">
        <v>3699</v>
      </c>
      <c r="N1027" s="262"/>
      <c r="O1027" s="262"/>
      <c r="P1027" s="262"/>
      <c r="Q1027" s="262"/>
      <c r="R1027" s="262"/>
      <c r="S1027" s="267" t="s">
        <v>468</v>
      </c>
      <c r="T1027" s="268"/>
      <c r="U1027" s="269"/>
      <c r="V1027" s="269"/>
      <c r="W1027" s="278"/>
      <c r="X1027" s="270"/>
      <c r="Y1027" s="262"/>
      <c r="Z1027" s="271" t="s">
        <v>27</v>
      </c>
      <c r="AA1027" s="287"/>
      <c r="AB1027" s="287"/>
      <c r="AC1027" s="272">
        <f t="shared" si="33"/>
        <v>1800000</v>
      </c>
      <c r="AD1027" s="272">
        <v>1800000</v>
      </c>
      <c r="AE1027" s="272">
        <f t="shared" si="34"/>
        <v>0</v>
      </c>
      <c r="AF1027" s="273"/>
      <c r="AG1027" s="274"/>
      <c r="AH1027" s="273"/>
      <c r="AI1027" s="273"/>
      <c r="AJ1027" s="274"/>
      <c r="AK1027" s="273"/>
      <c r="AL1027" s="275"/>
      <c r="AM1027" s="290"/>
      <c r="AN1027" s="275"/>
      <c r="AO1027" s="276"/>
      <c r="AP1027" s="275"/>
      <c r="AQ1027" s="275">
        <v>1800000</v>
      </c>
      <c r="AR1027" s="275"/>
      <c r="AS1027" s="275"/>
      <c r="AT1027" s="275"/>
      <c r="AU1027" s="275"/>
      <c r="AV1027" s="275"/>
      <c r="AW1027" s="275"/>
      <c r="AX1027" s="275"/>
      <c r="AY1027" s="275"/>
      <c r="AZ1027" s="275"/>
      <c r="BA1027" s="275"/>
      <c r="BB1027" s="275"/>
      <c r="BC1027" s="275"/>
      <c r="BD1027" s="275"/>
      <c r="BE1027" s="275"/>
      <c r="BF1027" s="275"/>
      <c r="BH1027" s="277"/>
    </row>
    <row r="1028" spans="1:60" ht="16.5" hidden="1" customHeight="1" x14ac:dyDescent="0.3">
      <c r="A1028" s="260">
        <v>1006</v>
      </c>
      <c r="B1028" s="261"/>
      <c r="C1028" s="261"/>
      <c r="D1028" s="262" t="s">
        <v>15</v>
      </c>
      <c r="E1028" s="262" t="s">
        <v>153</v>
      </c>
      <c r="F1028" s="263" t="s">
        <v>15</v>
      </c>
      <c r="G1028" s="264" t="s">
        <v>153</v>
      </c>
      <c r="H1028" s="281"/>
      <c r="I1028" s="265"/>
      <c r="J1028" s="266" t="s">
        <v>976</v>
      </c>
      <c r="K1028" s="262"/>
      <c r="L1028" s="262"/>
      <c r="M1028" s="262">
        <v>3699</v>
      </c>
      <c r="N1028" s="262"/>
      <c r="O1028" s="262"/>
      <c r="P1028" s="262"/>
      <c r="Q1028" s="262"/>
      <c r="R1028" s="262"/>
      <c r="S1028" s="267" t="s">
        <v>19</v>
      </c>
      <c r="T1028" s="268"/>
      <c r="U1028" s="269"/>
      <c r="V1028" s="269"/>
      <c r="W1028" s="278">
        <v>0</v>
      </c>
      <c r="X1028" s="270"/>
      <c r="Y1028" s="262"/>
      <c r="Z1028" s="271" t="s">
        <v>27</v>
      </c>
      <c r="AA1028" s="287"/>
      <c r="AB1028" s="287"/>
      <c r="AC1028" s="272">
        <f t="shared" si="33"/>
        <v>20000000</v>
      </c>
      <c r="AD1028" s="272">
        <v>20000000</v>
      </c>
      <c r="AE1028" s="272">
        <f t="shared" si="34"/>
        <v>0</v>
      </c>
      <c r="AF1028" s="273"/>
      <c r="AG1028" s="274"/>
      <c r="AH1028" s="273"/>
      <c r="AI1028" s="273"/>
      <c r="AJ1028" s="274"/>
      <c r="AK1028" s="273"/>
      <c r="AL1028" s="275"/>
      <c r="AM1028" s="290"/>
      <c r="AN1028" s="275"/>
      <c r="AO1028" s="276"/>
      <c r="AP1028" s="275"/>
      <c r="AQ1028" s="275"/>
      <c r="AR1028" s="275"/>
      <c r="AS1028" s="275"/>
      <c r="AT1028" s="275"/>
      <c r="AU1028" s="275">
        <v>20000000</v>
      </c>
      <c r="AV1028" s="275"/>
      <c r="AW1028" s="275"/>
      <c r="AX1028" s="275"/>
      <c r="AY1028" s="275"/>
      <c r="AZ1028" s="275"/>
      <c r="BA1028" s="275"/>
      <c r="BB1028" s="275"/>
      <c r="BC1028" s="275"/>
      <c r="BD1028" s="275"/>
      <c r="BE1028" s="275"/>
      <c r="BF1028" s="275"/>
      <c r="BH1028" s="277"/>
    </row>
    <row r="1029" spans="1:60" ht="16.5" hidden="1" customHeight="1" x14ac:dyDescent="0.3">
      <c r="A1029" s="260">
        <v>1007</v>
      </c>
      <c r="B1029" s="261"/>
      <c r="C1029" s="261"/>
      <c r="D1029" s="262" t="s">
        <v>15</v>
      </c>
      <c r="E1029" s="262" t="s">
        <v>153</v>
      </c>
      <c r="F1029" s="263" t="s">
        <v>15</v>
      </c>
      <c r="G1029" s="264" t="s">
        <v>153</v>
      </c>
      <c r="H1029" s="281"/>
      <c r="I1029" s="265"/>
      <c r="J1029" s="266" t="s">
        <v>179</v>
      </c>
      <c r="K1029" s="262"/>
      <c r="L1029" s="262"/>
      <c r="M1029" s="262">
        <v>4083</v>
      </c>
      <c r="N1029" s="262" t="s">
        <v>22</v>
      </c>
      <c r="O1029" s="262" t="s">
        <v>56</v>
      </c>
      <c r="P1029" s="262" t="s">
        <v>124</v>
      </c>
      <c r="Q1029" s="262" t="s">
        <v>26</v>
      </c>
      <c r="R1029" s="262" t="s">
        <v>468</v>
      </c>
      <c r="S1029" s="267" t="s">
        <v>468</v>
      </c>
      <c r="T1029" s="268"/>
      <c r="U1029" s="269"/>
      <c r="V1029" s="269">
        <v>5250000</v>
      </c>
      <c r="W1029" s="278">
        <v>3450000</v>
      </c>
      <c r="X1029" s="270"/>
      <c r="Y1029" s="262" t="s">
        <v>27</v>
      </c>
      <c r="Z1029" s="271" t="s">
        <v>562</v>
      </c>
      <c r="AA1029" s="287"/>
      <c r="AB1029" s="287"/>
      <c r="AC1029" s="272">
        <f t="shared" si="33"/>
        <v>3000000</v>
      </c>
      <c r="AD1029" s="272">
        <v>3000000</v>
      </c>
      <c r="AE1029" s="272">
        <f t="shared" si="34"/>
        <v>0</v>
      </c>
      <c r="AF1029" s="273"/>
      <c r="AG1029" s="274"/>
      <c r="AH1029" s="273"/>
      <c r="AI1029" s="273"/>
      <c r="AJ1029" s="274"/>
      <c r="AK1029" s="273"/>
      <c r="AL1029" s="275"/>
      <c r="AM1029" s="290"/>
      <c r="AN1029" s="275"/>
      <c r="AO1029" s="276">
        <v>3000000</v>
      </c>
      <c r="AP1029" s="275"/>
      <c r="AQ1029" s="275"/>
      <c r="AR1029" s="275"/>
      <c r="AS1029" s="275"/>
      <c r="AT1029" s="275"/>
      <c r="AU1029" s="275"/>
      <c r="AV1029" s="275"/>
      <c r="AW1029" s="275"/>
      <c r="AX1029" s="275"/>
      <c r="AY1029" s="275"/>
      <c r="AZ1029" s="275"/>
      <c r="BA1029" s="275"/>
      <c r="BB1029" s="275"/>
      <c r="BC1029" s="275"/>
      <c r="BD1029" s="275"/>
      <c r="BE1029" s="275"/>
      <c r="BF1029" s="275"/>
      <c r="BH1029" s="277"/>
    </row>
    <row r="1030" spans="1:60" ht="16.5" hidden="1" customHeight="1" x14ac:dyDescent="0.3">
      <c r="A1030" s="260">
        <v>1008</v>
      </c>
      <c r="B1030" s="261"/>
      <c r="C1030" s="261"/>
      <c r="D1030" s="262" t="s">
        <v>15</v>
      </c>
      <c r="E1030" s="262" t="s">
        <v>153</v>
      </c>
      <c r="F1030" s="263" t="s">
        <v>15</v>
      </c>
      <c r="G1030" s="264" t="s">
        <v>153</v>
      </c>
      <c r="H1030" s="281"/>
      <c r="I1030" s="265"/>
      <c r="J1030" s="266" t="s">
        <v>180</v>
      </c>
      <c r="K1030" s="262"/>
      <c r="L1030" s="262"/>
      <c r="M1030" s="262">
        <v>4083</v>
      </c>
      <c r="N1030" s="262" t="s">
        <v>22</v>
      </c>
      <c r="O1030" s="262" t="s">
        <v>35</v>
      </c>
      <c r="P1030" s="262" t="s">
        <v>124</v>
      </c>
      <c r="Q1030" s="262" t="s">
        <v>44</v>
      </c>
      <c r="R1030" s="262" t="s">
        <v>469</v>
      </c>
      <c r="S1030" s="267" t="s">
        <v>469</v>
      </c>
      <c r="T1030" s="268"/>
      <c r="U1030" s="269">
        <v>45000000</v>
      </c>
      <c r="V1030" s="269">
        <v>6500000</v>
      </c>
      <c r="W1030" s="278">
        <v>26000000</v>
      </c>
      <c r="X1030" s="270"/>
      <c r="Y1030" s="262" t="s">
        <v>27</v>
      </c>
      <c r="Z1030" s="271" t="s">
        <v>27</v>
      </c>
      <c r="AA1030" s="287"/>
      <c r="AB1030" s="287"/>
      <c r="AC1030" s="272">
        <f t="shared" si="33"/>
        <v>23000000</v>
      </c>
      <c r="AD1030" s="272">
        <v>23000000</v>
      </c>
      <c r="AE1030" s="272">
        <f t="shared" si="34"/>
        <v>0</v>
      </c>
      <c r="AF1030" s="273"/>
      <c r="AG1030" s="274"/>
      <c r="AH1030" s="273"/>
      <c r="AI1030" s="273"/>
      <c r="AJ1030" s="274"/>
      <c r="AK1030" s="273"/>
      <c r="AL1030" s="275">
        <v>25300000</v>
      </c>
      <c r="AM1030" s="290">
        <v>23000000</v>
      </c>
      <c r="AN1030" s="275"/>
      <c r="AO1030" s="276"/>
      <c r="AP1030" s="275"/>
      <c r="AQ1030" s="275"/>
      <c r="AR1030" s="275"/>
      <c r="AS1030" s="275"/>
      <c r="AT1030" s="275"/>
      <c r="AU1030" s="275"/>
      <c r="AV1030" s="275"/>
      <c r="AW1030" s="275"/>
      <c r="AX1030" s="275"/>
      <c r="AY1030" s="275"/>
      <c r="AZ1030" s="275"/>
      <c r="BA1030" s="275"/>
      <c r="BB1030" s="275"/>
      <c r="BC1030" s="275"/>
      <c r="BD1030" s="275"/>
      <c r="BE1030" s="275"/>
      <c r="BF1030" s="275"/>
      <c r="BH1030" s="277"/>
    </row>
    <row r="1031" spans="1:60" ht="16.5" hidden="1" customHeight="1" x14ac:dyDescent="0.3">
      <c r="A1031" s="260">
        <v>1009</v>
      </c>
      <c r="B1031" s="261"/>
      <c r="C1031" s="261"/>
      <c r="D1031" s="262" t="s">
        <v>15</v>
      </c>
      <c r="E1031" s="262" t="s">
        <v>153</v>
      </c>
      <c r="F1031" s="263" t="s">
        <v>15</v>
      </c>
      <c r="G1031" s="264" t="s">
        <v>153</v>
      </c>
      <c r="H1031" s="281"/>
      <c r="I1031" s="265"/>
      <c r="J1031" s="266" t="s">
        <v>888</v>
      </c>
      <c r="K1031" s="262"/>
      <c r="L1031" s="262"/>
      <c r="M1031" s="262">
        <v>4083</v>
      </c>
      <c r="N1031" s="262" t="s">
        <v>22</v>
      </c>
      <c r="O1031" s="262" t="s">
        <v>56</v>
      </c>
      <c r="P1031" s="262" t="s">
        <v>124</v>
      </c>
      <c r="Q1031" s="262" t="s">
        <v>44</v>
      </c>
      <c r="R1031" s="262" t="s">
        <v>469</v>
      </c>
      <c r="S1031" s="267" t="s">
        <v>469</v>
      </c>
      <c r="T1031" s="268"/>
      <c r="U1031" s="269"/>
      <c r="V1031" s="269">
        <v>0</v>
      </c>
      <c r="W1031" s="278">
        <v>0</v>
      </c>
      <c r="X1031" s="270"/>
      <c r="Y1031" s="262" t="s">
        <v>20</v>
      </c>
      <c r="Z1031" s="271" t="s">
        <v>74</v>
      </c>
      <c r="AA1031" s="287"/>
      <c r="AB1031" s="287"/>
      <c r="AC1031" s="272">
        <f t="shared" si="33"/>
        <v>10000000</v>
      </c>
      <c r="AD1031" s="272">
        <v>10000000</v>
      </c>
      <c r="AE1031" s="272">
        <f t="shared" si="34"/>
        <v>0</v>
      </c>
      <c r="AF1031" s="273"/>
      <c r="AG1031" s="274"/>
      <c r="AH1031" s="273"/>
      <c r="AI1031" s="273"/>
      <c r="AJ1031" s="274"/>
      <c r="AK1031" s="273"/>
      <c r="AL1031" s="275"/>
      <c r="AM1031" s="290"/>
      <c r="AN1031" s="275"/>
      <c r="AO1031" s="276"/>
      <c r="AP1031" s="275"/>
      <c r="AQ1031" s="275"/>
      <c r="AR1031" s="275"/>
      <c r="AS1031" s="275"/>
      <c r="AT1031" s="275"/>
      <c r="AU1031" s="275"/>
      <c r="AV1031" s="275"/>
      <c r="AW1031" s="275">
        <v>10000000</v>
      </c>
      <c r="AX1031" s="275"/>
      <c r="AY1031" s="275"/>
      <c r="AZ1031" s="275"/>
      <c r="BA1031" s="275"/>
      <c r="BB1031" s="275"/>
      <c r="BC1031" s="275"/>
      <c r="BD1031" s="275"/>
      <c r="BE1031" s="275"/>
      <c r="BF1031" s="275"/>
      <c r="BH1031" s="277"/>
    </row>
    <row r="1032" spans="1:60" ht="16.5" hidden="1" customHeight="1" x14ac:dyDescent="0.3">
      <c r="A1032" s="260">
        <v>1010</v>
      </c>
      <c r="B1032" s="261"/>
      <c r="C1032" s="261"/>
      <c r="D1032" s="262" t="s">
        <v>15</v>
      </c>
      <c r="E1032" s="262" t="s">
        <v>153</v>
      </c>
      <c r="F1032" s="263" t="s">
        <v>15</v>
      </c>
      <c r="G1032" s="264" t="s">
        <v>153</v>
      </c>
      <c r="H1032" s="281"/>
      <c r="I1032" s="265"/>
      <c r="J1032" s="266" t="s">
        <v>687</v>
      </c>
      <c r="K1032" s="262"/>
      <c r="L1032" s="262"/>
      <c r="M1032" s="262">
        <v>21561</v>
      </c>
      <c r="N1032" s="262"/>
      <c r="O1032" s="262"/>
      <c r="P1032" s="262"/>
      <c r="Q1032" s="262"/>
      <c r="R1032" s="262" t="s">
        <v>397</v>
      </c>
      <c r="S1032" s="267" t="s">
        <v>823</v>
      </c>
      <c r="T1032" s="268"/>
      <c r="U1032" s="269"/>
      <c r="V1032" s="269"/>
      <c r="W1032" s="278">
        <v>25791000</v>
      </c>
      <c r="X1032" s="270"/>
      <c r="Y1032" s="262" t="s">
        <v>27</v>
      </c>
      <c r="Z1032" s="271" t="s">
        <v>562</v>
      </c>
      <c r="AA1032" s="287"/>
      <c r="AB1032" s="287"/>
      <c r="AC1032" s="272">
        <f t="shared" si="33"/>
        <v>0</v>
      </c>
      <c r="AD1032" s="272">
        <v>0</v>
      </c>
      <c r="AE1032" s="272">
        <f t="shared" si="34"/>
        <v>0</v>
      </c>
      <c r="AF1032" s="273"/>
      <c r="AG1032" s="274"/>
      <c r="AH1032" s="273"/>
      <c r="AI1032" s="273"/>
      <c r="AJ1032" s="274"/>
      <c r="AK1032" s="273"/>
      <c r="AL1032" s="275"/>
      <c r="AM1032" s="290"/>
      <c r="AN1032" s="275"/>
      <c r="AO1032" s="276"/>
      <c r="AP1032" s="275"/>
      <c r="AQ1032" s="275"/>
      <c r="AR1032" s="275"/>
      <c r="AS1032" s="275"/>
      <c r="AT1032" s="275"/>
      <c r="AU1032" s="275"/>
      <c r="AV1032" s="275"/>
      <c r="AW1032" s="275"/>
      <c r="AX1032" s="275"/>
      <c r="AY1032" s="275"/>
      <c r="AZ1032" s="275"/>
      <c r="BA1032" s="275"/>
      <c r="BB1032" s="275"/>
      <c r="BC1032" s="275"/>
      <c r="BD1032" s="275"/>
      <c r="BE1032" s="275"/>
      <c r="BF1032" s="275"/>
      <c r="BH1032" s="277"/>
    </row>
    <row r="1033" spans="1:60" ht="16.5" hidden="1" customHeight="1" x14ac:dyDescent="0.3">
      <c r="A1033" s="260">
        <v>1012</v>
      </c>
      <c r="B1033" s="261"/>
      <c r="C1033" s="261"/>
      <c r="D1033" s="262" t="s">
        <v>15</v>
      </c>
      <c r="E1033" s="262" t="s">
        <v>153</v>
      </c>
      <c r="F1033" s="263" t="s">
        <v>15</v>
      </c>
      <c r="G1033" s="264" t="s">
        <v>153</v>
      </c>
      <c r="H1033" s="281"/>
      <c r="I1033" s="265"/>
      <c r="J1033" s="266" t="s">
        <v>889</v>
      </c>
      <c r="K1033" s="262"/>
      <c r="L1033" s="262"/>
      <c r="M1033" s="262">
        <v>59584</v>
      </c>
      <c r="N1033" s="262" t="s">
        <v>22</v>
      </c>
      <c r="O1033" s="262" t="s">
        <v>56</v>
      </c>
      <c r="P1033" s="262"/>
      <c r="Q1033" s="262" t="s">
        <v>18</v>
      </c>
      <c r="R1033" s="262" t="s">
        <v>19</v>
      </c>
      <c r="S1033" s="267" t="s">
        <v>19</v>
      </c>
      <c r="T1033" s="268"/>
      <c r="U1033" s="269">
        <v>2000000</v>
      </c>
      <c r="V1033" s="269">
        <v>2015000</v>
      </c>
      <c r="W1033" s="278">
        <v>2000000</v>
      </c>
      <c r="X1033" s="270"/>
      <c r="Y1033" s="262" t="s">
        <v>25</v>
      </c>
      <c r="Z1033" s="271" t="s">
        <v>25</v>
      </c>
      <c r="AA1033" s="287"/>
      <c r="AB1033" s="287"/>
      <c r="AC1033" s="272">
        <f t="shared" si="33"/>
        <v>2000000</v>
      </c>
      <c r="AD1033" s="272">
        <v>2000000</v>
      </c>
      <c r="AE1033" s="272">
        <f t="shared" si="34"/>
        <v>0</v>
      </c>
      <c r="AF1033" s="273"/>
      <c r="AG1033" s="274"/>
      <c r="AH1033" s="273"/>
      <c r="AI1033" s="273"/>
      <c r="AJ1033" s="274"/>
      <c r="AK1033" s="273"/>
      <c r="AL1033" s="275"/>
      <c r="AM1033" s="290"/>
      <c r="AN1033" s="275"/>
      <c r="AO1033" s="276"/>
      <c r="AP1033" s="275"/>
      <c r="AQ1033" s="275"/>
      <c r="AR1033" s="275"/>
      <c r="AS1033" s="275"/>
      <c r="AT1033" s="275"/>
      <c r="AU1033" s="275"/>
      <c r="AV1033" s="275"/>
      <c r="AW1033" s="275"/>
      <c r="AX1033" s="275"/>
      <c r="AY1033" s="275"/>
      <c r="AZ1033" s="275"/>
      <c r="BA1033" s="275"/>
      <c r="BB1033" s="275"/>
      <c r="BC1033" s="275"/>
      <c r="BD1033" s="275"/>
      <c r="BE1033" s="275">
        <v>2000000</v>
      </c>
      <c r="BF1033" s="275"/>
      <c r="BH1033" s="277"/>
    </row>
    <row r="1034" spans="1:60" ht="16.5" hidden="1" customHeight="1" x14ac:dyDescent="0.3">
      <c r="A1034" s="260">
        <v>1013</v>
      </c>
      <c r="B1034" s="261"/>
      <c r="C1034" s="261"/>
      <c r="D1034" s="262" t="s">
        <v>15</v>
      </c>
      <c r="E1034" s="262" t="s">
        <v>153</v>
      </c>
      <c r="F1034" s="263" t="s">
        <v>15</v>
      </c>
      <c r="G1034" s="264" t="s">
        <v>153</v>
      </c>
      <c r="H1034" s="281"/>
      <c r="I1034" s="265"/>
      <c r="J1034" s="266" t="s">
        <v>890</v>
      </c>
      <c r="K1034" s="262"/>
      <c r="L1034" s="262"/>
      <c r="M1034" s="262">
        <v>619</v>
      </c>
      <c r="N1034" s="262"/>
      <c r="O1034" s="262"/>
      <c r="P1034" s="262"/>
      <c r="Q1034" s="262"/>
      <c r="R1034" s="262" t="s">
        <v>28</v>
      </c>
      <c r="S1034" s="267" t="s">
        <v>28</v>
      </c>
      <c r="T1034" s="268"/>
      <c r="U1034" s="269"/>
      <c r="V1034" s="269"/>
      <c r="W1034" s="278">
        <v>12840078</v>
      </c>
      <c r="X1034" s="270"/>
      <c r="Y1034" s="262" t="s">
        <v>27</v>
      </c>
      <c r="Z1034" s="271" t="s">
        <v>718</v>
      </c>
      <c r="AA1034" s="287"/>
      <c r="AB1034" s="287"/>
      <c r="AC1034" s="272">
        <f t="shared" si="33"/>
        <v>0</v>
      </c>
      <c r="AD1034" s="272">
        <v>0</v>
      </c>
      <c r="AE1034" s="272">
        <f t="shared" si="34"/>
        <v>0</v>
      </c>
      <c r="AF1034" s="273"/>
      <c r="AG1034" s="274"/>
      <c r="AH1034" s="273"/>
      <c r="AI1034" s="273"/>
      <c r="AJ1034" s="274"/>
      <c r="AK1034" s="273"/>
      <c r="AL1034" s="275"/>
      <c r="AM1034" s="290"/>
      <c r="AN1034" s="275"/>
      <c r="AO1034" s="276"/>
      <c r="AP1034" s="275"/>
      <c r="AQ1034" s="275"/>
      <c r="AR1034" s="275"/>
      <c r="AS1034" s="275"/>
      <c r="AT1034" s="275"/>
      <c r="AU1034" s="275"/>
      <c r="AV1034" s="275"/>
      <c r="AW1034" s="275"/>
      <c r="AX1034" s="275"/>
      <c r="AY1034" s="275"/>
      <c r="AZ1034" s="275"/>
      <c r="BA1034" s="275"/>
      <c r="BB1034" s="275"/>
      <c r="BC1034" s="275"/>
      <c r="BD1034" s="275"/>
      <c r="BE1034" s="275"/>
      <c r="BF1034" s="275"/>
      <c r="BH1034" s="277"/>
    </row>
    <row r="1035" spans="1:60" ht="16.5" hidden="1" customHeight="1" x14ac:dyDescent="0.3">
      <c r="A1035" s="260">
        <v>1014</v>
      </c>
      <c r="B1035" s="261"/>
      <c r="C1035" s="261"/>
      <c r="D1035" s="262" t="s">
        <v>15</v>
      </c>
      <c r="E1035" s="262" t="s">
        <v>153</v>
      </c>
      <c r="F1035" s="263" t="s">
        <v>15</v>
      </c>
      <c r="G1035" s="264" t="s">
        <v>153</v>
      </c>
      <c r="H1035" s="281"/>
      <c r="I1035" s="265"/>
      <c r="J1035" s="266" t="s">
        <v>891</v>
      </c>
      <c r="K1035" s="262"/>
      <c r="L1035" s="262"/>
      <c r="M1035" s="262">
        <v>619</v>
      </c>
      <c r="N1035" s="262" t="s">
        <v>22</v>
      </c>
      <c r="O1035" s="262" t="s">
        <v>178</v>
      </c>
      <c r="P1035" s="262" t="s">
        <v>124</v>
      </c>
      <c r="Q1035" s="262" t="s">
        <v>44</v>
      </c>
      <c r="R1035" s="262" t="s">
        <v>469</v>
      </c>
      <c r="S1035" s="267" t="s">
        <v>469</v>
      </c>
      <c r="T1035" s="268"/>
      <c r="U1035" s="269">
        <v>20160000</v>
      </c>
      <c r="V1035" s="269">
        <v>0</v>
      </c>
      <c r="W1035" s="278">
        <v>28000000</v>
      </c>
      <c r="X1035" s="270"/>
      <c r="Y1035" s="262" t="s">
        <v>25</v>
      </c>
      <c r="Z1035" s="271" t="s">
        <v>74</v>
      </c>
      <c r="AA1035" s="287"/>
      <c r="AB1035" s="287"/>
      <c r="AC1035" s="272">
        <f t="shared" si="33"/>
        <v>20000000</v>
      </c>
      <c r="AD1035" s="272">
        <v>20000000</v>
      </c>
      <c r="AE1035" s="272">
        <f t="shared" si="34"/>
        <v>0</v>
      </c>
      <c r="AF1035" s="273"/>
      <c r="AG1035" s="274"/>
      <c r="AH1035" s="273"/>
      <c r="AI1035" s="273"/>
      <c r="AJ1035" s="274"/>
      <c r="AK1035" s="273"/>
      <c r="AL1035" s="275"/>
      <c r="AM1035" s="290"/>
      <c r="AN1035" s="275"/>
      <c r="AO1035" s="276"/>
      <c r="AP1035" s="275"/>
      <c r="AQ1035" s="275"/>
      <c r="AR1035" s="275"/>
      <c r="AS1035" s="275"/>
      <c r="AT1035" s="275"/>
      <c r="AU1035" s="275"/>
      <c r="AV1035" s="275"/>
      <c r="AW1035" s="275"/>
      <c r="AX1035" s="275"/>
      <c r="AY1035" s="275"/>
      <c r="AZ1035" s="275"/>
      <c r="BA1035" s="275"/>
      <c r="BB1035" s="275"/>
      <c r="BC1035" s="275"/>
      <c r="BD1035" s="275"/>
      <c r="BE1035" s="275">
        <v>20000000</v>
      </c>
      <c r="BF1035" s="275"/>
      <c r="BH1035" s="277"/>
    </row>
    <row r="1036" spans="1:60" ht="16.5" hidden="1" customHeight="1" x14ac:dyDescent="0.3">
      <c r="A1036" s="260">
        <v>1015</v>
      </c>
      <c r="B1036" s="261"/>
      <c r="C1036" s="261"/>
      <c r="D1036" s="262" t="s">
        <v>15</v>
      </c>
      <c r="E1036" s="262" t="s">
        <v>153</v>
      </c>
      <c r="F1036" s="263" t="s">
        <v>15</v>
      </c>
      <c r="G1036" s="264" t="s">
        <v>153</v>
      </c>
      <c r="H1036" s="281"/>
      <c r="I1036" s="265"/>
      <c r="J1036" s="266" t="s">
        <v>892</v>
      </c>
      <c r="K1036" s="262"/>
      <c r="L1036" s="262"/>
      <c r="M1036" s="262">
        <v>619</v>
      </c>
      <c r="N1036" s="262" t="s">
        <v>22</v>
      </c>
      <c r="O1036" s="262" t="s">
        <v>56</v>
      </c>
      <c r="P1036" s="262" t="s">
        <v>124</v>
      </c>
      <c r="Q1036" s="262" t="s">
        <v>44</v>
      </c>
      <c r="R1036" s="262" t="s">
        <v>469</v>
      </c>
      <c r="S1036" s="267" t="s">
        <v>469</v>
      </c>
      <c r="T1036" s="268"/>
      <c r="U1036" s="269">
        <v>0</v>
      </c>
      <c r="V1036" s="269">
        <v>132393067</v>
      </c>
      <c r="W1036" s="278">
        <v>2000000</v>
      </c>
      <c r="X1036" s="270"/>
      <c r="Y1036" s="262" t="s">
        <v>27</v>
      </c>
      <c r="Z1036" s="271" t="s">
        <v>74</v>
      </c>
      <c r="AA1036" s="287"/>
      <c r="AB1036" s="287"/>
      <c r="AC1036" s="272">
        <f t="shared" si="33"/>
        <v>0</v>
      </c>
      <c r="AD1036" s="272">
        <v>0</v>
      </c>
      <c r="AE1036" s="272">
        <f t="shared" si="34"/>
        <v>0</v>
      </c>
      <c r="AF1036" s="273"/>
      <c r="AG1036" s="274"/>
      <c r="AH1036" s="273"/>
      <c r="AI1036" s="273">
        <v>2000000</v>
      </c>
      <c r="AJ1036" s="274"/>
      <c r="AK1036" s="273"/>
      <c r="AL1036" s="275"/>
      <c r="AM1036" s="290"/>
      <c r="AN1036" s="275"/>
      <c r="AO1036" s="276"/>
      <c r="AP1036" s="275"/>
      <c r="AQ1036" s="275"/>
      <c r="AR1036" s="275"/>
      <c r="AS1036" s="275"/>
      <c r="AT1036" s="275"/>
      <c r="AU1036" s="275"/>
      <c r="AV1036" s="275"/>
      <c r="AW1036" s="275"/>
      <c r="AX1036" s="275"/>
      <c r="AY1036" s="275"/>
      <c r="AZ1036" s="275"/>
      <c r="BA1036" s="275"/>
      <c r="BB1036" s="275"/>
      <c r="BC1036" s="275"/>
      <c r="BD1036" s="275"/>
      <c r="BE1036" s="275"/>
      <c r="BF1036" s="275"/>
      <c r="BH1036" s="277"/>
    </row>
    <row r="1037" spans="1:60" ht="16.5" hidden="1" customHeight="1" x14ac:dyDescent="0.3">
      <c r="A1037" s="260">
        <v>1016</v>
      </c>
      <c r="B1037" s="261"/>
      <c r="C1037" s="261"/>
      <c r="D1037" s="262" t="s">
        <v>15</v>
      </c>
      <c r="E1037" s="262" t="s">
        <v>153</v>
      </c>
      <c r="F1037" s="263" t="s">
        <v>15</v>
      </c>
      <c r="G1037" s="264" t="s">
        <v>153</v>
      </c>
      <c r="H1037" s="281"/>
      <c r="I1037" s="265"/>
      <c r="J1037" s="266" t="s">
        <v>181</v>
      </c>
      <c r="K1037" s="262"/>
      <c r="L1037" s="262"/>
      <c r="M1037" s="262">
        <v>619</v>
      </c>
      <c r="N1037" s="262" t="s">
        <v>22</v>
      </c>
      <c r="O1037" s="262" t="s">
        <v>56</v>
      </c>
      <c r="P1037" s="262" t="s">
        <v>124</v>
      </c>
      <c r="Q1037" s="262" t="s">
        <v>44</v>
      </c>
      <c r="R1037" s="262" t="s">
        <v>469</v>
      </c>
      <c r="S1037" s="267" t="s">
        <v>469</v>
      </c>
      <c r="T1037" s="268"/>
      <c r="U1037" s="269">
        <v>26000000</v>
      </c>
      <c r="V1037" s="269">
        <v>0</v>
      </c>
      <c r="W1037" s="278">
        <v>0</v>
      </c>
      <c r="X1037" s="270"/>
      <c r="Y1037" s="262" t="s">
        <v>27</v>
      </c>
      <c r="Z1037" s="271" t="s">
        <v>24</v>
      </c>
      <c r="AA1037" s="287"/>
      <c r="AB1037" s="287"/>
      <c r="AC1037" s="272">
        <f t="shared" si="33"/>
        <v>10000000</v>
      </c>
      <c r="AD1037" s="272">
        <v>10000000</v>
      </c>
      <c r="AE1037" s="272">
        <f t="shared" si="34"/>
        <v>0</v>
      </c>
      <c r="AF1037" s="273"/>
      <c r="AG1037" s="274"/>
      <c r="AH1037" s="273"/>
      <c r="AI1037" s="273"/>
      <c r="AJ1037" s="274"/>
      <c r="AK1037" s="273"/>
      <c r="AL1037" s="275"/>
      <c r="AM1037" s="290"/>
      <c r="AN1037" s="275"/>
      <c r="AO1037" s="276"/>
      <c r="AP1037" s="275"/>
      <c r="AQ1037" s="291">
        <v>10000000</v>
      </c>
      <c r="AR1037" s="275"/>
      <c r="AS1037" s="275"/>
      <c r="AT1037" s="275"/>
      <c r="AU1037" s="275"/>
      <c r="AV1037" s="275"/>
      <c r="AW1037" s="275"/>
      <c r="AX1037" s="275"/>
      <c r="AY1037" s="275"/>
      <c r="AZ1037" s="275"/>
      <c r="BA1037" s="275"/>
      <c r="BB1037" s="275"/>
      <c r="BC1037" s="275"/>
      <c r="BD1037" s="275"/>
      <c r="BE1037" s="275"/>
      <c r="BF1037" s="275"/>
      <c r="BH1037" s="277"/>
    </row>
    <row r="1038" spans="1:60" ht="16.5" hidden="1" customHeight="1" x14ac:dyDescent="0.3">
      <c r="A1038" s="260">
        <v>1017</v>
      </c>
      <c r="B1038" s="261"/>
      <c r="C1038" s="261"/>
      <c r="D1038" s="262" t="s">
        <v>15</v>
      </c>
      <c r="E1038" s="262" t="s">
        <v>153</v>
      </c>
      <c r="F1038" s="263" t="s">
        <v>15</v>
      </c>
      <c r="G1038" s="264" t="s">
        <v>153</v>
      </c>
      <c r="H1038" s="281"/>
      <c r="I1038" s="265"/>
      <c r="J1038" s="266" t="s">
        <v>893</v>
      </c>
      <c r="K1038" s="262"/>
      <c r="L1038" s="262"/>
      <c r="M1038" s="262">
        <v>619</v>
      </c>
      <c r="N1038" s="262" t="s">
        <v>22</v>
      </c>
      <c r="O1038" s="262" t="s">
        <v>35</v>
      </c>
      <c r="P1038" s="262"/>
      <c r="Q1038" s="262" t="s">
        <v>44</v>
      </c>
      <c r="R1038" s="262" t="s">
        <v>469</v>
      </c>
      <c r="S1038" s="267" t="s">
        <v>469</v>
      </c>
      <c r="T1038" s="268"/>
      <c r="U1038" s="269"/>
      <c r="V1038" s="269">
        <v>0</v>
      </c>
      <c r="W1038" s="278">
        <v>0</v>
      </c>
      <c r="X1038" s="270"/>
      <c r="Y1038" s="262" t="s">
        <v>25</v>
      </c>
      <c r="Z1038" s="271" t="s">
        <v>562</v>
      </c>
      <c r="AA1038" s="287"/>
      <c r="AB1038" s="287"/>
      <c r="AC1038" s="272">
        <f t="shared" si="33"/>
        <v>10000000</v>
      </c>
      <c r="AD1038" s="272">
        <v>10000000</v>
      </c>
      <c r="AE1038" s="272">
        <f t="shared" si="34"/>
        <v>0</v>
      </c>
      <c r="AF1038" s="273"/>
      <c r="AG1038" s="274"/>
      <c r="AH1038" s="273"/>
      <c r="AI1038" s="273"/>
      <c r="AJ1038" s="274"/>
      <c r="AK1038" s="273"/>
      <c r="AL1038" s="275"/>
      <c r="AM1038" s="290"/>
      <c r="AN1038" s="275"/>
      <c r="AO1038" s="276">
        <v>10000000</v>
      </c>
      <c r="AP1038" s="275"/>
      <c r="AQ1038" s="275"/>
      <c r="AR1038" s="275"/>
      <c r="AS1038" s="275"/>
      <c r="AT1038" s="275"/>
      <c r="AU1038" s="275"/>
      <c r="AV1038" s="275"/>
      <c r="AW1038" s="275"/>
      <c r="AX1038" s="275"/>
      <c r="AY1038" s="275"/>
      <c r="AZ1038" s="275"/>
      <c r="BA1038" s="275"/>
      <c r="BB1038" s="275"/>
      <c r="BC1038" s="275"/>
      <c r="BD1038" s="275"/>
      <c r="BE1038" s="275"/>
      <c r="BF1038" s="275"/>
      <c r="BH1038" s="277"/>
    </row>
    <row r="1039" spans="1:60" ht="16.5" hidden="1" customHeight="1" x14ac:dyDescent="0.3">
      <c r="A1039" s="260">
        <v>1018</v>
      </c>
      <c r="B1039" s="261"/>
      <c r="C1039" s="261"/>
      <c r="D1039" s="262"/>
      <c r="E1039" s="262"/>
      <c r="F1039" s="263" t="s">
        <v>15</v>
      </c>
      <c r="G1039" s="264" t="s">
        <v>153</v>
      </c>
      <c r="H1039" s="281"/>
      <c r="I1039" s="265"/>
      <c r="J1039" s="266" t="s">
        <v>894</v>
      </c>
      <c r="K1039" s="262"/>
      <c r="L1039" s="262"/>
      <c r="M1039" s="262">
        <v>619</v>
      </c>
      <c r="N1039" s="262" t="s">
        <v>22</v>
      </c>
      <c r="O1039" s="262" t="s">
        <v>212</v>
      </c>
      <c r="P1039" s="262" t="s">
        <v>124</v>
      </c>
      <c r="Q1039" s="262" t="s">
        <v>44</v>
      </c>
      <c r="R1039" s="262" t="s">
        <v>469</v>
      </c>
      <c r="S1039" s="267" t="s">
        <v>469</v>
      </c>
      <c r="T1039" s="268"/>
      <c r="U1039" s="269">
        <v>76403746</v>
      </c>
      <c r="V1039" s="269">
        <v>0</v>
      </c>
      <c r="W1039" s="278">
        <v>98622764</v>
      </c>
      <c r="X1039" s="270"/>
      <c r="Y1039" s="262" t="s">
        <v>27</v>
      </c>
      <c r="Z1039" s="271" t="s">
        <v>27</v>
      </c>
      <c r="AA1039" s="287"/>
      <c r="AB1039" s="287"/>
      <c r="AC1039" s="272">
        <f t="shared" si="33"/>
        <v>74978878</v>
      </c>
      <c r="AD1039" s="272">
        <v>74978878</v>
      </c>
      <c r="AE1039" s="272">
        <f t="shared" si="34"/>
        <v>0</v>
      </c>
      <c r="AF1039" s="273">
        <v>6500000</v>
      </c>
      <c r="AG1039" s="274">
        <v>2725660</v>
      </c>
      <c r="AH1039" s="273" t="s">
        <v>978</v>
      </c>
      <c r="AI1039" s="273">
        <v>6500000</v>
      </c>
      <c r="AJ1039" s="274">
        <v>5543152</v>
      </c>
      <c r="AK1039" s="273"/>
      <c r="AL1039" s="275">
        <v>6183066</v>
      </c>
      <c r="AM1039" s="290">
        <v>6210066</v>
      </c>
      <c r="AN1039" s="275" t="s">
        <v>1003</v>
      </c>
      <c r="AO1039" s="276">
        <v>7500000</v>
      </c>
      <c r="AP1039" s="275"/>
      <c r="AQ1039" s="275">
        <v>6500000</v>
      </c>
      <c r="AR1039" s="275"/>
      <c r="AS1039" s="275">
        <v>6500000</v>
      </c>
      <c r="AT1039" s="275"/>
      <c r="AU1039" s="275">
        <v>6500000</v>
      </c>
      <c r="AV1039" s="275"/>
      <c r="AW1039" s="275">
        <v>6500000</v>
      </c>
      <c r="AX1039" s="275"/>
      <c r="AY1039" s="275">
        <v>7500000</v>
      </c>
      <c r="AZ1039" s="275"/>
      <c r="BA1039" s="275">
        <v>6500000</v>
      </c>
      <c r="BB1039" s="275"/>
      <c r="BC1039" s="275">
        <v>6500000</v>
      </c>
      <c r="BD1039" s="275"/>
      <c r="BE1039" s="275">
        <v>6500000</v>
      </c>
      <c r="BF1039" s="275"/>
      <c r="BH1039" s="277"/>
    </row>
    <row r="1040" spans="1:60" ht="16.5" hidden="1" customHeight="1" x14ac:dyDescent="0.3">
      <c r="A1040" s="260">
        <v>1019</v>
      </c>
      <c r="B1040" s="261"/>
      <c r="C1040" s="261"/>
      <c r="D1040" s="262" t="s">
        <v>15</v>
      </c>
      <c r="E1040" s="262" t="s">
        <v>153</v>
      </c>
      <c r="F1040" s="263" t="s">
        <v>15</v>
      </c>
      <c r="G1040" s="264" t="s">
        <v>153</v>
      </c>
      <c r="H1040" s="281"/>
      <c r="I1040" s="265"/>
      <c r="J1040" s="266" t="s">
        <v>182</v>
      </c>
      <c r="K1040" s="262"/>
      <c r="L1040" s="262"/>
      <c r="M1040" s="262">
        <v>3739</v>
      </c>
      <c r="N1040" s="262" t="s">
        <v>22</v>
      </c>
      <c r="O1040" s="262" t="s">
        <v>35</v>
      </c>
      <c r="P1040" s="262" t="s">
        <v>124</v>
      </c>
      <c r="Q1040" s="262" t="s">
        <v>46</v>
      </c>
      <c r="R1040" s="262" t="s">
        <v>468</v>
      </c>
      <c r="S1040" s="267" t="s">
        <v>468</v>
      </c>
      <c r="T1040" s="268"/>
      <c r="U1040" s="269" t="s">
        <v>154</v>
      </c>
      <c r="V1040" s="269">
        <v>0</v>
      </c>
      <c r="W1040" s="278">
        <v>30115000</v>
      </c>
      <c r="X1040" s="270"/>
      <c r="Y1040" s="262" t="s">
        <v>27</v>
      </c>
      <c r="Z1040" s="271" t="s">
        <v>562</v>
      </c>
      <c r="AA1040" s="287"/>
      <c r="AB1040" s="287"/>
      <c r="AC1040" s="272">
        <f t="shared" si="33"/>
        <v>0</v>
      </c>
      <c r="AD1040" s="272">
        <v>0</v>
      </c>
      <c r="AE1040" s="272">
        <f t="shared" si="34"/>
        <v>0</v>
      </c>
      <c r="AF1040" s="273"/>
      <c r="AG1040" s="274"/>
      <c r="AH1040" s="273"/>
      <c r="AI1040" s="273"/>
      <c r="AJ1040" s="274"/>
      <c r="AK1040" s="273"/>
      <c r="AL1040" s="275"/>
      <c r="AM1040" s="290"/>
      <c r="AN1040" s="275"/>
      <c r="AO1040" s="276"/>
      <c r="AP1040" s="275"/>
      <c r="AQ1040" s="275"/>
      <c r="AR1040" s="275"/>
      <c r="AS1040" s="275"/>
      <c r="AT1040" s="275"/>
      <c r="AU1040" s="275"/>
      <c r="AV1040" s="275"/>
      <c r="AW1040" s="275"/>
      <c r="AX1040" s="275"/>
      <c r="AY1040" s="275"/>
      <c r="AZ1040" s="275"/>
      <c r="BA1040" s="275"/>
      <c r="BB1040" s="275"/>
      <c r="BC1040" s="275"/>
      <c r="BD1040" s="275"/>
      <c r="BE1040" s="275"/>
      <c r="BF1040" s="275"/>
      <c r="BH1040" s="277"/>
    </row>
    <row r="1041" spans="1:60" ht="16.5" hidden="1" customHeight="1" x14ac:dyDescent="0.3">
      <c r="A1041" s="260">
        <v>1011</v>
      </c>
      <c r="B1041" s="261"/>
      <c r="C1041" s="261"/>
      <c r="D1041" s="262"/>
      <c r="E1041" s="262"/>
      <c r="F1041" s="263" t="s">
        <v>15</v>
      </c>
      <c r="G1041" s="264" t="s">
        <v>153</v>
      </c>
      <c r="H1041" s="281"/>
      <c r="I1041" s="265"/>
      <c r="J1041" s="266" t="s">
        <v>1016</v>
      </c>
      <c r="K1041" s="262"/>
      <c r="L1041" s="262"/>
      <c r="M1041" s="262">
        <v>3739</v>
      </c>
      <c r="N1041" s="262"/>
      <c r="O1041" s="262"/>
      <c r="P1041" s="262"/>
      <c r="Q1041" s="262"/>
      <c r="R1041" s="262"/>
      <c r="S1041" s="267" t="s">
        <v>837</v>
      </c>
      <c r="T1041" s="268"/>
      <c r="U1041" s="269"/>
      <c r="V1041" s="269"/>
      <c r="W1041" s="278"/>
      <c r="X1041" s="270"/>
      <c r="Y1041" s="262"/>
      <c r="Z1041" s="271" t="s">
        <v>27</v>
      </c>
      <c r="AA1041" s="287"/>
      <c r="AB1041" s="287"/>
      <c r="AC1041" s="272">
        <f t="shared" si="33"/>
        <v>1600000</v>
      </c>
      <c r="AD1041" s="272">
        <v>1600000</v>
      </c>
      <c r="AE1041" s="272">
        <f t="shared" si="34"/>
        <v>0</v>
      </c>
      <c r="AF1041" s="273"/>
      <c r="AG1041" s="274"/>
      <c r="AH1041" s="273"/>
      <c r="AI1041" s="273"/>
      <c r="AJ1041" s="274"/>
      <c r="AK1041" s="273"/>
      <c r="AL1041" s="275"/>
      <c r="AM1041" s="290">
        <v>1600000</v>
      </c>
      <c r="AN1041" s="275"/>
      <c r="AO1041" s="276"/>
      <c r="AP1041" s="275"/>
      <c r="AQ1041" s="275"/>
      <c r="AR1041" s="275"/>
      <c r="AS1041" s="275"/>
      <c r="AT1041" s="275"/>
      <c r="AU1041" s="275"/>
      <c r="AV1041" s="275"/>
      <c r="AW1041" s="275"/>
      <c r="AX1041" s="275"/>
      <c r="AY1041" s="275"/>
      <c r="AZ1041" s="275"/>
      <c r="BA1041" s="275"/>
      <c r="BB1041" s="275"/>
      <c r="BC1041" s="275"/>
      <c r="BD1041" s="275"/>
      <c r="BE1041" s="275"/>
      <c r="BF1041" s="275"/>
      <c r="BH1041" s="277"/>
    </row>
    <row r="1042" spans="1:60" ht="16.5" hidden="1" customHeight="1" x14ac:dyDescent="0.3">
      <c r="A1042" s="260">
        <v>1020</v>
      </c>
      <c r="B1042" s="261"/>
      <c r="C1042" s="261"/>
      <c r="D1042" s="262" t="s">
        <v>15</v>
      </c>
      <c r="E1042" s="262" t="s">
        <v>153</v>
      </c>
      <c r="F1042" s="263" t="s">
        <v>15</v>
      </c>
      <c r="G1042" s="264" t="s">
        <v>153</v>
      </c>
      <c r="H1042" s="281"/>
      <c r="I1042" s="265"/>
      <c r="J1042" s="266" t="s">
        <v>980</v>
      </c>
      <c r="K1042" s="262"/>
      <c r="L1042" s="262"/>
      <c r="M1042" s="262">
        <v>46891</v>
      </c>
      <c r="N1042" s="262"/>
      <c r="O1042" s="262"/>
      <c r="P1042" s="262"/>
      <c r="Q1042" s="262"/>
      <c r="R1042" s="262"/>
      <c r="S1042" s="267" t="s">
        <v>468</v>
      </c>
      <c r="T1042" s="268"/>
      <c r="U1042" s="269"/>
      <c r="V1042" s="269"/>
      <c r="W1042" s="278">
        <v>0</v>
      </c>
      <c r="X1042" s="270"/>
      <c r="Y1042" s="262"/>
      <c r="Z1042" s="271" t="s">
        <v>27</v>
      </c>
      <c r="AA1042" s="287"/>
      <c r="AB1042" s="287"/>
      <c r="AC1042" s="272">
        <f t="shared" si="33"/>
        <v>50000000</v>
      </c>
      <c r="AD1042" s="272">
        <v>50000000</v>
      </c>
      <c r="AE1042" s="272">
        <f t="shared" si="34"/>
        <v>0</v>
      </c>
      <c r="AF1042" s="273"/>
      <c r="AG1042" s="274"/>
      <c r="AH1042" s="273"/>
      <c r="AI1042" s="273"/>
      <c r="AJ1042" s="274"/>
      <c r="AK1042" s="273"/>
      <c r="AL1042" s="275"/>
      <c r="AM1042" s="290"/>
      <c r="AN1042" s="275"/>
      <c r="AO1042" s="276"/>
      <c r="AP1042" s="275"/>
      <c r="AQ1042" s="275"/>
      <c r="AR1042" s="275"/>
      <c r="AS1042" s="275">
        <v>50000000</v>
      </c>
      <c r="AT1042" s="275"/>
      <c r="AU1042" s="275"/>
      <c r="AV1042" s="275"/>
      <c r="AW1042" s="275"/>
      <c r="AX1042" s="275"/>
      <c r="AY1042" s="275"/>
      <c r="AZ1042" s="275"/>
      <c r="BA1042" s="275"/>
      <c r="BB1042" s="275"/>
      <c r="BC1042" s="275"/>
      <c r="BD1042" s="275"/>
      <c r="BE1042" s="275"/>
      <c r="BF1042" s="275"/>
      <c r="BH1042" s="277"/>
    </row>
    <row r="1043" spans="1:60" ht="16.5" hidden="1" customHeight="1" x14ac:dyDescent="0.3">
      <c r="A1043" s="260">
        <v>1021</v>
      </c>
      <c r="B1043" s="261"/>
      <c r="C1043" s="261"/>
      <c r="D1043" s="262" t="s">
        <v>15</v>
      </c>
      <c r="E1043" s="262" t="s">
        <v>153</v>
      </c>
      <c r="F1043" s="263" t="s">
        <v>15</v>
      </c>
      <c r="G1043" s="264" t="s">
        <v>153</v>
      </c>
      <c r="H1043" s="281"/>
      <c r="I1043" s="265"/>
      <c r="J1043" s="266" t="s">
        <v>895</v>
      </c>
      <c r="K1043" s="262"/>
      <c r="L1043" s="262"/>
      <c r="M1043" s="262">
        <v>46891</v>
      </c>
      <c r="N1043" s="262" t="s">
        <v>22</v>
      </c>
      <c r="O1043" s="262" t="s">
        <v>56</v>
      </c>
      <c r="P1043" s="262" t="s">
        <v>124</v>
      </c>
      <c r="Q1043" s="262" t="s">
        <v>30</v>
      </c>
      <c r="R1043" s="262" t="s">
        <v>31</v>
      </c>
      <c r="S1043" s="267" t="s">
        <v>31</v>
      </c>
      <c r="T1043" s="268"/>
      <c r="U1043" s="269"/>
      <c r="V1043" s="269">
        <v>87534233</v>
      </c>
      <c r="W1043" s="278">
        <v>45900000</v>
      </c>
      <c r="X1043" s="270"/>
      <c r="Y1043" s="262" t="s">
        <v>24</v>
      </c>
      <c r="Z1043" s="271" t="s">
        <v>24</v>
      </c>
      <c r="AA1043" s="287"/>
      <c r="AB1043" s="287"/>
      <c r="AC1043" s="272">
        <f t="shared" si="33"/>
        <v>50000000</v>
      </c>
      <c r="AD1043" s="272">
        <v>50000000</v>
      </c>
      <c r="AE1043" s="272">
        <f t="shared" si="34"/>
        <v>0</v>
      </c>
      <c r="AF1043" s="273"/>
      <c r="AG1043" s="274"/>
      <c r="AH1043" s="273"/>
      <c r="AI1043" s="273"/>
      <c r="AJ1043" s="274"/>
      <c r="AK1043" s="273"/>
      <c r="AL1043" s="275"/>
      <c r="AM1043" s="290"/>
      <c r="AN1043" s="275"/>
      <c r="AO1043" s="276"/>
      <c r="AP1043" s="275"/>
      <c r="AQ1043" s="275"/>
      <c r="AR1043" s="275"/>
      <c r="AS1043" s="275"/>
      <c r="AT1043" s="275"/>
      <c r="AU1043" s="275"/>
      <c r="AV1043" s="275"/>
      <c r="AW1043" s="275">
        <v>50000000</v>
      </c>
      <c r="AX1043" s="275"/>
      <c r="AY1043" s="275"/>
      <c r="AZ1043" s="275"/>
      <c r="BA1043" s="275"/>
      <c r="BB1043" s="275"/>
      <c r="BC1043" s="275"/>
      <c r="BD1043" s="275"/>
      <c r="BE1043" s="275"/>
      <c r="BF1043" s="275"/>
      <c r="BH1043" s="277"/>
    </row>
    <row r="1044" spans="1:60" ht="16.5" hidden="1" customHeight="1" x14ac:dyDescent="0.3">
      <c r="A1044" s="260">
        <v>1022</v>
      </c>
      <c r="B1044" s="261"/>
      <c r="C1044" s="261"/>
      <c r="D1044" s="262" t="s">
        <v>15</v>
      </c>
      <c r="E1044" s="262" t="s">
        <v>153</v>
      </c>
      <c r="F1044" s="263" t="s">
        <v>15</v>
      </c>
      <c r="G1044" s="264" t="s">
        <v>153</v>
      </c>
      <c r="H1044" s="281"/>
      <c r="I1044" s="265"/>
      <c r="J1044" s="266" t="s">
        <v>896</v>
      </c>
      <c r="K1044" s="262"/>
      <c r="L1044" s="262"/>
      <c r="M1044" s="262">
        <v>46891</v>
      </c>
      <c r="N1044" s="262" t="s">
        <v>22</v>
      </c>
      <c r="O1044" s="262" t="s">
        <v>35</v>
      </c>
      <c r="P1044" s="262" t="s">
        <v>124</v>
      </c>
      <c r="Q1044" s="262" t="s">
        <v>26</v>
      </c>
      <c r="R1044" s="262" t="s">
        <v>468</v>
      </c>
      <c r="S1044" s="267" t="s">
        <v>468</v>
      </c>
      <c r="T1044" s="268"/>
      <c r="U1044" s="269"/>
      <c r="V1044" s="269">
        <v>0</v>
      </c>
      <c r="W1044" s="278">
        <v>0</v>
      </c>
      <c r="X1044" s="270"/>
      <c r="Y1044" s="262" t="s">
        <v>25</v>
      </c>
      <c r="Z1044" s="271" t="s">
        <v>25</v>
      </c>
      <c r="AA1044" s="287"/>
      <c r="AB1044" s="287"/>
      <c r="AC1044" s="272">
        <f t="shared" si="33"/>
        <v>50000000</v>
      </c>
      <c r="AD1044" s="272">
        <v>50000000</v>
      </c>
      <c r="AE1044" s="272">
        <f t="shared" si="34"/>
        <v>0</v>
      </c>
      <c r="AF1044" s="273"/>
      <c r="AG1044" s="274"/>
      <c r="AH1044" s="273"/>
      <c r="AI1044" s="273"/>
      <c r="AJ1044" s="274"/>
      <c r="AK1044" s="273"/>
      <c r="AL1044" s="275"/>
      <c r="AM1044" s="290"/>
      <c r="AN1044" s="275"/>
      <c r="AO1044" s="276"/>
      <c r="AP1044" s="275"/>
      <c r="AQ1044" s="275">
        <v>50000000</v>
      </c>
      <c r="AR1044" s="275"/>
      <c r="AS1044" s="275"/>
      <c r="AT1044" s="275"/>
      <c r="AU1044" s="275"/>
      <c r="AV1044" s="275"/>
      <c r="AW1044" s="275"/>
      <c r="AX1044" s="275"/>
      <c r="AY1044" s="275"/>
      <c r="AZ1044" s="275"/>
      <c r="BA1044" s="275"/>
      <c r="BB1044" s="275"/>
      <c r="BC1044" s="275"/>
      <c r="BD1044" s="275"/>
      <c r="BE1044" s="275"/>
      <c r="BF1044" s="275"/>
      <c r="BH1044" s="277"/>
    </row>
    <row r="1045" spans="1:60" ht="16.5" hidden="1" customHeight="1" x14ac:dyDescent="0.3">
      <c r="A1045" s="260">
        <v>1023</v>
      </c>
      <c r="B1045" s="261"/>
      <c r="C1045" s="261"/>
      <c r="D1045" s="262" t="s">
        <v>15</v>
      </c>
      <c r="E1045" s="262" t="s">
        <v>153</v>
      </c>
      <c r="F1045" s="263" t="s">
        <v>15</v>
      </c>
      <c r="G1045" s="264" t="s">
        <v>153</v>
      </c>
      <c r="H1045" s="281"/>
      <c r="I1045" s="265"/>
      <c r="J1045" s="266" t="s">
        <v>896</v>
      </c>
      <c r="K1045" s="262"/>
      <c r="L1045" s="262"/>
      <c r="M1045" s="262">
        <v>46891</v>
      </c>
      <c r="N1045" s="262" t="s">
        <v>22</v>
      </c>
      <c r="O1045" s="262" t="s">
        <v>35</v>
      </c>
      <c r="P1045" s="262" t="s">
        <v>124</v>
      </c>
      <c r="Q1045" s="262"/>
      <c r="R1045" s="262"/>
      <c r="S1045" s="267" t="s">
        <v>822</v>
      </c>
      <c r="T1045" s="268"/>
      <c r="U1045" s="269"/>
      <c r="V1045" s="269"/>
      <c r="W1045" s="278">
        <v>0</v>
      </c>
      <c r="X1045" s="270"/>
      <c r="Y1045" s="262"/>
      <c r="Z1045" s="271" t="s">
        <v>562</v>
      </c>
      <c r="AA1045" s="287"/>
      <c r="AB1045" s="287"/>
      <c r="AC1045" s="272">
        <f t="shared" si="33"/>
        <v>0</v>
      </c>
      <c r="AD1045" s="272">
        <v>0</v>
      </c>
      <c r="AE1045" s="272">
        <f t="shared" si="34"/>
        <v>0</v>
      </c>
      <c r="AF1045" s="273"/>
      <c r="AG1045" s="274"/>
      <c r="AH1045" s="273"/>
      <c r="AI1045" s="273">
        <v>30000000</v>
      </c>
      <c r="AJ1045" s="274"/>
      <c r="AK1045" s="273"/>
      <c r="AL1045" s="275"/>
      <c r="AM1045" s="290"/>
      <c r="AN1045" s="275"/>
      <c r="AO1045" s="276"/>
      <c r="AP1045" s="275"/>
      <c r="AQ1045" s="275"/>
      <c r="AR1045" s="275"/>
      <c r="AS1045" s="275"/>
      <c r="AT1045" s="275"/>
      <c r="AU1045" s="275"/>
      <c r="AV1045" s="275"/>
      <c r="AW1045" s="275"/>
      <c r="AX1045" s="275"/>
      <c r="AY1045" s="275"/>
      <c r="AZ1045" s="275"/>
      <c r="BA1045" s="275"/>
      <c r="BB1045" s="275"/>
      <c r="BC1045" s="275"/>
      <c r="BD1045" s="275"/>
      <c r="BE1045" s="275"/>
      <c r="BF1045" s="275"/>
      <c r="BH1045" s="277"/>
    </row>
    <row r="1046" spans="1:60" ht="16.5" hidden="1" customHeight="1" x14ac:dyDescent="0.3">
      <c r="A1046" s="260">
        <v>1024</v>
      </c>
      <c r="B1046" s="261"/>
      <c r="C1046" s="261"/>
      <c r="D1046" s="262" t="s">
        <v>15</v>
      </c>
      <c r="E1046" s="262" t="s">
        <v>153</v>
      </c>
      <c r="F1046" s="263" t="s">
        <v>15</v>
      </c>
      <c r="G1046" s="264" t="s">
        <v>153</v>
      </c>
      <c r="H1046" s="281"/>
      <c r="I1046" s="265"/>
      <c r="J1046" s="266" t="s">
        <v>896</v>
      </c>
      <c r="K1046" s="262"/>
      <c r="L1046" s="262"/>
      <c r="M1046" s="262">
        <v>46891</v>
      </c>
      <c r="N1046" s="262" t="s">
        <v>22</v>
      </c>
      <c r="O1046" s="262" t="s">
        <v>35</v>
      </c>
      <c r="P1046" s="262" t="s">
        <v>124</v>
      </c>
      <c r="Q1046" s="262"/>
      <c r="R1046" s="262"/>
      <c r="S1046" s="267" t="s">
        <v>828</v>
      </c>
      <c r="T1046" s="268"/>
      <c r="U1046" s="269"/>
      <c r="V1046" s="269"/>
      <c r="W1046" s="278">
        <v>0</v>
      </c>
      <c r="X1046" s="270"/>
      <c r="Y1046" s="262"/>
      <c r="Z1046" s="271" t="s">
        <v>562</v>
      </c>
      <c r="AA1046" s="287"/>
      <c r="AB1046" s="287"/>
      <c r="AC1046" s="272">
        <f t="shared" si="33"/>
        <v>0</v>
      </c>
      <c r="AD1046" s="272">
        <v>0</v>
      </c>
      <c r="AE1046" s="272">
        <f t="shared" si="34"/>
        <v>0</v>
      </c>
      <c r="AF1046" s="273"/>
      <c r="AG1046" s="274"/>
      <c r="AH1046" s="273"/>
      <c r="AI1046" s="273">
        <v>30000000</v>
      </c>
      <c r="AJ1046" s="274"/>
      <c r="AK1046" s="273"/>
      <c r="AL1046" s="275"/>
      <c r="AM1046" s="290"/>
      <c r="AN1046" s="275"/>
      <c r="AO1046" s="276"/>
      <c r="AP1046" s="275"/>
      <c r="AQ1046" s="275"/>
      <c r="AR1046" s="275"/>
      <c r="AS1046" s="275"/>
      <c r="AT1046" s="275"/>
      <c r="AU1046" s="275"/>
      <c r="AV1046" s="275"/>
      <c r="AW1046" s="275"/>
      <c r="AX1046" s="275"/>
      <c r="AY1046" s="275"/>
      <c r="AZ1046" s="275"/>
      <c r="BA1046" s="275"/>
      <c r="BB1046" s="275"/>
      <c r="BC1046" s="275"/>
      <c r="BD1046" s="275"/>
      <c r="BE1046" s="275"/>
      <c r="BF1046" s="275"/>
      <c r="BH1046" s="277"/>
    </row>
    <row r="1047" spans="1:60" ht="16.5" hidden="1" customHeight="1" x14ac:dyDescent="0.3">
      <c r="A1047" s="260">
        <v>1025</v>
      </c>
      <c r="B1047" s="261"/>
      <c r="C1047" s="261"/>
      <c r="D1047" s="262" t="s">
        <v>15</v>
      </c>
      <c r="E1047" s="262" t="s">
        <v>153</v>
      </c>
      <c r="F1047" s="263" t="s">
        <v>15</v>
      </c>
      <c r="G1047" s="264" t="s">
        <v>153</v>
      </c>
      <c r="H1047" s="281"/>
      <c r="I1047" s="265"/>
      <c r="J1047" s="266" t="s">
        <v>183</v>
      </c>
      <c r="K1047" s="262"/>
      <c r="L1047" s="262"/>
      <c r="M1047" s="262">
        <v>46891</v>
      </c>
      <c r="N1047" s="262" t="s">
        <v>22</v>
      </c>
      <c r="O1047" s="262" t="s">
        <v>35</v>
      </c>
      <c r="P1047" s="262" t="s">
        <v>124</v>
      </c>
      <c r="Q1047" s="262" t="s">
        <v>23</v>
      </c>
      <c r="R1047" s="262" t="s">
        <v>397</v>
      </c>
      <c r="S1047" s="267" t="s">
        <v>823</v>
      </c>
      <c r="T1047" s="268"/>
      <c r="U1047" s="269"/>
      <c r="V1047" s="269">
        <v>0</v>
      </c>
      <c r="W1047" s="278">
        <v>68888000</v>
      </c>
      <c r="X1047" s="270"/>
      <c r="Y1047" s="262" t="s">
        <v>27</v>
      </c>
      <c r="Z1047" s="271" t="s">
        <v>562</v>
      </c>
      <c r="AA1047" s="287"/>
      <c r="AB1047" s="287"/>
      <c r="AC1047" s="272">
        <f t="shared" ref="AC1047:AC1072" si="35">AG1047+AJ1047+AM1047+AO1047+AQ1047+AS1047+AU1047+AW1047+AY1047+BA1047+BC1047+BE1047</f>
        <v>0</v>
      </c>
      <c r="AD1047" s="272">
        <v>0</v>
      </c>
      <c r="AE1047" s="272">
        <f t="shared" ref="AE1047:AE1072" si="36">AC1047-AD1047</f>
        <v>0</v>
      </c>
      <c r="AF1047" s="273"/>
      <c r="AG1047" s="274"/>
      <c r="AH1047" s="273"/>
      <c r="AI1047" s="273"/>
      <c r="AJ1047" s="274"/>
      <c r="AK1047" s="273"/>
      <c r="AL1047" s="275"/>
      <c r="AM1047" s="290"/>
      <c r="AN1047" s="275"/>
      <c r="AO1047" s="276"/>
      <c r="AP1047" s="275"/>
      <c r="AQ1047" s="275"/>
      <c r="AR1047" s="275"/>
      <c r="AS1047" s="275"/>
      <c r="AT1047" s="275"/>
      <c r="AU1047" s="275"/>
      <c r="AV1047" s="275"/>
      <c r="AW1047" s="275"/>
      <c r="AX1047" s="275"/>
      <c r="AY1047" s="275"/>
      <c r="AZ1047" s="275"/>
      <c r="BA1047" s="275"/>
      <c r="BB1047" s="275"/>
      <c r="BC1047" s="275"/>
      <c r="BD1047" s="275"/>
      <c r="BE1047" s="275"/>
      <c r="BF1047" s="275"/>
      <c r="BH1047" s="277"/>
    </row>
    <row r="1048" spans="1:60" ht="16.5" hidden="1" customHeight="1" x14ac:dyDescent="0.3">
      <c r="A1048" s="260">
        <v>1026</v>
      </c>
      <c r="B1048" s="261"/>
      <c r="C1048" s="261"/>
      <c r="D1048" s="262" t="s">
        <v>15</v>
      </c>
      <c r="E1048" s="262" t="s">
        <v>153</v>
      </c>
      <c r="F1048" s="263" t="s">
        <v>15</v>
      </c>
      <c r="G1048" s="264" t="s">
        <v>153</v>
      </c>
      <c r="H1048" s="281"/>
      <c r="I1048" s="265"/>
      <c r="J1048" s="266" t="s">
        <v>184</v>
      </c>
      <c r="K1048" s="262"/>
      <c r="L1048" s="262"/>
      <c r="M1048" s="262">
        <v>46891</v>
      </c>
      <c r="N1048" s="262" t="s">
        <v>22</v>
      </c>
      <c r="O1048" s="262" t="s">
        <v>56</v>
      </c>
      <c r="P1048" s="262" t="s">
        <v>124</v>
      </c>
      <c r="Q1048" s="262" t="s">
        <v>23</v>
      </c>
      <c r="R1048" s="262" t="s">
        <v>397</v>
      </c>
      <c r="S1048" s="267" t="s">
        <v>823</v>
      </c>
      <c r="T1048" s="268"/>
      <c r="U1048" s="269"/>
      <c r="V1048" s="269">
        <v>322206000</v>
      </c>
      <c r="W1048" s="278">
        <v>13000000</v>
      </c>
      <c r="X1048" s="270"/>
      <c r="Y1048" s="262" t="s">
        <v>27</v>
      </c>
      <c r="Z1048" s="271" t="s">
        <v>562</v>
      </c>
      <c r="AA1048" s="287"/>
      <c r="AB1048" s="287"/>
      <c r="AC1048" s="272">
        <f t="shared" si="35"/>
        <v>20000000</v>
      </c>
      <c r="AD1048" s="272">
        <v>20000000</v>
      </c>
      <c r="AE1048" s="272">
        <f t="shared" si="36"/>
        <v>0</v>
      </c>
      <c r="AF1048" s="273"/>
      <c r="AG1048" s="274"/>
      <c r="AH1048" s="273"/>
      <c r="AI1048" s="273"/>
      <c r="AJ1048" s="274"/>
      <c r="AK1048" s="273"/>
      <c r="AL1048" s="275"/>
      <c r="AM1048" s="290"/>
      <c r="AN1048" s="275"/>
      <c r="AO1048" s="276">
        <v>20000000</v>
      </c>
      <c r="AP1048" s="275"/>
      <c r="AQ1048" s="275"/>
      <c r="AR1048" s="275"/>
      <c r="AS1048" s="275"/>
      <c r="AT1048" s="275"/>
      <c r="AU1048" s="275"/>
      <c r="AV1048" s="275"/>
      <c r="AW1048" s="275"/>
      <c r="AX1048" s="275"/>
      <c r="AY1048" s="275"/>
      <c r="AZ1048" s="275"/>
      <c r="BA1048" s="275"/>
      <c r="BB1048" s="275"/>
      <c r="BC1048" s="275"/>
      <c r="BD1048" s="275"/>
      <c r="BE1048" s="275"/>
      <c r="BF1048" s="275"/>
      <c r="BH1048" s="277"/>
    </row>
    <row r="1049" spans="1:60" ht="16.5" hidden="1" customHeight="1" x14ac:dyDescent="0.3">
      <c r="A1049" s="260">
        <v>1027</v>
      </c>
      <c r="B1049" s="261"/>
      <c r="C1049" s="261"/>
      <c r="D1049" s="262" t="s">
        <v>15</v>
      </c>
      <c r="E1049" s="262" t="s">
        <v>153</v>
      </c>
      <c r="F1049" s="263" t="s">
        <v>15</v>
      </c>
      <c r="G1049" s="264" t="s">
        <v>153</v>
      </c>
      <c r="H1049" s="281"/>
      <c r="I1049" s="265"/>
      <c r="J1049" s="266" t="s">
        <v>185</v>
      </c>
      <c r="K1049" s="262"/>
      <c r="L1049" s="262"/>
      <c r="M1049" s="262">
        <v>46891</v>
      </c>
      <c r="N1049" s="262" t="s">
        <v>22</v>
      </c>
      <c r="O1049" s="262" t="s">
        <v>56</v>
      </c>
      <c r="P1049" s="262" t="s">
        <v>124</v>
      </c>
      <c r="Q1049" s="262" t="s">
        <v>23</v>
      </c>
      <c r="R1049" s="262" t="s">
        <v>397</v>
      </c>
      <c r="S1049" s="267" t="s">
        <v>823</v>
      </c>
      <c r="T1049" s="268"/>
      <c r="U1049" s="269"/>
      <c r="V1049" s="269">
        <v>0</v>
      </c>
      <c r="W1049" s="278">
        <v>0</v>
      </c>
      <c r="X1049" s="270"/>
      <c r="Y1049" s="262" t="s">
        <v>24</v>
      </c>
      <c r="Z1049" s="271" t="s">
        <v>562</v>
      </c>
      <c r="AA1049" s="287"/>
      <c r="AB1049" s="287"/>
      <c r="AC1049" s="272">
        <f t="shared" si="35"/>
        <v>0</v>
      </c>
      <c r="AD1049" s="272">
        <v>0</v>
      </c>
      <c r="AE1049" s="272">
        <f t="shared" si="36"/>
        <v>0</v>
      </c>
      <c r="AF1049" s="273"/>
      <c r="AG1049" s="274"/>
      <c r="AH1049" s="273"/>
      <c r="AI1049" s="273"/>
      <c r="AJ1049" s="274"/>
      <c r="AK1049" s="273"/>
      <c r="AL1049" s="275"/>
      <c r="AM1049" s="290"/>
      <c r="AN1049" s="275"/>
      <c r="AO1049" s="276"/>
      <c r="AP1049" s="275"/>
      <c r="AQ1049" s="275"/>
      <c r="AR1049" s="275"/>
      <c r="AS1049" s="275"/>
      <c r="AT1049" s="275"/>
      <c r="AU1049" s="275"/>
      <c r="AV1049" s="275"/>
      <c r="AW1049" s="275"/>
      <c r="AX1049" s="275"/>
      <c r="AY1049" s="275"/>
      <c r="AZ1049" s="275"/>
      <c r="BA1049" s="275"/>
      <c r="BB1049" s="275"/>
      <c r="BC1049" s="275"/>
      <c r="BD1049" s="275"/>
      <c r="BE1049" s="275"/>
      <c r="BF1049" s="275"/>
      <c r="BH1049" s="277"/>
    </row>
    <row r="1050" spans="1:60" ht="16.5" hidden="1" customHeight="1" x14ac:dyDescent="0.3">
      <c r="A1050" s="260">
        <v>1028</v>
      </c>
      <c r="B1050" s="261"/>
      <c r="C1050" s="261"/>
      <c r="D1050" s="262" t="s">
        <v>15</v>
      </c>
      <c r="E1050" s="262" t="s">
        <v>153</v>
      </c>
      <c r="F1050" s="263" t="s">
        <v>15</v>
      </c>
      <c r="G1050" s="264" t="s">
        <v>153</v>
      </c>
      <c r="H1050" s="281"/>
      <c r="I1050" s="265"/>
      <c r="J1050" s="266" t="s">
        <v>897</v>
      </c>
      <c r="K1050" s="262"/>
      <c r="L1050" s="262"/>
      <c r="M1050" s="262">
        <v>46891</v>
      </c>
      <c r="N1050" s="262" t="s">
        <v>22</v>
      </c>
      <c r="O1050" s="262" t="s">
        <v>35</v>
      </c>
      <c r="P1050" s="262"/>
      <c r="Q1050" s="262"/>
      <c r="R1050" s="262" t="s">
        <v>397</v>
      </c>
      <c r="S1050" s="267" t="s">
        <v>823</v>
      </c>
      <c r="T1050" s="268"/>
      <c r="U1050" s="269"/>
      <c r="V1050" s="269">
        <v>0</v>
      </c>
      <c r="W1050" s="278">
        <v>36500000</v>
      </c>
      <c r="X1050" s="270"/>
      <c r="Y1050" s="262" t="s">
        <v>27</v>
      </c>
      <c r="Z1050" s="271" t="s">
        <v>562</v>
      </c>
      <c r="AA1050" s="287"/>
      <c r="AB1050" s="287"/>
      <c r="AC1050" s="272">
        <f t="shared" si="35"/>
        <v>30000000</v>
      </c>
      <c r="AD1050" s="272">
        <v>30000000</v>
      </c>
      <c r="AE1050" s="272">
        <f t="shared" si="36"/>
        <v>0</v>
      </c>
      <c r="AF1050" s="273"/>
      <c r="AG1050" s="274"/>
      <c r="AH1050" s="273"/>
      <c r="AI1050" s="273"/>
      <c r="AJ1050" s="274"/>
      <c r="AK1050" s="273"/>
      <c r="AL1050" s="275"/>
      <c r="AM1050" s="290"/>
      <c r="AN1050" s="275"/>
      <c r="AO1050" s="276">
        <v>30000000</v>
      </c>
      <c r="AP1050" s="275"/>
      <c r="AQ1050" s="275"/>
      <c r="AR1050" s="275"/>
      <c r="AS1050" s="275"/>
      <c r="AT1050" s="275"/>
      <c r="AU1050" s="275"/>
      <c r="AV1050" s="275"/>
      <c r="AW1050" s="275"/>
      <c r="AX1050" s="275"/>
      <c r="AY1050" s="275"/>
      <c r="AZ1050" s="275"/>
      <c r="BA1050" s="275"/>
      <c r="BB1050" s="275"/>
      <c r="BC1050" s="275"/>
      <c r="BD1050" s="275"/>
      <c r="BE1050" s="275"/>
      <c r="BF1050" s="275"/>
      <c r="BH1050" s="277"/>
    </row>
    <row r="1051" spans="1:60" ht="16.5" hidden="1" customHeight="1" x14ac:dyDescent="0.3">
      <c r="A1051" s="260">
        <v>1029</v>
      </c>
      <c r="B1051" s="261"/>
      <c r="C1051" s="261"/>
      <c r="D1051" s="262" t="s">
        <v>15</v>
      </c>
      <c r="E1051" s="262" t="s">
        <v>153</v>
      </c>
      <c r="F1051" s="263" t="s">
        <v>15</v>
      </c>
      <c r="G1051" s="264" t="s">
        <v>153</v>
      </c>
      <c r="H1051" s="281"/>
      <c r="I1051" s="265"/>
      <c r="J1051" s="266" t="s">
        <v>665</v>
      </c>
      <c r="K1051" s="262"/>
      <c r="L1051" s="262"/>
      <c r="M1051" s="262">
        <v>46891</v>
      </c>
      <c r="N1051" s="262" t="s">
        <v>22</v>
      </c>
      <c r="O1051" s="262" t="s">
        <v>35</v>
      </c>
      <c r="P1051" s="262"/>
      <c r="Q1051" s="262"/>
      <c r="R1051" s="262" t="s">
        <v>397</v>
      </c>
      <c r="S1051" s="267" t="s">
        <v>19</v>
      </c>
      <c r="T1051" s="268"/>
      <c r="U1051" s="269"/>
      <c r="V1051" s="269"/>
      <c r="W1051" s="278">
        <v>23840000</v>
      </c>
      <c r="X1051" s="270"/>
      <c r="Y1051" s="262" t="s">
        <v>27</v>
      </c>
      <c r="Z1051" s="271" t="s">
        <v>27</v>
      </c>
      <c r="AA1051" s="287"/>
      <c r="AB1051" s="287"/>
      <c r="AC1051" s="272">
        <f t="shared" si="35"/>
        <v>10000000</v>
      </c>
      <c r="AD1051" s="272">
        <v>10000000</v>
      </c>
      <c r="AE1051" s="272">
        <f t="shared" si="36"/>
        <v>0</v>
      </c>
      <c r="AF1051" s="273"/>
      <c r="AG1051" s="274"/>
      <c r="AH1051" s="273"/>
      <c r="AI1051" s="273"/>
      <c r="AJ1051" s="274"/>
      <c r="AK1051" s="273"/>
      <c r="AL1051" s="275"/>
      <c r="AM1051" s="290"/>
      <c r="AN1051" s="275"/>
      <c r="AO1051" s="276"/>
      <c r="AP1051" s="275"/>
      <c r="AQ1051" s="275"/>
      <c r="AR1051" s="275"/>
      <c r="AS1051" s="275">
        <v>5000000</v>
      </c>
      <c r="AT1051" s="275"/>
      <c r="AU1051" s="275"/>
      <c r="AV1051" s="275"/>
      <c r="AW1051" s="275"/>
      <c r="AX1051" s="275"/>
      <c r="AY1051" s="275"/>
      <c r="AZ1051" s="275"/>
      <c r="BA1051" s="275"/>
      <c r="BB1051" s="275"/>
      <c r="BC1051" s="275"/>
      <c r="BD1051" s="275"/>
      <c r="BE1051" s="275">
        <v>5000000</v>
      </c>
      <c r="BF1051" s="275"/>
      <c r="BH1051" s="277"/>
    </row>
    <row r="1052" spans="1:60" ht="16.5" hidden="1" customHeight="1" x14ac:dyDescent="0.3">
      <c r="A1052" s="260">
        <v>1030</v>
      </c>
      <c r="B1052" s="261"/>
      <c r="C1052" s="261"/>
      <c r="D1052" s="262" t="s">
        <v>15</v>
      </c>
      <c r="E1052" s="262" t="s">
        <v>153</v>
      </c>
      <c r="F1052" s="263" t="s">
        <v>15</v>
      </c>
      <c r="G1052" s="264" t="s">
        <v>153</v>
      </c>
      <c r="H1052" s="281"/>
      <c r="I1052" s="265"/>
      <c r="J1052" s="266" t="s">
        <v>898</v>
      </c>
      <c r="K1052" s="262"/>
      <c r="L1052" s="262"/>
      <c r="M1052" s="262">
        <v>46891</v>
      </c>
      <c r="N1052" s="262" t="s">
        <v>22</v>
      </c>
      <c r="O1052" s="262" t="s">
        <v>56</v>
      </c>
      <c r="P1052" s="262" t="s">
        <v>124</v>
      </c>
      <c r="Q1052" s="262" t="s">
        <v>26</v>
      </c>
      <c r="R1052" s="262" t="s">
        <v>468</v>
      </c>
      <c r="S1052" s="267" t="s">
        <v>468</v>
      </c>
      <c r="T1052" s="268"/>
      <c r="U1052" s="269"/>
      <c r="V1052" s="269">
        <v>0</v>
      </c>
      <c r="W1052" s="278">
        <v>0</v>
      </c>
      <c r="X1052" s="270"/>
      <c r="Y1052" s="262" t="s">
        <v>562</v>
      </c>
      <c r="Z1052" s="271" t="s">
        <v>599</v>
      </c>
      <c r="AA1052" s="287"/>
      <c r="AB1052" s="287"/>
      <c r="AC1052" s="272">
        <f t="shared" si="35"/>
        <v>0</v>
      </c>
      <c r="AD1052" s="272">
        <v>0</v>
      </c>
      <c r="AE1052" s="272">
        <f t="shared" si="36"/>
        <v>0</v>
      </c>
      <c r="AF1052" s="273"/>
      <c r="AG1052" s="274"/>
      <c r="AH1052" s="273"/>
      <c r="AI1052" s="273"/>
      <c r="AJ1052" s="274"/>
      <c r="AK1052" s="273"/>
      <c r="AL1052" s="275"/>
      <c r="AM1052" s="290"/>
      <c r="AN1052" s="275"/>
      <c r="AO1052" s="276"/>
      <c r="AP1052" s="275"/>
      <c r="AQ1052" s="275"/>
      <c r="AR1052" s="275"/>
      <c r="AS1052" s="275"/>
      <c r="AT1052" s="275"/>
      <c r="AU1052" s="275"/>
      <c r="AV1052" s="275"/>
      <c r="AW1052" s="275"/>
      <c r="AX1052" s="275"/>
      <c r="AY1052" s="275"/>
      <c r="AZ1052" s="275"/>
      <c r="BA1052" s="275"/>
      <c r="BB1052" s="275"/>
      <c r="BC1052" s="275"/>
      <c r="BD1052" s="275"/>
      <c r="BE1052" s="275"/>
      <c r="BF1052" s="275"/>
      <c r="BH1052" s="277"/>
    </row>
    <row r="1053" spans="1:60" ht="16.5" hidden="1" customHeight="1" x14ac:dyDescent="0.3">
      <c r="A1053" s="260">
        <v>1031</v>
      </c>
      <c r="B1053" s="261"/>
      <c r="C1053" s="261"/>
      <c r="D1053" s="262" t="s">
        <v>15</v>
      </c>
      <c r="E1053" s="262" t="s">
        <v>153</v>
      </c>
      <c r="F1053" s="263" t="s">
        <v>15</v>
      </c>
      <c r="G1053" s="264" t="s">
        <v>153</v>
      </c>
      <c r="H1053" s="281"/>
      <c r="I1053" s="265"/>
      <c r="J1053" s="266" t="s">
        <v>899</v>
      </c>
      <c r="K1053" s="262"/>
      <c r="L1053" s="262"/>
      <c r="M1053" s="262">
        <v>46891</v>
      </c>
      <c r="N1053" s="262" t="s">
        <v>22</v>
      </c>
      <c r="O1053" s="262" t="s">
        <v>56</v>
      </c>
      <c r="P1053" s="262" t="s">
        <v>124</v>
      </c>
      <c r="Q1053" s="262" t="s">
        <v>26</v>
      </c>
      <c r="R1053" s="262" t="s">
        <v>468</v>
      </c>
      <c r="S1053" s="267" t="s">
        <v>468</v>
      </c>
      <c r="T1053" s="268"/>
      <c r="U1053" s="269"/>
      <c r="V1053" s="269">
        <v>0</v>
      </c>
      <c r="W1053" s="278">
        <v>0</v>
      </c>
      <c r="X1053" s="270"/>
      <c r="Y1053" s="262" t="s">
        <v>20</v>
      </c>
      <c r="Z1053" s="271" t="s">
        <v>562</v>
      </c>
      <c r="AA1053" s="287"/>
      <c r="AB1053" s="287"/>
      <c r="AC1053" s="272">
        <f t="shared" si="35"/>
        <v>0</v>
      </c>
      <c r="AD1053" s="272">
        <v>0</v>
      </c>
      <c r="AE1053" s="272">
        <f t="shared" si="36"/>
        <v>0</v>
      </c>
      <c r="AF1053" s="273"/>
      <c r="AG1053" s="274"/>
      <c r="AH1053" s="273"/>
      <c r="AI1053" s="273"/>
      <c r="AJ1053" s="274"/>
      <c r="AK1053" s="273"/>
      <c r="AL1053" s="275"/>
      <c r="AM1053" s="290"/>
      <c r="AN1053" s="275"/>
      <c r="AO1053" s="276"/>
      <c r="AP1053" s="275"/>
      <c r="AQ1053" s="275"/>
      <c r="AR1053" s="275"/>
      <c r="AS1053" s="275"/>
      <c r="AT1053" s="275"/>
      <c r="AU1053" s="275"/>
      <c r="AV1053" s="275"/>
      <c r="AW1053" s="275"/>
      <c r="AX1053" s="275"/>
      <c r="AY1053" s="275"/>
      <c r="AZ1053" s="275"/>
      <c r="BA1053" s="275"/>
      <c r="BB1053" s="275"/>
      <c r="BC1053" s="275"/>
      <c r="BD1053" s="275"/>
      <c r="BE1053" s="275"/>
      <c r="BF1053" s="275"/>
      <c r="BH1053" s="277"/>
    </row>
    <row r="1054" spans="1:60" ht="16.5" hidden="1" customHeight="1" x14ac:dyDescent="0.3">
      <c r="A1054" s="260">
        <v>1032</v>
      </c>
      <c r="B1054" s="261"/>
      <c r="C1054" s="261"/>
      <c r="D1054" s="262" t="s">
        <v>15</v>
      </c>
      <c r="E1054" s="262" t="s">
        <v>153</v>
      </c>
      <c r="F1054" s="263" t="s">
        <v>15</v>
      </c>
      <c r="G1054" s="264" t="s">
        <v>153</v>
      </c>
      <c r="H1054" s="281"/>
      <c r="I1054" s="265"/>
      <c r="J1054" s="266" t="s">
        <v>900</v>
      </c>
      <c r="K1054" s="262"/>
      <c r="L1054" s="262"/>
      <c r="M1054" s="262">
        <v>46891</v>
      </c>
      <c r="N1054" s="262" t="s">
        <v>22</v>
      </c>
      <c r="O1054" s="262" t="s">
        <v>56</v>
      </c>
      <c r="P1054" s="262" t="s">
        <v>124</v>
      </c>
      <c r="Q1054" s="262" t="s">
        <v>26</v>
      </c>
      <c r="R1054" s="262" t="s">
        <v>19</v>
      </c>
      <c r="S1054" s="267" t="s">
        <v>19</v>
      </c>
      <c r="T1054" s="268"/>
      <c r="U1054" s="269"/>
      <c r="V1054" s="269">
        <v>69706500</v>
      </c>
      <c r="W1054" s="278">
        <v>2583000</v>
      </c>
      <c r="X1054" s="270"/>
      <c r="Y1054" s="262" t="s">
        <v>27</v>
      </c>
      <c r="Z1054" s="271" t="s">
        <v>24</v>
      </c>
      <c r="AA1054" s="287"/>
      <c r="AB1054" s="287"/>
      <c r="AC1054" s="272">
        <f t="shared" si="35"/>
        <v>2000000</v>
      </c>
      <c r="AD1054" s="272">
        <v>2000000</v>
      </c>
      <c r="AE1054" s="272">
        <f t="shared" si="36"/>
        <v>0</v>
      </c>
      <c r="AF1054" s="273"/>
      <c r="AG1054" s="274"/>
      <c r="AH1054" s="273"/>
      <c r="AI1054" s="273"/>
      <c r="AJ1054" s="274"/>
      <c r="AK1054" s="273"/>
      <c r="AL1054" s="275"/>
      <c r="AM1054" s="290"/>
      <c r="AN1054" s="275"/>
      <c r="AO1054" s="276">
        <v>500000</v>
      </c>
      <c r="AP1054" s="275"/>
      <c r="AQ1054" s="275">
        <v>500000</v>
      </c>
      <c r="AR1054" s="275"/>
      <c r="AS1054" s="275">
        <v>500000</v>
      </c>
      <c r="AT1054" s="275"/>
      <c r="AU1054" s="275">
        <v>500000</v>
      </c>
      <c r="AV1054" s="275"/>
      <c r="AW1054" s="275"/>
      <c r="AX1054" s="275"/>
      <c r="AY1054" s="275"/>
      <c r="AZ1054" s="275"/>
      <c r="BA1054" s="275"/>
      <c r="BB1054" s="275"/>
      <c r="BC1054" s="275"/>
      <c r="BD1054" s="275"/>
      <c r="BE1054" s="275"/>
      <c r="BF1054" s="275"/>
      <c r="BH1054" s="277"/>
    </row>
    <row r="1055" spans="1:60" ht="16.5" hidden="1" customHeight="1" x14ac:dyDescent="0.3">
      <c r="A1055" s="260">
        <v>1033</v>
      </c>
      <c r="B1055" s="261"/>
      <c r="C1055" s="261"/>
      <c r="D1055" s="262" t="s">
        <v>15</v>
      </c>
      <c r="E1055" s="262" t="s">
        <v>153</v>
      </c>
      <c r="F1055" s="263" t="s">
        <v>15</v>
      </c>
      <c r="G1055" s="264" t="s">
        <v>153</v>
      </c>
      <c r="H1055" s="281"/>
      <c r="I1055" s="265"/>
      <c r="J1055" s="266" t="s">
        <v>901</v>
      </c>
      <c r="K1055" s="262"/>
      <c r="L1055" s="262"/>
      <c r="M1055" s="262">
        <v>49701</v>
      </c>
      <c r="N1055" s="262" t="s">
        <v>53</v>
      </c>
      <c r="O1055" s="262" t="s">
        <v>178</v>
      </c>
      <c r="P1055" s="262"/>
      <c r="Q1055" s="262" t="s">
        <v>26</v>
      </c>
      <c r="R1055" s="262" t="s">
        <v>468</v>
      </c>
      <c r="S1055" s="267" t="s">
        <v>468</v>
      </c>
      <c r="T1055" s="268"/>
      <c r="U1055" s="269">
        <v>9460000</v>
      </c>
      <c r="V1055" s="269">
        <v>0</v>
      </c>
      <c r="W1055" s="278">
        <v>0</v>
      </c>
      <c r="X1055" s="270"/>
      <c r="Y1055" s="262" t="s">
        <v>21</v>
      </c>
      <c r="Z1055" s="271" t="s">
        <v>562</v>
      </c>
      <c r="AA1055" s="287"/>
      <c r="AB1055" s="287"/>
      <c r="AC1055" s="272">
        <f t="shared" si="35"/>
        <v>0</v>
      </c>
      <c r="AD1055" s="272">
        <v>0</v>
      </c>
      <c r="AE1055" s="272">
        <f t="shared" si="36"/>
        <v>0</v>
      </c>
      <c r="AF1055" s="273"/>
      <c r="AG1055" s="274"/>
      <c r="AH1055" s="273"/>
      <c r="AI1055" s="273"/>
      <c r="AJ1055" s="274"/>
      <c r="AK1055" s="273"/>
      <c r="AL1055" s="275"/>
      <c r="AM1055" s="290"/>
      <c r="AN1055" s="275"/>
      <c r="AO1055" s="276"/>
      <c r="AP1055" s="275"/>
      <c r="AQ1055" s="275"/>
      <c r="AR1055" s="275"/>
      <c r="AS1055" s="275"/>
      <c r="AT1055" s="275"/>
      <c r="AU1055" s="275"/>
      <c r="AV1055" s="275"/>
      <c r="AW1055" s="275"/>
      <c r="AX1055" s="275"/>
      <c r="AY1055" s="275"/>
      <c r="AZ1055" s="275"/>
      <c r="BA1055" s="275"/>
      <c r="BB1055" s="275"/>
      <c r="BC1055" s="275"/>
      <c r="BD1055" s="275"/>
      <c r="BE1055" s="275"/>
      <c r="BF1055" s="275"/>
      <c r="BH1055" s="277"/>
    </row>
    <row r="1056" spans="1:60" ht="16.5" hidden="1" customHeight="1" x14ac:dyDescent="0.3">
      <c r="A1056" s="260">
        <v>1034</v>
      </c>
      <c r="B1056" s="261"/>
      <c r="C1056" s="261"/>
      <c r="D1056" s="262" t="s">
        <v>15</v>
      </c>
      <c r="E1056" s="262" t="s">
        <v>153</v>
      </c>
      <c r="F1056" s="263" t="s">
        <v>15</v>
      </c>
      <c r="G1056" s="264" t="s">
        <v>153</v>
      </c>
      <c r="H1056" s="281"/>
      <c r="I1056" s="265"/>
      <c r="J1056" s="266" t="s">
        <v>902</v>
      </c>
      <c r="K1056" s="262"/>
      <c r="L1056" s="262"/>
      <c r="M1056" s="262">
        <v>46891</v>
      </c>
      <c r="N1056" s="262" t="s">
        <v>22</v>
      </c>
      <c r="O1056" s="262" t="s">
        <v>56</v>
      </c>
      <c r="P1056" s="262" t="s">
        <v>124</v>
      </c>
      <c r="Q1056" s="262" t="s">
        <v>23</v>
      </c>
      <c r="R1056" s="262" t="s">
        <v>397</v>
      </c>
      <c r="S1056" s="267" t="s">
        <v>823</v>
      </c>
      <c r="T1056" s="268"/>
      <c r="U1056" s="269">
        <v>162400000</v>
      </c>
      <c r="V1056" s="269">
        <v>0</v>
      </c>
      <c r="W1056" s="278">
        <v>0</v>
      </c>
      <c r="X1056" s="270"/>
      <c r="Y1056" s="262" t="s">
        <v>24</v>
      </c>
      <c r="Z1056" s="271" t="s">
        <v>25</v>
      </c>
      <c r="AA1056" s="287"/>
      <c r="AB1056" s="287"/>
      <c r="AC1056" s="272">
        <f t="shared" si="35"/>
        <v>50000000</v>
      </c>
      <c r="AD1056" s="272">
        <v>50000000</v>
      </c>
      <c r="AE1056" s="272">
        <f t="shared" si="36"/>
        <v>0</v>
      </c>
      <c r="AF1056" s="273"/>
      <c r="AG1056" s="274"/>
      <c r="AH1056" s="273"/>
      <c r="AI1056" s="273"/>
      <c r="AJ1056" s="274"/>
      <c r="AK1056" s="273"/>
      <c r="AL1056" s="275"/>
      <c r="AM1056" s="290"/>
      <c r="AN1056" s="275"/>
      <c r="AO1056" s="276"/>
      <c r="AP1056" s="275"/>
      <c r="AQ1056" s="275"/>
      <c r="AR1056" s="275"/>
      <c r="AS1056" s="275"/>
      <c r="AT1056" s="275"/>
      <c r="AU1056" s="275">
        <v>50000000</v>
      </c>
      <c r="AV1056" s="275"/>
      <c r="AW1056" s="275"/>
      <c r="AX1056" s="275"/>
      <c r="AY1056" s="275"/>
      <c r="AZ1056" s="275"/>
      <c r="BA1056" s="275"/>
      <c r="BB1056" s="275"/>
      <c r="BC1056" s="275"/>
      <c r="BD1056" s="275"/>
      <c r="BE1056" s="275"/>
      <c r="BF1056" s="275"/>
      <c r="BH1056" s="277"/>
    </row>
    <row r="1057" spans="1:60" ht="16.5" hidden="1" customHeight="1" x14ac:dyDescent="0.3">
      <c r="A1057" s="260">
        <v>1035</v>
      </c>
      <c r="B1057" s="261"/>
      <c r="C1057" s="261"/>
      <c r="D1057" s="262"/>
      <c r="E1057" s="262"/>
      <c r="F1057" s="263" t="s">
        <v>15</v>
      </c>
      <c r="G1057" s="264" t="s">
        <v>153</v>
      </c>
      <c r="H1057" s="281"/>
      <c r="I1057" s="265"/>
      <c r="J1057" s="266" t="s">
        <v>903</v>
      </c>
      <c r="K1057" s="262"/>
      <c r="L1057" s="262"/>
      <c r="M1057" s="262">
        <v>46891</v>
      </c>
      <c r="N1057" s="262" t="s">
        <v>32</v>
      </c>
      <c r="O1057" s="262" t="s">
        <v>35</v>
      </c>
      <c r="P1057" s="262" t="s">
        <v>124</v>
      </c>
      <c r="Q1057" s="262" t="s">
        <v>18</v>
      </c>
      <c r="R1057" s="262" t="s">
        <v>19</v>
      </c>
      <c r="S1057" s="267" t="s">
        <v>19</v>
      </c>
      <c r="T1057" s="268"/>
      <c r="U1057" s="269"/>
      <c r="V1057" s="269">
        <v>0</v>
      </c>
      <c r="W1057" s="278">
        <v>0</v>
      </c>
      <c r="X1057" s="270"/>
      <c r="Y1057" s="262" t="s">
        <v>25</v>
      </c>
      <c r="Z1057" s="271" t="s">
        <v>562</v>
      </c>
      <c r="AA1057" s="287"/>
      <c r="AB1057" s="287"/>
      <c r="AC1057" s="272">
        <f t="shared" si="35"/>
        <v>0</v>
      </c>
      <c r="AD1057" s="272">
        <v>0</v>
      </c>
      <c r="AE1057" s="272">
        <f t="shared" si="36"/>
        <v>0</v>
      </c>
      <c r="AF1057" s="273"/>
      <c r="AG1057" s="274"/>
      <c r="AH1057" s="273"/>
      <c r="AI1057" s="273"/>
      <c r="AJ1057" s="274"/>
      <c r="AK1057" s="273"/>
      <c r="AL1057" s="275"/>
      <c r="AM1057" s="290"/>
      <c r="AN1057" s="275"/>
      <c r="AO1057" s="276"/>
      <c r="AP1057" s="275"/>
      <c r="AQ1057" s="275"/>
      <c r="AR1057" s="275"/>
      <c r="AS1057" s="275"/>
      <c r="AT1057" s="275"/>
      <c r="AU1057" s="275"/>
      <c r="AV1057" s="275"/>
      <c r="AW1057" s="275"/>
      <c r="AX1057" s="275"/>
      <c r="AY1057" s="275"/>
      <c r="AZ1057" s="275"/>
      <c r="BA1057" s="275"/>
      <c r="BB1057" s="275"/>
      <c r="BC1057" s="275"/>
      <c r="BD1057" s="275"/>
      <c r="BE1057" s="275"/>
      <c r="BF1057" s="275"/>
      <c r="BH1057" s="277"/>
    </row>
    <row r="1058" spans="1:60" ht="16.5" hidden="1" customHeight="1" x14ac:dyDescent="0.3">
      <c r="A1058" s="260">
        <v>1036</v>
      </c>
      <c r="B1058" s="261"/>
      <c r="C1058" s="261"/>
      <c r="D1058" s="262" t="s">
        <v>15</v>
      </c>
      <c r="E1058" s="262" t="s">
        <v>153</v>
      </c>
      <c r="F1058" s="263" t="s">
        <v>15</v>
      </c>
      <c r="G1058" s="264" t="s">
        <v>153</v>
      </c>
      <c r="H1058" s="281"/>
      <c r="I1058" s="265"/>
      <c r="J1058" s="266" t="s">
        <v>903</v>
      </c>
      <c r="K1058" s="262"/>
      <c r="L1058" s="262"/>
      <c r="M1058" s="262">
        <v>46891</v>
      </c>
      <c r="N1058" s="262"/>
      <c r="O1058" s="262"/>
      <c r="P1058" s="262"/>
      <c r="Q1058" s="262"/>
      <c r="R1058" s="262"/>
      <c r="S1058" s="267" t="s">
        <v>825</v>
      </c>
      <c r="T1058" s="268"/>
      <c r="U1058" s="269"/>
      <c r="V1058" s="269"/>
      <c r="W1058" s="278">
        <v>15200000</v>
      </c>
      <c r="X1058" s="270"/>
      <c r="Y1058" s="262"/>
      <c r="Z1058" s="271" t="s">
        <v>718</v>
      </c>
      <c r="AA1058" s="287"/>
      <c r="AB1058" s="287"/>
      <c r="AC1058" s="272">
        <f t="shared" si="35"/>
        <v>0</v>
      </c>
      <c r="AD1058" s="272">
        <v>0</v>
      </c>
      <c r="AE1058" s="272">
        <f t="shared" si="36"/>
        <v>0</v>
      </c>
      <c r="AF1058" s="273"/>
      <c r="AG1058" s="274"/>
      <c r="AH1058" s="273"/>
      <c r="AI1058" s="273"/>
      <c r="AJ1058" s="274"/>
      <c r="AK1058" s="273"/>
      <c r="AL1058" s="275"/>
      <c r="AM1058" s="290"/>
      <c r="AN1058" s="275"/>
      <c r="AO1058" s="276"/>
      <c r="AP1058" s="275"/>
      <c r="AQ1058" s="275"/>
      <c r="AR1058" s="275"/>
      <c r="AS1058" s="275"/>
      <c r="AT1058" s="275"/>
      <c r="AU1058" s="275"/>
      <c r="AV1058" s="275"/>
      <c r="AW1058" s="275"/>
      <c r="AX1058" s="275"/>
      <c r="AY1058" s="275"/>
      <c r="AZ1058" s="275"/>
      <c r="BA1058" s="275"/>
      <c r="BB1058" s="275"/>
      <c r="BC1058" s="275"/>
      <c r="BD1058" s="275"/>
      <c r="BE1058" s="275"/>
      <c r="BF1058" s="275"/>
      <c r="BH1058" s="277"/>
    </row>
    <row r="1059" spans="1:60" ht="16.5" hidden="1" customHeight="1" x14ac:dyDescent="0.3">
      <c r="A1059" s="260">
        <v>1037</v>
      </c>
      <c r="B1059" s="261"/>
      <c r="C1059" s="261"/>
      <c r="D1059" s="262" t="s">
        <v>15</v>
      </c>
      <c r="E1059" s="262" t="s">
        <v>153</v>
      </c>
      <c r="F1059" s="263" t="s">
        <v>15</v>
      </c>
      <c r="G1059" s="264" t="s">
        <v>153</v>
      </c>
      <c r="H1059" s="281"/>
      <c r="I1059" s="265"/>
      <c r="J1059" s="266" t="s">
        <v>904</v>
      </c>
      <c r="K1059" s="262"/>
      <c r="L1059" s="262"/>
      <c r="M1059" s="262">
        <v>46891</v>
      </c>
      <c r="N1059" s="262" t="s">
        <v>32</v>
      </c>
      <c r="O1059" s="262" t="s">
        <v>35</v>
      </c>
      <c r="P1059" s="262" t="s">
        <v>124</v>
      </c>
      <c r="Q1059" s="262" t="s">
        <v>18</v>
      </c>
      <c r="R1059" s="262" t="s">
        <v>19</v>
      </c>
      <c r="S1059" s="267" t="s">
        <v>19</v>
      </c>
      <c r="T1059" s="268"/>
      <c r="U1059" s="269"/>
      <c r="V1059" s="269">
        <v>0</v>
      </c>
      <c r="W1059" s="278">
        <v>0</v>
      </c>
      <c r="X1059" s="270"/>
      <c r="Y1059" s="262" t="s">
        <v>25</v>
      </c>
      <c r="Z1059" s="271" t="s">
        <v>562</v>
      </c>
      <c r="AA1059" s="287"/>
      <c r="AB1059" s="287"/>
      <c r="AC1059" s="272">
        <f t="shared" si="35"/>
        <v>0</v>
      </c>
      <c r="AD1059" s="272">
        <v>0</v>
      </c>
      <c r="AE1059" s="272">
        <f t="shared" si="36"/>
        <v>0</v>
      </c>
      <c r="AF1059" s="273"/>
      <c r="AG1059" s="274"/>
      <c r="AH1059" s="273"/>
      <c r="AI1059" s="273"/>
      <c r="AJ1059" s="274"/>
      <c r="AK1059" s="273"/>
      <c r="AL1059" s="275"/>
      <c r="AM1059" s="290"/>
      <c r="AN1059" s="275"/>
      <c r="AO1059" s="276"/>
      <c r="AP1059" s="275"/>
      <c r="AQ1059" s="275"/>
      <c r="AR1059" s="275"/>
      <c r="AS1059" s="275"/>
      <c r="AT1059" s="275"/>
      <c r="AU1059" s="275"/>
      <c r="AV1059" s="275"/>
      <c r="AW1059" s="275"/>
      <c r="AX1059" s="275"/>
      <c r="AY1059" s="275"/>
      <c r="AZ1059" s="275"/>
      <c r="BA1059" s="275"/>
      <c r="BB1059" s="275"/>
      <c r="BC1059" s="275"/>
      <c r="BD1059" s="275"/>
      <c r="BE1059" s="275"/>
      <c r="BF1059" s="275"/>
      <c r="BH1059" s="277"/>
    </row>
    <row r="1060" spans="1:60" ht="16.5" hidden="1" customHeight="1" x14ac:dyDescent="0.3">
      <c r="A1060" s="260">
        <v>1038</v>
      </c>
      <c r="B1060" s="261"/>
      <c r="C1060" s="261"/>
      <c r="D1060" s="262" t="s">
        <v>15</v>
      </c>
      <c r="E1060" s="262" t="s">
        <v>153</v>
      </c>
      <c r="F1060" s="263" t="s">
        <v>15</v>
      </c>
      <c r="G1060" s="264" t="s">
        <v>153</v>
      </c>
      <c r="H1060" s="281"/>
      <c r="I1060" s="265"/>
      <c r="J1060" s="266" t="s">
        <v>905</v>
      </c>
      <c r="K1060" s="262"/>
      <c r="L1060" s="262"/>
      <c r="M1060" s="262">
        <v>774</v>
      </c>
      <c r="N1060" s="262" t="s">
        <v>22</v>
      </c>
      <c r="O1060" s="262" t="s">
        <v>56</v>
      </c>
      <c r="P1060" s="262" t="s">
        <v>124</v>
      </c>
      <c r="Q1060" s="262" t="s">
        <v>26</v>
      </c>
      <c r="R1060" s="262" t="s">
        <v>468</v>
      </c>
      <c r="S1060" s="267" t="s">
        <v>468</v>
      </c>
      <c r="T1060" s="268"/>
      <c r="U1060" s="269"/>
      <c r="V1060" s="269">
        <v>3000000</v>
      </c>
      <c r="W1060" s="278">
        <v>0</v>
      </c>
      <c r="X1060" s="270"/>
      <c r="Y1060" s="262" t="s">
        <v>562</v>
      </c>
      <c r="Z1060" s="271" t="s">
        <v>562</v>
      </c>
      <c r="AA1060" s="287"/>
      <c r="AB1060" s="287"/>
      <c r="AC1060" s="272">
        <f t="shared" si="35"/>
        <v>0</v>
      </c>
      <c r="AD1060" s="272">
        <v>0</v>
      </c>
      <c r="AE1060" s="272">
        <f t="shared" si="36"/>
        <v>0</v>
      </c>
      <c r="AF1060" s="273"/>
      <c r="AG1060" s="274"/>
      <c r="AH1060" s="273"/>
      <c r="AI1060" s="273"/>
      <c r="AJ1060" s="274"/>
      <c r="AK1060" s="273"/>
      <c r="AL1060" s="275"/>
      <c r="AM1060" s="290"/>
      <c r="AN1060" s="275"/>
      <c r="AO1060" s="276"/>
      <c r="AP1060" s="275"/>
      <c r="AQ1060" s="275"/>
      <c r="AR1060" s="275"/>
      <c r="AS1060" s="275"/>
      <c r="AT1060" s="275"/>
      <c r="AU1060" s="275"/>
      <c r="AV1060" s="275"/>
      <c r="AW1060" s="275"/>
      <c r="AX1060" s="275"/>
      <c r="AY1060" s="275"/>
      <c r="AZ1060" s="275"/>
      <c r="BA1060" s="275"/>
      <c r="BB1060" s="275"/>
      <c r="BC1060" s="275"/>
      <c r="BD1060" s="275"/>
      <c r="BE1060" s="275"/>
      <c r="BF1060" s="275"/>
      <c r="BH1060" s="277"/>
    </row>
    <row r="1061" spans="1:60" ht="16.5" hidden="1" customHeight="1" x14ac:dyDescent="0.3">
      <c r="A1061" s="260">
        <v>1039</v>
      </c>
      <c r="B1061" s="261"/>
      <c r="C1061" s="261"/>
      <c r="D1061" s="262" t="s">
        <v>15</v>
      </c>
      <c r="E1061" s="262" t="s">
        <v>153</v>
      </c>
      <c r="F1061" s="263" t="s">
        <v>15</v>
      </c>
      <c r="G1061" s="264" t="s">
        <v>153</v>
      </c>
      <c r="H1061" s="281"/>
      <c r="I1061" s="265"/>
      <c r="J1061" s="266" t="s">
        <v>906</v>
      </c>
      <c r="K1061" s="262"/>
      <c r="L1061" s="262"/>
      <c r="M1061" s="262">
        <v>774</v>
      </c>
      <c r="N1061" s="262" t="s">
        <v>22</v>
      </c>
      <c r="O1061" s="262" t="s">
        <v>56</v>
      </c>
      <c r="P1061" s="262" t="s">
        <v>124</v>
      </c>
      <c r="Q1061" s="262" t="s">
        <v>26</v>
      </c>
      <c r="R1061" s="262" t="s">
        <v>468</v>
      </c>
      <c r="S1061" s="267" t="s">
        <v>468</v>
      </c>
      <c r="T1061" s="268"/>
      <c r="U1061" s="269"/>
      <c r="V1061" s="269">
        <v>0</v>
      </c>
      <c r="W1061" s="278">
        <v>0</v>
      </c>
      <c r="X1061" s="270"/>
      <c r="Y1061" s="262" t="s">
        <v>20</v>
      </c>
      <c r="Z1061" s="271" t="s">
        <v>562</v>
      </c>
      <c r="AA1061" s="287"/>
      <c r="AB1061" s="287"/>
      <c r="AC1061" s="272">
        <f t="shared" si="35"/>
        <v>0</v>
      </c>
      <c r="AD1061" s="272">
        <v>0</v>
      </c>
      <c r="AE1061" s="272">
        <f t="shared" si="36"/>
        <v>0</v>
      </c>
      <c r="AF1061" s="273"/>
      <c r="AG1061" s="274"/>
      <c r="AH1061" s="273"/>
      <c r="AI1061" s="273"/>
      <c r="AJ1061" s="274"/>
      <c r="AK1061" s="273"/>
      <c r="AL1061" s="275"/>
      <c r="AM1061" s="290"/>
      <c r="AN1061" s="275"/>
      <c r="AO1061" s="276"/>
      <c r="AP1061" s="275"/>
      <c r="AQ1061" s="275"/>
      <c r="AR1061" s="275"/>
      <c r="AS1061" s="275"/>
      <c r="AT1061" s="275"/>
      <c r="AU1061" s="275"/>
      <c r="AV1061" s="275"/>
      <c r="AW1061" s="275"/>
      <c r="AX1061" s="275"/>
      <c r="AY1061" s="275"/>
      <c r="AZ1061" s="275"/>
      <c r="BA1061" s="275"/>
      <c r="BB1061" s="275"/>
      <c r="BC1061" s="275"/>
      <c r="BD1061" s="275"/>
      <c r="BE1061" s="275"/>
      <c r="BF1061" s="275"/>
      <c r="BH1061" s="277"/>
    </row>
    <row r="1062" spans="1:60" ht="16.5" hidden="1" customHeight="1" x14ac:dyDescent="0.3">
      <c r="A1062" s="260">
        <v>1040</v>
      </c>
      <c r="B1062" s="261"/>
      <c r="C1062" s="261"/>
      <c r="D1062" s="262" t="s">
        <v>15</v>
      </c>
      <c r="E1062" s="262" t="s">
        <v>153</v>
      </c>
      <c r="F1062" s="263" t="s">
        <v>15</v>
      </c>
      <c r="G1062" s="264" t="s">
        <v>153</v>
      </c>
      <c r="H1062" s="281"/>
      <c r="I1062" s="265"/>
      <c r="J1062" s="266" t="s">
        <v>907</v>
      </c>
      <c r="K1062" s="262"/>
      <c r="L1062" s="262"/>
      <c r="M1062" s="262">
        <v>774</v>
      </c>
      <c r="N1062" s="262" t="s">
        <v>22</v>
      </c>
      <c r="O1062" s="262" t="s">
        <v>56</v>
      </c>
      <c r="P1062" s="262" t="s">
        <v>124</v>
      </c>
      <c r="Q1062" s="262" t="s">
        <v>23</v>
      </c>
      <c r="R1062" s="262" t="s">
        <v>397</v>
      </c>
      <c r="S1062" s="267" t="s">
        <v>823</v>
      </c>
      <c r="T1062" s="268"/>
      <c r="U1062" s="269">
        <v>266731000</v>
      </c>
      <c r="V1062" s="269">
        <v>329000000</v>
      </c>
      <c r="W1062" s="278">
        <v>0</v>
      </c>
      <c r="X1062" s="270"/>
      <c r="Y1062" s="262" t="s">
        <v>24</v>
      </c>
      <c r="Z1062" s="271" t="s">
        <v>27</v>
      </c>
      <c r="AA1062" s="287"/>
      <c r="AB1062" s="287"/>
      <c r="AC1062" s="272">
        <f t="shared" si="35"/>
        <v>100000000</v>
      </c>
      <c r="AD1062" s="272">
        <v>100000000</v>
      </c>
      <c r="AE1062" s="272">
        <f t="shared" si="36"/>
        <v>0</v>
      </c>
      <c r="AF1062" s="273"/>
      <c r="AG1062" s="274"/>
      <c r="AH1062" s="273"/>
      <c r="AI1062" s="273"/>
      <c r="AJ1062" s="274"/>
      <c r="AK1062" s="273"/>
      <c r="AL1062" s="275"/>
      <c r="AM1062" s="290"/>
      <c r="AN1062" s="275"/>
      <c r="AO1062" s="276"/>
      <c r="AP1062" s="275"/>
      <c r="AQ1062" s="275"/>
      <c r="AR1062" s="275"/>
      <c r="AS1062" s="275"/>
      <c r="AT1062" s="275"/>
      <c r="AU1062" s="275">
        <v>100000000</v>
      </c>
      <c r="AV1062" s="275"/>
      <c r="AW1062" s="275"/>
      <c r="AX1062" s="275"/>
      <c r="AY1062" s="275"/>
      <c r="AZ1062" s="275"/>
      <c r="BA1062" s="275"/>
      <c r="BB1062" s="275"/>
      <c r="BC1062" s="275"/>
      <c r="BD1062" s="275"/>
      <c r="BE1062" s="275"/>
      <c r="BF1062" s="275"/>
      <c r="BH1062" s="277"/>
    </row>
    <row r="1063" spans="1:60" ht="16.5" hidden="1" customHeight="1" x14ac:dyDescent="0.3">
      <c r="A1063" s="260">
        <v>1041</v>
      </c>
      <c r="B1063" s="261"/>
      <c r="C1063" s="261"/>
      <c r="D1063" s="262" t="s">
        <v>15</v>
      </c>
      <c r="E1063" s="262" t="s">
        <v>153</v>
      </c>
      <c r="F1063" s="263" t="s">
        <v>15</v>
      </c>
      <c r="G1063" s="264" t="s">
        <v>153</v>
      </c>
      <c r="H1063" s="281"/>
      <c r="I1063" s="265"/>
      <c r="J1063" s="266" t="s">
        <v>908</v>
      </c>
      <c r="K1063" s="262"/>
      <c r="L1063" s="262"/>
      <c r="M1063" s="262">
        <v>46794</v>
      </c>
      <c r="N1063" s="262" t="s">
        <v>22</v>
      </c>
      <c r="O1063" s="262" t="s">
        <v>56</v>
      </c>
      <c r="P1063" s="262" t="s">
        <v>124</v>
      </c>
      <c r="Q1063" s="262" t="s">
        <v>44</v>
      </c>
      <c r="R1063" s="262" t="s">
        <v>469</v>
      </c>
      <c r="S1063" s="267" t="s">
        <v>469</v>
      </c>
      <c r="T1063" s="268"/>
      <c r="U1063" s="269">
        <v>42000000</v>
      </c>
      <c r="V1063" s="269">
        <v>0</v>
      </c>
      <c r="W1063" s="278">
        <v>0</v>
      </c>
      <c r="X1063" s="270"/>
      <c r="Y1063" s="262" t="s">
        <v>562</v>
      </c>
      <c r="Z1063" s="271" t="s">
        <v>562</v>
      </c>
      <c r="AA1063" s="287"/>
      <c r="AB1063" s="287"/>
      <c r="AC1063" s="272">
        <f t="shared" si="35"/>
        <v>0</v>
      </c>
      <c r="AD1063" s="272">
        <v>0</v>
      </c>
      <c r="AE1063" s="272">
        <f t="shared" si="36"/>
        <v>0</v>
      </c>
      <c r="AF1063" s="273"/>
      <c r="AG1063" s="274"/>
      <c r="AH1063" s="273"/>
      <c r="AI1063" s="273"/>
      <c r="AJ1063" s="274"/>
      <c r="AK1063" s="273"/>
      <c r="AL1063" s="275"/>
      <c r="AM1063" s="290"/>
      <c r="AN1063" s="275"/>
      <c r="AO1063" s="276"/>
      <c r="AP1063" s="275"/>
      <c r="AQ1063" s="275"/>
      <c r="AR1063" s="275"/>
      <c r="AS1063" s="275"/>
      <c r="AT1063" s="275"/>
      <c r="AU1063" s="275"/>
      <c r="AV1063" s="275"/>
      <c r="AW1063" s="275"/>
      <c r="AX1063" s="275"/>
      <c r="AY1063" s="275"/>
      <c r="AZ1063" s="275"/>
      <c r="BA1063" s="275"/>
      <c r="BB1063" s="275"/>
      <c r="BC1063" s="275"/>
      <c r="BD1063" s="275"/>
      <c r="BE1063" s="275"/>
      <c r="BF1063" s="275"/>
      <c r="BH1063" s="277"/>
    </row>
    <row r="1064" spans="1:60" ht="16.5" hidden="1" customHeight="1" x14ac:dyDescent="0.3">
      <c r="A1064" s="260">
        <v>1042</v>
      </c>
      <c r="B1064" s="261"/>
      <c r="C1064" s="261"/>
      <c r="D1064" s="262" t="s">
        <v>15</v>
      </c>
      <c r="E1064" s="262" t="s">
        <v>153</v>
      </c>
      <c r="F1064" s="263" t="s">
        <v>15</v>
      </c>
      <c r="G1064" s="264" t="s">
        <v>153</v>
      </c>
      <c r="H1064" s="281"/>
      <c r="I1064" s="265"/>
      <c r="J1064" s="266" t="s">
        <v>909</v>
      </c>
      <c r="K1064" s="262"/>
      <c r="L1064" s="262"/>
      <c r="M1064" s="262">
        <v>774</v>
      </c>
      <c r="N1064" s="262" t="s">
        <v>22</v>
      </c>
      <c r="O1064" s="262" t="s">
        <v>56</v>
      </c>
      <c r="P1064" s="262" t="s">
        <v>124</v>
      </c>
      <c r="Q1064" s="262"/>
      <c r="R1064" s="262" t="s">
        <v>468</v>
      </c>
      <c r="S1064" s="267" t="s">
        <v>468</v>
      </c>
      <c r="T1064" s="268"/>
      <c r="U1064" s="269" t="s">
        <v>154</v>
      </c>
      <c r="V1064" s="269">
        <v>0</v>
      </c>
      <c r="W1064" s="278">
        <v>0</v>
      </c>
      <c r="X1064" s="270"/>
      <c r="Y1064" s="262" t="s">
        <v>562</v>
      </c>
      <c r="Z1064" s="271" t="s">
        <v>562</v>
      </c>
      <c r="AA1064" s="287"/>
      <c r="AB1064" s="287"/>
      <c r="AC1064" s="272">
        <f t="shared" si="35"/>
        <v>0</v>
      </c>
      <c r="AD1064" s="272">
        <v>0</v>
      </c>
      <c r="AE1064" s="272">
        <f t="shared" si="36"/>
        <v>0</v>
      </c>
      <c r="AF1064" s="273"/>
      <c r="AG1064" s="274"/>
      <c r="AH1064" s="273"/>
      <c r="AI1064" s="273"/>
      <c r="AJ1064" s="274"/>
      <c r="AK1064" s="273"/>
      <c r="AL1064" s="275"/>
      <c r="AM1064" s="290"/>
      <c r="AN1064" s="275"/>
      <c r="AO1064" s="276"/>
      <c r="AP1064" s="275"/>
      <c r="AQ1064" s="275"/>
      <c r="AR1064" s="275"/>
      <c r="AS1064" s="275"/>
      <c r="AT1064" s="275"/>
      <c r="AU1064" s="275"/>
      <c r="AV1064" s="275"/>
      <c r="AW1064" s="275"/>
      <c r="AX1064" s="275"/>
      <c r="AY1064" s="275"/>
      <c r="AZ1064" s="275"/>
      <c r="BA1064" s="275"/>
      <c r="BB1064" s="275"/>
      <c r="BC1064" s="275"/>
      <c r="BD1064" s="275"/>
      <c r="BE1064" s="275"/>
      <c r="BF1064" s="275"/>
      <c r="BH1064" s="277"/>
    </row>
    <row r="1065" spans="1:60" ht="16.5" hidden="1" customHeight="1" x14ac:dyDescent="0.3">
      <c r="A1065" s="260">
        <v>1043</v>
      </c>
      <c r="B1065" s="261"/>
      <c r="C1065" s="261"/>
      <c r="D1065" s="262" t="s">
        <v>15</v>
      </c>
      <c r="E1065" s="262" t="s">
        <v>153</v>
      </c>
      <c r="F1065" s="263" t="s">
        <v>15</v>
      </c>
      <c r="G1065" s="264" t="s">
        <v>153</v>
      </c>
      <c r="H1065" s="281"/>
      <c r="I1065" s="265"/>
      <c r="J1065" s="266" t="s">
        <v>910</v>
      </c>
      <c r="K1065" s="262"/>
      <c r="L1065" s="262"/>
      <c r="M1065" s="262">
        <v>774</v>
      </c>
      <c r="N1065" s="262" t="s">
        <v>22</v>
      </c>
      <c r="O1065" s="262" t="s">
        <v>56</v>
      </c>
      <c r="P1065" s="262" t="s">
        <v>124</v>
      </c>
      <c r="Q1065" s="262" t="s">
        <v>23</v>
      </c>
      <c r="R1065" s="262" t="s">
        <v>397</v>
      </c>
      <c r="S1065" s="267" t="s">
        <v>823</v>
      </c>
      <c r="T1065" s="268"/>
      <c r="U1065" s="269"/>
      <c r="V1065" s="269">
        <v>0</v>
      </c>
      <c r="W1065" s="278">
        <v>104000000</v>
      </c>
      <c r="X1065" s="270"/>
      <c r="Y1065" s="262" t="s">
        <v>24</v>
      </c>
      <c r="Z1065" s="271" t="s">
        <v>562</v>
      </c>
      <c r="AA1065" s="287"/>
      <c r="AB1065" s="287"/>
      <c r="AC1065" s="272">
        <f t="shared" si="35"/>
        <v>50000000</v>
      </c>
      <c r="AD1065" s="272">
        <v>50000000</v>
      </c>
      <c r="AE1065" s="272">
        <f t="shared" si="36"/>
        <v>0</v>
      </c>
      <c r="AF1065" s="273"/>
      <c r="AG1065" s="274"/>
      <c r="AH1065" s="273"/>
      <c r="AI1065" s="273"/>
      <c r="AJ1065" s="274"/>
      <c r="AK1065" s="273"/>
      <c r="AL1065" s="275"/>
      <c r="AM1065" s="290"/>
      <c r="AN1065" s="275"/>
      <c r="AO1065" s="276">
        <v>50000000</v>
      </c>
      <c r="AP1065" s="275"/>
      <c r="AQ1065" s="275"/>
      <c r="AR1065" s="275"/>
      <c r="AS1065" s="275"/>
      <c r="AT1065" s="275"/>
      <c r="AU1065" s="275"/>
      <c r="AV1065" s="275"/>
      <c r="AW1065" s="275"/>
      <c r="AX1065" s="275"/>
      <c r="AY1065" s="275"/>
      <c r="AZ1065" s="275"/>
      <c r="BA1065" s="275"/>
      <c r="BB1065" s="275"/>
      <c r="BC1065" s="275"/>
      <c r="BD1065" s="275"/>
      <c r="BE1065" s="275"/>
      <c r="BF1065" s="275"/>
      <c r="BH1065" s="277"/>
    </row>
    <row r="1066" spans="1:60" ht="16.5" hidden="1" customHeight="1" x14ac:dyDescent="0.3">
      <c r="A1066" s="260">
        <v>1044</v>
      </c>
      <c r="B1066" s="261"/>
      <c r="C1066" s="261"/>
      <c r="D1066" s="262" t="s">
        <v>15</v>
      </c>
      <c r="E1066" s="262" t="s">
        <v>153</v>
      </c>
      <c r="F1066" s="263" t="s">
        <v>15</v>
      </c>
      <c r="G1066" s="264" t="s">
        <v>153</v>
      </c>
      <c r="H1066" s="281"/>
      <c r="I1066" s="265"/>
      <c r="J1066" s="266" t="s">
        <v>911</v>
      </c>
      <c r="K1066" s="262"/>
      <c r="L1066" s="262"/>
      <c r="M1066" s="262">
        <v>3842</v>
      </c>
      <c r="N1066" s="262" t="s">
        <v>22</v>
      </c>
      <c r="O1066" s="262" t="s">
        <v>56</v>
      </c>
      <c r="P1066" s="262" t="s">
        <v>124</v>
      </c>
      <c r="Q1066" s="262" t="s">
        <v>18</v>
      </c>
      <c r="R1066" s="262" t="s">
        <v>19</v>
      </c>
      <c r="S1066" s="267" t="s">
        <v>19</v>
      </c>
      <c r="T1066" s="268"/>
      <c r="U1066" s="269" t="s">
        <v>154</v>
      </c>
      <c r="V1066" s="269">
        <v>0</v>
      </c>
      <c r="W1066" s="278">
        <v>0</v>
      </c>
      <c r="X1066" s="270"/>
      <c r="Y1066" s="262" t="s">
        <v>599</v>
      </c>
      <c r="Z1066" s="271" t="s">
        <v>562</v>
      </c>
      <c r="AA1066" s="287"/>
      <c r="AB1066" s="287"/>
      <c r="AC1066" s="272">
        <f t="shared" si="35"/>
        <v>0</v>
      </c>
      <c r="AD1066" s="272">
        <v>0</v>
      </c>
      <c r="AE1066" s="272">
        <f t="shared" si="36"/>
        <v>0</v>
      </c>
      <c r="AF1066" s="273"/>
      <c r="AG1066" s="274"/>
      <c r="AH1066" s="273"/>
      <c r="AI1066" s="273"/>
      <c r="AJ1066" s="274"/>
      <c r="AK1066" s="273"/>
      <c r="AL1066" s="275"/>
      <c r="AM1066" s="290"/>
      <c r="AN1066" s="275"/>
      <c r="AO1066" s="276"/>
      <c r="AP1066" s="275"/>
      <c r="AQ1066" s="275"/>
      <c r="AR1066" s="275"/>
      <c r="AS1066" s="275"/>
      <c r="AT1066" s="275"/>
      <c r="AU1066" s="275"/>
      <c r="AV1066" s="275"/>
      <c r="AW1066" s="275"/>
      <c r="AX1066" s="275"/>
      <c r="AY1066" s="275"/>
      <c r="AZ1066" s="275"/>
      <c r="BA1066" s="275"/>
      <c r="BB1066" s="275"/>
      <c r="BC1066" s="275"/>
      <c r="BD1066" s="275"/>
      <c r="BE1066" s="275"/>
      <c r="BF1066" s="275"/>
      <c r="BH1066" s="277"/>
    </row>
    <row r="1067" spans="1:60" ht="16.5" hidden="1" customHeight="1" x14ac:dyDescent="0.3">
      <c r="A1067" s="260">
        <v>1045</v>
      </c>
      <c r="B1067" s="261"/>
      <c r="C1067" s="261"/>
      <c r="D1067" s="262"/>
      <c r="E1067" s="262"/>
      <c r="F1067" s="263" t="s">
        <v>15</v>
      </c>
      <c r="G1067" s="264" t="s">
        <v>153</v>
      </c>
      <c r="H1067" s="281"/>
      <c r="I1067" s="265"/>
      <c r="J1067" s="266" t="s">
        <v>911</v>
      </c>
      <c r="K1067" s="262"/>
      <c r="L1067" s="262"/>
      <c r="M1067" s="262">
        <v>3842</v>
      </c>
      <c r="N1067" s="262" t="s">
        <v>22</v>
      </c>
      <c r="O1067" s="262" t="s">
        <v>56</v>
      </c>
      <c r="P1067" s="262" t="s">
        <v>124</v>
      </c>
      <c r="Q1067" s="262" t="s">
        <v>30</v>
      </c>
      <c r="R1067" s="262" t="s">
        <v>31</v>
      </c>
      <c r="S1067" s="267" t="s">
        <v>31</v>
      </c>
      <c r="T1067" s="268"/>
      <c r="U1067" s="269" t="s">
        <v>154</v>
      </c>
      <c r="V1067" s="269">
        <v>21141000</v>
      </c>
      <c r="W1067" s="278">
        <v>0</v>
      </c>
      <c r="X1067" s="270"/>
      <c r="Y1067" s="262" t="s">
        <v>25</v>
      </c>
      <c r="Z1067" s="271" t="s">
        <v>25</v>
      </c>
      <c r="AA1067" s="287"/>
      <c r="AB1067" s="287"/>
      <c r="AC1067" s="272">
        <f t="shared" si="35"/>
        <v>20000000</v>
      </c>
      <c r="AD1067" s="272">
        <v>20000000</v>
      </c>
      <c r="AE1067" s="272">
        <f t="shared" si="36"/>
        <v>0</v>
      </c>
      <c r="AF1067" s="273"/>
      <c r="AG1067" s="274"/>
      <c r="AH1067" s="273"/>
      <c r="AI1067" s="273"/>
      <c r="AJ1067" s="274"/>
      <c r="AK1067" s="273"/>
      <c r="AL1067" s="275"/>
      <c r="AM1067" s="290"/>
      <c r="AN1067" s="275"/>
      <c r="AO1067" s="276"/>
      <c r="AP1067" s="275"/>
      <c r="AQ1067" s="275"/>
      <c r="AR1067" s="275"/>
      <c r="AS1067" s="275"/>
      <c r="AT1067" s="275"/>
      <c r="AU1067" s="275"/>
      <c r="AV1067" s="275"/>
      <c r="AW1067" s="275"/>
      <c r="AX1067" s="275"/>
      <c r="AY1067" s="275"/>
      <c r="AZ1067" s="275"/>
      <c r="BA1067" s="275"/>
      <c r="BB1067" s="275"/>
      <c r="BC1067" s="275"/>
      <c r="BD1067" s="275"/>
      <c r="BE1067" s="275">
        <v>20000000</v>
      </c>
      <c r="BF1067" s="275"/>
      <c r="BH1067" s="277"/>
    </row>
    <row r="1068" spans="1:60" ht="16.5" hidden="1" customHeight="1" x14ac:dyDescent="0.3">
      <c r="A1068" s="260">
        <v>1046</v>
      </c>
      <c r="B1068" s="261"/>
      <c r="C1068" s="261"/>
      <c r="D1068" s="262" t="s">
        <v>15</v>
      </c>
      <c r="E1068" s="262" t="s">
        <v>0</v>
      </c>
      <c r="F1068" s="263" t="s">
        <v>15</v>
      </c>
      <c r="G1068" s="264" t="s">
        <v>153</v>
      </c>
      <c r="H1068" s="281"/>
      <c r="I1068" s="265"/>
      <c r="J1068" s="266" t="s">
        <v>912</v>
      </c>
      <c r="K1068" s="262"/>
      <c r="L1068" s="262"/>
      <c r="M1068" s="262">
        <v>3842</v>
      </c>
      <c r="N1068" s="262" t="s">
        <v>22</v>
      </c>
      <c r="O1068" s="262" t="s">
        <v>35</v>
      </c>
      <c r="P1068" s="262" t="s">
        <v>124</v>
      </c>
      <c r="Q1068" s="262" t="s">
        <v>73</v>
      </c>
      <c r="R1068" s="262" t="s">
        <v>468</v>
      </c>
      <c r="S1068" s="267" t="s">
        <v>468</v>
      </c>
      <c r="T1068" s="268"/>
      <c r="U1068" s="269" t="s">
        <v>154</v>
      </c>
      <c r="V1068" s="269">
        <v>0</v>
      </c>
      <c r="W1068" s="278">
        <v>0</v>
      </c>
      <c r="X1068" s="270"/>
      <c r="Y1068" s="262" t="s">
        <v>25</v>
      </c>
      <c r="Z1068" s="271" t="s">
        <v>562</v>
      </c>
      <c r="AA1068" s="287"/>
      <c r="AB1068" s="287"/>
      <c r="AC1068" s="272">
        <f t="shared" si="35"/>
        <v>0</v>
      </c>
      <c r="AD1068" s="272">
        <v>0</v>
      </c>
      <c r="AE1068" s="272">
        <f t="shared" si="36"/>
        <v>0</v>
      </c>
      <c r="AF1068" s="273"/>
      <c r="AG1068" s="274"/>
      <c r="AH1068" s="273"/>
      <c r="AI1068" s="273"/>
      <c r="AJ1068" s="274"/>
      <c r="AK1068" s="273"/>
      <c r="AL1068" s="275"/>
      <c r="AM1068" s="290"/>
      <c r="AN1068" s="275"/>
      <c r="AO1068" s="276"/>
      <c r="AP1068" s="275"/>
      <c r="AQ1068" s="275"/>
      <c r="AR1068" s="275"/>
      <c r="AS1068" s="275"/>
      <c r="AT1068" s="275"/>
      <c r="AU1068" s="275"/>
      <c r="AV1068" s="275"/>
      <c r="AW1068" s="275"/>
      <c r="AX1068" s="275"/>
      <c r="AY1068" s="275"/>
      <c r="AZ1068" s="275"/>
      <c r="BA1068" s="275"/>
      <c r="BB1068" s="275"/>
      <c r="BC1068" s="275"/>
      <c r="BD1068" s="275"/>
      <c r="BE1068" s="275"/>
      <c r="BF1068" s="275"/>
      <c r="BH1068" s="277"/>
    </row>
    <row r="1069" spans="1:60" ht="16.5" hidden="1" customHeight="1" x14ac:dyDescent="0.3">
      <c r="A1069" s="260">
        <v>1047</v>
      </c>
      <c r="B1069" s="261"/>
      <c r="C1069" s="261"/>
      <c r="D1069" s="262" t="s">
        <v>110</v>
      </c>
      <c r="E1069" s="262" t="s">
        <v>798</v>
      </c>
      <c r="F1069" s="263" t="s">
        <v>15</v>
      </c>
      <c r="G1069" s="264" t="s">
        <v>606</v>
      </c>
      <c r="H1069" s="281"/>
      <c r="I1069" s="265"/>
      <c r="J1069" s="266" t="s">
        <v>162</v>
      </c>
      <c r="K1069" s="262"/>
      <c r="L1069" s="262"/>
      <c r="M1069" s="262">
        <v>29192</v>
      </c>
      <c r="N1069" s="262" t="s">
        <v>32</v>
      </c>
      <c r="O1069" s="262" t="s">
        <v>56</v>
      </c>
      <c r="P1069" s="262" t="s">
        <v>57</v>
      </c>
      <c r="Q1069" s="262" t="s">
        <v>160</v>
      </c>
      <c r="R1069" s="262" t="s">
        <v>19</v>
      </c>
      <c r="S1069" s="267" t="s">
        <v>995</v>
      </c>
      <c r="T1069" s="268"/>
      <c r="U1069" s="269"/>
      <c r="V1069" s="269">
        <v>191243560</v>
      </c>
      <c r="W1069" s="278">
        <v>188734440</v>
      </c>
      <c r="X1069" s="270"/>
      <c r="Y1069" s="262" t="s">
        <v>27</v>
      </c>
      <c r="Z1069" s="271" t="s">
        <v>27</v>
      </c>
      <c r="AA1069" s="287"/>
      <c r="AB1069" s="287"/>
      <c r="AC1069" s="272">
        <f t="shared" si="35"/>
        <v>61390590</v>
      </c>
      <c r="AD1069" s="272">
        <v>61390590</v>
      </c>
      <c r="AE1069" s="272">
        <f t="shared" si="36"/>
        <v>0</v>
      </c>
      <c r="AF1069" s="273">
        <v>10000000</v>
      </c>
      <c r="AG1069" s="274">
        <v>10260000</v>
      </c>
      <c r="AH1069" s="273"/>
      <c r="AI1069" s="273">
        <v>10000000</v>
      </c>
      <c r="AJ1069" s="274">
        <v>9016635</v>
      </c>
      <c r="AK1069" s="273"/>
      <c r="AL1069" s="275">
        <v>10000000</v>
      </c>
      <c r="AM1069" s="290">
        <v>12113955</v>
      </c>
      <c r="AN1069" s="275"/>
      <c r="AO1069" s="276">
        <v>10000000</v>
      </c>
      <c r="AP1069" s="275"/>
      <c r="AQ1069" s="275">
        <v>10000000</v>
      </c>
      <c r="AR1069" s="275"/>
      <c r="AS1069" s="275">
        <v>10000000</v>
      </c>
      <c r="AT1069" s="275"/>
      <c r="AU1069" s="275"/>
      <c r="AV1069" s="275"/>
      <c r="AW1069" s="275"/>
      <c r="AX1069" s="275"/>
      <c r="AY1069" s="275"/>
      <c r="AZ1069" s="275"/>
      <c r="BA1069" s="275"/>
      <c r="BB1069" s="275"/>
      <c r="BC1069" s="275"/>
      <c r="BD1069" s="275"/>
      <c r="BE1069" s="275"/>
      <c r="BF1069" s="275"/>
      <c r="BH1069" s="277"/>
    </row>
    <row r="1070" spans="1:60" ht="16.5" hidden="1" customHeight="1" x14ac:dyDescent="0.3">
      <c r="A1070" s="260">
        <v>1048</v>
      </c>
      <c r="B1070" s="261"/>
      <c r="C1070" s="261"/>
      <c r="D1070" s="262" t="s">
        <v>110</v>
      </c>
      <c r="E1070" s="262" t="s">
        <v>798</v>
      </c>
      <c r="F1070" s="263" t="s">
        <v>15</v>
      </c>
      <c r="G1070" s="264" t="s">
        <v>320</v>
      </c>
      <c r="H1070" s="281"/>
      <c r="I1070" s="265"/>
      <c r="J1070" s="266" t="s">
        <v>799</v>
      </c>
      <c r="K1070" s="262"/>
      <c r="L1070" s="262"/>
      <c r="M1070" s="262">
        <v>9602</v>
      </c>
      <c r="N1070" s="262" t="s">
        <v>32</v>
      </c>
      <c r="O1070" s="262" t="s">
        <v>56</v>
      </c>
      <c r="P1070" s="262" t="s">
        <v>57</v>
      </c>
      <c r="Q1070" s="262" t="s">
        <v>59</v>
      </c>
      <c r="R1070" s="262" t="s">
        <v>476</v>
      </c>
      <c r="S1070" s="267" t="s">
        <v>825</v>
      </c>
      <c r="T1070" s="268"/>
      <c r="U1070" s="269"/>
      <c r="V1070" s="269">
        <v>45000000</v>
      </c>
      <c r="W1070" s="278">
        <v>50000000</v>
      </c>
      <c r="X1070" s="270"/>
      <c r="Y1070" s="262" t="s">
        <v>27</v>
      </c>
      <c r="Z1070" s="271" t="s">
        <v>27</v>
      </c>
      <c r="AA1070" s="287"/>
      <c r="AB1070" s="287"/>
      <c r="AC1070" s="272">
        <f t="shared" si="35"/>
        <v>47500000</v>
      </c>
      <c r="AD1070" s="272">
        <v>47500000</v>
      </c>
      <c r="AE1070" s="272">
        <f t="shared" si="36"/>
        <v>0</v>
      </c>
      <c r="AF1070" s="273"/>
      <c r="AG1070" s="274"/>
      <c r="AH1070" s="273"/>
      <c r="AI1070" s="273"/>
      <c r="AJ1070" s="274"/>
      <c r="AK1070" s="273"/>
      <c r="AL1070" s="275">
        <v>5000000</v>
      </c>
      <c r="AM1070" s="290">
        <v>2500000</v>
      </c>
      <c r="AN1070" s="275"/>
      <c r="AO1070" s="276">
        <v>5000000</v>
      </c>
      <c r="AP1070" s="275"/>
      <c r="AQ1070" s="275">
        <v>5000000</v>
      </c>
      <c r="AR1070" s="275"/>
      <c r="AS1070" s="275">
        <v>5000000</v>
      </c>
      <c r="AT1070" s="275"/>
      <c r="AU1070" s="275">
        <v>5000000</v>
      </c>
      <c r="AV1070" s="275"/>
      <c r="AW1070" s="275">
        <v>5000000</v>
      </c>
      <c r="AX1070" s="275"/>
      <c r="AY1070" s="275">
        <v>5000000</v>
      </c>
      <c r="AZ1070" s="275"/>
      <c r="BA1070" s="275">
        <v>5000000</v>
      </c>
      <c r="BB1070" s="275"/>
      <c r="BC1070" s="275">
        <v>5000000</v>
      </c>
      <c r="BD1070" s="275"/>
      <c r="BE1070" s="275">
        <v>5000000</v>
      </c>
      <c r="BF1070" s="275"/>
      <c r="BH1070" s="277"/>
    </row>
    <row r="1071" spans="1:60" ht="16.5" hidden="1" customHeight="1" x14ac:dyDescent="0.3">
      <c r="A1071" s="260">
        <v>1049</v>
      </c>
      <c r="B1071" s="261"/>
      <c r="C1071" s="261"/>
      <c r="D1071" s="262" t="s">
        <v>15</v>
      </c>
      <c r="E1071" s="262" t="s">
        <v>0</v>
      </c>
      <c r="F1071" s="263" t="s">
        <v>15</v>
      </c>
      <c r="G1071" s="264" t="s">
        <v>606</v>
      </c>
      <c r="H1071" s="281"/>
      <c r="I1071" s="265"/>
      <c r="J1071" s="266" t="s">
        <v>799</v>
      </c>
      <c r="K1071" s="262"/>
      <c r="L1071" s="262"/>
      <c r="M1071" s="262">
        <v>9602</v>
      </c>
      <c r="N1071" s="262" t="s">
        <v>32</v>
      </c>
      <c r="O1071" s="262"/>
      <c r="P1071" s="262" t="s">
        <v>57</v>
      </c>
      <c r="Q1071" s="262" t="s">
        <v>18</v>
      </c>
      <c r="R1071" s="262" t="s">
        <v>19</v>
      </c>
      <c r="S1071" s="267" t="s">
        <v>838</v>
      </c>
      <c r="T1071" s="268"/>
      <c r="U1071" s="269"/>
      <c r="V1071" s="269">
        <v>1268755196</v>
      </c>
      <c r="W1071" s="278">
        <v>1483621965</v>
      </c>
      <c r="X1071" s="270"/>
      <c r="Y1071" s="262" t="s">
        <v>27</v>
      </c>
      <c r="Z1071" s="271" t="s">
        <v>27</v>
      </c>
      <c r="AA1071" s="287"/>
      <c r="AB1071" s="287"/>
      <c r="AC1071" s="272">
        <f t="shared" si="35"/>
        <v>1311192598</v>
      </c>
      <c r="AD1071" s="272">
        <v>1311192598</v>
      </c>
      <c r="AE1071" s="272">
        <f t="shared" si="36"/>
        <v>0</v>
      </c>
      <c r="AF1071" s="273">
        <v>7916150</v>
      </c>
      <c r="AG1071" s="274">
        <v>9915650</v>
      </c>
      <c r="AH1071" s="273"/>
      <c r="AI1071" s="273">
        <v>6825000</v>
      </c>
      <c r="AJ1071" s="274">
        <v>33580000</v>
      </c>
      <c r="AK1071" s="273"/>
      <c r="AL1071" s="275">
        <v>281615000</v>
      </c>
      <c r="AM1071" s="290">
        <v>222825000</v>
      </c>
      <c r="AN1071" s="275"/>
      <c r="AO1071" s="276">
        <v>101290000</v>
      </c>
      <c r="AP1071" s="275"/>
      <c r="AQ1071" s="275">
        <v>78362860</v>
      </c>
      <c r="AR1071" s="275"/>
      <c r="AS1071" s="275">
        <v>237049000</v>
      </c>
      <c r="AT1071" s="275"/>
      <c r="AU1071" s="275">
        <v>43186445</v>
      </c>
      <c r="AV1071" s="275"/>
      <c r="AW1071" s="275">
        <v>134006500</v>
      </c>
      <c r="AX1071" s="275"/>
      <c r="AY1071" s="275">
        <v>52502105</v>
      </c>
      <c r="AZ1071" s="275"/>
      <c r="BA1071" s="275">
        <v>216363620</v>
      </c>
      <c r="BB1071" s="275"/>
      <c r="BC1071" s="275">
        <v>127814000</v>
      </c>
      <c r="BD1071" s="275"/>
      <c r="BE1071" s="275">
        <v>54297418</v>
      </c>
      <c r="BF1071" s="275"/>
      <c r="BH1071" s="277"/>
    </row>
    <row r="1072" spans="1:60" ht="16.5" hidden="1" customHeight="1" x14ac:dyDescent="0.3">
      <c r="A1072" s="260">
        <v>1050</v>
      </c>
      <c r="B1072" s="261"/>
      <c r="C1072" s="261"/>
      <c r="D1072" s="262"/>
      <c r="E1072" s="262"/>
      <c r="F1072" s="263" t="s">
        <v>15</v>
      </c>
      <c r="G1072" s="264" t="s">
        <v>606</v>
      </c>
      <c r="H1072" s="281"/>
      <c r="I1072" s="265"/>
      <c r="J1072" s="266" t="s">
        <v>789</v>
      </c>
      <c r="K1072" s="262"/>
      <c r="L1072" s="262"/>
      <c r="M1072" s="262">
        <v>56028</v>
      </c>
      <c r="N1072" s="262" t="s">
        <v>32</v>
      </c>
      <c r="O1072" s="262" t="s">
        <v>56</v>
      </c>
      <c r="P1072" s="262" t="s">
        <v>57</v>
      </c>
      <c r="Q1072" s="262" t="s">
        <v>59</v>
      </c>
      <c r="R1072" s="262" t="s">
        <v>476</v>
      </c>
      <c r="S1072" s="267" t="s">
        <v>838</v>
      </c>
      <c r="T1072" s="268"/>
      <c r="U1072" s="269">
        <v>1150650676</v>
      </c>
      <c r="V1072" s="269">
        <v>1166764891</v>
      </c>
      <c r="W1072" s="278">
        <v>1101058567</v>
      </c>
      <c r="X1072" s="270"/>
      <c r="Y1072" s="262" t="s">
        <v>27</v>
      </c>
      <c r="Z1072" s="271" t="s">
        <v>27</v>
      </c>
      <c r="AA1072" s="287"/>
      <c r="AB1072" s="287"/>
      <c r="AC1072" s="272">
        <f t="shared" si="35"/>
        <v>1037799919</v>
      </c>
      <c r="AD1072" s="272">
        <v>1037799919</v>
      </c>
      <c r="AE1072" s="272">
        <f t="shared" si="36"/>
        <v>0</v>
      </c>
      <c r="AF1072" s="273"/>
      <c r="AG1072" s="274"/>
      <c r="AH1072" s="273"/>
      <c r="AI1072" s="273"/>
      <c r="AJ1072" s="274"/>
      <c r="AK1072" s="273"/>
      <c r="AL1072" s="275"/>
      <c r="AM1072" s="290">
        <v>37799919</v>
      </c>
      <c r="AN1072" s="275"/>
      <c r="AO1072" s="276">
        <v>130000000</v>
      </c>
      <c r="AP1072" s="275"/>
      <c r="AQ1072" s="275">
        <v>90000000</v>
      </c>
      <c r="AR1072" s="275"/>
      <c r="AS1072" s="275">
        <v>90000000</v>
      </c>
      <c r="AT1072" s="275"/>
      <c r="AU1072" s="275">
        <v>100000000</v>
      </c>
      <c r="AV1072" s="275"/>
      <c r="AW1072" s="275">
        <v>90000000</v>
      </c>
      <c r="AX1072" s="275"/>
      <c r="AY1072" s="275">
        <v>100000000</v>
      </c>
      <c r="AZ1072" s="275"/>
      <c r="BA1072" s="275">
        <v>100000000</v>
      </c>
      <c r="BB1072" s="275"/>
      <c r="BC1072" s="275">
        <v>300000000</v>
      </c>
      <c r="BD1072" s="275"/>
      <c r="BE1072" s="275"/>
      <c r="BF1072" s="275"/>
      <c r="BH1072" s="277"/>
    </row>
  </sheetData>
  <sheetProtection insertColumns="0" insertRows="0" selectLockedCells="1"/>
  <autoFilter ref="A22:BH1072">
    <filterColumn colId="6">
      <filters>
        <filter val="황동현"/>
      </filters>
    </filterColumn>
    <filterColumn colId="25">
      <filters>
        <filter val="01 확정"/>
        <filter val="02 가망"/>
        <filter val="03 기회"/>
      </filters>
    </filterColumn>
  </autoFilter>
  <sortState ref="A23:BH1072">
    <sortCondition ref="G23:G1072" customList="박정규,이재성,황동현,장지웅,이태원,김신정,심수민,강건모,조미희,김도엽"/>
    <sortCondition ref="J23:J1072"/>
    <sortCondition ref="S23:S1072"/>
    <sortCondition ref="Z23:Z1072"/>
  </sortState>
  <dataConsolidate/>
  <mergeCells count="4">
    <mergeCell ref="D1:M1"/>
    <mergeCell ref="D2:R14"/>
    <mergeCell ref="V19:V20"/>
    <mergeCell ref="N20:O20"/>
  </mergeCells>
  <phoneticPr fontId="2" type="noConversion"/>
  <conditionalFormatting sqref="BH1071:BH1072">
    <cfRule type="duplicateValues" dxfId="78" priority="1"/>
  </conditionalFormatting>
  <dataValidations count="13">
    <dataValidation type="list" allowBlank="1" showInputMessage="1" showErrorMessage="1" sqref="N22">
      <formula1>$G$3:$G$7</formula1>
    </dataValidation>
    <dataValidation type="list" allowBlank="1" showInputMessage="1" showErrorMessage="1" sqref="P22">
      <formula1>$Q$3:$Q$5</formula1>
    </dataValidation>
    <dataValidation type="list" allowBlank="1" showInputMessage="1" showErrorMessage="1" sqref="O22">
      <formula1>$M$3:$M$6</formula1>
    </dataValidation>
    <dataValidation type="list" allowBlank="1" showInputMessage="1" showErrorMessage="1" sqref="P1073:P1048576 N131:N565 R132:R614 Y132:Y614 O807:O813 O838 O815 O817:O819 N820:N941 O715:O722 O762 O764:O766 O785 P807:P818 N767:N818 N943:N980 Q943:Q975 Y1014:Y1015 Y1007:Y1010 N982:N983 N1010 N1004 N985:N988 Q976:R980 P1009 Q1007:R1008 N1007:N1008 R1009:R1010 O724:O760 Y1037:Y1067 Q1037:R1067 N127 Q161:Q264 N632 R616:R675 Q632 P566:P631 O592:O631 O633:O668 Q266:Q565 O351:P351 O508:P508 Y1017:Y1033 Q1017:R1033 O23:P336 Y616:Y675 O1070 P633:P765 O698:O713 R678:R975 N698:N765 Y678:Y980 P1068:P1070 O1014:P1015 N1071:N1072 N90:N125 N1017:N1067">
      <formula1>#REF!</formula1>
    </dataValidation>
    <dataValidation type="list" allowBlank="1" showInputMessage="1" showErrorMessage="1" sqref="Q22">
      <formula1>$N$3:$N$22</formula1>
    </dataValidation>
    <dataValidation type="list" allowBlank="1" showInputMessage="1" showErrorMessage="1" sqref="Q989:Q1003 Q1011:Q1015 Q1005:Q1006 O820:O837 O839:O941 O786:O806 O763 O767:O784 O1004 O337:O350 O943:O980 O1007:O1008 O1010 O632 O576:O578 O535:O540 O542:O565 O567 O570 O521:O525 O527:O533 O500:O502 O504:O507 O352:O498 O509:O519 O816 O1017:O1067">
      <formula1>$N$3:$N$3</formula1>
    </dataValidation>
    <dataValidation type="list" allowBlank="1" showInputMessage="1" showErrorMessage="1" sqref="P820:P941 P1004 P767:P806 P337:P350 P943:P980 P1007:P1008 P1010 P632 P352:P507 P509:P565 P1017:P1067">
      <formula1>$R$3:$R$3</formula1>
    </dataValidation>
    <dataValidation allowBlank="1" showInputMessage="1" showErrorMessage="1" promptTitle="수정금지!!!!" prompt="원본값, 수정하지 마세요." sqref="W1071:W1072 W22:W1069"/>
    <dataValidation type="list" allowBlank="1" showInputMessage="1" showErrorMessage="1" sqref="Q23:Q88 Q698:Q765 Q767:Q818 Q265 R1011:R1016 R1005 R1002:R1003 Q1004 Q820:Q941 Q1010 Q131:Q160 Q90:Q127">
      <formula1>$O$3:$O$3</formula1>
    </dataValidation>
    <dataValidation type="list" allowBlank="1" showInputMessage="1" showErrorMessage="1" sqref="N1011:N1015 N1005:N1006 N989:N1003">
      <formula1>$G$3:$G$3</formula1>
    </dataValidation>
    <dataValidation type="list" allowBlank="1" showInputMessage="1" showErrorMessage="1" sqref="P1011:P1013 P989:P1003 P1005:P1006">
      <formula1>$Q$3:$Q$3</formula1>
    </dataValidation>
    <dataValidation type="list" allowBlank="1" showInputMessage="1" showErrorMessage="1" sqref="O1011:O1013 O989:O1003 O1005:O1006">
      <formula1>$M$3:$M$3</formula1>
    </dataValidation>
    <dataValidation type="list" allowBlank="1" showInputMessage="1" showErrorMessage="1" sqref="Y1011:Y1013 Y1002:Y1003 Y1016 Y1005:Y1006">
      <formula1>$P$3:$P$3</formula1>
    </dataValidation>
  </dataValidations>
  <pageMargins left="0.7" right="0.7" top="0.75" bottom="0.75" header="0.3" footer="0.3"/>
  <pageSetup paperSize="9" orientation="portrait" r:id="rId1"/>
  <ignoredErrors>
    <ignoredError sqref="AN21:BE21 AC21:AL2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R16:R21 R1 R1073:R1048576 R1068:R1070 N1073:O1048576 N1068:O1069 N1070 Y21:Z21</xm:sqref>
        </x14:dataValidation>
        <x14:dataValidation type="list" allowBlank="1" showInputMessage="1" showErrorMessage="1">
          <x14:formula1>
            <xm:f>index!$K$3:$K$28</xm:f>
          </x14:formula1>
          <xm:sqref>R22</xm:sqref>
        </x14:dataValidation>
        <x14:dataValidation type="list" allowBlank="1" showInputMessage="1" showErrorMessage="1">
          <x14:formula1>
            <xm:f>index!$K$2:$K$27</xm:f>
          </x14:formula1>
          <xm:sqref>T1:T21 S1:S22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영업개발회의\2026년\20260108_데이터북\26년 팀별취합\FS2팀\[★2026년_databook_FS2팀_260108_이동호.xlsb]index'!#REF!</xm:f>
          </x14:formula1>
          <xm:sqref>Q1034:R1036 Y1034:Y1036</xm:sqref>
        </x14:dataValidation>
        <x14:dataValidation type="list" allowBlank="1" showInputMessage="1" showErrorMessage="1">
          <x14:formula1>
            <xm:f>'\\172.20.100.180\Hunet\HRD컨설팅본부\영업전략팀\아레테 영업개발회의\25년 마감★\[♣2025년_databook_취합_260122_25년마감 완료_수정★.xlsm]index'!#REF!</xm:f>
          </x14:formula1>
          <xm:sqref>U1006</xm:sqref>
        </x14:dataValidation>
        <x14:dataValidation type="list" allowBlank="1" showInputMessage="1" showErrorMessage="1">
          <x14:formula1>
            <xm:f>'C:\Users\ksu0228\Downloads\[★2026년_databook_기교3팀_260122_완료_myo.xlsm]index'!#REF!</xm:f>
          </x14:formula1>
          <xm:sqref>R989:R1001 Y989:Y1001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O499 O714 O669:O697 O723 N1009:O1009 N130 N566:N628 O541 O534 O566 O568:O569 O571:O575 O579:O591 O520 O526 N630:N631 N633:N697 O503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P819:Q819 N819 N942:Q942 P766:Q766 N766 Q89 N89</xm:sqref>
        </x14:dataValidation>
        <x14:dataValidation type="list" allowBlank="1" showInputMessage="1" showErrorMessage="1">
          <x14:formula1>
            <xm:f>'\\172.20.100.180\Hunet\Users\ckal2648\Desktop\★영업전략팀★\★데이터북★\20251204\26년 팀별취합\기교4팀\[★2026년_databook_기교4팀_251204_박희란.xlsb]index'!#REF!</xm:f>
          </x14:formula1>
          <xm:sqref>Y615 R676:R677 R615 Y676:Y677</xm:sqref>
        </x14:dataValidation>
        <x14:dataValidation type="list" allowBlank="1" showInputMessage="1" showErrorMessage="1">
          <x14:formula1>
            <xm:f>'\\172.20.100.180\Hunet\Users\hwangjm\Desktop\[★2026년_databook_FS1팀_260105 ver2(김두희).xlsb]index'!#REF!</xm:f>
          </x14:formula1>
          <xm:sqref>O814 O761 Y1004 R1004 N126 N128:N129 N23:N88 R23:R131 Y23:Y131</xm:sqref>
        </x14:dataValidation>
        <x14:dataValidation type="list" allowBlank="1" showInputMessage="1" showErrorMessage="1">
          <x14:formula1>
            <xm:f>index!$L$3:$L$11</xm:f>
          </x14:formula1>
          <xm:sqref>AA1034:AB1048576 AA23:AB1032 Z23:Z1048576</xm:sqref>
        </x14:dataValidation>
        <x14:dataValidation type="list" allowBlank="1" showInputMessage="1" showErrorMessage="1">
          <x14:formula1>
            <xm:f>index!$K$3:$K$27</xm:f>
          </x14:formula1>
          <xm:sqref>S23:S1048576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팀별취합\FS2팀\[★2026년_databook_FS2팀_260326_유형석.xlsx]index'!#REF!</xm:f>
          </x14:formula1>
          <xm:sqref>Y1071:Y1072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영업개발회의\2026년\260423\팀별자료\databook\기교1팀\[★2026년_databook_기교1팀_260423_김도엽.xlsm]index'!#REF!</xm:f>
          </x14:formula1>
          <xm:sqref>AA1033:AB1033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H19" sqref="H19"/>
    </sheetView>
  </sheetViews>
  <sheetFormatPr defaultRowHeight="15.65" x14ac:dyDescent="0.3"/>
  <cols>
    <col min="1" max="1" width="34" style="33" customWidth="1"/>
    <col min="2" max="5" width="13.109375" style="32" customWidth="1"/>
    <col min="6" max="8" width="14.21875" style="32" customWidth="1"/>
    <col min="9" max="10" width="13.77734375" style="32" customWidth="1"/>
    <col min="11" max="11" width="15" style="32" customWidth="1"/>
    <col min="12" max="12" width="15" style="32" bestFit="1" customWidth="1"/>
    <col min="13" max="13" width="15" style="32" customWidth="1"/>
    <col min="14" max="14" width="22.77734375" style="32" bestFit="1" customWidth="1"/>
  </cols>
  <sheetData>
    <row r="3" spans="1:14" x14ac:dyDescent="0.3">
      <c r="A3" s="162" t="s">
        <v>451</v>
      </c>
      <c r="B3" s="163" t="s">
        <v>459</v>
      </c>
      <c r="C3" s="163" t="s">
        <v>460</v>
      </c>
      <c r="D3" s="163" t="s">
        <v>462</v>
      </c>
      <c r="E3" s="163" t="s">
        <v>461</v>
      </c>
      <c r="F3" s="163" t="s">
        <v>463</v>
      </c>
      <c r="G3" s="163" t="s">
        <v>464</v>
      </c>
      <c r="H3" s="163" t="s">
        <v>465</v>
      </c>
      <c r="I3"/>
      <c r="J3"/>
      <c r="K3"/>
      <c r="L3"/>
      <c r="M3"/>
      <c r="N3"/>
    </row>
    <row r="4" spans="1:14" x14ac:dyDescent="0.3">
      <c r="A4" s="164" t="s">
        <v>27</v>
      </c>
      <c r="B4" s="163">
        <v>1586950000</v>
      </c>
      <c r="C4" s="163">
        <v>2542450000</v>
      </c>
      <c r="D4" s="163">
        <v>1282700000</v>
      </c>
      <c r="E4" s="163">
        <v>1553475940</v>
      </c>
      <c r="F4" s="163">
        <v>1984750000</v>
      </c>
      <c r="G4" s="163">
        <v>2063200000</v>
      </c>
      <c r="H4" s="163">
        <v>3383800000</v>
      </c>
      <c r="I4"/>
      <c r="J4"/>
      <c r="K4"/>
      <c r="L4"/>
      <c r="M4"/>
      <c r="N4"/>
    </row>
    <row r="5" spans="1:14" x14ac:dyDescent="0.3">
      <c r="A5" s="164" t="s">
        <v>24</v>
      </c>
      <c r="B5" s="163">
        <v>182860000</v>
      </c>
      <c r="C5" s="163">
        <v>422000000</v>
      </c>
      <c r="D5" s="163">
        <v>94600000</v>
      </c>
      <c r="E5" s="163">
        <v>307100000</v>
      </c>
      <c r="F5" s="163">
        <v>603600000</v>
      </c>
      <c r="G5" s="163">
        <v>112600000</v>
      </c>
      <c r="H5" s="163">
        <v>420100000</v>
      </c>
      <c r="I5"/>
      <c r="J5"/>
      <c r="K5"/>
      <c r="L5"/>
      <c r="M5"/>
      <c r="N5"/>
    </row>
    <row r="6" spans="1:14" x14ac:dyDescent="0.3">
      <c r="A6" s="164" t="s">
        <v>25</v>
      </c>
      <c r="B6" s="163">
        <v>133000000</v>
      </c>
      <c r="C6" s="163">
        <v>88000000</v>
      </c>
      <c r="D6" s="163">
        <v>336000000</v>
      </c>
      <c r="E6" s="163">
        <v>199000000</v>
      </c>
      <c r="F6" s="163">
        <v>206000000</v>
      </c>
      <c r="G6" s="163">
        <v>115000000</v>
      </c>
      <c r="H6" s="163">
        <v>212000000</v>
      </c>
      <c r="I6"/>
      <c r="J6"/>
      <c r="K6"/>
      <c r="L6"/>
      <c r="M6"/>
      <c r="N6"/>
    </row>
    <row r="7" spans="1:14" x14ac:dyDescent="0.3">
      <c r="A7" s="164" t="s">
        <v>452</v>
      </c>
      <c r="B7" s="163">
        <v>1902810000</v>
      </c>
      <c r="C7" s="163">
        <v>3052450000</v>
      </c>
      <c r="D7" s="163">
        <v>1713300000</v>
      </c>
      <c r="E7" s="163">
        <v>2059575940</v>
      </c>
      <c r="F7" s="163">
        <v>2794350000</v>
      </c>
      <c r="G7" s="163">
        <v>2290800000</v>
      </c>
      <c r="H7" s="163">
        <v>4015900000</v>
      </c>
      <c r="I7"/>
      <c r="J7"/>
      <c r="K7"/>
      <c r="L7"/>
      <c r="M7"/>
      <c r="N7"/>
    </row>
    <row r="11" spans="1:14" x14ac:dyDescent="0.3">
      <c r="A11" s="166"/>
      <c r="B11" s="165" t="s">
        <v>488</v>
      </c>
      <c r="C11" s="163"/>
      <c r="D11" s="163"/>
      <c r="E11" s="163"/>
    </row>
    <row r="12" spans="1:14" x14ac:dyDescent="0.3">
      <c r="A12" s="162" t="s">
        <v>451</v>
      </c>
      <c r="B12" s="163" t="s">
        <v>27</v>
      </c>
      <c r="C12" s="163" t="s">
        <v>24</v>
      </c>
      <c r="D12" s="163" t="s">
        <v>25</v>
      </c>
      <c r="E12" s="163" t="s">
        <v>452</v>
      </c>
    </row>
    <row r="13" spans="1:14" x14ac:dyDescent="0.3">
      <c r="A13" s="164" t="s">
        <v>113</v>
      </c>
      <c r="B13" s="163"/>
      <c r="C13" s="163"/>
      <c r="D13" s="163"/>
      <c r="E13" s="163"/>
    </row>
    <row r="14" spans="1:14" x14ac:dyDescent="0.3">
      <c r="A14" s="164" t="s">
        <v>0</v>
      </c>
      <c r="B14" s="163"/>
      <c r="C14" s="163"/>
      <c r="D14" s="163"/>
      <c r="E14" s="163"/>
    </row>
    <row r="15" spans="1:14" x14ac:dyDescent="0.3">
      <c r="A15" s="164" t="s">
        <v>175</v>
      </c>
      <c r="B15" s="163"/>
      <c r="C15" s="163"/>
      <c r="D15" s="163"/>
      <c r="E15" s="163"/>
    </row>
    <row r="16" spans="1:14" x14ac:dyDescent="0.3">
      <c r="A16" s="164" t="s">
        <v>364</v>
      </c>
      <c r="B16" s="163"/>
      <c r="C16" s="163"/>
      <c r="D16" s="163"/>
      <c r="E16" s="163"/>
    </row>
    <row r="17" spans="1:14" x14ac:dyDescent="0.3">
      <c r="A17" s="164" t="s">
        <v>2</v>
      </c>
      <c r="B17" s="163"/>
      <c r="C17" s="163"/>
      <c r="D17" s="163"/>
      <c r="E17" s="163"/>
    </row>
    <row r="18" spans="1:14" x14ac:dyDescent="0.3">
      <c r="A18" s="164" t="s">
        <v>237</v>
      </c>
      <c r="B18" s="163"/>
      <c r="C18" s="163"/>
      <c r="D18" s="163"/>
      <c r="E18" s="163"/>
    </row>
    <row r="19" spans="1:14" x14ac:dyDescent="0.3">
      <c r="A19" s="164" t="s">
        <v>277</v>
      </c>
      <c r="B19" s="163"/>
      <c r="C19" s="163"/>
      <c r="D19" s="163"/>
      <c r="E19" s="163"/>
    </row>
    <row r="20" spans="1:14" x14ac:dyDescent="0.3">
      <c r="A20" s="164" t="s">
        <v>153</v>
      </c>
      <c r="B20" s="163"/>
      <c r="C20" s="163"/>
      <c r="D20" s="163"/>
      <c r="E20" s="163"/>
    </row>
    <row r="21" spans="1:14" x14ac:dyDescent="0.3">
      <c r="A21" s="164" t="s">
        <v>456</v>
      </c>
      <c r="B21" s="163"/>
      <c r="C21" s="163"/>
      <c r="D21" s="163"/>
      <c r="E21" s="163"/>
    </row>
    <row r="22" spans="1:14" x14ac:dyDescent="0.3">
      <c r="A22" s="164" t="s">
        <v>606</v>
      </c>
      <c r="B22" s="163"/>
      <c r="C22" s="163"/>
      <c r="D22" s="163"/>
      <c r="E22" s="163"/>
    </row>
    <row r="23" spans="1:14" x14ac:dyDescent="0.3">
      <c r="A23" s="164" t="s">
        <v>452</v>
      </c>
      <c r="B23" s="163"/>
      <c r="C23" s="163"/>
      <c r="D23" s="163"/>
      <c r="E23" s="163"/>
    </row>
    <row r="24" spans="1:14" x14ac:dyDescent="0.3">
      <c r="A24"/>
      <c r="B24"/>
      <c r="C24"/>
      <c r="D24"/>
      <c r="E24"/>
    </row>
    <row r="28" spans="1:14" x14ac:dyDescent="0.3">
      <c r="A28" s="162" t="s">
        <v>451</v>
      </c>
      <c r="B28" s="163" t="s">
        <v>459</v>
      </c>
      <c r="C28" s="163" t="s">
        <v>460</v>
      </c>
      <c r="D28" s="163" t="s">
        <v>462</v>
      </c>
      <c r="E28" s="163" t="s">
        <v>461</v>
      </c>
      <c r="F28" s="163" t="s">
        <v>463</v>
      </c>
      <c r="G28" s="163" t="s">
        <v>464</v>
      </c>
      <c r="H28" s="163" t="s">
        <v>465</v>
      </c>
      <c r="I28"/>
      <c r="J28"/>
      <c r="K28"/>
      <c r="L28"/>
      <c r="M28"/>
      <c r="N28"/>
    </row>
    <row r="29" spans="1:14" x14ac:dyDescent="0.3">
      <c r="A29" s="164" t="s">
        <v>28</v>
      </c>
      <c r="B29" s="163">
        <v>1147000000</v>
      </c>
      <c r="C29" s="163">
        <v>1056250000</v>
      </c>
      <c r="D29" s="163">
        <v>998000000</v>
      </c>
      <c r="E29" s="163">
        <v>1017975940</v>
      </c>
      <c r="F29" s="163">
        <v>1223750000</v>
      </c>
      <c r="G29" s="163">
        <v>1185000000</v>
      </c>
      <c r="H29" s="163">
        <v>1964000000</v>
      </c>
      <c r="I29"/>
      <c r="J29"/>
      <c r="K29"/>
      <c r="L29"/>
      <c r="M29"/>
      <c r="N29"/>
    </row>
    <row r="30" spans="1:14" x14ac:dyDescent="0.3">
      <c r="A30" s="164" t="s">
        <v>19</v>
      </c>
      <c r="B30" s="163">
        <v>268800000</v>
      </c>
      <c r="C30" s="163">
        <v>189800000</v>
      </c>
      <c r="D30" s="163">
        <v>102800000</v>
      </c>
      <c r="E30" s="163">
        <v>154800000</v>
      </c>
      <c r="F30" s="163">
        <v>360800000</v>
      </c>
      <c r="G30" s="163">
        <v>238800000</v>
      </c>
      <c r="H30" s="163">
        <v>228300000</v>
      </c>
      <c r="I30"/>
      <c r="J30"/>
      <c r="K30"/>
      <c r="L30"/>
      <c r="M30"/>
      <c r="N30"/>
    </row>
    <row r="31" spans="1:14" x14ac:dyDescent="0.3">
      <c r="A31" s="164" t="s">
        <v>31</v>
      </c>
      <c r="B31" s="163">
        <v>91010000</v>
      </c>
      <c r="C31" s="163">
        <v>155900000</v>
      </c>
      <c r="D31" s="163">
        <v>85400000</v>
      </c>
      <c r="E31" s="163">
        <v>138900000</v>
      </c>
      <c r="F31" s="163">
        <v>229700000</v>
      </c>
      <c r="G31" s="163">
        <v>177800000</v>
      </c>
      <c r="H31" s="163">
        <v>334050000</v>
      </c>
      <c r="I31"/>
      <c r="J31"/>
      <c r="K31"/>
      <c r="L31"/>
      <c r="M31"/>
      <c r="N31"/>
    </row>
    <row r="32" spans="1:14" x14ac:dyDescent="0.3">
      <c r="A32" s="164" t="s">
        <v>47</v>
      </c>
      <c r="B32" s="163">
        <v>26500000</v>
      </c>
      <c r="C32" s="163">
        <v>20500000</v>
      </c>
      <c r="D32" s="163">
        <v>65600000</v>
      </c>
      <c r="E32" s="163">
        <v>75600000</v>
      </c>
      <c r="F32" s="163">
        <v>25600000</v>
      </c>
      <c r="G32" s="163">
        <v>136600000</v>
      </c>
      <c r="H32" s="163">
        <v>59350000</v>
      </c>
      <c r="I32"/>
      <c r="J32"/>
      <c r="K32"/>
      <c r="L32"/>
      <c r="M32"/>
      <c r="N32"/>
    </row>
    <row r="33" spans="1:14" x14ac:dyDescent="0.3">
      <c r="A33" s="164" t="s">
        <v>469</v>
      </c>
      <c r="B33" s="163">
        <v>43000000</v>
      </c>
      <c r="C33" s="163">
        <v>87000000</v>
      </c>
      <c r="D33" s="163">
        <v>118500000</v>
      </c>
      <c r="E33" s="163">
        <v>39000000</v>
      </c>
      <c r="F33" s="163">
        <v>35500000</v>
      </c>
      <c r="G33" s="163">
        <v>88500000</v>
      </c>
      <c r="H33" s="163">
        <v>281500000</v>
      </c>
      <c r="I33"/>
      <c r="J33"/>
      <c r="K33"/>
      <c r="L33"/>
      <c r="M33"/>
      <c r="N33"/>
    </row>
    <row r="34" spans="1:14" x14ac:dyDescent="0.3">
      <c r="A34" s="164" t="s">
        <v>468</v>
      </c>
      <c r="B34" s="163">
        <v>269800000</v>
      </c>
      <c r="C34" s="163">
        <v>235200000</v>
      </c>
      <c r="D34" s="163">
        <v>243300000</v>
      </c>
      <c r="E34" s="163">
        <v>304200000</v>
      </c>
      <c r="F34" s="163">
        <v>265800000</v>
      </c>
      <c r="G34" s="163">
        <v>181200000</v>
      </c>
      <c r="H34" s="163">
        <v>78000000</v>
      </c>
      <c r="I34"/>
      <c r="J34"/>
      <c r="K34"/>
      <c r="L34"/>
      <c r="M34"/>
      <c r="N34"/>
    </row>
    <row r="35" spans="1:14" x14ac:dyDescent="0.3">
      <c r="A35" s="164" t="s">
        <v>478</v>
      </c>
      <c r="B35" s="163">
        <v>38000000</v>
      </c>
      <c r="C35" s="163">
        <v>43000000</v>
      </c>
      <c r="D35" s="163">
        <v>66000000</v>
      </c>
      <c r="E35" s="163">
        <v>85000000</v>
      </c>
      <c r="F35" s="163">
        <v>62000000</v>
      </c>
      <c r="G35" s="163">
        <v>403000000</v>
      </c>
      <c r="H35" s="163">
        <v>373000000</v>
      </c>
      <c r="I35"/>
      <c r="J35"/>
      <c r="K35"/>
      <c r="L35"/>
      <c r="M35"/>
      <c r="N35"/>
    </row>
    <row r="36" spans="1:14" x14ac:dyDescent="0.3">
      <c r="A36" s="164" t="s">
        <v>470</v>
      </c>
      <c r="B36" s="163">
        <v>5000000</v>
      </c>
      <c r="C36" s="163"/>
      <c r="D36" s="163"/>
      <c r="E36" s="163"/>
      <c r="F36" s="163"/>
      <c r="G36" s="163"/>
      <c r="H36" s="163">
        <v>10000000</v>
      </c>
      <c r="I36"/>
      <c r="J36"/>
      <c r="K36"/>
      <c r="L36"/>
      <c r="M36"/>
      <c r="N36"/>
    </row>
    <row r="37" spans="1:14" x14ac:dyDescent="0.3">
      <c r="A37" s="164" t="s">
        <v>473</v>
      </c>
      <c r="B37" s="163">
        <v>1700000</v>
      </c>
      <c r="C37" s="163">
        <v>1700000</v>
      </c>
      <c r="D37" s="163">
        <v>1700000</v>
      </c>
      <c r="E37" s="163">
        <v>1700000</v>
      </c>
      <c r="F37" s="163">
        <v>1700000</v>
      </c>
      <c r="G37" s="163">
        <v>1700000</v>
      </c>
      <c r="H37" s="163">
        <v>11700000</v>
      </c>
      <c r="I37"/>
      <c r="J37"/>
      <c r="K37"/>
      <c r="L37"/>
      <c r="M37"/>
      <c r="N37"/>
    </row>
    <row r="38" spans="1:14" x14ac:dyDescent="0.3">
      <c r="A38" s="164" t="s">
        <v>477</v>
      </c>
      <c r="B38" s="163"/>
      <c r="C38" s="163"/>
      <c r="D38" s="163"/>
      <c r="E38" s="163"/>
      <c r="F38" s="163"/>
      <c r="G38" s="163"/>
      <c r="H38" s="163">
        <v>10000000</v>
      </c>
      <c r="I38"/>
      <c r="J38"/>
      <c r="K38"/>
      <c r="L38"/>
      <c r="M38"/>
      <c r="N38"/>
    </row>
    <row r="39" spans="1:14" x14ac:dyDescent="0.3">
      <c r="A39" s="164" t="s">
        <v>397</v>
      </c>
      <c r="B39" s="163">
        <v>100000000</v>
      </c>
      <c r="C39" s="163">
        <v>892100000</v>
      </c>
      <c r="D39" s="163">
        <v>30000000</v>
      </c>
      <c r="E39" s="163">
        <v>212000000</v>
      </c>
      <c r="F39" s="163">
        <v>195000000</v>
      </c>
      <c r="G39" s="163">
        <v>147900000</v>
      </c>
      <c r="H39" s="163">
        <v>571000000</v>
      </c>
      <c r="I39"/>
      <c r="J39"/>
      <c r="K39"/>
      <c r="L39"/>
      <c r="M39"/>
      <c r="N39"/>
    </row>
    <row r="40" spans="1:14" x14ac:dyDescent="0.3">
      <c r="A40" s="164" t="s">
        <v>467</v>
      </c>
      <c r="B40" s="163">
        <v>61000000</v>
      </c>
      <c r="C40" s="163">
        <v>91000000</v>
      </c>
      <c r="D40" s="163">
        <v>61000000</v>
      </c>
      <c r="E40" s="163">
        <v>76000000</v>
      </c>
      <c r="F40" s="163">
        <v>73000000</v>
      </c>
      <c r="G40" s="163">
        <v>69000000</v>
      </c>
      <c r="H40" s="163">
        <v>79000000</v>
      </c>
      <c r="I40"/>
      <c r="J40"/>
      <c r="K40"/>
      <c r="L40"/>
      <c r="M40"/>
      <c r="N40"/>
    </row>
    <row r="41" spans="1:14" x14ac:dyDescent="0.3">
      <c r="A41" s="164" t="s">
        <v>471</v>
      </c>
      <c r="B41" s="163">
        <v>5000000</v>
      </c>
      <c r="C41" s="163"/>
      <c r="D41" s="163">
        <v>20000000</v>
      </c>
      <c r="E41" s="163">
        <v>7000000</v>
      </c>
      <c r="F41" s="163"/>
      <c r="G41" s="163"/>
      <c r="H41" s="163">
        <v>5000000</v>
      </c>
      <c r="I41"/>
      <c r="J41"/>
      <c r="K41"/>
      <c r="L41"/>
      <c r="M41"/>
      <c r="N41"/>
    </row>
    <row r="42" spans="1:14" x14ac:dyDescent="0.3">
      <c r="A42" s="164" t="s">
        <v>472</v>
      </c>
      <c r="B42" s="163">
        <v>180000000</v>
      </c>
      <c r="C42" s="163">
        <v>439000000</v>
      </c>
      <c r="D42" s="163">
        <v>180000000</v>
      </c>
      <c r="E42" s="163">
        <v>180000000</v>
      </c>
      <c r="F42" s="163">
        <v>369000000</v>
      </c>
      <c r="G42" s="163">
        <v>180000000</v>
      </c>
      <c r="H42" s="163">
        <v>571000000</v>
      </c>
      <c r="I42"/>
      <c r="J42"/>
      <c r="K42"/>
      <c r="L42"/>
      <c r="M42"/>
      <c r="N42"/>
    </row>
    <row r="43" spans="1:14" x14ac:dyDescent="0.3">
      <c r="A43" s="164" t="s">
        <v>476</v>
      </c>
      <c r="B43" s="163">
        <v>118000000</v>
      </c>
      <c r="C43" s="163">
        <v>183000000</v>
      </c>
      <c r="D43" s="163">
        <v>118000000</v>
      </c>
      <c r="E43" s="163">
        <v>158000000</v>
      </c>
      <c r="F43" s="163">
        <v>353000000</v>
      </c>
      <c r="G43" s="163">
        <v>308000000</v>
      </c>
      <c r="H43" s="163">
        <v>109000000</v>
      </c>
      <c r="I43"/>
      <c r="J43"/>
      <c r="K43"/>
      <c r="L43"/>
      <c r="M43"/>
      <c r="N43"/>
    </row>
    <row r="44" spans="1:14" x14ac:dyDescent="0.3">
      <c r="A44" s="164" t="s">
        <v>479</v>
      </c>
      <c r="B44" s="163"/>
      <c r="C44" s="163"/>
      <c r="D44" s="163"/>
      <c r="E44" s="163"/>
      <c r="F44" s="163"/>
      <c r="G44" s="163"/>
      <c r="H44" s="163"/>
      <c r="I44"/>
      <c r="J44"/>
      <c r="K44"/>
      <c r="L44"/>
      <c r="M44"/>
      <c r="N44"/>
    </row>
    <row r="45" spans="1:14" x14ac:dyDescent="0.3">
      <c r="A45" s="164" t="s">
        <v>475</v>
      </c>
      <c r="B45" s="163"/>
      <c r="C45" s="163"/>
      <c r="D45" s="163"/>
      <c r="E45" s="163">
        <v>36000000</v>
      </c>
      <c r="F45" s="163">
        <v>1000000</v>
      </c>
      <c r="G45" s="163"/>
      <c r="H45" s="163"/>
      <c r="I45"/>
      <c r="J45"/>
      <c r="K45"/>
      <c r="L45"/>
      <c r="M45"/>
      <c r="N45"/>
    </row>
    <row r="46" spans="1:14" x14ac:dyDescent="0.3">
      <c r="A46" s="164" t="s">
        <v>466</v>
      </c>
      <c r="B46" s="163"/>
      <c r="C46" s="163"/>
      <c r="D46" s="163"/>
      <c r="E46" s="163">
        <v>10000000</v>
      </c>
      <c r="F46" s="163"/>
      <c r="G46" s="163"/>
      <c r="H46" s="163"/>
      <c r="I46"/>
      <c r="J46"/>
      <c r="K46"/>
      <c r="L46"/>
      <c r="M46"/>
      <c r="N46"/>
    </row>
    <row r="47" spans="1:14" x14ac:dyDescent="0.3">
      <c r="A47" s="164" t="s">
        <v>633</v>
      </c>
      <c r="B47" s="163"/>
      <c r="C47" s="163"/>
      <c r="D47" s="163"/>
      <c r="E47" s="163">
        <v>6400000</v>
      </c>
      <c r="F47" s="163"/>
      <c r="G47" s="163">
        <v>1800000</v>
      </c>
      <c r="H47" s="163"/>
      <c r="I47"/>
      <c r="J47"/>
      <c r="K47"/>
      <c r="L47"/>
      <c r="M47"/>
      <c r="N47"/>
    </row>
    <row r="48" spans="1:14" x14ac:dyDescent="0.3">
      <c r="A48" s="164" t="s">
        <v>678</v>
      </c>
      <c r="B48" s="163"/>
      <c r="C48" s="163"/>
      <c r="D48" s="163"/>
      <c r="E48" s="163"/>
      <c r="F48" s="163"/>
      <c r="G48" s="163"/>
      <c r="H48" s="163">
        <v>30000000</v>
      </c>
      <c r="I48"/>
      <c r="J48"/>
      <c r="K48"/>
      <c r="L48"/>
      <c r="M48"/>
      <c r="N48"/>
    </row>
    <row r="49" spans="1:14" x14ac:dyDescent="0.3">
      <c r="A49" s="164" t="s">
        <v>480</v>
      </c>
      <c r="B49" s="163"/>
      <c r="C49" s="163"/>
      <c r="D49" s="163"/>
      <c r="E49" s="163"/>
      <c r="F49" s="163"/>
      <c r="G49" s="163"/>
      <c r="H49" s="163"/>
      <c r="I49"/>
      <c r="J49"/>
      <c r="K49"/>
      <c r="L49"/>
      <c r="M49"/>
      <c r="N49"/>
    </row>
    <row r="50" spans="1:14" x14ac:dyDescent="0.3">
      <c r="A50" s="164" t="s">
        <v>732</v>
      </c>
      <c r="B50" s="163">
        <v>387000000</v>
      </c>
      <c r="C50" s="163">
        <v>296000000</v>
      </c>
      <c r="D50" s="163">
        <v>185000000</v>
      </c>
      <c r="E50" s="163">
        <v>414000000</v>
      </c>
      <c r="F50" s="163">
        <v>170000000</v>
      </c>
      <c r="G50" s="163">
        <v>285000000</v>
      </c>
      <c r="H50" s="163">
        <v>115000000</v>
      </c>
      <c r="I50"/>
      <c r="J50"/>
      <c r="K50"/>
      <c r="L50"/>
      <c r="M50"/>
      <c r="N50"/>
    </row>
    <row r="51" spans="1:14" x14ac:dyDescent="0.3">
      <c r="A51" s="164" t="s">
        <v>452</v>
      </c>
      <c r="B51" s="163">
        <v>2741810000</v>
      </c>
      <c r="C51" s="163">
        <v>3690450000</v>
      </c>
      <c r="D51" s="163">
        <v>2275300000</v>
      </c>
      <c r="E51" s="163">
        <v>2916575940</v>
      </c>
      <c r="F51" s="163">
        <v>3365850000</v>
      </c>
      <c r="G51" s="163">
        <v>3404300000</v>
      </c>
      <c r="H51" s="163">
        <v>4829900000</v>
      </c>
      <c r="I51"/>
      <c r="J51"/>
      <c r="K51"/>
      <c r="L51"/>
      <c r="M51"/>
      <c r="N51"/>
    </row>
    <row r="52" spans="1:1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36"/>
  <sheetViews>
    <sheetView zoomScale="70" zoomScaleNormal="70" workbookViewId="0">
      <pane ySplit="2" topLeftCell="A151" activePane="bottomLeft" state="frozen"/>
      <selection activeCell="H19" sqref="H19"/>
      <selection pane="bottomLeft" activeCell="H19" sqref="H19"/>
    </sheetView>
  </sheetViews>
  <sheetFormatPr defaultColWidth="8.77734375" defaultRowHeight="15.65" x14ac:dyDescent="0.3"/>
  <cols>
    <col min="1" max="1" width="8.77734375" style="2"/>
    <col min="2" max="2" width="11.88671875" style="2" bestFit="1" customWidth="1"/>
    <col min="3" max="3" width="8.77734375" style="2"/>
    <col min="4" max="4" width="41.44140625" style="2" bestFit="1" customWidth="1"/>
    <col min="5" max="5" width="13.44140625" style="2" customWidth="1"/>
    <col min="6" max="6" width="32.44140625" style="2" customWidth="1"/>
    <col min="7" max="7" width="15.77734375" style="2" bestFit="1" customWidth="1"/>
    <col min="8" max="8" width="11.33203125" style="2" bestFit="1" customWidth="1"/>
    <col min="9" max="9" width="20.77734375" style="4" customWidth="1"/>
    <col min="10" max="11" width="20.77734375" style="34" customWidth="1"/>
    <col min="12" max="12" width="20.77734375" style="61" customWidth="1"/>
    <col min="13" max="13" width="18.21875" style="2" customWidth="1"/>
    <col min="14" max="14" width="17.77734375" customWidth="1"/>
    <col min="15" max="15" width="32.21875" bestFit="1" customWidth="1"/>
    <col min="16" max="16" width="30.77734375" customWidth="1"/>
    <col min="17" max="17" width="16.109375" style="2" customWidth="1"/>
    <col min="18" max="18" width="28.109375" customWidth="1"/>
  </cols>
  <sheetData>
    <row r="1" spans="1:18" x14ac:dyDescent="0.3">
      <c r="I1" s="3"/>
      <c r="L1" s="35"/>
      <c r="R1" s="36"/>
    </row>
    <row r="2" spans="1:18" ht="39.4" x14ac:dyDescent="0.3">
      <c r="A2" s="37" t="s">
        <v>489</v>
      </c>
      <c r="B2" s="38" t="s">
        <v>490</v>
      </c>
      <c r="C2" s="37" t="s">
        <v>491</v>
      </c>
      <c r="D2" s="37" t="s">
        <v>492</v>
      </c>
      <c r="E2" s="39" t="s">
        <v>493</v>
      </c>
      <c r="F2" s="37" t="s">
        <v>494</v>
      </c>
      <c r="G2" s="37" t="s">
        <v>495</v>
      </c>
      <c r="H2" s="37" t="s">
        <v>496</v>
      </c>
      <c r="I2" s="40" t="s">
        <v>497</v>
      </c>
      <c r="J2" s="40" t="s">
        <v>498</v>
      </c>
      <c r="K2" s="40" t="s">
        <v>544</v>
      </c>
      <c r="L2" s="41" t="s">
        <v>499</v>
      </c>
      <c r="M2" s="37" t="s">
        <v>500</v>
      </c>
      <c r="N2" s="37" t="s">
        <v>501</v>
      </c>
      <c r="O2" s="37" t="s">
        <v>502</v>
      </c>
      <c r="P2" s="37" t="s">
        <v>503</v>
      </c>
      <c r="Q2" s="37" t="s">
        <v>504</v>
      </c>
      <c r="R2" s="42" t="s">
        <v>505</v>
      </c>
    </row>
    <row r="3" spans="1:18" s="1" customFormat="1" x14ac:dyDescent="0.3">
      <c r="A3" s="43" t="s">
        <v>514</v>
      </c>
      <c r="B3" s="52">
        <v>45631</v>
      </c>
      <c r="C3" s="43" t="s">
        <v>0</v>
      </c>
      <c r="D3" s="43" t="s">
        <v>204</v>
      </c>
      <c r="E3" s="43">
        <v>12080</v>
      </c>
      <c r="F3" s="43" t="s">
        <v>19</v>
      </c>
      <c r="G3" s="54"/>
      <c r="H3" s="44"/>
      <c r="I3" s="8">
        <v>120000000</v>
      </c>
      <c r="J3" s="53"/>
      <c r="K3" s="53"/>
      <c r="L3" s="51">
        <f t="shared" ref="L3:L11" si="0">SUM(I3:K3)</f>
        <v>120000000</v>
      </c>
      <c r="M3" s="43"/>
      <c r="N3" s="7"/>
      <c r="O3" s="7"/>
      <c r="P3" s="7"/>
      <c r="Q3" s="44"/>
      <c r="R3" s="55"/>
    </row>
    <row r="4" spans="1:18" s="1" customFormat="1" x14ac:dyDescent="0.3">
      <c r="A4" s="43" t="s">
        <v>514</v>
      </c>
      <c r="B4" s="52">
        <v>45638</v>
      </c>
      <c r="C4" s="43" t="s">
        <v>0</v>
      </c>
      <c r="D4" s="43" t="s">
        <v>222</v>
      </c>
      <c r="E4" s="43">
        <v>30541</v>
      </c>
      <c r="F4" s="43" t="s">
        <v>47</v>
      </c>
      <c r="G4" s="54"/>
      <c r="H4" s="44"/>
      <c r="I4" s="8">
        <v>60000000</v>
      </c>
      <c r="J4" s="53"/>
      <c r="K4" s="53"/>
      <c r="L4" s="51">
        <f t="shared" si="0"/>
        <v>60000000</v>
      </c>
      <c r="M4" s="43"/>
      <c r="N4" s="7"/>
      <c r="O4" s="7"/>
      <c r="P4" s="7"/>
      <c r="Q4" s="44"/>
      <c r="R4" s="55"/>
    </row>
    <row r="5" spans="1:18" s="1" customFormat="1" x14ac:dyDescent="0.3">
      <c r="A5" s="43" t="s">
        <v>514</v>
      </c>
      <c r="B5" s="52">
        <v>45638</v>
      </c>
      <c r="C5" s="43" t="s">
        <v>175</v>
      </c>
      <c r="D5" s="43" t="s">
        <v>561</v>
      </c>
      <c r="E5" s="43">
        <v>46587</v>
      </c>
      <c r="F5" s="43" t="s">
        <v>28</v>
      </c>
      <c r="G5" s="54"/>
      <c r="H5" s="44"/>
      <c r="I5" s="8">
        <v>52000000</v>
      </c>
      <c r="J5" s="53"/>
      <c r="K5" s="53"/>
      <c r="L5" s="51">
        <f t="shared" si="0"/>
        <v>52000000</v>
      </c>
      <c r="M5" s="43"/>
      <c r="N5" s="7"/>
      <c r="O5" s="7"/>
      <c r="P5" s="7"/>
      <c r="Q5" s="44"/>
      <c r="R5" s="55"/>
    </row>
    <row r="6" spans="1:18" s="1" customFormat="1" x14ac:dyDescent="0.3">
      <c r="A6" s="43" t="s">
        <v>514</v>
      </c>
      <c r="B6" s="52">
        <v>45638</v>
      </c>
      <c r="C6" s="43" t="s">
        <v>153</v>
      </c>
      <c r="D6" s="43" t="s">
        <v>560</v>
      </c>
      <c r="E6" s="43">
        <v>19211</v>
      </c>
      <c r="F6" s="43" t="s">
        <v>19</v>
      </c>
      <c r="G6" s="54"/>
      <c r="H6" s="44"/>
      <c r="I6" s="8">
        <v>4500000</v>
      </c>
      <c r="J6" s="53"/>
      <c r="K6" s="53"/>
      <c r="L6" s="51">
        <f t="shared" si="0"/>
        <v>4500000</v>
      </c>
      <c r="M6" s="43"/>
      <c r="N6" s="7"/>
      <c r="O6" s="7"/>
      <c r="P6" s="7"/>
      <c r="Q6" s="44"/>
      <c r="R6" s="55"/>
    </row>
    <row r="7" spans="1:18" s="1" customFormat="1" x14ac:dyDescent="0.3">
      <c r="A7" s="43" t="s">
        <v>514</v>
      </c>
      <c r="B7" s="52">
        <v>45645</v>
      </c>
      <c r="C7" s="43" t="s">
        <v>364</v>
      </c>
      <c r="D7" s="43" t="s">
        <v>563</v>
      </c>
      <c r="E7" s="43">
        <v>12169</v>
      </c>
      <c r="F7" s="43" t="s">
        <v>397</v>
      </c>
      <c r="G7" s="54"/>
      <c r="H7" s="44"/>
      <c r="I7" s="8">
        <v>15000000</v>
      </c>
      <c r="J7" s="53"/>
      <c r="K7" s="53"/>
      <c r="L7" s="51">
        <f t="shared" si="0"/>
        <v>15000000</v>
      </c>
      <c r="M7" s="43"/>
      <c r="N7" s="7"/>
      <c r="O7" s="7"/>
      <c r="P7" s="7"/>
      <c r="Q7" s="44"/>
      <c r="R7" s="55"/>
    </row>
    <row r="8" spans="1:18" s="1" customFormat="1" x14ac:dyDescent="0.3">
      <c r="A8" s="43" t="s">
        <v>514</v>
      </c>
      <c r="B8" s="52">
        <v>45645</v>
      </c>
      <c r="C8" s="43" t="s">
        <v>364</v>
      </c>
      <c r="D8" s="43" t="s">
        <v>564</v>
      </c>
      <c r="E8" s="43">
        <v>21595</v>
      </c>
      <c r="F8" s="43" t="s">
        <v>478</v>
      </c>
      <c r="G8" s="54"/>
      <c r="H8" s="44"/>
      <c r="I8" s="8">
        <v>15000000</v>
      </c>
      <c r="J8" s="53"/>
      <c r="K8" s="53"/>
      <c r="L8" s="51">
        <f t="shared" si="0"/>
        <v>15000000</v>
      </c>
      <c r="M8" s="43"/>
      <c r="N8" s="7"/>
      <c r="O8" s="7"/>
      <c r="P8" s="7"/>
      <c r="Q8" s="44"/>
      <c r="R8" s="55"/>
    </row>
    <row r="9" spans="1:18" s="1" customFormat="1" x14ac:dyDescent="0.3">
      <c r="A9" s="43" t="s">
        <v>514</v>
      </c>
      <c r="B9" s="52">
        <v>45645</v>
      </c>
      <c r="C9" s="43" t="s">
        <v>237</v>
      </c>
      <c r="D9" s="43" t="s">
        <v>255</v>
      </c>
      <c r="E9" s="43">
        <v>49750</v>
      </c>
      <c r="F9" s="43" t="s">
        <v>28</v>
      </c>
      <c r="G9" s="54"/>
      <c r="H9" s="44"/>
      <c r="I9" s="8">
        <v>84000000</v>
      </c>
      <c r="J9" s="53"/>
      <c r="K9" s="53"/>
      <c r="L9" s="51">
        <f t="shared" si="0"/>
        <v>84000000</v>
      </c>
      <c r="M9" s="43"/>
      <c r="N9" s="7"/>
      <c r="O9" s="7"/>
      <c r="P9" s="7"/>
      <c r="Q9" s="44"/>
      <c r="R9" s="55"/>
    </row>
    <row r="10" spans="1:18" s="1" customFormat="1" x14ac:dyDescent="0.3">
      <c r="A10" s="43" t="s">
        <v>514</v>
      </c>
      <c r="B10" s="52">
        <v>45645</v>
      </c>
      <c r="C10" s="43" t="s">
        <v>153</v>
      </c>
      <c r="D10" s="43" t="s">
        <v>315</v>
      </c>
      <c r="E10" s="43">
        <v>15652</v>
      </c>
      <c r="F10" s="43" t="s">
        <v>28</v>
      </c>
      <c r="G10" s="54"/>
      <c r="H10" s="44"/>
      <c r="I10" s="8">
        <v>151000000</v>
      </c>
      <c r="J10" s="53"/>
      <c r="K10" s="53"/>
      <c r="L10" s="51">
        <f t="shared" si="0"/>
        <v>151000000</v>
      </c>
      <c r="M10" s="43"/>
      <c r="N10" s="7"/>
      <c r="O10" s="7"/>
      <c r="P10" s="7"/>
      <c r="Q10" s="44"/>
      <c r="R10" s="55"/>
    </row>
    <row r="11" spans="1:18" s="1" customFormat="1" x14ac:dyDescent="0.3">
      <c r="A11" s="43" t="s">
        <v>514</v>
      </c>
      <c r="B11" s="52">
        <v>45645</v>
      </c>
      <c r="C11" s="43" t="s">
        <v>175</v>
      </c>
      <c r="D11" s="43" t="s">
        <v>457</v>
      </c>
      <c r="E11" s="43" t="s">
        <v>565</v>
      </c>
      <c r="F11" s="43" t="s">
        <v>472</v>
      </c>
      <c r="G11" s="54"/>
      <c r="H11" s="44"/>
      <c r="I11" s="8">
        <v>2006000000</v>
      </c>
      <c r="J11" s="53"/>
      <c r="K11" s="53"/>
      <c r="L11" s="51">
        <f t="shared" si="0"/>
        <v>2006000000</v>
      </c>
      <c r="M11" s="43"/>
      <c r="N11" s="7"/>
      <c r="O11" s="7"/>
      <c r="P11" s="7"/>
      <c r="Q11" s="44"/>
      <c r="R11" s="55"/>
    </row>
    <row r="12" spans="1:18" s="1" customFormat="1" x14ac:dyDescent="0.3">
      <c r="A12" s="43" t="s">
        <v>514</v>
      </c>
      <c r="B12" s="52">
        <v>45645</v>
      </c>
      <c r="C12" s="43" t="s">
        <v>277</v>
      </c>
      <c r="D12" s="43" t="s">
        <v>284</v>
      </c>
      <c r="E12" s="43">
        <v>7668</v>
      </c>
      <c r="F12" s="43" t="s">
        <v>28</v>
      </c>
      <c r="G12" s="54"/>
      <c r="H12" s="44"/>
      <c r="I12" s="8">
        <v>252000000</v>
      </c>
      <c r="J12" s="53"/>
      <c r="K12" s="53"/>
      <c r="L12" s="51">
        <f>SUM(I12:K12)</f>
        <v>252000000</v>
      </c>
      <c r="M12" s="43"/>
      <c r="N12" s="7"/>
      <c r="O12" s="7"/>
      <c r="P12" s="7"/>
      <c r="Q12" s="44"/>
      <c r="R12" s="55"/>
    </row>
    <row r="13" spans="1:18" s="1" customFormat="1" x14ac:dyDescent="0.3">
      <c r="A13" s="43" t="s">
        <v>514</v>
      </c>
      <c r="B13" s="52">
        <v>45652</v>
      </c>
      <c r="C13" s="43" t="s">
        <v>175</v>
      </c>
      <c r="D13" s="43" t="s">
        <v>600</v>
      </c>
      <c r="E13" s="43">
        <v>9288</v>
      </c>
      <c r="F13" s="43" t="s">
        <v>28</v>
      </c>
      <c r="G13" s="54"/>
      <c r="H13" s="44"/>
      <c r="I13" s="8">
        <v>270000000</v>
      </c>
      <c r="J13" s="53"/>
      <c r="K13" s="53"/>
      <c r="L13" s="51">
        <f>SUM(I13:K13)</f>
        <v>270000000</v>
      </c>
      <c r="M13" s="43"/>
      <c r="N13" s="7"/>
      <c r="O13" s="7"/>
      <c r="P13" s="7"/>
      <c r="Q13" s="44"/>
      <c r="R13" s="55"/>
    </row>
    <row r="14" spans="1:18" s="1" customFormat="1" x14ac:dyDescent="0.3">
      <c r="A14" s="43" t="s">
        <v>514</v>
      </c>
      <c r="B14" s="52">
        <v>45652</v>
      </c>
      <c r="C14" s="43" t="s">
        <v>237</v>
      </c>
      <c r="D14" s="43" t="s">
        <v>258</v>
      </c>
      <c r="E14" s="43">
        <v>4834</v>
      </c>
      <c r="F14" s="43" t="s">
        <v>469</v>
      </c>
      <c r="G14" s="54"/>
      <c r="H14" s="44"/>
      <c r="I14" s="8">
        <v>4800000</v>
      </c>
      <c r="J14" s="53"/>
      <c r="K14" s="53"/>
      <c r="L14" s="51">
        <f t="shared" ref="L14:L26" si="1">SUM(I14:K14)</f>
        <v>4800000</v>
      </c>
      <c r="M14" s="43"/>
      <c r="N14" s="7"/>
      <c r="O14" s="7"/>
      <c r="P14" s="7"/>
      <c r="Q14" s="44"/>
      <c r="R14" s="55"/>
    </row>
    <row r="15" spans="1:18" s="1" customFormat="1" x14ac:dyDescent="0.3">
      <c r="A15" s="43" t="s">
        <v>514</v>
      </c>
      <c r="B15" s="52">
        <v>45657</v>
      </c>
      <c r="C15" s="43" t="s">
        <v>113</v>
      </c>
      <c r="D15" s="43" t="s">
        <v>123</v>
      </c>
      <c r="E15" s="43">
        <v>9242</v>
      </c>
      <c r="F15" s="43" t="s">
        <v>469</v>
      </c>
      <c r="G15" s="54"/>
      <c r="H15" s="44"/>
      <c r="I15" s="8">
        <v>356400000</v>
      </c>
      <c r="J15" s="53"/>
      <c r="K15" s="53"/>
      <c r="L15" s="51">
        <f t="shared" si="1"/>
        <v>356400000</v>
      </c>
      <c r="M15" s="43"/>
      <c r="N15" s="7"/>
      <c r="O15" s="7"/>
      <c r="P15" s="7"/>
      <c r="Q15" s="44"/>
      <c r="R15" s="55"/>
    </row>
    <row r="16" spans="1:18" s="1" customFormat="1" x14ac:dyDescent="0.3">
      <c r="A16" s="43" t="s">
        <v>514</v>
      </c>
      <c r="B16" s="52">
        <v>45657</v>
      </c>
      <c r="C16" s="43" t="s">
        <v>113</v>
      </c>
      <c r="D16" s="43" t="s">
        <v>123</v>
      </c>
      <c r="E16" s="43">
        <v>9242</v>
      </c>
      <c r="F16" s="43" t="s">
        <v>472</v>
      </c>
      <c r="G16" s="54"/>
      <c r="H16" s="44"/>
      <c r="I16" s="8">
        <v>756000000</v>
      </c>
      <c r="J16" s="53"/>
      <c r="K16" s="53"/>
      <c r="L16" s="51">
        <f t="shared" si="1"/>
        <v>756000000</v>
      </c>
      <c r="M16" s="43"/>
      <c r="N16" s="7"/>
      <c r="O16" s="7"/>
      <c r="P16" s="7"/>
      <c r="Q16" s="44"/>
      <c r="R16" s="55"/>
    </row>
    <row r="17" spans="1:18" s="1" customFormat="1" x14ac:dyDescent="0.3">
      <c r="A17" s="43" t="s">
        <v>514</v>
      </c>
      <c r="B17" s="52">
        <v>45657</v>
      </c>
      <c r="C17" s="43" t="s">
        <v>113</v>
      </c>
      <c r="D17" s="43" t="s">
        <v>146</v>
      </c>
      <c r="E17" s="43">
        <v>29087</v>
      </c>
      <c r="F17" s="43" t="s">
        <v>28</v>
      </c>
      <c r="G17" s="54"/>
      <c r="H17" s="44"/>
      <c r="I17" s="8">
        <v>259000000</v>
      </c>
      <c r="J17" s="53"/>
      <c r="K17" s="53"/>
      <c r="L17" s="51">
        <f t="shared" si="1"/>
        <v>259000000</v>
      </c>
      <c r="M17" s="43"/>
      <c r="N17" s="7"/>
      <c r="O17" s="7"/>
      <c r="P17" s="7"/>
      <c r="Q17" s="44"/>
      <c r="R17" s="55"/>
    </row>
    <row r="18" spans="1:18" s="1" customFormat="1" x14ac:dyDescent="0.3">
      <c r="A18" s="43" t="s">
        <v>514</v>
      </c>
      <c r="B18" s="52">
        <v>45657</v>
      </c>
      <c r="C18" s="43" t="s">
        <v>364</v>
      </c>
      <c r="D18" s="43" t="s">
        <v>387</v>
      </c>
      <c r="E18" s="43">
        <v>4325</v>
      </c>
      <c r="F18" s="43" t="s">
        <v>19</v>
      </c>
      <c r="G18" s="54"/>
      <c r="H18" s="44"/>
      <c r="I18" s="8">
        <v>10000000</v>
      </c>
      <c r="J18" s="53"/>
      <c r="K18" s="53"/>
      <c r="L18" s="51">
        <f t="shared" si="1"/>
        <v>10000000</v>
      </c>
      <c r="M18" s="43"/>
      <c r="N18" s="7"/>
      <c r="O18" s="7"/>
      <c r="P18" s="7"/>
      <c r="Q18" s="44"/>
      <c r="R18" s="55"/>
    </row>
    <row r="19" spans="1:18" s="1" customFormat="1" x14ac:dyDescent="0.3">
      <c r="A19" s="43" t="s">
        <v>514</v>
      </c>
      <c r="B19" s="52">
        <v>45657</v>
      </c>
      <c r="C19" s="43" t="s">
        <v>237</v>
      </c>
      <c r="D19" s="43" t="s">
        <v>275</v>
      </c>
      <c r="E19" s="43">
        <v>2105</v>
      </c>
      <c r="F19" s="43" t="s">
        <v>478</v>
      </c>
      <c r="G19" s="54"/>
      <c r="H19" s="44"/>
      <c r="I19" s="8">
        <v>4750000</v>
      </c>
      <c r="J19" s="53"/>
      <c r="K19" s="53"/>
      <c r="L19" s="51">
        <f t="shared" si="1"/>
        <v>4750000</v>
      </c>
      <c r="M19" s="43"/>
      <c r="N19" s="7"/>
      <c r="O19" s="7"/>
      <c r="P19" s="7"/>
      <c r="Q19" s="44"/>
      <c r="R19" s="55"/>
    </row>
    <row r="20" spans="1:18" s="1" customFormat="1" x14ac:dyDescent="0.3">
      <c r="A20" s="43" t="s">
        <v>514</v>
      </c>
      <c r="B20" s="52">
        <v>45657</v>
      </c>
      <c r="C20" s="43" t="s">
        <v>153</v>
      </c>
      <c r="D20" s="43" t="s">
        <v>316</v>
      </c>
      <c r="E20" s="43">
        <v>18342</v>
      </c>
      <c r="F20" s="43" t="s">
        <v>472</v>
      </c>
      <c r="G20" s="54"/>
      <c r="H20" s="44"/>
      <c r="I20" s="8">
        <v>186000000</v>
      </c>
      <c r="J20" s="53"/>
      <c r="K20" s="53"/>
      <c r="L20" s="51">
        <f t="shared" si="1"/>
        <v>186000000</v>
      </c>
      <c r="M20" s="43"/>
      <c r="N20" s="7"/>
      <c r="O20" s="7"/>
      <c r="P20" s="7"/>
      <c r="Q20" s="44"/>
      <c r="R20" s="55"/>
    </row>
    <row r="21" spans="1:18" s="1" customFormat="1" x14ac:dyDescent="0.3">
      <c r="A21" s="43" t="s">
        <v>601</v>
      </c>
      <c r="B21" s="52">
        <v>45666</v>
      </c>
      <c r="C21" s="43" t="s">
        <v>0</v>
      </c>
      <c r="D21" s="43" t="s">
        <v>41</v>
      </c>
      <c r="E21" s="43">
        <v>44105</v>
      </c>
      <c r="F21" s="43" t="s">
        <v>468</v>
      </c>
      <c r="G21" s="54"/>
      <c r="H21" s="44"/>
      <c r="I21" s="8">
        <v>12000000</v>
      </c>
      <c r="J21" s="53"/>
      <c r="K21" s="53"/>
      <c r="L21" s="51">
        <f t="shared" si="1"/>
        <v>12000000</v>
      </c>
      <c r="M21" s="43"/>
      <c r="N21" s="7"/>
      <c r="O21" s="7"/>
      <c r="P21" s="7"/>
      <c r="Q21" s="44"/>
      <c r="R21" s="55"/>
    </row>
    <row r="22" spans="1:18" s="1" customFormat="1" x14ac:dyDescent="0.3">
      <c r="A22" s="43" t="s">
        <v>601</v>
      </c>
      <c r="B22" s="52">
        <v>45666</v>
      </c>
      <c r="C22" s="43" t="s">
        <v>237</v>
      </c>
      <c r="D22" s="43" t="s">
        <v>270</v>
      </c>
      <c r="E22" s="43">
        <v>3724</v>
      </c>
      <c r="F22" s="43" t="s">
        <v>473</v>
      </c>
      <c r="G22" s="54"/>
      <c r="H22" s="44"/>
      <c r="I22" s="8">
        <v>20000000</v>
      </c>
      <c r="J22" s="53"/>
      <c r="K22" s="53"/>
      <c r="L22" s="51">
        <f t="shared" si="1"/>
        <v>20000000</v>
      </c>
      <c r="M22" s="43"/>
      <c r="N22" s="7"/>
      <c r="O22" s="7"/>
      <c r="P22" s="7"/>
      <c r="Q22" s="44"/>
      <c r="R22" s="55"/>
    </row>
    <row r="23" spans="1:18" s="1" customFormat="1" x14ac:dyDescent="0.3">
      <c r="A23" s="43" t="s">
        <v>601</v>
      </c>
      <c r="B23" s="52">
        <v>45666</v>
      </c>
      <c r="C23" s="43" t="s">
        <v>153</v>
      </c>
      <c r="D23" s="43" t="s">
        <v>179</v>
      </c>
      <c r="E23" s="43">
        <v>4083</v>
      </c>
      <c r="F23" s="43" t="s">
        <v>468</v>
      </c>
      <c r="G23" s="54"/>
      <c r="H23" s="44"/>
      <c r="I23" s="8">
        <v>4000000</v>
      </c>
      <c r="J23" s="53"/>
      <c r="K23" s="53"/>
      <c r="L23" s="51">
        <f t="shared" si="1"/>
        <v>4000000</v>
      </c>
      <c r="M23" s="43"/>
      <c r="N23" s="7"/>
      <c r="O23" s="7"/>
      <c r="P23" s="7"/>
      <c r="Q23" s="44"/>
      <c r="R23" s="55"/>
    </row>
    <row r="24" spans="1:18" s="1" customFormat="1" x14ac:dyDescent="0.3">
      <c r="A24" s="43" t="s">
        <v>601</v>
      </c>
      <c r="B24" s="52">
        <v>45673</v>
      </c>
      <c r="C24" s="43" t="s">
        <v>2</v>
      </c>
      <c r="D24" s="43" t="s">
        <v>597</v>
      </c>
      <c r="E24" s="43">
        <v>12286</v>
      </c>
      <c r="F24" s="43" t="s">
        <v>469</v>
      </c>
      <c r="G24" s="54"/>
      <c r="H24" s="44"/>
      <c r="I24" s="8">
        <v>30000000</v>
      </c>
      <c r="J24" s="53"/>
      <c r="K24" s="53"/>
      <c r="L24" s="51">
        <f t="shared" si="1"/>
        <v>30000000</v>
      </c>
      <c r="M24" s="43"/>
      <c r="N24" s="7"/>
      <c r="O24" s="7"/>
      <c r="P24" s="7"/>
      <c r="Q24" s="44"/>
      <c r="R24" s="55"/>
    </row>
    <row r="25" spans="1:18" s="1" customFormat="1" x14ac:dyDescent="0.3">
      <c r="A25" s="43" t="s">
        <v>601</v>
      </c>
      <c r="B25" s="52">
        <v>45673</v>
      </c>
      <c r="C25" s="43" t="s">
        <v>237</v>
      </c>
      <c r="D25" s="43" t="s">
        <v>247</v>
      </c>
      <c r="E25" s="43">
        <v>7747</v>
      </c>
      <c r="F25" s="43" t="s">
        <v>469</v>
      </c>
      <c r="G25" s="54"/>
      <c r="H25" s="44"/>
      <c r="I25" s="8">
        <v>60000000</v>
      </c>
      <c r="J25" s="53"/>
      <c r="K25" s="53"/>
      <c r="L25" s="51">
        <f t="shared" si="1"/>
        <v>60000000</v>
      </c>
      <c r="M25" s="43"/>
      <c r="N25" s="7"/>
      <c r="O25" s="7"/>
      <c r="P25" s="7"/>
      <c r="Q25" s="44"/>
      <c r="R25" s="55"/>
    </row>
    <row r="26" spans="1:18" s="1" customFormat="1" x14ac:dyDescent="0.3">
      <c r="A26" s="43" t="s">
        <v>601</v>
      </c>
      <c r="B26" s="52">
        <v>45673</v>
      </c>
      <c r="C26" s="43" t="s">
        <v>237</v>
      </c>
      <c r="D26" s="43" t="s">
        <v>259</v>
      </c>
      <c r="E26" s="43">
        <v>13683</v>
      </c>
      <c r="F26" s="43" t="s">
        <v>47</v>
      </c>
      <c r="G26" s="54"/>
      <c r="H26" s="44"/>
      <c r="I26" s="8">
        <v>6870000</v>
      </c>
      <c r="J26" s="53"/>
      <c r="K26" s="53"/>
      <c r="L26" s="51">
        <f t="shared" si="1"/>
        <v>6870000</v>
      </c>
      <c r="M26" s="43"/>
      <c r="N26" s="7"/>
      <c r="O26" s="7"/>
      <c r="P26" s="7"/>
      <c r="Q26" s="44"/>
      <c r="R26" s="55"/>
    </row>
    <row r="27" spans="1:18" s="1" customFormat="1" x14ac:dyDescent="0.3">
      <c r="A27" s="43" t="s">
        <v>601</v>
      </c>
      <c r="B27" s="52">
        <v>45680</v>
      </c>
      <c r="C27" s="43" t="s">
        <v>175</v>
      </c>
      <c r="D27" s="43" t="s">
        <v>337</v>
      </c>
      <c r="E27" s="43">
        <v>4578</v>
      </c>
      <c r="F27" s="43" t="s">
        <v>28</v>
      </c>
      <c r="G27" s="54"/>
      <c r="H27" s="44"/>
      <c r="I27" s="8">
        <v>99000000</v>
      </c>
      <c r="J27" s="53"/>
      <c r="K27" s="53"/>
      <c r="L27" s="51">
        <f t="shared" ref="L27:L34" si="2">SUM(I27:K27)</f>
        <v>99000000</v>
      </c>
      <c r="M27" s="43"/>
      <c r="N27" s="7"/>
      <c r="O27" s="7"/>
      <c r="P27" s="7"/>
      <c r="Q27" s="44"/>
      <c r="R27" s="55"/>
    </row>
    <row r="28" spans="1:18" s="1" customFormat="1" x14ac:dyDescent="0.3">
      <c r="A28" s="43" t="s">
        <v>601</v>
      </c>
      <c r="B28" s="52">
        <v>45680</v>
      </c>
      <c r="C28" s="43" t="s">
        <v>175</v>
      </c>
      <c r="D28" s="43" t="s">
        <v>352</v>
      </c>
      <c r="E28" s="43">
        <v>6010</v>
      </c>
      <c r="F28" s="43" t="s">
        <v>468</v>
      </c>
      <c r="G28" s="54"/>
      <c r="H28" s="44"/>
      <c r="I28" s="8">
        <v>80000000</v>
      </c>
      <c r="J28" s="53"/>
      <c r="K28" s="53"/>
      <c r="L28" s="51">
        <f t="shared" si="2"/>
        <v>80000000</v>
      </c>
      <c r="M28" s="43"/>
      <c r="N28" s="7"/>
      <c r="O28" s="7"/>
      <c r="P28" s="7"/>
      <c r="Q28" s="44"/>
      <c r="R28" s="55"/>
    </row>
    <row r="29" spans="1:18" s="1" customFormat="1" x14ac:dyDescent="0.3">
      <c r="A29" s="43" t="s">
        <v>601</v>
      </c>
      <c r="B29" s="52">
        <v>45680</v>
      </c>
      <c r="C29" s="43" t="s">
        <v>364</v>
      </c>
      <c r="D29" s="43" t="s">
        <v>371</v>
      </c>
      <c r="E29" s="43">
        <v>10461</v>
      </c>
      <c r="F29" s="43" t="s">
        <v>28</v>
      </c>
      <c r="G29" s="54"/>
      <c r="H29" s="44"/>
      <c r="I29" s="8">
        <v>100000000</v>
      </c>
      <c r="J29" s="53"/>
      <c r="K29" s="53"/>
      <c r="L29" s="51">
        <f t="shared" si="2"/>
        <v>100000000</v>
      </c>
      <c r="M29" s="43"/>
      <c r="N29" s="7"/>
      <c r="O29" s="7"/>
      <c r="P29" s="7"/>
      <c r="Q29" s="44"/>
      <c r="R29" s="55"/>
    </row>
    <row r="30" spans="1:18" s="1" customFormat="1" x14ac:dyDescent="0.3">
      <c r="A30" s="43" t="s">
        <v>601</v>
      </c>
      <c r="B30" s="52">
        <v>45680</v>
      </c>
      <c r="C30" s="43" t="s">
        <v>456</v>
      </c>
      <c r="D30" s="43" t="s">
        <v>195</v>
      </c>
      <c r="E30" s="43">
        <v>3557</v>
      </c>
      <c r="F30" s="43" t="s">
        <v>19</v>
      </c>
      <c r="G30" s="54"/>
      <c r="H30" s="44"/>
      <c r="I30" s="8">
        <v>24150000</v>
      </c>
      <c r="J30" s="53"/>
      <c r="K30" s="53"/>
      <c r="L30" s="51">
        <f t="shared" si="2"/>
        <v>24150000</v>
      </c>
      <c r="M30" s="43"/>
      <c r="N30" s="7"/>
      <c r="O30" s="7"/>
      <c r="P30" s="7"/>
      <c r="Q30" s="44"/>
      <c r="R30" s="55"/>
    </row>
    <row r="31" spans="1:18" s="1" customFormat="1" x14ac:dyDescent="0.3">
      <c r="A31" s="43" t="s">
        <v>601</v>
      </c>
      <c r="B31" s="52">
        <v>45680</v>
      </c>
      <c r="C31" s="43" t="s">
        <v>458</v>
      </c>
      <c r="D31" s="43" t="s">
        <v>602</v>
      </c>
      <c r="E31" s="43">
        <v>46868</v>
      </c>
      <c r="F31" s="43" t="s">
        <v>479</v>
      </c>
      <c r="G31" s="54"/>
      <c r="H31" s="44"/>
      <c r="I31" s="8">
        <v>20000000</v>
      </c>
      <c r="J31" s="53"/>
      <c r="K31" s="53"/>
      <c r="L31" s="51">
        <f t="shared" si="2"/>
        <v>20000000</v>
      </c>
      <c r="M31" s="43"/>
      <c r="N31" s="7"/>
      <c r="O31" s="7"/>
      <c r="P31" s="7"/>
      <c r="Q31" s="44"/>
      <c r="R31" s="55"/>
    </row>
    <row r="32" spans="1:18" s="1" customFormat="1" x14ac:dyDescent="0.3">
      <c r="A32" s="43" t="s">
        <v>601</v>
      </c>
      <c r="B32" s="52">
        <v>45680</v>
      </c>
      <c r="C32" s="43" t="s">
        <v>237</v>
      </c>
      <c r="D32" s="43" t="s">
        <v>250</v>
      </c>
      <c r="E32" s="43">
        <v>342</v>
      </c>
      <c r="F32" s="43" t="s">
        <v>468</v>
      </c>
      <c r="G32" s="54"/>
      <c r="H32" s="44"/>
      <c r="I32" s="8">
        <v>19200000</v>
      </c>
      <c r="J32" s="53"/>
      <c r="K32" s="53"/>
      <c r="L32" s="51">
        <f t="shared" si="2"/>
        <v>19200000</v>
      </c>
      <c r="M32" s="43"/>
      <c r="N32" s="7"/>
      <c r="O32" s="7"/>
      <c r="P32" s="7"/>
      <c r="Q32" s="44"/>
      <c r="R32" s="55"/>
    </row>
    <row r="33" spans="1:18" s="1" customFormat="1" x14ac:dyDescent="0.3">
      <c r="A33" s="43" t="s">
        <v>601</v>
      </c>
      <c r="B33" s="52">
        <v>45680</v>
      </c>
      <c r="C33" s="43" t="s">
        <v>153</v>
      </c>
      <c r="D33" s="43" t="s">
        <v>578</v>
      </c>
      <c r="E33" s="43">
        <v>15040</v>
      </c>
      <c r="F33" s="43" t="s">
        <v>28</v>
      </c>
      <c r="G33" s="54"/>
      <c r="H33" s="44"/>
      <c r="I33" s="8">
        <v>25000000</v>
      </c>
      <c r="J33" s="53"/>
      <c r="K33" s="53"/>
      <c r="L33" s="51">
        <f t="shared" si="2"/>
        <v>25000000</v>
      </c>
      <c r="M33" s="43"/>
      <c r="N33" s="7"/>
      <c r="O33" s="7"/>
      <c r="P33" s="7"/>
      <c r="Q33" s="44"/>
      <c r="R33" s="55"/>
    </row>
    <row r="34" spans="1:18" s="1" customFormat="1" x14ac:dyDescent="0.3">
      <c r="A34" s="43" t="s">
        <v>601</v>
      </c>
      <c r="B34" s="52">
        <v>45680</v>
      </c>
      <c r="C34" s="43" t="s">
        <v>153</v>
      </c>
      <c r="D34" s="43" t="s">
        <v>182</v>
      </c>
      <c r="E34" s="43">
        <v>3739</v>
      </c>
      <c r="F34" s="43" t="s">
        <v>468</v>
      </c>
      <c r="G34" s="54"/>
      <c r="H34" s="44"/>
      <c r="I34" s="8">
        <v>50000000</v>
      </c>
      <c r="J34" s="53"/>
      <c r="K34" s="53"/>
      <c r="L34" s="51">
        <f t="shared" si="2"/>
        <v>50000000</v>
      </c>
      <c r="M34" s="43"/>
      <c r="N34" s="7"/>
      <c r="O34" s="7"/>
      <c r="P34" s="7"/>
      <c r="Q34" s="44"/>
      <c r="R34" s="55"/>
    </row>
    <row r="35" spans="1:18" s="1" customFormat="1" x14ac:dyDescent="0.3">
      <c r="A35" s="43" t="s">
        <v>601</v>
      </c>
      <c r="B35" s="52">
        <v>45680</v>
      </c>
      <c r="C35" s="43" t="s">
        <v>277</v>
      </c>
      <c r="D35" s="43" t="s">
        <v>296</v>
      </c>
      <c r="E35" s="43">
        <v>800</v>
      </c>
      <c r="F35" s="43" t="s">
        <v>28</v>
      </c>
      <c r="G35" s="54"/>
      <c r="H35" s="44"/>
      <c r="I35" s="8">
        <v>135000000</v>
      </c>
      <c r="J35" s="53"/>
      <c r="K35" s="53"/>
      <c r="L35" s="51">
        <f>SUM(I35:K35)</f>
        <v>135000000</v>
      </c>
      <c r="M35" s="43"/>
      <c r="N35" s="7"/>
      <c r="O35" s="7"/>
      <c r="P35" s="7"/>
      <c r="Q35" s="44"/>
      <c r="R35" s="55"/>
    </row>
    <row r="36" spans="1:18" s="1" customFormat="1" x14ac:dyDescent="0.3">
      <c r="A36" s="43" t="s">
        <v>603</v>
      </c>
      <c r="B36" s="52">
        <v>45694</v>
      </c>
      <c r="C36" s="43" t="s">
        <v>0</v>
      </c>
      <c r="D36" s="43" t="s">
        <v>33</v>
      </c>
      <c r="E36" s="43">
        <v>11662</v>
      </c>
      <c r="F36" s="43" t="s">
        <v>397</v>
      </c>
      <c r="G36" s="54"/>
      <c r="H36" s="44"/>
      <c r="I36" s="8">
        <v>7000000</v>
      </c>
      <c r="J36" s="53"/>
      <c r="K36" s="53"/>
      <c r="L36" s="51">
        <f>SUM(I36:K36)</f>
        <v>7000000</v>
      </c>
      <c r="M36" s="43"/>
      <c r="N36" s="7"/>
      <c r="O36" s="7"/>
      <c r="P36" s="7"/>
      <c r="Q36" s="44"/>
      <c r="R36" s="55"/>
    </row>
    <row r="37" spans="1:18" s="1" customFormat="1" x14ac:dyDescent="0.3">
      <c r="A37" s="43" t="s">
        <v>603</v>
      </c>
      <c r="B37" s="52">
        <v>45694</v>
      </c>
      <c r="C37" s="43" t="s">
        <v>0</v>
      </c>
      <c r="D37" s="43" t="s">
        <v>604</v>
      </c>
      <c r="E37" s="43">
        <v>56027</v>
      </c>
      <c r="F37" s="43" t="s">
        <v>28</v>
      </c>
      <c r="G37" s="54"/>
      <c r="H37" s="44"/>
      <c r="I37" s="8">
        <v>467000000</v>
      </c>
      <c r="J37" s="53"/>
      <c r="K37" s="53"/>
      <c r="L37" s="51">
        <f>SUM(I37:K37)</f>
        <v>467000000</v>
      </c>
      <c r="M37" s="43"/>
      <c r="N37" s="7"/>
      <c r="O37" s="7"/>
      <c r="P37" s="7"/>
      <c r="Q37" s="44"/>
      <c r="R37" s="55"/>
    </row>
    <row r="38" spans="1:18" s="1" customFormat="1" x14ac:dyDescent="0.3">
      <c r="A38" s="43" t="s">
        <v>603</v>
      </c>
      <c r="B38" s="52">
        <v>45694</v>
      </c>
      <c r="C38" s="43" t="s">
        <v>2</v>
      </c>
      <c r="D38" s="43" t="s">
        <v>605</v>
      </c>
      <c r="E38" s="43">
        <v>53734</v>
      </c>
      <c r="F38" s="43" t="s">
        <v>18</v>
      </c>
      <c r="G38" s="54"/>
      <c r="H38" s="44"/>
      <c r="I38" s="8">
        <v>3000000</v>
      </c>
      <c r="J38" s="53"/>
      <c r="K38" s="53"/>
      <c r="L38" s="51">
        <f t="shared" ref="L38:L49" si="3">SUM(I38:K38)</f>
        <v>3000000</v>
      </c>
      <c r="M38" s="43"/>
      <c r="N38" s="7"/>
      <c r="O38" s="7"/>
      <c r="P38" s="7"/>
      <c r="Q38" s="44"/>
      <c r="R38" s="55"/>
    </row>
    <row r="39" spans="1:18" s="1" customFormat="1" x14ac:dyDescent="0.3">
      <c r="A39" s="43" t="s">
        <v>603</v>
      </c>
      <c r="B39" s="52">
        <v>45694</v>
      </c>
      <c r="C39" s="43" t="s">
        <v>606</v>
      </c>
      <c r="D39" s="43" t="s">
        <v>230</v>
      </c>
      <c r="E39" s="43">
        <v>56028</v>
      </c>
      <c r="F39" s="43" t="s">
        <v>476</v>
      </c>
      <c r="G39" s="54"/>
      <c r="H39" s="44"/>
      <c r="I39" s="8">
        <v>1247000000</v>
      </c>
      <c r="J39" s="53"/>
      <c r="K39" s="53"/>
      <c r="L39" s="51">
        <f t="shared" si="3"/>
        <v>1247000000</v>
      </c>
      <c r="M39" s="43"/>
      <c r="N39" s="7"/>
      <c r="O39" s="7"/>
      <c r="P39" s="7"/>
      <c r="Q39" s="44"/>
      <c r="R39" s="55"/>
    </row>
    <row r="40" spans="1:18" s="1" customFormat="1" x14ac:dyDescent="0.3">
      <c r="A40" s="43" t="s">
        <v>603</v>
      </c>
      <c r="B40" s="52">
        <v>45694</v>
      </c>
      <c r="C40" s="43" t="s">
        <v>277</v>
      </c>
      <c r="D40" s="43" t="s">
        <v>308</v>
      </c>
      <c r="E40" s="43">
        <v>4706</v>
      </c>
      <c r="F40" s="43" t="s">
        <v>478</v>
      </c>
      <c r="G40" s="54"/>
      <c r="H40" s="44"/>
      <c r="I40" s="8">
        <v>100000000</v>
      </c>
      <c r="J40" s="53"/>
      <c r="K40" s="53"/>
      <c r="L40" s="51">
        <f t="shared" si="3"/>
        <v>100000000</v>
      </c>
      <c r="M40" s="43"/>
      <c r="N40" s="7"/>
      <c r="O40" s="7"/>
      <c r="P40" s="7"/>
      <c r="Q40" s="44"/>
      <c r="R40" s="55"/>
    </row>
    <row r="41" spans="1:18" s="1" customFormat="1" x14ac:dyDescent="0.3">
      <c r="A41" s="43" t="s">
        <v>603</v>
      </c>
      <c r="B41" s="52">
        <v>45694</v>
      </c>
      <c r="C41" s="43" t="s">
        <v>175</v>
      </c>
      <c r="D41" s="43" t="s">
        <v>354</v>
      </c>
      <c r="E41" s="43">
        <v>3770</v>
      </c>
      <c r="F41" s="43" t="s">
        <v>31</v>
      </c>
      <c r="G41" s="54"/>
      <c r="H41" s="44"/>
      <c r="I41" s="8">
        <v>11000000</v>
      </c>
      <c r="J41" s="53"/>
      <c r="K41" s="53"/>
      <c r="L41" s="51">
        <f t="shared" si="3"/>
        <v>11000000</v>
      </c>
      <c r="M41" s="43"/>
      <c r="N41" s="7"/>
      <c r="O41" s="7"/>
      <c r="P41" s="7"/>
      <c r="Q41" s="44"/>
      <c r="R41" s="55"/>
    </row>
    <row r="42" spans="1:18" s="1" customFormat="1" x14ac:dyDescent="0.3">
      <c r="A42" s="43" t="s">
        <v>603</v>
      </c>
      <c r="B42" s="52">
        <v>45694</v>
      </c>
      <c r="C42" s="43" t="s">
        <v>277</v>
      </c>
      <c r="D42" s="43" t="s">
        <v>584</v>
      </c>
      <c r="E42" s="43">
        <v>2851</v>
      </c>
      <c r="F42" s="43" t="s">
        <v>468</v>
      </c>
      <c r="G42" s="54"/>
      <c r="H42" s="44"/>
      <c r="I42" s="8">
        <v>9000000</v>
      </c>
      <c r="J42" s="53"/>
      <c r="K42" s="53"/>
      <c r="L42" s="51">
        <f t="shared" si="3"/>
        <v>9000000</v>
      </c>
      <c r="M42" s="43"/>
      <c r="N42" s="7"/>
      <c r="O42" s="7"/>
      <c r="P42" s="7"/>
      <c r="Q42" s="44"/>
      <c r="R42" s="55"/>
    </row>
    <row r="43" spans="1:18" s="1" customFormat="1" x14ac:dyDescent="0.3">
      <c r="A43" s="43" t="s">
        <v>603</v>
      </c>
      <c r="B43" s="52">
        <v>45694</v>
      </c>
      <c r="C43" s="43" t="s">
        <v>277</v>
      </c>
      <c r="D43" s="43" t="s">
        <v>285</v>
      </c>
      <c r="E43" s="43">
        <v>6661</v>
      </c>
      <c r="F43" s="43" t="s">
        <v>28</v>
      </c>
      <c r="G43" s="54"/>
      <c r="H43" s="44"/>
      <c r="I43" s="8">
        <v>100000000</v>
      </c>
      <c r="J43" s="53"/>
      <c r="K43" s="53"/>
      <c r="L43" s="51">
        <f t="shared" si="3"/>
        <v>100000000</v>
      </c>
      <c r="M43" s="43"/>
      <c r="N43" s="7"/>
      <c r="O43" s="7"/>
      <c r="P43" s="7"/>
      <c r="Q43" s="44"/>
      <c r="R43" s="55"/>
    </row>
    <row r="44" spans="1:18" s="1" customFormat="1" x14ac:dyDescent="0.3">
      <c r="A44" s="43" t="s">
        <v>603</v>
      </c>
      <c r="B44" s="52">
        <v>45701</v>
      </c>
      <c r="C44" s="43" t="s">
        <v>153</v>
      </c>
      <c r="D44" s="43" t="s">
        <v>180</v>
      </c>
      <c r="E44" s="43">
        <v>4083</v>
      </c>
      <c r="F44" s="43" t="s">
        <v>469</v>
      </c>
      <c r="G44" s="54"/>
      <c r="H44" s="44"/>
      <c r="I44" s="8">
        <v>26000000</v>
      </c>
      <c r="J44" s="53"/>
      <c r="K44" s="53"/>
      <c r="L44" s="51">
        <f t="shared" si="3"/>
        <v>26000000</v>
      </c>
      <c r="M44" s="43"/>
      <c r="N44" s="7"/>
      <c r="O44" s="7"/>
      <c r="P44" s="7"/>
      <c r="Q44" s="44"/>
      <c r="R44" s="55"/>
    </row>
    <row r="45" spans="1:18" s="1" customFormat="1" x14ac:dyDescent="0.3">
      <c r="A45" s="43" t="s">
        <v>603</v>
      </c>
      <c r="B45" s="52">
        <v>45701</v>
      </c>
      <c r="C45" s="43" t="s">
        <v>237</v>
      </c>
      <c r="D45" s="43" t="s">
        <v>253</v>
      </c>
      <c r="E45" s="43">
        <v>7767</v>
      </c>
      <c r="F45" s="43" t="s">
        <v>470</v>
      </c>
      <c r="G45" s="54"/>
      <c r="H45" s="44"/>
      <c r="I45" s="8">
        <v>1000000</v>
      </c>
      <c r="J45" s="53"/>
      <c r="K45" s="53"/>
      <c r="L45" s="51">
        <f t="shared" si="3"/>
        <v>1000000</v>
      </c>
      <c r="M45" s="43"/>
      <c r="N45" s="7"/>
      <c r="O45" s="7"/>
      <c r="P45" s="7"/>
      <c r="Q45" s="44"/>
      <c r="R45" s="55"/>
    </row>
    <row r="46" spans="1:18" s="1" customFormat="1" x14ac:dyDescent="0.3">
      <c r="A46" s="43" t="s">
        <v>603</v>
      </c>
      <c r="B46" s="52">
        <v>45701</v>
      </c>
      <c r="C46" s="43" t="s">
        <v>237</v>
      </c>
      <c r="D46" s="43" t="s">
        <v>270</v>
      </c>
      <c r="E46" s="43">
        <v>3724</v>
      </c>
      <c r="F46" s="43" t="s">
        <v>473</v>
      </c>
      <c r="G46" s="54"/>
      <c r="H46" s="44"/>
      <c r="I46" s="8">
        <v>1350000</v>
      </c>
      <c r="J46" s="53"/>
      <c r="K46" s="53"/>
      <c r="L46" s="51">
        <f t="shared" si="3"/>
        <v>1350000</v>
      </c>
      <c r="M46" s="43"/>
      <c r="N46" s="7"/>
      <c r="O46" s="7"/>
      <c r="P46" s="7"/>
      <c r="Q46" s="44"/>
      <c r="R46" s="55"/>
    </row>
    <row r="47" spans="1:18" s="1" customFormat="1" x14ac:dyDescent="0.3">
      <c r="A47" s="43" t="s">
        <v>603</v>
      </c>
      <c r="B47" s="52">
        <v>45701</v>
      </c>
      <c r="C47" s="43" t="s">
        <v>0</v>
      </c>
      <c r="D47" s="43" t="s">
        <v>226</v>
      </c>
      <c r="E47" s="43">
        <v>7261</v>
      </c>
      <c r="F47" s="43" t="s">
        <v>471</v>
      </c>
      <c r="G47" s="54"/>
      <c r="H47" s="44"/>
      <c r="I47" s="8">
        <v>19800000</v>
      </c>
      <c r="J47" s="53"/>
      <c r="K47" s="53"/>
      <c r="L47" s="51">
        <f t="shared" si="3"/>
        <v>19800000</v>
      </c>
      <c r="M47" s="43"/>
      <c r="N47" s="7"/>
      <c r="O47" s="7"/>
      <c r="P47" s="7"/>
      <c r="Q47" s="44"/>
      <c r="R47" s="55"/>
    </row>
    <row r="48" spans="1:18" s="1" customFormat="1" x14ac:dyDescent="0.3">
      <c r="A48" s="43" t="s">
        <v>603</v>
      </c>
      <c r="B48" s="52">
        <v>45701</v>
      </c>
      <c r="C48" s="43" t="s">
        <v>2</v>
      </c>
      <c r="D48" s="43" t="s">
        <v>607</v>
      </c>
      <c r="E48" s="43">
        <v>42576</v>
      </c>
      <c r="F48" s="43" t="s">
        <v>47</v>
      </c>
      <c r="G48" s="54"/>
      <c r="H48" s="44"/>
      <c r="I48" s="8">
        <v>60000000</v>
      </c>
      <c r="J48" s="53"/>
      <c r="K48" s="53"/>
      <c r="L48" s="51">
        <f t="shared" si="3"/>
        <v>60000000</v>
      </c>
      <c r="M48" s="43"/>
      <c r="N48" s="7"/>
      <c r="O48" s="7"/>
      <c r="P48" s="7"/>
      <c r="Q48" s="44"/>
      <c r="R48" s="55"/>
    </row>
    <row r="49" spans="1:18" s="1" customFormat="1" x14ac:dyDescent="0.3">
      <c r="A49" s="43" t="s">
        <v>603</v>
      </c>
      <c r="B49" s="52">
        <v>45701</v>
      </c>
      <c r="C49" s="43" t="s">
        <v>364</v>
      </c>
      <c r="D49" s="43" t="s">
        <v>379</v>
      </c>
      <c r="E49" s="43">
        <v>1886</v>
      </c>
      <c r="F49" s="43" t="s">
        <v>478</v>
      </c>
      <c r="G49" s="54"/>
      <c r="H49" s="44"/>
      <c r="I49" s="8">
        <v>2000000</v>
      </c>
      <c r="J49" s="53"/>
      <c r="K49" s="53"/>
      <c r="L49" s="51">
        <f t="shared" si="3"/>
        <v>2000000</v>
      </c>
      <c r="M49" s="43"/>
      <c r="N49" s="7"/>
      <c r="O49" s="7"/>
      <c r="P49" s="7"/>
      <c r="Q49" s="44"/>
      <c r="R49" s="55"/>
    </row>
    <row r="50" spans="1:18" s="1" customFormat="1" x14ac:dyDescent="0.3">
      <c r="A50" s="43" t="s">
        <v>603</v>
      </c>
      <c r="B50" s="52">
        <v>45701</v>
      </c>
      <c r="C50" s="43" t="s">
        <v>277</v>
      </c>
      <c r="D50" s="43" t="s">
        <v>309</v>
      </c>
      <c r="E50" s="43">
        <v>3707</v>
      </c>
      <c r="F50" s="43" t="s">
        <v>478</v>
      </c>
      <c r="G50" s="54"/>
      <c r="H50" s="44"/>
      <c r="I50" s="8">
        <v>50000000</v>
      </c>
      <c r="J50" s="53"/>
      <c r="K50" s="53"/>
      <c r="L50" s="51">
        <f t="shared" ref="L50:L65" si="4">SUM(I50:K50)</f>
        <v>50000000</v>
      </c>
      <c r="M50" s="43"/>
      <c r="N50" s="7"/>
      <c r="O50" s="7"/>
      <c r="P50" s="7"/>
      <c r="Q50" s="44"/>
      <c r="R50" s="55"/>
    </row>
    <row r="51" spans="1:18" s="1" customFormat="1" x14ac:dyDescent="0.3">
      <c r="A51" s="43" t="s">
        <v>603</v>
      </c>
      <c r="B51" s="52">
        <v>45701</v>
      </c>
      <c r="C51" s="43" t="s">
        <v>364</v>
      </c>
      <c r="D51" s="43" t="s">
        <v>373</v>
      </c>
      <c r="E51" s="43">
        <v>17786</v>
      </c>
      <c r="F51" s="43" t="s">
        <v>468</v>
      </c>
      <c r="G51" s="54"/>
      <c r="H51" s="44"/>
      <c r="I51" s="8">
        <v>30000000</v>
      </c>
      <c r="J51" s="53"/>
      <c r="K51" s="53"/>
      <c r="L51" s="51">
        <f t="shared" si="4"/>
        <v>30000000</v>
      </c>
      <c r="M51" s="43"/>
      <c r="N51" s="7"/>
      <c r="O51" s="7"/>
      <c r="P51" s="7"/>
      <c r="Q51" s="44"/>
      <c r="R51" s="55"/>
    </row>
    <row r="52" spans="1:18" s="1" customFormat="1" x14ac:dyDescent="0.3">
      <c r="A52" s="43" t="s">
        <v>603</v>
      </c>
      <c r="B52" s="52">
        <v>45701</v>
      </c>
      <c r="C52" s="43" t="s">
        <v>153</v>
      </c>
      <c r="D52" s="43" t="s">
        <v>185</v>
      </c>
      <c r="E52" s="43">
        <v>46891</v>
      </c>
      <c r="F52" s="43" t="s">
        <v>397</v>
      </c>
      <c r="G52" s="54"/>
      <c r="H52" s="44"/>
      <c r="I52" s="8">
        <v>40000000</v>
      </c>
      <c r="J52" s="53"/>
      <c r="K52" s="53"/>
      <c r="L52" s="51">
        <f t="shared" si="4"/>
        <v>40000000</v>
      </c>
      <c r="M52" s="43"/>
      <c r="N52" s="7"/>
      <c r="O52" s="7"/>
      <c r="P52" s="7"/>
      <c r="Q52" s="44"/>
      <c r="R52" s="55"/>
    </row>
    <row r="53" spans="1:18" s="1" customFormat="1" x14ac:dyDescent="0.3">
      <c r="A53" s="43" t="s">
        <v>603</v>
      </c>
      <c r="B53" s="52">
        <v>45701</v>
      </c>
      <c r="C53" s="43" t="s">
        <v>364</v>
      </c>
      <c r="D53" s="43" t="s">
        <v>609</v>
      </c>
      <c r="E53" s="43">
        <v>3835</v>
      </c>
      <c r="F53" s="43" t="s">
        <v>28</v>
      </c>
      <c r="G53" s="54"/>
      <c r="H53" s="44"/>
      <c r="I53" s="8">
        <v>80000000</v>
      </c>
      <c r="J53" s="53"/>
      <c r="K53" s="53"/>
      <c r="L53" s="51">
        <f t="shared" si="4"/>
        <v>80000000</v>
      </c>
      <c r="M53" s="43"/>
      <c r="N53" s="7"/>
      <c r="O53" s="7"/>
      <c r="P53" s="7"/>
      <c r="Q53" s="44"/>
      <c r="R53" s="55"/>
    </row>
    <row r="54" spans="1:18" s="1" customFormat="1" x14ac:dyDescent="0.3">
      <c r="A54" s="43" t="s">
        <v>603</v>
      </c>
      <c r="B54" s="52">
        <v>45708</v>
      </c>
      <c r="C54" s="43" t="s">
        <v>0</v>
      </c>
      <c r="D54" s="43" t="s">
        <v>226</v>
      </c>
      <c r="E54" s="43">
        <v>7261</v>
      </c>
      <c r="F54" s="43" t="s">
        <v>28</v>
      </c>
      <c r="G54" s="54"/>
      <c r="H54" s="44"/>
      <c r="I54" s="8">
        <v>11736363</v>
      </c>
      <c r="J54" s="53"/>
      <c r="K54" s="53"/>
      <c r="L54" s="51">
        <f t="shared" si="4"/>
        <v>11736363</v>
      </c>
      <c r="M54" s="43"/>
      <c r="N54" s="7"/>
      <c r="O54" s="7"/>
      <c r="P54" s="7"/>
      <c r="Q54" s="44"/>
      <c r="R54" s="55"/>
    </row>
    <row r="55" spans="1:18" s="1" customFormat="1" x14ac:dyDescent="0.3">
      <c r="A55" s="43" t="s">
        <v>603</v>
      </c>
      <c r="B55" s="52">
        <v>45708</v>
      </c>
      <c r="C55" s="43" t="s">
        <v>175</v>
      </c>
      <c r="D55" s="43" t="s">
        <v>340</v>
      </c>
      <c r="E55" s="43">
        <v>2168</v>
      </c>
      <c r="F55" s="43" t="s">
        <v>31</v>
      </c>
      <c r="G55" s="54"/>
      <c r="H55" s="44"/>
      <c r="I55" s="8">
        <v>8625000</v>
      </c>
      <c r="J55" s="53"/>
      <c r="K55" s="53"/>
      <c r="L55" s="51">
        <f t="shared" si="4"/>
        <v>8625000</v>
      </c>
      <c r="M55" s="43"/>
      <c r="N55" s="7"/>
      <c r="O55" s="7"/>
      <c r="P55" s="7"/>
      <c r="Q55" s="44"/>
      <c r="R55" s="55"/>
    </row>
    <row r="56" spans="1:18" s="1" customFormat="1" x14ac:dyDescent="0.3">
      <c r="A56" s="43" t="s">
        <v>603</v>
      </c>
      <c r="B56" s="52">
        <v>45708</v>
      </c>
      <c r="C56" s="43" t="s">
        <v>175</v>
      </c>
      <c r="D56" s="43" t="s">
        <v>622</v>
      </c>
      <c r="E56" s="43">
        <v>42940</v>
      </c>
      <c r="F56" s="43" t="s">
        <v>47</v>
      </c>
      <c r="G56" s="54"/>
      <c r="H56" s="44"/>
      <c r="I56" s="8">
        <v>120000000</v>
      </c>
      <c r="J56" s="53"/>
      <c r="K56" s="53"/>
      <c r="L56" s="51">
        <f t="shared" si="4"/>
        <v>120000000</v>
      </c>
      <c r="M56" s="43"/>
      <c r="N56" s="7"/>
      <c r="O56" s="7"/>
      <c r="P56" s="7"/>
      <c r="Q56" s="44"/>
      <c r="R56" s="55"/>
    </row>
    <row r="57" spans="1:18" s="1" customFormat="1" x14ac:dyDescent="0.3">
      <c r="A57" s="43" t="s">
        <v>603</v>
      </c>
      <c r="B57" s="52">
        <v>45708</v>
      </c>
      <c r="C57" s="43" t="s">
        <v>175</v>
      </c>
      <c r="D57" s="43" t="s">
        <v>594</v>
      </c>
      <c r="E57" s="43">
        <v>12801</v>
      </c>
      <c r="F57" s="43" t="s">
        <v>468</v>
      </c>
      <c r="G57" s="54"/>
      <c r="H57" s="44"/>
      <c r="I57" s="8">
        <v>2300000</v>
      </c>
      <c r="J57" s="53"/>
      <c r="K57" s="53"/>
      <c r="L57" s="51">
        <f t="shared" si="4"/>
        <v>2300000</v>
      </c>
      <c r="M57" s="43"/>
      <c r="N57" s="7"/>
      <c r="O57" s="7"/>
      <c r="P57" s="7"/>
      <c r="Q57" s="44"/>
      <c r="R57" s="55"/>
    </row>
    <row r="58" spans="1:18" s="1" customFormat="1" x14ac:dyDescent="0.3">
      <c r="A58" s="43" t="s">
        <v>603</v>
      </c>
      <c r="B58" s="52">
        <v>45708</v>
      </c>
      <c r="C58" s="43" t="s">
        <v>175</v>
      </c>
      <c r="D58" s="43" t="s">
        <v>358</v>
      </c>
      <c r="E58" s="43">
        <v>28796</v>
      </c>
      <c r="F58" s="43" t="s">
        <v>19</v>
      </c>
      <c r="G58" s="54"/>
      <c r="H58" s="44"/>
      <c r="I58" s="8">
        <v>11934500</v>
      </c>
      <c r="J58" s="53"/>
      <c r="K58" s="53"/>
      <c r="L58" s="51">
        <f t="shared" si="4"/>
        <v>11934500</v>
      </c>
      <c r="M58" s="43"/>
      <c r="N58" s="7"/>
      <c r="O58" s="7"/>
      <c r="P58" s="7"/>
      <c r="Q58" s="44"/>
      <c r="R58" s="55"/>
    </row>
    <row r="59" spans="1:18" s="1" customFormat="1" x14ac:dyDescent="0.3">
      <c r="A59" s="43" t="s">
        <v>603</v>
      </c>
      <c r="B59" s="52">
        <v>45708</v>
      </c>
      <c r="C59" s="43" t="s">
        <v>175</v>
      </c>
      <c r="D59" s="43" t="s">
        <v>360</v>
      </c>
      <c r="E59" s="43">
        <v>40230</v>
      </c>
      <c r="F59" s="43" t="s">
        <v>19</v>
      </c>
      <c r="G59" s="54"/>
      <c r="H59" s="44"/>
      <c r="I59" s="8">
        <v>22041000</v>
      </c>
      <c r="J59" s="53"/>
      <c r="K59" s="53"/>
      <c r="L59" s="51">
        <f t="shared" si="4"/>
        <v>22041000</v>
      </c>
      <c r="M59" s="43"/>
      <c r="N59" s="7"/>
      <c r="O59" s="7"/>
      <c r="P59" s="7"/>
      <c r="Q59" s="44"/>
      <c r="R59" s="55"/>
    </row>
    <row r="60" spans="1:18" s="1" customFormat="1" x14ac:dyDescent="0.3">
      <c r="A60" s="43" t="s">
        <v>603</v>
      </c>
      <c r="B60" s="52">
        <v>45708</v>
      </c>
      <c r="C60" s="43" t="s">
        <v>2</v>
      </c>
      <c r="D60" s="43" t="s">
        <v>84</v>
      </c>
      <c r="E60" s="43">
        <v>5108</v>
      </c>
      <c r="F60" s="43" t="s">
        <v>31</v>
      </c>
      <c r="G60" s="54"/>
      <c r="H60" s="44"/>
      <c r="I60" s="8">
        <v>33968000</v>
      </c>
      <c r="J60" s="53"/>
      <c r="K60" s="53"/>
      <c r="L60" s="51">
        <f t="shared" si="4"/>
        <v>33968000</v>
      </c>
      <c r="M60" s="43"/>
      <c r="N60" s="7"/>
      <c r="O60" s="7"/>
      <c r="P60" s="7"/>
      <c r="Q60" s="44"/>
      <c r="R60" s="55"/>
    </row>
    <row r="61" spans="1:18" s="1" customFormat="1" x14ac:dyDescent="0.3">
      <c r="A61" s="43" t="s">
        <v>603</v>
      </c>
      <c r="B61" s="52">
        <v>45708</v>
      </c>
      <c r="C61" s="43" t="s">
        <v>2</v>
      </c>
      <c r="D61" s="43" t="s">
        <v>99</v>
      </c>
      <c r="E61" s="43">
        <v>18282</v>
      </c>
      <c r="F61" s="43" t="s">
        <v>31</v>
      </c>
      <c r="G61" s="54"/>
      <c r="H61" s="44"/>
      <c r="I61" s="8">
        <v>19000000</v>
      </c>
      <c r="J61" s="53"/>
      <c r="K61" s="53"/>
      <c r="L61" s="51">
        <f t="shared" si="4"/>
        <v>19000000</v>
      </c>
      <c r="M61" s="43"/>
      <c r="N61" s="7"/>
      <c r="O61" s="7"/>
      <c r="P61" s="7"/>
      <c r="Q61" s="44"/>
      <c r="R61" s="55"/>
    </row>
    <row r="62" spans="1:18" s="1" customFormat="1" x14ac:dyDescent="0.3">
      <c r="A62" s="43" t="s">
        <v>603</v>
      </c>
      <c r="B62" s="52">
        <v>45708</v>
      </c>
      <c r="C62" s="43" t="s">
        <v>458</v>
      </c>
      <c r="D62" s="43" t="s">
        <v>192</v>
      </c>
      <c r="E62" s="43">
        <v>613</v>
      </c>
      <c r="F62" s="43" t="s">
        <v>471</v>
      </c>
      <c r="G62" s="54"/>
      <c r="H62" s="44"/>
      <c r="I62" s="8">
        <v>4200000</v>
      </c>
      <c r="J62" s="53"/>
      <c r="K62" s="53"/>
      <c r="L62" s="51">
        <f t="shared" si="4"/>
        <v>4200000</v>
      </c>
      <c r="M62" s="43"/>
      <c r="N62" s="7"/>
      <c r="O62" s="7"/>
      <c r="P62" s="7"/>
      <c r="Q62" s="44"/>
      <c r="R62" s="55"/>
    </row>
    <row r="63" spans="1:18" s="1" customFormat="1" x14ac:dyDescent="0.3">
      <c r="A63" s="43" t="s">
        <v>603</v>
      </c>
      <c r="B63" s="52">
        <v>45708</v>
      </c>
      <c r="C63" s="43" t="s">
        <v>237</v>
      </c>
      <c r="D63" s="43" t="s">
        <v>244</v>
      </c>
      <c r="E63" s="43">
        <v>236</v>
      </c>
      <c r="F63" s="43" t="s">
        <v>467</v>
      </c>
      <c r="G63" s="54"/>
      <c r="H63" s="44"/>
      <c r="I63" s="8">
        <v>19000000</v>
      </c>
      <c r="J63" s="53"/>
      <c r="K63" s="53"/>
      <c r="L63" s="51">
        <f t="shared" si="4"/>
        <v>19000000</v>
      </c>
      <c r="M63" s="43"/>
      <c r="N63" s="7"/>
      <c r="O63" s="7"/>
      <c r="P63" s="7"/>
      <c r="Q63" s="44"/>
      <c r="R63" s="55"/>
    </row>
    <row r="64" spans="1:18" s="1" customFormat="1" x14ac:dyDescent="0.3">
      <c r="A64" s="43" t="s">
        <v>603</v>
      </c>
      <c r="B64" s="52">
        <v>45708</v>
      </c>
      <c r="C64" s="43" t="s">
        <v>237</v>
      </c>
      <c r="D64" s="43" t="s">
        <v>267</v>
      </c>
      <c r="E64" s="43">
        <v>8320</v>
      </c>
      <c r="F64" s="43" t="s">
        <v>19</v>
      </c>
      <c r="G64" s="54"/>
      <c r="H64" s="44"/>
      <c r="I64" s="8">
        <v>1290000</v>
      </c>
      <c r="J64" s="53"/>
      <c r="K64" s="53"/>
      <c r="L64" s="51">
        <f t="shared" si="4"/>
        <v>1290000</v>
      </c>
      <c r="M64" s="43"/>
      <c r="N64" s="7"/>
      <c r="O64" s="7"/>
      <c r="P64" s="7"/>
      <c r="Q64" s="44"/>
      <c r="R64" s="55"/>
    </row>
    <row r="65" spans="1:18" s="1" customFormat="1" x14ac:dyDescent="0.3">
      <c r="A65" s="43" t="s">
        <v>603</v>
      </c>
      <c r="B65" s="52">
        <v>45708</v>
      </c>
      <c r="C65" s="43" t="s">
        <v>237</v>
      </c>
      <c r="D65" s="43" t="s">
        <v>272</v>
      </c>
      <c r="E65" s="43">
        <v>43796</v>
      </c>
      <c r="F65" s="43" t="s">
        <v>28</v>
      </c>
      <c r="G65" s="54"/>
      <c r="H65" s="44"/>
      <c r="I65" s="8">
        <v>100000000</v>
      </c>
      <c r="J65" s="53"/>
      <c r="K65" s="53"/>
      <c r="L65" s="51">
        <f t="shared" si="4"/>
        <v>100000000</v>
      </c>
      <c r="M65" s="43"/>
      <c r="N65" s="7"/>
      <c r="O65" s="7"/>
      <c r="P65" s="7"/>
      <c r="Q65" s="44"/>
      <c r="R65" s="55"/>
    </row>
    <row r="66" spans="1:18" s="1" customFormat="1" x14ac:dyDescent="0.3">
      <c r="A66" s="43" t="s">
        <v>603</v>
      </c>
      <c r="B66" s="52">
        <v>45708</v>
      </c>
      <c r="C66" s="43" t="s">
        <v>153</v>
      </c>
      <c r="D66" s="43" t="s">
        <v>184</v>
      </c>
      <c r="E66" s="43">
        <v>46891</v>
      </c>
      <c r="F66" s="43" t="s">
        <v>397</v>
      </c>
      <c r="G66" s="54"/>
      <c r="H66" s="44"/>
      <c r="I66" s="8">
        <v>12000000</v>
      </c>
      <c r="J66" s="53"/>
      <c r="K66" s="53"/>
      <c r="L66" s="51">
        <f t="shared" ref="L66:L74" si="5">SUM(I66:K66)</f>
        <v>12000000</v>
      </c>
      <c r="M66" s="43"/>
      <c r="N66" s="7"/>
      <c r="O66" s="7"/>
      <c r="P66" s="7"/>
      <c r="Q66" s="44"/>
      <c r="R66" s="55"/>
    </row>
    <row r="67" spans="1:18" s="1" customFormat="1" x14ac:dyDescent="0.3">
      <c r="A67" s="43" t="s">
        <v>603</v>
      </c>
      <c r="B67" s="52">
        <v>45715</v>
      </c>
      <c r="C67" s="43" t="s">
        <v>364</v>
      </c>
      <c r="D67" s="43" t="s">
        <v>72</v>
      </c>
      <c r="E67" s="43">
        <v>42841</v>
      </c>
      <c r="F67" s="43" t="s">
        <v>31</v>
      </c>
      <c r="G67" s="54"/>
      <c r="H67" s="44"/>
      <c r="I67" s="8">
        <v>2000000</v>
      </c>
      <c r="J67" s="53"/>
      <c r="K67" s="53"/>
      <c r="L67" s="51">
        <f t="shared" si="5"/>
        <v>2000000</v>
      </c>
      <c r="M67" s="43"/>
      <c r="N67" s="7"/>
      <c r="O67" s="7"/>
      <c r="P67" s="7"/>
      <c r="Q67" s="44"/>
      <c r="R67" s="55"/>
    </row>
    <row r="68" spans="1:18" s="1" customFormat="1" x14ac:dyDescent="0.3">
      <c r="A68" s="43" t="s">
        <v>603</v>
      </c>
      <c r="B68" s="52">
        <v>45715</v>
      </c>
      <c r="C68" s="43" t="s">
        <v>2</v>
      </c>
      <c r="D68" s="43" t="s">
        <v>78</v>
      </c>
      <c r="E68" s="43">
        <v>4372</v>
      </c>
      <c r="F68" s="43" t="s">
        <v>31</v>
      </c>
      <c r="G68" s="54"/>
      <c r="H68" s="44"/>
      <c r="I68" s="8">
        <v>30000000</v>
      </c>
      <c r="J68" s="53"/>
      <c r="K68" s="53"/>
      <c r="L68" s="51">
        <f t="shared" si="5"/>
        <v>30000000</v>
      </c>
      <c r="M68" s="43"/>
      <c r="N68" s="7"/>
      <c r="O68" s="7"/>
      <c r="P68" s="7"/>
      <c r="Q68" s="44"/>
      <c r="R68" s="55"/>
    </row>
    <row r="69" spans="1:18" s="1" customFormat="1" x14ac:dyDescent="0.3">
      <c r="A69" s="43" t="s">
        <v>603</v>
      </c>
      <c r="B69" s="52">
        <v>45715</v>
      </c>
      <c r="C69" s="43" t="s">
        <v>2</v>
      </c>
      <c r="D69" s="43" t="s">
        <v>86</v>
      </c>
      <c r="E69" s="43">
        <v>44292</v>
      </c>
      <c r="F69" s="43" t="s">
        <v>19</v>
      </c>
      <c r="G69" s="54"/>
      <c r="H69" s="44"/>
      <c r="I69" s="8">
        <v>20000000</v>
      </c>
      <c r="J69" s="53"/>
      <c r="K69" s="53"/>
      <c r="L69" s="51">
        <f t="shared" si="5"/>
        <v>20000000</v>
      </c>
      <c r="M69" s="43"/>
      <c r="N69" s="7"/>
      <c r="O69" s="7"/>
      <c r="P69" s="7"/>
      <c r="Q69" s="44"/>
      <c r="R69" s="55"/>
    </row>
    <row r="70" spans="1:18" s="1" customFormat="1" x14ac:dyDescent="0.3">
      <c r="A70" s="43" t="s">
        <v>603</v>
      </c>
      <c r="B70" s="52">
        <v>45715</v>
      </c>
      <c r="C70" s="43" t="s">
        <v>2</v>
      </c>
      <c r="D70" s="43" t="s">
        <v>94</v>
      </c>
      <c r="E70" s="43">
        <v>28832</v>
      </c>
      <c r="F70" s="43" t="s">
        <v>31</v>
      </c>
      <c r="G70" s="54"/>
      <c r="H70" s="44"/>
      <c r="I70" s="8">
        <v>28000000</v>
      </c>
      <c r="J70" s="53"/>
      <c r="K70" s="53"/>
      <c r="L70" s="51">
        <f t="shared" si="5"/>
        <v>28000000</v>
      </c>
      <c r="M70" s="43"/>
      <c r="N70" s="7"/>
      <c r="O70" s="7"/>
      <c r="P70" s="7"/>
      <c r="Q70" s="44"/>
      <c r="R70" s="55"/>
    </row>
    <row r="71" spans="1:18" s="1" customFormat="1" x14ac:dyDescent="0.3">
      <c r="A71" s="43" t="s">
        <v>603</v>
      </c>
      <c r="B71" s="52">
        <v>45715</v>
      </c>
      <c r="C71" s="43" t="s">
        <v>456</v>
      </c>
      <c r="D71" s="43" t="s">
        <v>347</v>
      </c>
      <c r="E71" s="43">
        <v>1558</v>
      </c>
      <c r="F71" s="43" t="s">
        <v>28</v>
      </c>
      <c r="G71" s="54"/>
      <c r="H71" s="44"/>
      <c r="I71" s="8">
        <v>40000000</v>
      </c>
      <c r="J71" s="53"/>
      <c r="K71" s="53"/>
      <c r="L71" s="51">
        <f t="shared" si="5"/>
        <v>40000000</v>
      </c>
      <c r="M71" s="43"/>
      <c r="N71" s="7"/>
      <c r="O71" s="7"/>
      <c r="P71" s="7"/>
      <c r="Q71" s="44"/>
      <c r="R71" s="55"/>
    </row>
    <row r="72" spans="1:18" s="1" customFormat="1" x14ac:dyDescent="0.3">
      <c r="A72" s="43" t="s">
        <v>603</v>
      </c>
      <c r="B72" s="52">
        <v>45715</v>
      </c>
      <c r="C72" s="43" t="s">
        <v>153</v>
      </c>
      <c r="D72" s="43" t="s">
        <v>588</v>
      </c>
      <c r="E72" s="43">
        <v>3806</v>
      </c>
      <c r="F72" s="43" t="s">
        <v>469</v>
      </c>
      <c r="G72" s="54"/>
      <c r="H72" s="44"/>
      <c r="I72" s="8">
        <v>120000000</v>
      </c>
      <c r="J72" s="53"/>
      <c r="K72" s="53"/>
      <c r="L72" s="51">
        <f t="shared" si="5"/>
        <v>120000000</v>
      </c>
      <c r="M72" s="43"/>
      <c r="N72" s="7"/>
      <c r="O72" s="7"/>
      <c r="P72" s="7"/>
      <c r="Q72" s="44"/>
      <c r="R72" s="55"/>
    </row>
    <row r="73" spans="1:18" s="1" customFormat="1" x14ac:dyDescent="0.3">
      <c r="A73" s="43" t="s">
        <v>603</v>
      </c>
      <c r="B73" s="52">
        <v>45715</v>
      </c>
      <c r="C73" s="43" t="s">
        <v>153</v>
      </c>
      <c r="D73" s="43" t="s">
        <v>317</v>
      </c>
      <c r="E73" s="43">
        <v>9613</v>
      </c>
      <c r="F73" s="43" t="s">
        <v>468</v>
      </c>
      <c r="G73" s="54"/>
      <c r="H73" s="44"/>
      <c r="I73" s="8">
        <v>50000000</v>
      </c>
      <c r="J73" s="53"/>
      <c r="K73" s="53"/>
      <c r="L73" s="51">
        <f t="shared" si="5"/>
        <v>50000000</v>
      </c>
      <c r="M73" s="43"/>
      <c r="N73" s="7"/>
      <c r="O73" s="7"/>
      <c r="P73" s="7"/>
      <c r="Q73" s="44"/>
      <c r="R73" s="55"/>
    </row>
    <row r="74" spans="1:18" s="1" customFormat="1" x14ac:dyDescent="0.3">
      <c r="A74" s="43" t="s">
        <v>603</v>
      </c>
      <c r="B74" s="52">
        <v>45715</v>
      </c>
      <c r="C74" s="43" t="s">
        <v>153</v>
      </c>
      <c r="D74" s="43" t="s">
        <v>579</v>
      </c>
      <c r="E74" s="43">
        <v>16894</v>
      </c>
      <c r="F74" s="43" t="s">
        <v>28</v>
      </c>
      <c r="G74" s="54"/>
      <c r="H74" s="44"/>
      <c r="I74" s="8">
        <v>67000000</v>
      </c>
      <c r="J74" s="53"/>
      <c r="K74" s="53"/>
      <c r="L74" s="51">
        <f t="shared" si="5"/>
        <v>67000000</v>
      </c>
      <c r="M74" s="43"/>
      <c r="N74" s="7"/>
      <c r="O74" s="7"/>
      <c r="P74" s="7"/>
      <c r="Q74" s="44"/>
      <c r="R74" s="55"/>
    </row>
    <row r="75" spans="1:18" s="1" customFormat="1" x14ac:dyDescent="0.3">
      <c r="A75" s="43" t="s">
        <v>603</v>
      </c>
      <c r="B75" s="52">
        <v>45715</v>
      </c>
      <c r="C75" s="43" t="s">
        <v>237</v>
      </c>
      <c r="D75" s="43" t="s">
        <v>266</v>
      </c>
      <c r="E75" s="43">
        <v>48995</v>
      </c>
      <c r="F75" s="43" t="s">
        <v>28</v>
      </c>
      <c r="G75" s="54"/>
      <c r="H75" s="44"/>
      <c r="I75" s="8">
        <v>50000000</v>
      </c>
      <c r="J75" s="53"/>
      <c r="K75" s="53"/>
      <c r="L75" s="51">
        <f t="shared" ref="L75:L92" si="6">SUM(I75:K75)</f>
        <v>50000000</v>
      </c>
      <c r="M75" s="43"/>
      <c r="N75" s="7"/>
      <c r="O75" s="7"/>
      <c r="P75" s="7"/>
      <c r="Q75" s="44"/>
      <c r="R75" s="55"/>
    </row>
    <row r="76" spans="1:18" s="1" customFormat="1" x14ac:dyDescent="0.3">
      <c r="A76" s="43" t="s">
        <v>624</v>
      </c>
      <c r="B76" s="52">
        <v>45722</v>
      </c>
      <c r="C76" s="43" t="s">
        <v>0</v>
      </c>
      <c r="D76" s="43" t="s">
        <v>228</v>
      </c>
      <c r="E76" s="43">
        <v>40020</v>
      </c>
      <c r="F76" s="43" t="s">
        <v>31</v>
      </c>
      <c r="G76" s="54"/>
      <c r="H76" s="44"/>
      <c r="I76" s="8">
        <v>5000000</v>
      </c>
      <c r="J76" s="53"/>
      <c r="K76" s="53"/>
      <c r="L76" s="51">
        <f t="shared" si="6"/>
        <v>5000000</v>
      </c>
      <c r="M76" s="43"/>
      <c r="N76" s="7"/>
      <c r="O76" s="7"/>
      <c r="P76" s="7"/>
      <c r="Q76" s="44"/>
      <c r="R76" s="55"/>
    </row>
    <row r="77" spans="1:18" s="1" customFormat="1" x14ac:dyDescent="0.3">
      <c r="A77" s="43" t="s">
        <v>624</v>
      </c>
      <c r="B77" s="52">
        <v>45722</v>
      </c>
      <c r="C77" s="43" t="s">
        <v>175</v>
      </c>
      <c r="D77" s="43" t="s">
        <v>338</v>
      </c>
      <c r="E77" s="43">
        <v>57958</v>
      </c>
      <c r="F77" s="43" t="s">
        <v>31</v>
      </c>
      <c r="G77" s="54"/>
      <c r="H77" s="44"/>
      <c r="I77" s="8">
        <v>3174000</v>
      </c>
      <c r="J77" s="53"/>
      <c r="K77" s="53"/>
      <c r="L77" s="51">
        <f t="shared" si="6"/>
        <v>3174000</v>
      </c>
      <c r="M77" s="43"/>
      <c r="N77" s="7"/>
      <c r="O77" s="7"/>
      <c r="P77" s="7"/>
      <c r="Q77" s="44"/>
      <c r="R77" s="55"/>
    </row>
    <row r="78" spans="1:18" s="1" customFormat="1" x14ac:dyDescent="0.3">
      <c r="A78" s="43" t="s">
        <v>624</v>
      </c>
      <c r="B78" s="52">
        <v>45722</v>
      </c>
      <c r="C78" s="43" t="s">
        <v>175</v>
      </c>
      <c r="D78" s="43" t="s">
        <v>342</v>
      </c>
      <c r="E78" s="43">
        <v>46587</v>
      </c>
      <c r="F78" s="43" t="s">
        <v>468</v>
      </c>
      <c r="G78" s="54"/>
      <c r="H78" s="44"/>
      <c r="I78" s="8">
        <v>4800000</v>
      </c>
      <c r="J78" s="53"/>
      <c r="K78" s="53"/>
      <c r="L78" s="51">
        <f t="shared" si="6"/>
        <v>4800000</v>
      </c>
      <c r="M78" s="43"/>
      <c r="N78" s="7"/>
      <c r="O78" s="7"/>
      <c r="P78" s="7"/>
      <c r="Q78" s="44"/>
      <c r="R78" s="55"/>
    </row>
    <row r="79" spans="1:18" s="1" customFormat="1" x14ac:dyDescent="0.3">
      <c r="A79" s="43" t="s">
        <v>624</v>
      </c>
      <c r="B79" s="52">
        <v>45722</v>
      </c>
      <c r="C79" s="43" t="s">
        <v>175</v>
      </c>
      <c r="D79" s="43" t="s">
        <v>634</v>
      </c>
      <c r="E79" s="43">
        <v>1429</v>
      </c>
      <c r="F79" s="43" t="s">
        <v>19</v>
      </c>
      <c r="G79" s="54"/>
      <c r="H79" s="44"/>
      <c r="I79" s="8">
        <v>15000000</v>
      </c>
      <c r="J79" s="53"/>
      <c r="K79" s="53"/>
      <c r="L79" s="51">
        <f t="shared" si="6"/>
        <v>15000000</v>
      </c>
      <c r="M79" s="43"/>
      <c r="N79" s="7"/>
      <c r="O79" s="7"/>
      <c r="P79" s="7"/>
      <c r="Q79" s="44"/>
      <c r="R79" s="55"/>
    </row>
    <row r="80" spans="1:18" s="1" customFormat="1" x14ac:dyDescent="0.3">
      <c r="A80" s="43" t="s">
        <v>624</v>
      </c>
      <c r="B80" s="52">
        <v>45722</v>
      </c>
      <c r="C80" s="43" t="s">
        <v>175</v>
      </c>
      <c r="D80" s="43" t="s">
        <v>200</v>
      </c>
      <c r="E80" s="43">
        <v>391</v>
      </c>
      <c r="F80" s="43" t="s">
        <v>468</v>
      </c>
      <c r="G80" s="54"/>
      <c r="H80" s="44"/>
      <c r="I80" s="8">
        <v>65000000</v>
      </c>
      <c r="J80" s="53"/>
      <c r="K80" s="53"/>
      <c r="L80" s="51">
        <f t="shared" si="6"/>
        <v>65000000</v>
      </c>
      <c r="M80" s="43"/>
      <c r="N80" s="7"/>
      <c r="O80" s="7"/>
      <c r="P80" s="7"/>
      <c r="Q80" s="44"/>
      <c r="R80" s="55"/>
    </row>
    <row r="81" spans="1:18" s="1" customFormat="1" x14ac:dyDescent="0.3">
      <c r="A81" s="43" t="s">
        <v>624</v>
      </c>
      <c r="B81" s="52">
        <v>45722</v>
      </c>
      <c r="C81" s="43" t="s">
        <v>175</v>
      </c>
      <c r="D81" s="43" t="s">
        <v>361</v>
      </c>
      <c r="E81" s="43">
        <v>23546</v>
      </c>
      <c r="F81" s="43" t="s">
        <v>19</v>
      </c>
      <c r="G81" s="54"/>
      <c r="H81" s="44"/>
      <c r="I81" s="8">
        <v>3088000</v>
      </c>
      <c r="J81" s="53"/>
      <c r="K81" s="53"/>
      <c r="L81" s="51">
        <f t="shared" si="6"/>
        <v>3088000</v>
      </c>
      <c r="M81" s="43"/>
      <c r="N81" s="7"/>
      <c r="O81" s="7"/>
      <c r="P81" s="7"/>
      <c r="Q81" s="44"/>
      <c r="R81" s="55"/>
    </row>
    <row r="82" spans="1:18" s="1" customFormat="1" x14ac:dyDescent="0.3">
      <c r="A82" s="43" t="s">
        <v>624</v>
      </c>
      <c r="B82" s="52">
        <v>45722</v>
      </c>
      <c r="C82" s="43" t="s">
        <v>175</v>
      </c>
      <c r="D82" s="43" t="s">
        <v>363</v>
      </c>
      <c r="E82" s="43">
        <v>3716</v>
      </c>
      <c r="F82" s="43" t="s">
        <v>31</v>
      </c>
      <c r="G82" s="54"/>
      <c r="H82" s="44"/>
      <c r="I82" s="8">
        <v>6858000</v>
      </c>
      <c r="J82" s="53"/>
      <c r="K82" s="53"/>
      <c r="L82" s="51">
        <f t="shared" si="6"/>
        <v>6858000</v>
      </c>
      <c r="M82" s="43"/>
      <c r="N82" s="7"/>
      <c r="O82" s="7"/>
      <c r="P82" s="7"/>
      <c r="Q82" s="44"/>
      <c r="R82" s="55"/>
    </row>
    <row r="83" spans="1:18" s="1" customFormat="1" x14ac:dyDescent="0.3">
      <c r="A83" s="43" t="s">
        <v>624</v>
      </c>
      <c r="B83" s="52">
        <v>45722</v>
      </c>
      <c r="C83" s="43" t="s">
        <v>153</v>
      </c>
      <c r="D83" s="43" t="s">
        <v>319</v>
      </c>
      <c r="E83" s="43">
        <v>19227</v>
      </c>
      <c r="F83" s="43" t="s">
        <v>468</v>
      </c>
      <c r="G83" s="54"/>
      <c r="H83" s="44"/>
      <c r="I83" s="8">
        <v>80000000</v>
      </c>
      <c r="J83" s="53"/>
      <c r="K83" s="53"/>
      <c r="L83" s="51">
        <f t="shared" si="6"/>
        <v>80000000</v>
      </c>
      <c r="M83" s="43"/>
      <c r="N83" s="7"/>
      <c r="O83" s="7"/>
      <c r="P83" s="7"/>
      <c r="Q83" s="44"/>
      <c r="R83" s="55"/>
    </row>
    <row r="84" spans="1:18" s="1" customFormat="1" x14ac:dyDescent="0.3">
      <c r="A84" s="43" t="s">
        <v>624</v>
      </c>
      <c r="B84" s="52">
        <v>45729</v>
      </c>
      <c r="C84" s="43" t="s">
        <v>113</v>
      </c>
      <c r="D84" s="43" t="s">
        <v>138</v>
      </c>
      <c r="E84" s="43">
        <v>46076</v>
      </c>
      <c r="F84" s="43" t="s">
        <v>28</v>
      </c>
      <c r="G84" s="54"/>
      <c r="H84" s="44"/>
      <c r="I84" s="8">
        <v>100000000</v>
      </c>
      <c r="J84" s="53"/>
      <c r="K84" s="53"/>
      <c r="L84" s="51">
        <f t="shared" si="6"/>
        <v>100000000</v>
      </c>
      <c r="M84" s="43"/>
      <c r="N84" s="7"/>
      <c r="O84" s="7"/>
      <c r="P84" s="7"/>
      <c r="Q84" s="44"/>
      <c r="R84" s="55"/>
    </row>
    <row r="85" spans="1:18" s="1" customFormat="1" x14ac:dyDescent="0.3">
      <c r="A85" s="43" t="s">
        <v>624</v>
      </c>
      <c r="B85" s="52">
        <v>45729</v>
      </c>
      <c r="C85" s="43" t="s">
        <v>153</v>
      </c>
      <c r="D85" s="43" t="s">
        <v>165</v>
      </c>
      <c r="E85" s="43">
        <v>3689</v>
      </c>
      <c r="F85" s="43" t="s">
        <v>19</v>
      </c>
      <c r="G85" s="54"/>
      <c r="H85" s="44"/>
      <c r="I85" s="8">
        <v>50000000</v>
      </c>
      <c r="J85" s="53"/>
      <c r="K85" s="53"/>
      <c r="L85" s="51">
        <f t="shared" si="6"/>
        <v>50000000</v>
      </c>
      <c r="M85" s="43"/>
      <c r="N85" s="7"/>
      <c r="O85" s="7"/>
      <c r="P85" s="7"/>
      <c r="Q85" s="44"/>
      <c r="R85" s="55"/>
    </row>
    <row r="86" spans="1:18" s="1" customFormat="1" x14ac:dyDescent="0.3">
      <c r="A86" s="43" t="s">
        <v>624</v>
      </c>
      <c r="B86" s="52">
        <v>45729</v>
      </c>
      <c r="C86" s="43" t="s">
        <v>153</v>
      </c>
      <c r="D86" s="43" t="s">
        <v>183</v>
      </c>
      <c r="E86" s="43">
        <v>46891</v>
      </c>
      <c r="F86" s="43" t="s">
        <v>397</v>
      </c>
      <c r="G86" s="54"/>
      <c r="H86" s="44"/>
      <c r="I86" s="8">
        <v>70000000</v>
      </c>
      <c r="J86" s="53"/>
      <c r="K86" s="53"/>
      <c r="L86" s="51">
        <f t="shared" si="6"/>
        <v>70000000</v>
      </c>
      <c r="M86" s="43"/>
      <c r="N86" s="7"/>
      <c r="O86" s="7"/>
      <c r="P86" s="7"/>
      <c r="Q86" s="44"/>
      <c r="R86" s="55"/>
    </row>
    <row r="87" spans="1:18" s="1" customFormat="1" x14ac:dyDescent="0.3">
      <c r="A87" s="43" t="s">
        <v>624</v>
      </c>
      <c r="B87" s="52">
        <v>45729</v>
      </c>
      <c r="C87" s="43" t="s">
        <v>0</v>
      </c>
      <c r="D87" s="43" t="s">
        <v>636</v>
      </c>
      <c r="E87" s="43">
        <v>4209</v>
      </c>
      <c r="F87" s="43" t="s">
        <v>478</v>
      </c>
      <c r="G87" s="54"/>
      <c r="H87" s="44"/>
      <c r="I87" s="8">
        <v>8650000</v>
      </c>
      <c r="J87" s="53"/>
      <c r="K87" s="53"/>
      <c r="L87" s="51">
        <f t="shared" si="6"/>
        <v>8650000</v>
      </c>
      <c r="M87" s="43"/>
      <c r="N87" s="7"/>
      <c r="O87" s="7"/>
      <c r="P87" s="7"/>
      <c r="Q87" s="44"/>
      <c r="R87" s="55"/>
    </row>
    <row r="88" spans="1:18" s="1" customFormat="1" x14ac:dyDescent="0.3">
      <c r="A88" s="43" t="s">
        <v>624</v>
      </c>
      <c r="B88" s="52">
        <v>45729</v>
      </c>
      <c r="C88" s="43" t="s">
        <v>364</v>
      </c>
      <c r="D88" s="43" t="s">
        <v>376</v>
      </c>
      <c r="E88" s="43">
        <v>4059</v>
      </c>
      <c r="F88" s="43" t="s">
        <v>478</v>
      </c>
      <c r="G88" s="54"/>
      <c r="H88" s="44"/>
      <c r="I88" s="8">
        <v>12000000</v>
      </c>
      <c r="J88" s="53"/>
      <c r="K88" s="53"/>
      <c r="L88" s="51">
        <f t="shared" si="6"/>
        <v>12000000</v>
      </c>
      <c r="M88" s="43"/>
      <c r="N88" s="7"/>
      <c r="O88" s="7"/>
      <c r="P88" s="7"/>
      <c r="Q88" s="44"/>
      <c r="R88" s="55"/>
    </row>
    <row r="89" spans="1:18" s="1" customFormat="1" x14ac:dyDescent="0.3">
      <c r="A89" s="43" t="s">
        <v>624</v>
      </c>
      <c r="B89" s="52">
        <v>45729</v>
      </c>
      <c r="C89" s="43" t="s">
        <v>364</v>
      </c>
      <c r="D89" s="43" t="s">
        <v>381</v>
      </c>
      <c r="E89" s="43">
        <v>24013</v>
      </c>
      <c r="F89" s="43" t="s">
        <v>478</v>
      </c>
      <c r="G89" s="54"/>
      <c r="H89" s="44"/>
      <c r="I89" s="8">
        <v>3000000</v>
      </c>
      <c r="J89" s="53"/>
      <c r="K89" s="53"/>
      <c r="L89" s="51">
        <f t="shared" si="6"/>
        <v>3000000</v>
      </c>
      <c r="M89" s="43"/>
      <c r="N89" s="7"/>
      <c r="O89" s="7"/>
      <c r="P89" s="7"/>
      <c r="Q89" s="44"/>
      <c r="R89" s="55"/>
    </row>
    <row r="90" spans="1:18" s="1" customFormat="1" x14ac:dyDescent="0.3">
      <c r="A90" s="43" t="s">
        <v>624</v>
      </c>
      <c r="B90" s="52">
        <v>45736</v>
      </c>
      <c r="C90" s="43" t="s">
        <v>175</v>
      </c>
      <c r="D90" s="43" t="s">
        <v>649</v>
      </c>
      <c r="E90" s="43">
        <v>787</v>
      </c>
      <c r="F90" s="43" t="s">
        <v>397</v>
      </c>
      <c r="G90" s="54"/>
      <c r="H90" s="44"/>
      <c r="I90" s="8">
        <v>65000000</v>
      </c>
      <c r="J90" s="53"/>
      <c r="K90" s="53"/>
      <c r="L90" s="51">
        <f t="shared" si="6"/>
        <v>65000000</v>
      </c>
      <c r="M90" s="43"/>
      <c r="N90" s="7"/>
      <c r="O90" s="7"/>
      <c r="P90" s="7"/>
      <c r="Q90" s="44"/>
      <c r="R90" s="55"/>
    </row>
    <row r="91" spans="1:18" s="1" customFormat="1" x14ac:dyDescent="0.3">
      <c r="A91" s="43" t="s">
        <v>624</v>
      </c>
      <c r="B91" s="52">
        <v>45736</v>
      </c>
      <c r="C91" s="43" t="s">
        <v>175</v>
      </c>
      <c r="D91" s="43" t="s">
        <v>362</v>
      </c>
      <c r="E91" s="43">
        <v>448</v>
      </c>
      <c r="F91" s="43" t="s">
        <v>28</v>
      </c>
      <c r="G91" s="54"/>
      <c r="H91" s="44"/>
      <c r="I91" s="8">
        <v>80000000</v>
      </c>
      <c r="J91" s="53"/>
      <c r="K91" s="53"/>
      <c r="L91" s="51">
        <f t="shared" si="6"/>
        <v>80000000</v>
      </c>
      <c r="M91" s="43"/>
      <c r="N91" s="7"/>
      <c r="O91" s="7"/>
      <c r="P91" s="7"/>
      <c r="Q91" s="44"/>
      <c r="R91" s="55"/>
    </row>
    <row r="92" spans="1:18" s="1" customFormat="1" x14ac:dyDescent="0.3">
      <c r="A92" s="43" t="s">
        <v>624</v>
      </c>
      <c r="B92" s="52">
        <v>45736</v>
      </c>
      <c r="C92" s="43" t="s">
        <v>2</v>
      </c>
      <c r="D92" s="43" t="s">
        <v>95</v>
      </c>
      <c r="E92" s="43">
        <v>43261</v>
      </c>
      <c r="F92" s="43" t="s">
        <v>31</v>
      </c>
      <c r="G92" s="54"/>
      <c r="H92" s="44"/>
      <c r="I92" s="8">
        <v>5203000</v>
      </c>
      <c r="J92" s="53"/>
      <c r="K92" s="53"/>
      <c r="L92" s="51">
        <f t="shared" si="6"/>
        <v>5203000</v>
      </c>
      <c r="M92" s="43"/>
      <c r="N92" s="7"/>
      <c r="O92" s="7"/>
      <c r="P92" s="7"/>
      <c r="Q92" s="44"/>
      <c r="R92" s="55"/>
    </row>
    <row r="93" spans="1:18" s="1" customFormat="1" x14ac:dyDescent="0.3">
      <c r="A93" s="43" t="s">
        <v>624</v>
      </c>
      <c r="B93" s="52">
        <v>45736</v>
      </c>
      <c r="C93" s="43" t="s">
        <v>237</v>
      </c>
      <c r="D93" s="43" t="s">
        <v>268</v>
      </c>
      <c r="E93" s="43">
        <v>46242</v>
      </c>
      <c r="F93" s="43" t="s">
        <v>467</v>
      </c>
      <c r="G93" s="54"/>
      <c r="H93" s="44"/>
      <c r="I93" s="8">
        <v>10000000</v>
      </c>
      <c r="J93" s="53"/>
      <c r="K93" s="53"/>
      <c r="L93" s="51">
        <f t="shared" ref="L93:L100" si="7">SUM(I93:K93)</f>
        <v>10000000</v>
      </c>
      <c r="M93" s="43"/>
      <c r="N93" s="7"/>
      <c r="O93" s="7"/>
      <c r="P93" s="7"/>
      <c r="Q93" s="44"/>
      <c r="R93" s="55"/>
    </row>
    <row r="94" spans="1:18" s="1" customFormat="1" x14ac:dyDescent="0.3">
      <c r="A94" s="43" t="s">
        <v>624</v>
      </c>
      <c r="B94" s="52">
        <v>45736</v>
      </c>
      <c r="C94" s="43" t="s">
        <v>237</v>
      </c>
      <c r="D94" s="43" t="s">
        <v>271</v>
      </c>
      <c r="E94" s="43">
        <v>3970</v>
      </c>
      <c r="F94" s="43" t="s">
        <v>28</v>
      </c>
      <c r="G94" s="54"/>
      <c r="H94" s="44"/>
      <c r="I94" s="8">
        <v>100000000</v>
      </c>
      <c r="J94" s="53"/>
      <c r="K94" s="53"/>
      <c r="L94" s="51">
        <f t="shared" si="7"/>
        <v>100000000</v>
      </c>
      <c r="M94" s="43"/>
      <c r="N94" s="7"/>
      <c r="O94" s="7"/>
      <c r="P94" s="7"/>
      <c r="Q94" s="44"/>
      <c r="R94" s="55"/>
    </row>
    <row r="95" spans="1:18" s="1" customFormat="1" x14ac:dyDescent="0.3">
      <c r="A95" s="43" t="s">
        <v>624</v>
      </c>
      <c r="B95" s="52">
        <v>45736</v>
      </c>
      <c r="C95" s="43" t="s">
        <v>153</v>
      </c>
      <c r="D95" s="43" t="s">
        <v>647</v>
      </c>
      <c r="E95" s="43">
        <v>893</v>
      </c>
      <c r="F95" s="43" t="s">
        <v>397</v>
      </c>
      <c r="G95" s="54"/>
      <c r="H95" s="44"/>
      <c r="I95" s="8">
        <v>10000000</v>
      </c>
      <c r="J95" s="53"/>
      <c r="K95" s="53"/>
      <c r="L95" s="51">
        <f t="shared" si="7"/>
        <v>10000000</v>
      </c>
      <c r="M95" s="43"/>
      <c r="N95" s="7"/>
      <c r="O95" s="7"/>
      <c r="P95" s="7"/>
      <c r="Q95" s="44"/>
      <c r="R95" s="55"/>
    </row>
    <row r="96" spans="1:18" s="1" customFormat="1" x14ac:dyDescent="0.3">
      <c r="A96" s="43" t="s">
        <v>624</v>
      </c>
      <c r="B96" s="52">
        <v>45743</v>
      </c>
      <c r="C96" s="43" t="s">
        <v>364</v>
      </c>
      <c r="D96" s="43" t="s">
        <v>383</v>
      </c>
      <c r="E96" s="43">
        <v>30428</v>
      </c>
      <c r="F96" s="43" t="s">
        <v>474</v>
      </c>
      <c r="G96" s="54"/>
      <c r="H96" s="44"/>
      <c r="I96" s="8">
        <v>30000000</v>
      </c>
      <c r="J96" s="53"/>
      <c r="K96" s="53"/>
      <c r="L96" s="51">
        <f t="shared" si="7"/>
        <v>30000000</v>
      </c>
      <c r="M96" s="43"/>
      <c r="N96" s="7"/>
      <c r="O96" s="7"/>
      <c r="P96" s="7"/>
      <c r="Q96" s="44"/>
      <c r="R96" s="55"/>
    </row>
    <row r="97" spans="1:18" s="1" customFormat="1" x14ac:dyDescent="0.3">
      <c r="A97" s="43" t="s">
        <v>624</v>
      </c>
      <c r="B97" s="52">
        <v>45743</v>
      </c>
      <c r="C97" s="43" t="s">
        <v>277</v>
      </c>
      <c r="D97" s="43" t="s">
        <v>306</v>
      </c>
      <c r="E97" s="43">
        <v>20503</v>
      </c>
      <c r="F97" s="43" t="s">
        <v>468</v>
      </c>
      <c r="G97" s="54"/>
      <c r="H97" s="44"/>
      <c r="I97" s="8">
        <v>10000000</v>
      </c>
      <c r="J97" s="53"/>
      <c r="K97" s="53"/>
      <c r="L97" s="51">
        <f t="shared" si="7"/>
        <v>10000000</v>
      </c>
      <c r="M97" s="43"/>
      <c r="N97" s="7"/>
      <c r="O97" s="7"/>
      <c r="P97" s="7"/>
      <c r="Q97" s="44"/>
      <c r="R97" s="55"/>
    </row>
    <row r="98" spans="1:18" s="1" customFormat="1" x14ac:dyDescent="0.3">
      <c r="A98" s="43" t="s">
        <v>654</v>
      </c>
      <c r="B98" s="52">
        <v>45750</v>
      </c>
      <c r="C98" s="43" t="s">
        <v>2</v>
      </c>
      <c r="D98" s="43" t="s">
        <v>81</v>
      </c>
      <c r="E98" s="43">
        <v>3700</v>
      </c>
      <c r="F98" s="43" t="s">
        <v>478</v>
      </c>
      <c r="G98" s="54"/>
      <c r="H98" s="44"/>
      <c r="I98" s="8">
        <v>6000000</v>
      </c>
      <c r="J98" s="53"/>
      <c r="K98" s="53"/>
      <c r="L98" s="51">
        <f t="shared" si="7"/>
        <v>6000000</v>
      </c>
      <c r="M98" s="43"/>
      <c r="N98" s="7"/>
      <c r="O98" s="7"/>
      <c r="P98" s="7"/>
      <c r="Q98" s="44"/>
      <c r="R98" s="55"/>
    </row>
    <row r="99" spans="1:18" s="1" customFormat="1" x14ac:dyDescent="0.3">
      <c r="A99" s="43" t="s">
        <v>654</v>
      </c>
      <c r="B99" s="52">
        <v>45750</v>
      </c>
      <c r="C99" s="43" t="s">
        <v>153</v>
      </c>
      <c r="D99" s="43" t="s">
        <v>318</v>
      </c>
      <c r="E99" s="43">
        <v>4710</v>
      </c>
      <c r="F99" s="43" t="s">
        <v>31</v>
      </c>
      <c r="G99" s="54"/>
      <c r="H99" s="44"/>
      <c r="I99" s="8">
        <v>11000000</v>
      </c>
      <c r="J99" s="53"/>
      <c r="K99" s="53"/>
      <c r="L99" s="51">
        <f t="shared" si="7"/>
        <v>11000000</v>
      </c>
      <c r="M99" s="43"/>
      <c r="N99" s="7"/>
      <c r="O99" s="7"/>
      <c r="P99" s="7"/>
      <c r="Q99" s="44"/>
      <c r="R99" s="55"/>
    </row>
    <row r="100" spans="1:18" s="1" customFormat="1" x14ac:dyDescent="0.3">
      <c r="A100" s="43" t="s">
        <v>654</v>
      </c>
      <c r="B100" s="52">
        <v>45750</v>
      </c>
      <c r="C100" s="43" t="s">
        <v>277</v>
      </c>
      <c r="D100" s="43" t="s">
        <v>306</v>
      </c>
      <c r="E100" s="43">
        <v>20503</v>
      </c>
      <c r="F100" s="43" t="s">
        <v>468</v>
      </c>
      <c r="G100" s="54"/>
      <c r="H100" s="44"/>
      <c r="I100" s="8">
        <v>20000000</v>
      </c>
      <c r="J100" s="53"/>
      <c r="K100" s="53"/>
      <c r="L100" s="51">
        <f t="shared" si="7"/>
        <v>20000000</v>
      </c>
      <c r="M100" s="43"/>
      <c r="N100" s="7"/>
      <c r="O100" s="7"/>
      <c r="P100" s="7"/>
      <c r="Q100" s="44"/>
      <c r="R100" s="55"/>
    </row>
    <row r="101" spans="1:18" s="1" customFormat="1" x14ac:dyDescent="0.3">
      <c r="A101" s="43" t="s">
        <v>654</v>
      </c>
      <c r="B101" s="52">
        <v>45750</v>
      </c>
      <c r="C101" s="43" t="s">
        <v>113</v>
      </c>
      <c r="D101" s="43" t="s">
        <v>134</v>
      </c>
      <c r="E101" s="43">
        <v>21875</v>
      </c>
      <c r="F101" s="43" t="s">
        <v>31</v>
      </c>
      <c r="G101" s="54"/>
      <c r="H101" s="44"/>
      <c r="I101" s="8">
        <v>20000000</v>
      </c>
      <c r="J101" s="53"/>
      <c r="K101" s="53"/>
      <c r="L101" s="51">
        <f t="shared" ref="L101:L111" si="8">SUM(I101:K101)</f>
        <v>20000000</v>
      </c>
      <c r="M101" s="43"/>
      <c r="N101" s="7"/>
      <c r="O101" s="7"/>
      <c r="P101" s="7"/>
      <c r="Q101" s="44"/>
      <c r="R101" s="55"/>
    </row>
    <row r="102" spans="1:18" s="1" customFormat="1" x14ac:dyDescent="0.3">
      <c r="A102" s="43" t="s">
        <v>654</v>
      </c>
      <c r="B102" s="52">
        <v>45750</v>
      </c>
      <c r="C102" s="43" t="s">
        <v>0</v>
      </c>
      <c r="D102" s="43" t="s">
        <v>208</v>
      </c>
      <c r="E102" s="43">
        <v>8714</v>
      </c>
      <c r="F102" s="43" t="s">
        <v>397</v>
      </c>
      <c r="G102" s="54"/>
      <c r="H102" s="44"/>
      <c r="I102" s="8">
        <v>17000000</v>
      </c>
      <c r="J102" s="53"/>
      <c r="K102" s="53"/>
      <c r="L102" s="51">
        <f t="shared" si="8"/>
        <v>17000000</v>
      </c>
      <c r="M102" s="43"/>
      <c r="N102" s="7"/>
      <c r="O102" s="7"/>
      <c r="P102" s="7"/>
      <c r="Q102" s="44"/>
      <c r="R102" s="55"/>
    </row>
    <row r="103" spans="1:18" s="1" customFormat="1" x14ac:dyDescent="0.3">
      <c r="A103" s="43" t="s">
        <v>654</v>
      </c>
      <c r="B103" s="52">
        <v>45750</v>
      </c>
      <c r="C103" s="43" t="s">
        <v>0</v>
      </c>
      <c r="D103" s="43" t="s">
        <v>655</v>
      </c>
      <c r="E103" s="43">
        <v>63339</v>
      </c>
      <c r="F103" s="43" t="s">
        <v>31</v>
      </c>
      <c r="G103" s="54"/>
      <c r="H103" s="44"/>
      <c r="I103" s="8">
        <v>5600000</v>
      </c>
      <c r="J103" s="53"/>
      <c r="K103" s="53"/>
      <c r="L103" s="51">
        <f t="shared" si="8"/>
        <v>5600000</v>
      </c>
      <c r="M103" s="43"/>
      <c r="N103" s="7"/>
      <c r="O103" s="7"/>
      <c r="P103" s="7"/>
      <c r="Q103" s="44"/>
      <c r="R103" s="55"/>
    </row>
    <row r="104" spans="1:18" s="1" customFormat="1" x14ac:dyDescent="0.3">
      <c r="A104" s="43" t="s">
        <v>654</v>
      </c>
      <c r="B104" s="52">
        <v>45750</v>
      </c>
      <c r="C104" s="43" t="s">
        <v>0</v>
      </c>
      <c r="D104" s="43" t="s">
        <v>164</v>
      </c>
      <c r="E104" s="43">
        <v>57837</v>
      </c>
      <c r="F104" s="43" t="s">
        <v>478</v>
      </c>
      <c r="G104" s="54"/>
      <c r="H104" s="44"/>
      <c r="I104" s="8">
        <v>265818181</v>
      </c>
      <c r="J104" s="53"/>
      <c r="K104" s="53"/>
      <c r="L104" s="51">
        <f t="shared" si="8"/>
        <v>265818181</v>
      </c>
      <c r="M104" s="43"/>
      <c r="N104" s="7"/>
      <c r="O104" s="7"/>
      <c r="P104" s="7"/>
      <c r="Q104" s="44"/>
      <c r="R104" s="55"/>
    </row>
    <row r="105" spans="1:18" s="1" customFormat="1" x14ac:dyDescent="0.3">
      <c r="A105" s="43" t="s">
        <v>654</v>
      </c>
      <c r="B105" s="52">
        <v>45750</v>
      </c>
      <c r="C105" s="43" t="s">
        <v>0</v>
      </c>
      <c r="D105" s="43" t="s">
        <v>656</v>
      </c>
      <c r="E105" s="43">
        <v>3808</v>
      </c>
      <c r="F105" s="43" t="s">
        <v>19</v>
      </c>
      <c r="G105" s="54"/>
      <c r="H105" s="44"/>
      <c r="I105" s="8">
        <v>4186000</v>
      </c>
      <c r="J105" s="53"/>
      <c r="K105" s="53"/>
      <c r="L105" s="51">
        <f t="shared" si="8"/>
        <v>4186000</v>
      </c>
      <c r="M105" s="43"/>
      <c r="N105" s="7"/>
      <c r="O105" s="7"/>
      <c r="P105" s="7"/>
      <c r="Q105" s="44"/>
      <c r="R105" s="55"/>
    </row>
    <row r="106" spans="1:18" s="1" customFormat="1" x14ac:dyDescent="0.3">
      <c r="A106" s="43" t="s">
        <v>654</v>
      </c>
      <c r="B106" s="52">
        <v>45750</v>
      </c>
      <c r="C106" s="43" t="s">
        <v>0</v>
      </c>
      <c r="D106" s="43" t="s">
        <v>229</v>
      </c>
      <c r="E106" s="43">
        <v>56027</v>
      </c>
      <c r="F106" s="43" t="s">
        <v>478</v>
      </c>
      <c r="G106" s="54"/>
      <c r="H106" s="44"/>
      <c r="I106" s="8">
        <v>120000000</v>
      </c>
      <c r="J106" s="53"/>
      <c r="K106" s="53"/>
      <c r="L106" s="51">
        <f t="shared" si="8"/>
        <v>120000000</v>
      </c>
      <c r="M106" s="43"/>
      <c r="N106" s="7"/>
      <c r="O106" s="7"/>
      <c r="P106" s="7"/>
      <c r="Q106" s="44"/>
      <c r="R106" s="55"/>
    </row>
    <row r="107" spans="1:18" s="1" customFormat="1" x14ac:dyDescent="0.3">
      <c r="A107" s="43" t="s">
        <v>654</v>
      </c>
      <c r="B107" s="52">
        <v>45757</v>
      </c>
      <c r="C107" s="43" t="s">
        <v>113</v>
      </c>
      <c r="D107" s="43" t="s">
        <v>125</v>
      </c>
      <c r="E107" s="43">
        <v>4257</v>
      </c>
      <c r="F107" s="43" t="s">
        <v>28</v>
      </c>
      <c r="G107" s="54"/>
      <c r="H107" s="44"/>
      <c r="I107" s="8">
        <v>900000000</v>
      </c>
      <c r="J107" s="53"/>
      <c r="K107" s="53"/>
      <c r="L107" s="51">
        <f t="shared" si="8"/>
        <v>900000000</v>
      </c>
      <c r="M107" s="43"/>
      <c r="N107" s="7"/>
      <c r="O107" s="7"/>
      <c r="P107" s="7"/>
      <c r="Q107" s="44"/>
      <c r="R107" s="55"/>
    </row>
    <row r="108" spans="1:18" s="1" customFormat="1" x14ac:dyDescent="0.3">
      <c r="A108" s="43" t="s">
        <v>654</v>
      </c>
      <c r="B108" s="52">
        <v>45757</v>
      </c>
      <c r="C108" s="43" t="s">
        <v>175</v>
      </c>
      <c r="D108" s="43" t="s">
        <v>339</v>
      </c>
      <c r="E108" s="43">
        <v>10460</v>
      </c>
      <c r="F108" s="43" t="s">
        <v>28</v>
      </c>
      <c r="G108" s="54"/>
      <c r="H108" s="44"/>
      <c r="I108" s="8">
        <v>130000000</v>
      </c>
      <c r="J108" s="53"/>
      <c r="K108" s="53"/>
      <c r="L108" s="51">
        <f t="shared" si="8"/>
        <v>130000000</v>
      </c>
      <c r="M108" s="43"/>
      <c r="N108" s="7"/>
      <c r="O108" s="7"/>
      <c r="P108" s="7"/>
      <c r="Q108" s="44"/>
      <c r="R108" s="55"/>
    </row>
    <row r="109" spans="1:18" s="1" customFormat="1" x14ac:dyDescent="0.3">
      <c r="A109" s="43" t="s">
        <v>654</v>
      </c>
      <c r="B109" s="52">
        <v>45757</v>
      </c>
      <c r="C109" s="43" t="s">
        <v>175</v>
      </c>
      <c r="D109" s="43" t="s">
        <v>657</v>
      </c>
      <c r="E109" s="43">
        <v>7740</v>
      </c>
      <c r="F109" s="43" t="s">
        <v>469</v>
      </c>
      <c r="G109" s="54"/>
      <c r="H109" s="44"/>
      <c r="I109" s="8">
        <v>110000000</v>
      </c>
      <c r="J109" s="53"/>
      <c r="K109" s="53"/>
      <c r="L109" s="51">
        <f t="shared" si="8"/>
        <v>110000000</v>
      </c>
      <c r="M109" s="43"/>
      <c r="N109" s="7"/>
      <c r="O109" s="7"/>
      <c r="P109" s="7"/>
      <c r="Q109" s="44"/>
      <c r="R109" s="55"/>
    </row>
    <row r="110" spans="1:18" s="1" customFormat="1" x14ac:dyDescent="0.3">
      <c r="A110" s="43" t="s">
        <v>654</v>
      </c>
      <c r="B110" s="52">
        <v>45757</v>
      </c>
      <c r="C110" s="43" t="s">
        <v>456</v>
      </c>
      <c r="D110" s="43" t="s">
        <v>220</v>
      </c>
      <c r="E110" s="43">
        <v>7701</v>
      </c>
      <c r="F110" s="43" t="s">
        <v>468</v>
      </c>
      <c r="G110" s="54"/>
      <c r="H110" s="44"/>
      <c r="I110" s="8">
        <v>10000000</v>
      </c>
      <c r="J110" s="53"/>
      <c r="K110" s="53"/>
      <c r="L110" s="51">
        <f t="shared" si="8"/>
        <v>10000000</v>
      </c>
      <c r="M110" s="43"/>
      <c r="N110" s="7"/>
      <c r="O110" s="7"/>
      <c r="P110" s="7"/>
      <c r="Q110" s="44"/>
      <c r="R110" s="55"/>
    </row>
    <row r="111" spans="1:18" s="1" customFormat="1" x14ac:dyDescent="0.3">
      <c r="A111" s="43" t="s">
        <v>654</v>
      </c>
      <c r="B111" s="52">
        <v>45764</v>
      </c>
      <c r="C111" s="43" t="s">
        <v>113</v>
      </c>
      <c r="D111" s="43" t="s">
        <v>660</v>
      </c>
      <c r="E111" s="43">
        <v>13505</v>
      </c>
      <c r="F111" s="43" t="s">
        <v>19</v>
      </c>
      <c r="G111" s="54"/>
      <c r="H111" s="44"/>
      <c r="I111" s="8">
        <v>27272727</v>
      </c>
      <c r="J111" s="53"/>
      <c r="K111" s="53"/>
      <c r="L111" s="51">
        <f t="shared" si="8"/>
        <v>27272727</v>
      </c>
      <c r="M111" s="43"/>
      <c r="N111" s="7"/>
      <c r="O111" s="7"/>
      <c r="P111" s="7"/>
      <c r="Q111" s="44"/>
      <c r="R111" s="55"/>
    </row>
    <row r="112" spans="1:18" s="1" customFormat="1" x14ac:dyDescent="0.3">
      <c r="A112" s="43" t="s">
        <v>654</v>
      </c>
      <c r="B112" s="52">
        <v>45764</v>
      </c>
      <c r="C112" s="43" t="s">
        <v>113</v>
      </c>
      <c r="D112" s="43" t="s">
        <v>661</v>
      </c>
      <c r="E112" s="43">
        <v>24161</v>
      </c>
      <c r="F112" s="43" t="s">
        <v>19</v>
      </c>
      <c r="G112" s="54"/>
      <c r="H112" s="44"/>
      <c r="I112" s="8">
        <v>2060000</v>
      </c>
      <c r="J112" s="53"/>
      <c r="K112" s="53"/>
      <c r="L112" s="51">
        <f t="shared" ref="L112:L117" si="9">SUM(I112:K112)</f>
        <v>2060000</v>
      </c>
      <c r="M112" s="43"/>
      <c r="N112" s="7"/>
      <c r="O112" s="7"/>
      <c r="P112" s="7"/>
      <c r="Q112" s="44"/>
      <c r="R112" s="55"/>
    </row>
    <row r="113" spans="1:18" s="1" customFormat="1" x14ac:dyDescent="0.3">
      <c r="A113" s="43" t="s">
        <v>654</v>
      </c>
      <c r="B113" s="52">
        <v>45764</v>
      </c>
      <c r="C113" s="43" t="s">
        <v>113</v>
      </c>
      <c r="D113" s="43" t="s">
        <v>144</v>
      </c>
      <c r="E113" s="43">
        <v>2595</v>
      </c>
      <c r="F113" s="43" t="s">
        <v>468</v>
      </c>
      <c r="G113" s="54"/>
      <c r="H113" s="44"/>
      <c r="I113" s="8">
        <v>9200000</v>
      </c>
      <c r="J113" s="53"/>
      <c r="K113" s="53"/>
      <c r="L113" s="51">
        <f t="shared" si="9"/>
        <v>9200000</v>
      </c>
      <c r="M113" s="43"/>
      <c r="N113" s="7"/>
      <c r="O113" s="7"/>
      <c r="P113" s="7"/>
      <c r="Q113" s="44"/>
      <c r="R113" s="55"/>
    </row>
    <row r="114" spans="1:18" s="1" customFormat="1" x14ac:dyDescent="0.3">
      <c r="A114" s="43" t="s">
        <v>654</v>
      </c>
      <c r="B114" s="52">
        <v>45764</v>
      </c>
      <c r="C114" s="43" t="s">
        <v>113</v>
      </c>
      <c r="D114" s="43" t="s">
        <v>136</v>
      </c>
      <c r="E114" s="43">
        <v>3882</v>
      </c>
      <c r="F114" s="43" t="s">
        <v>28</v>
      </c>
      <c r="G114" s="54"/>
      <c r="H114" s="44"/>
      <c r="I114" s="8">
        <v>75000000</v>
      </c>
      <c r="J114" s="53"/>
      <c r="K114" s="53"/>
      <c r="L114" s="51">
        <f t="shared" si="9"/>
        <v>75000000</v>
      </c>
      <c r="M114" s="43"/>
      <c r="N114" s="7"/>
      <c r="O114" s="7"/>
      <c r="P114" s="7"/>
      <c r="Q114" s="44"/>
      <c r="R114" s="55"/>
    </row>
    <row r="115" spans="1:18" s="1" customFormat="1" x14ac:dyDescent="0.3">
      <c r="A115" s="43" t="s">
        <v>654</v>
      </c>
      <c r="B115" s="52">
        <v>45764</v>
      </c>
      <c r="C115" s="43" t="s">
        <v>113</v>
      </c>
      <c r="D115" s="43" t="s">
        <v>136</v>
      </c>
      <c r="E115" s="43">
        <v>3882</v>
      </c>
      <c r="F115" s="43" t="s">
        <v>47</v>
      </c>
      <c r="G115" s="54"/>
      <c r="H115" s="44"/>
      <c r="I115" s="8">
        <v>35000000</v>
      </c>
      <c r="J115" s="53"/>
      <c r="K115" s="53"/>
      <c r="L115" s="51">
        <f t="shared" si="9"/>
        <v>35000000</v>
      </c>
      <c r="M115" s="43"/>
      <c r="N115" s="7"/>
      <c r="O115" s="7"/>
      <c r="P115" s="7"/>
      <c r="Q115" s="44"/>
      <c r="R115" s="55"/>
    </row>
    <row r="116" spans="1:18" s="1" customFormat="1" x14ac:dyDescent="0.3">
      <c r="A116" s="43" t="s">
        <v>654</v>
      </c>
      <c r="B116" s="52">
        <v>45764</v>
      </c>
      <c r="C116" s="43" t="s">
        <v>456</v>
      </c>
      <c r="D116" s="43" t="s">
        <v>559</v>
      </c>
      <c r="E116" s="43">
        <v>19263</v>
      </c>
      <c r="F116" s="43" t="s">
        <v>397</v>
      </c>
      <c r="G116" s="54"/>
      <c r="H116" s="44"/>
      <c r="I116" s="8">
        <v>155000000</v>
      </c>
      <c r="J116" s="53"/>
      <c r="K116" s="53"/>
      <c r="L116" s="51">
        <f t="shared" si="9"/>
        <v>155000000</v>
      </c>
      <c r="M116" s="43"/>
      <c r="N116" s="7"/>
      <c r="O116" s="7"/>
      <c r="P116" s="7"/>
      <c r="Q116" s="44"/>
      <c r="R116" s="55"/>
    </row>
    <row r="117" spans="1:18" s="1" customFormat="1" x14ac:dyDescent="0.3">
      <c r="A117" s="43" t="s">
        <v>654</v>
      </c>
      <c r="B117" s="52">
        <v>45764</v>
      </c>
      <c r="C117" s="43" t="s">
        <v>277</v>
      </c>
      <c r="D117" s="43" t="s">
        <v>310</v>
      </c>
      <c r="E117" s="43">
        <v>18491</v>
      </c>
      <c r="F117" s="43" t="s">
        <v>468</v>
      </c>
      <c r="G117" s="54"/>
      <c r="H117" s="44"/>
      <c r="I117" s="8">
        <v>70000000</v>
      </c>
      <c r="J117" s="53"/>
      <c r="K117" s="53"/>
      <c r="L117" s="51">
        <f t="shared" si="9"/>
        <v>70000000</v>
      </c>
      <c r="M117" s="43"/>
      <c r="N117" s="7"/>
      <c r="O117" s="7"/>
      <c r="P117" s="7"/>
      <c r="Q117" s="44"/>
      <c r="R117" s="55"/>
    </row>
    <row r="118" spans="1:18" s="1" customFormat="1" x14ac:dyDescent="0.3">
      <c r="A118" s="43" t="s">
        <v>654</v>
      </c>
      <c r="B118" s="52">
        <v>45764</v>
      </c>
      <c r="C118" s="43" t="s">
        <v>0</v>
      </c>
      <c r="D118" s="43" t="s">
        <v>34</v>
      </c>
      <c r="E118" s="43">
        <v>16117</v>
      </c>
      <c r="F118" s="43" t="s">
        <v>478</v>
      </c>
      <c r="G118" s="54"/>
      <c r="H118" s="44"/>
      <c r="I118" s="8">
        <v>3000000</v>
      </c>
      <c r="J118" s="53"/>
      <c r="K118" s="53"/>
      <c r="L118" s="51">
        <f t="shared" ref="L118:L158" si="10">SUM(I118:K118)</f>
        <v>3000000</v>
      </c>
      <c r="M118" s="43"/>
      <c r="N118" s="7"/>
      <c r="O118" s="7"/>
      <c r="P118" s="7"/>
      <c r="Q118" s="44"/>
      <c r="R118" s="55"/>
    </row>
    <row r="119" spans="1:18" s="1" customFormat="1" x14ac:dyDescent="0.3">
      <c r="A119" s="43" t="s">
        <v>654</v>
      </c>
      <c r="B119" s="52">
        <v>45764</v>
      </c>
      <c r="C119" s="43" t="s">
        <v>0</v>
      </c>
      <c r="D119" s="43" t="s">
        <v>173</v>
      </c>
      <c r="E119" s="43">
        <v>3987</v>
      </c>
      <c r="F119" s="43" t="s">
        <v>28</v>
      </c>
      <c r="G119" s="54"/>
      <c r="H119" s="44"/>
      <c r="I119" s="8">
        <v>90000000</v>
      </c>
      <c r="J119" s="53"/>
      <c r="K119" s="53"/>
      <c r="L119" s="51">
        <f t="shared" si="10"/>
        <v>90000000</v>
      </c>
      <c r="M119" s="43"/>
      <c r="N119" s="7"/>
      <c r="O119" s="7"/>
      <c r="P119" s="7"/>
      <c r="Q119" s="44"/>
      <c r="R119" s="55"/>
    </row>
    <row r="120" spans="1:18" s="1" customFormat="1" x14ac:dyDescent="0.3">
      <c r="A120" s="43" t="s">
        <v>654</v>
      </c>
      <c r="B120" s="52">
        <v>45764</v>
      </c>
      <c r="C120" s="43" t="s">
        <v>2</v>
      </c>
      <c r="D120" s="43" t="s">
        <v>78</v>
      </c>
      <c r="E120" s="43">
        <v>4372</v>
      </c>
      <c r="F120" s="43" t="s">
        <v>633</v>
      </c>
      <c r="G120" s="54"/>
      <c r="H120" s="44"/>
      <c r="I120" s="8">
        <v>5740000</v>
      </c>
      <c r="J120" s="53"/>
      <c r="K120" s="53"/>
      <c r="L120" s="51">
        <f t="shared" si="10"/>
        <v>5740000</v>
      </c>
      <c r="M120" s="43"/>
      <c r="N120" s="7"/>
      <c r="O120" s="7"/>
      <c r="P120" s="7"/>
      <c r="Q120" s="44"/>
      <c r="R120" s="55"/>
    </row>
    <row r="121" spans="1:18" s="1" customFormat="1" x14ac:dyDescent="0.3">
      <c r="A121" s="43" t="s">
        <v>654</v>
      </c>
      <c r="B121" s="52">
        <v>45764</v>
      </c>
      <c r="C121" s="43" t="s">
        <v>2</v>
      </c>
      <c r="D121" s="43" t="s">
        <v>648</v>
      </c>
      <c r="E121" s="43">
        <v>17455</v>
      </c>
      <c r="F121" s="43" t="s">
        <v>468</v>
      </c>
      <c r="G121" s="54"/>
      <c r="H121" s="44"/>
      <c r="I121" s="8">
        <v>3800000</v>
      </c>
      <c r="J121" s="53"/>
      <c r="K121" s="53"/>
      <c r="L121" s="51">
        <f t="shared" si="10"/>
        <v>3800000</v>
      </c>
      <c r="M121" s="43"/>
      <c r="N121" s="7"/>
      <c r="O121" s="7"/>
      <c r="P121" s="7"/>
      <c r="Q121" s="44"/>
      <c r="R121" s="55"/>
    </row>
    <row r="122" spans="1:18" s="1" customFormat="1" x14ac:dyDescent="0.3">
      <c r="A122" s="43" t="s">
        <v>654</v>
      </c>
      <c r="B122" s="52">
        <v>45764</v>
      </c>
      <c r="C122" s="43" t="s">
        <v>364</v>
      </c>
      <c r="D122" s="43" t="s">
        <v>375</v>
      </c>
      <c r="E122" s="43">
        <v>14087</v>
      </c>
      <c r="F122" s="43" t="s">
        <v>19</v>
      </c>
      <c r="G122" s="54"/>
      <c r="H122" s="44"/>
      <c r="I122" s="8">
        <v>15000000</v>
      </c>
      <c r="J122" s="53"/>
      <c r="K122" s="53"/>
      <c r="L122" s="51">
        <f t="shared" si="10"/>
        <v>15000000</v>
      </c>
      <c r="M122" s="43"/>
      <c r="N122" s="7"/>
      <c r="O122" s="7"/>
      <c r="P122" s="7"/>
      <c r="Q122" s="44"/>
      <c r="R122" s="55"/>
    </row>
    <row r="123" spans="1:18" s="1" customFormat="1" x14ac:dyDescent="0.3">
      <c r="A123" s="43" t="s">
        <v>654</v>
      </c>
      <c r="B123" s="52">
        <v>45764</v>
      </c>
      <c r="C123" s="43" t="s">
        <v>364</v>
      </c>
      <c r="D123" s="43" t="s">
        <v>218</v>
      </c>
      <c r="E123" s="43">
        <v>3835</v>
      </c>
      <c r="F123" s="43" t="s">
        <v>468</v>
      </c>
      <c r="G123" s="54"/>
      <c r="H123" s="44"/>
      <c r="I123" s="8">
        <v>60000000</v>
      </c>
      <c r="J123" s="53"/>
      <c r="K123" s="53"/>
      <c r="L123" s="51">
        <f t="shared" si="10"/>
        <v>60000000</v>
      </c>
      <c r="M123" s="43"/>
      <c r="N123" s="7"/>
      <c r="O123" s="7"/>
      <c r="P123" s="7"/>
      <c r="Q123" s="44"/>
      <c r="R123" s="55"/>
    </row>
    <row r="124" spans="1:18" s="1" customFormat="1" ht="22.95" customHeight="1" x14ac:dyDescent="0.3">
      <c r="A124" s="43" t="s">
        <v>654</v>
      </c>
      <c r="B124" s="52">
        <v>45764</v>
      </c>
      <c r="C124" s="43" t="s">
        <v>175</v>
      </c>
      <c r="D124" s="43" t="s">
        <v>359</v>
      </c>
      <c r="E124" s="43">
        <v>40260</v>
      </c>
      <c r="F124" s="43" t="s">
        <v>469</v>
      </c>
      <c r="G124" s="54"/>
      <c r="H124" s="44"/>
      <c r="I124" s="8">
        <v>12000000</v>
      </c>
      <c r="J124" s="53"/>
      <c r="K124" s="53"/>
      <c r="L124" s="51">
        <f t="shared" si="10"/>
        <v>12000000</v>
      </c>
      <c r="M124" s="43"/>
      <c r="N124" s="7"/>
      <c r="O124" s="7"/>
      <c r="P124" s="7"/>
      <c r="Q124" s="44"/>
      <c r="R124" s="55"/>
    </row>
    <row r="125" spans="1:18" s="1" customFormat="1" x14ac:dyDescent="0.3">
      <c r="A125" s="43" t="s">
        <v>654</v>
      </c>
      <c r="B125" s="52">
        <v>45771</v>
      </c>
      <c r="C125" s="43" t="s">
        <v>175</v>
      </c>
      <c r="D125" s="43" t="s">
        <v>336</v>
      </c>
      <c r="E125" s="43">
        <v>42616</v>
      </c>
      <c r="F125" s="43" t="s">
        <v>469</v>
      </c>
      <c r="G125" s="54"/>
      <c r="H125" s="44"/>
      <c r="I125" s="8">
        <v>270000000</v>
      </c>
      <c r="J125" s="53"/>
      <c r="K125" s="53"/>
      <c r="L125" s="51">
        <f t="shared" si="10"/>
        <v>270000000</v>
      </c>
      <c r="M125" s="43"/>
      <c r="N125" s="7"/>
      <c r="O125" s="7"/>
      <c r="P125" s="7"/>
      <c r="Q125" s="44"/>
      <c r="R125" s="55"/>
    </row>
    <row r="126" spans="1:18" s="1" customFormat="1" x14ac:dyDescent="0.3">
      <c r="A126" s="43" t="s">
        <v>654</v>
      </c>
      <c r="B126" s="52">
        <v>45771</v>
      </c>
      <c r="C126" s="43" t="s">
        <v>2</v>
      </c>
      <c r="D126" s="43" t="s">
        <v>66</v>
      </c>
      <c r="E126" s="43">
        <v>3827</v>
      </c>
      <c r="F126" s="43" t="s">
        <v>28</v>
      </c>
      <c r="G126" s="54"/>
      <c r="H126" s="44"/>
      <c r="I126" s="8">
        <v>78000000</v>
      </c>
      <c r="J126" s="53"/>
      <c r="K126" s="53"/>
      <c r="L126" s="51">
        <f t="shared" si="10"/>
        <v>78000000</v>
      </c>
      <c r="M126" s="43"/>
      <c r="N126" s="7"/>
      <c r="O126" s="7"/>
      <c r="P126" s="7"/>
      <c r="Q126" s="44"/>
      <c r="R126" s="55"/>
    </row>
    <row r="127" spans="1:18" s="1" customFormat="1" x14ac:dyDescent="0.3">
      <c r="A127" s="43" t="s">
        <v>654</v>
      </c>
      <c r="B127" s="52">
        <v>45771</v>
      </c>
      <c r="C127" s="43" t="s">
        <v>175</v>
      </c>
      <c r="D127" s="43" t="s">
        <v>200</v>
      </c>
      <c r="E127" s="43">
        <v>391</v>
      </c>
      <c r="F127" s="43" t="s">
        <v>19</v>
      </c>
      <c r="G127" s="54"/>
      <c r="H127" s="44"/>
      <c r="I127" s="8">
        <v>100000000</v>
      </c>
      <c r="J127" s="53"/>
      <c r="K127" s="53"/>
      <c r="L127" s="51">
        <f t="shared" si="10"/>
        <v>100000000</v>
      </c>
      <c r="M127" s="43"/>
      <c r="N127" s="7"/>
      <c r="O127" s="7"/>
      <c r="P127" s="7"/>
      <c r="Q127" s="44"/>
      <c r="R127" s="55"/>
    </row>
    <row r="128" spans="1:18" s="1" customFormat="1" x14ac:dyDescent="0.3">
      <c r="A128" s="43" t="s">
        <v>654</v>
      </c>
      <c r="B128" s="52">
        <v>45771</v>
      </c>
      <c r="C128" s="43" t="s">
        <v>153</v>
      </c>
      <c r="D128" s="43" t="s">
        <v>181</v>
      </c>
      <c r="E128" s="43">
        <v>619</v>
      </c>
      <c r="F128" s="43" t="s">
        <v>469</v>
      </c>
      <c r="G128" s="54"/>
      <c r="H128" s="44"/>
      <c r="I128" s="8">
        <v>10000000</v>
      </c>
      <c r="J128" s="53"/>
      <c r="K128" s="53"/>
      <c r="L128" s="51">
        <f t="shared" si="10"/>
        <v>10000000</v>
      </c>
      <c r="M128" s="43"/>
      <c r="N128" s="7"/>
      <c r="O128" s="7"/>
      <c r="P128" s="7"/>
      <c r="Q128" s="44"/>
      <c r="R128" s="55"/>
    </row>
    <row r="129" spans="1:18" s="1" customFormat="1" x14ac:dyDescent="0.3">
      <c r="A129" s="43" t="s">
        <v>654</v>
      </c>
      <c r="B129" s="52">
        <v>45771</v>
      </c>
      <c r="C129" s="43" t="s">
        <v>237</v>
      </c>
      <c r="D129" s="43" t="s">
        <v>271</v>
      </c>
      <c r="E129" s="43">
        <v>3970</v>
      </c>
      <c r="F129" s="43" t="s">
        <v>473</v>
      </c>
      <c r="G129" s="54"/>
      <c r="H129" s="44"/>
      <c r="I129" s="8">
        <v>20000000</v>
      </c>
      <c r="J129" s="53"/>
      <c r="K129" s="53"/>
      <c r="L129" s="51">
        <f t="shared" si="10"/>
        <v>20000000</v>
      </c>
      <c r="M129" s="43"/>
      <c r="N129" s="7"/>
      <c r="O129" s="7"/>
      <c r="P129" s="7"/>
      <c r="Q129" s="44"/>
      <c r="R129" s="55"/>
    </row>
    <row r="130" spans="1:18" s="1" customFormat="1" x14ac:dyDescent="0.3">
      <c r="A130" s="43" t="s">
        <v>654</v>
      </c>
      <c r="B130" s="52">
        <v>45771</v>
      </c>
      <c r="C130" s="43" t="s">
        <v>364</v>
      </c>
      <c r="D130" s="43" t="s">
        <v>569</v>
      </c>
      <c r="E130" s="43">
        <v>7665</v>
      </c>
      <c r="F130" s="43" t="s">
        <v>478</v>
      </c>
      <c r="G130" s="54"/>
      <c r="H130" s="44"/>
      <c r="I130" s="8">
        <v>4000000</v>
      </c>
      <c r="J130" s="53"/>
      <c r="K130" s="53"/>
      <c r="L130" s="51">
        <f t="shared" si="10"/>
        <v>4000000</v>
      </c>
      <c r="M130" s="43"/>
      <c r="N130" s="7"/>
      <c r="O130" s="7"/>
      <c r="P130" s="7"/>
      <c r="Q130" s="44"/>
      <c r="R130" s="55"/>
    </row>
    <row r="131" spans="1:18" s="1" customFormat="1" x14ac:dyDescent="0.3">
      <c r="A131" s="43" t="s">
        <v>654</v>
      </c>
      <c r="B131" s="52">
        <v>45771</v>
      </c>
      <c r="C131" s="44" t="s">
        <v>153</v>
      </c>
      <c r="D131" s="44" t="s">
        <v>665</v>
      </c>
      <c r="E131" s="44">
        <v>46891</v>
      </c>
      <c r="F131" s="44" t="s">
        <v>478</v>
      </c>
      <c r="G131" s="44"/>
      <c r="H131" s="44"/>
      <c r="I131" s="8">
        <v>15000000</v>
      </c>
      <c r="J131" s="157"/>
      <c r="K131" s="157"/>
      <c r="L131" s="51">
        <f t="shared" si="10"/>
        <v>15000000</v>
      </c>
      <c r="M131" s="44"/>
      <c r="N131" s="7"/>
      <c r="O131" s="7"/>
      <c r="P131" s="7"/>
      <c r="Q131" s="44"/>
      <c r="R131" s="55"/>
    </row>
    <row r="132" spans="1:18" s="1" customFormat="1" x14ac:dyDescent="0.3">
      <c r="A132" s="43" t="s">
        <v>666</v>
      </c>
      <c r="B132" s="52">
        <v>45778</v>
      </c>
      <c r="C132" s="44" t="s">
        <v>153</v>
      </c>
      <c r="D132" s="44" t="s">
        <v>166</v>
      </c>
      <c r="E132" s="44">
        <v>3689</v>
      </c>
      <c r="F132" s="44" t="s">
        <v>397</v>
      </c>
      <c r="G132" s="44"/>
      <c r="H132" s="44"/>
      <c r="I132" s="8">
        <v>30000000</v>
      </c>
      <c r="J132" s="157"/>
      <c r="K132" s="157"/>
      <c r="L132" s="51">
        <f t="shared" si="10"/>
        <v>30000000</v>
      </c>
      <c r="M132" s="44"/>
      <c r="N132" s="7"/>
      <c r="O132" s="7"/>
      <c r="P132" s="7"/>
      <c r="Q132" s="44"/>
      <c r="R132" s="55"/>
    </row>
    <row r="133" spans="1:18" s="1" customFormat="1" x14ac:dyDescent="0.3">
      <c r="A133" s="43" t="s">
        <v>666</v>
      </c>
      <c r="B133" s="52">
        <v>45778</v>
      </c>
      <c r="C133" s="44" t="s">
        <v>277</v>
      </c>
      <c r="D133" s="44" t="s">
        <v>292</v>
      </c>
      <c r="E133" s="44">
        <v>18582</v>
      </c>
      <c r="F133" s="44" t="s">
        <v>468</v>
      </c>
      <c r="G133" s="44"/>
      <c r="H133" s="44"/>
      <c r="I133" s="8">
        <v>10000000</v>
      </c>
      <c r="J133" s="157"/>
      <c r="K133" s="157"/>
      <c r="L133" s="51">
        <f t="shared" si="10"/>
        <v>10000000</v>
      </c>
      <c r="M133" s="44"/>
      <c r="N133" s="7"/>
      <c r="O133" s="7"/>
      <c r="P133" s="7"/>
      <c r="Q133" s="44"/>
      <c r="R133" s="55"/>
    </row>
    <row r="134" spans="1:18" s="1" customFormat="1" x14ac:dyDescent="0.3">
      <c r="A134" s="43" t="s">
        <v>666</v>
      </c>
      <c r="B134" s="52">
        <v>45778</v>
      </c>
      <c r="C134" s="44" t="s">
        <v>277</v>
      </c>
      <c r="D134" s="44" t="s">
        <v>667</v>
      </c>
      <c r="E134" s="158">
        <v>4706</v>
      </c>
      <c r="F134" s="44" t="s">
        <v>478</v>
      </c>
      <c r="G134" s="44"/>
      <c r="H134" s="44"/>
      <c r="I134" s="8">
        <v>170000000</v>
      </c>
      <c r="J134" s="157"/>
      <c r="K134" s="157"/>
      <c r="L134" s="51">
        <f t="shared" si="10"/>
        <v>170000000</v>
      </c>
      <c r="M134" s="44"/>
      <c r="N134" s="7"/>
      <c r="O134" s="7"/>
      <c r="P134" s="7"/>
      <c r="Q134" s="44"/>
      <c r="R134" s="55"/>
    </row>
    <row r="135" spans="1:18" s="1" customFormat="1" x14ac:dyDescent="0.3">
      <c r="A135" s="43" t="s">
        <v>666</v>
      </c>
      <c r="B135" s="52">
        <v>45778</v>
      </c>
      <c r="C135" s="44" t="s">
        <v>175</v>
      </c>
      <c r="D135" s="44" t="s">
        <v>200</v>
      </c>
      <c r="E135" s="44">
        <v>391</v>
      </c>
      <c r="F135" s="44" t="s">
        <v>468</v>
      </c>
      <c r="G135" s="44"/>
      <c r="H135" s="44"/>
      <c r="I135" s="8">
        <v>5000000</v>
      </c>
      <c r="J135" s="157"/>
      <c r="K135" s="157"/>
      <c r="L135" s="51">
        <f t="shared" si="10"/>
        <v>5000000</v>
      </c>
      <c r="M135" s="44"/>
      <c r="N135" s="7"/>
      <c r="O135" s="7"/>
      <c r="P135" s="7"/>
      <c r="Q135" s="44"/>
      <c r="R135" s="55"/>
    </row>
    <row r="136" spans="1:18" s="1" customFormat="1" ht="15.65" customHeight="1" x14ac:dyDescent="0.3">
      <c r="A136" s="43" t="s">
        <v>666</v>
      </c>
      <c r="B136" s="52">
        <v>45785</v>
      </c>
      <c r="C136" s="44" t="s">
        <v>175</v>
      </c>
      <c r="D136" s="44" t="s">
        <v>668</v>
      </c>
      <c r="E136" s="159">
        <v>1347</v>
      </c>
      <c r="F136" s="44" t="s">
        <v>469</v>
      </c>
      <c r="G136" s="44"/>
      <c r="H136" s="44"/>
      <c r="I136" s="8">
        <v>59213245</v>
      </c>
      <c r="J136" s="157"/>
      <c r="K136" s="157"/>
      <c r="L136" s="51">
        <f>SUM(I136:K136)</f>
        <v>59213245</v>
      </c>
      <c r="M136" s="44"/>
      <c r="N136" s="7"/>
      <c r="O136" s="7"/>
      <c r="P136" s="7"/>
      <c r="Q136" s="44"/>
      <c r="R136" s="55"/>
    </row>
    <row r="137" spans="1:18" s="1" customFormat="1" x14ac:dyDescent="0.3">
      <c r="A137" s="43" t="s">
        <v>666</v>
      </c>
      <c r="B137" s="52">
        <v>45785</v>
      </c>
      <c r="C137" s="44" t="s">
        <v>2</v>
      </c>
      <c r="D137" s="44" t="s">
        <v>65</v>
      </c>
      <c r="E137" s="159">
        <v>393</v>
      </c>
      <c r="F137" s="44" t="s">
        <v>397</v>
      </c>
      <c r="G137" s="44"/>
      <c r="H137" s="44"/>
      <c r="I137" s="8">
        <v>120000000</v>
      </c>
      <c r="J137" s="157"/>
      <c r="K137" s="157"/>
      <c r="L137" s="51">
        <f t="shared" si="10"/>
        <v>120000000</v>
      </c>
      <c r="M137" s="44"/>
      <c r="N137" s="7"/>
      <c r="O137" s="7"/>
      <c r="P137" s="7"/>
      <c r="Q137" s="44"/>
      <c r="R137" s="55"/>
    </row>
    <row r="138" spans="1:18" s="1" customFormat="1" x14ac:dyDescent="0.3">
      <c r="A138" s="43" t="s">
        <v>666</v>
      </c>
      <c r="B138" s="52">
        <v>45785</v>
      </c>
      <c r="C138" s="44" t="s">
        <v>2</v>
      </c>
      <c r="D138" s="44" t="s">
        <v>96</v>
      </c>
      <c r="E138" s="44">
        <v>53516</v>
      </c>
      <c r="F138" s="160" t="s">
        <v>472</v>
      </c>
      <c r="G138" s="44"/>
      <c r="H138" s="44"/>
      <c r="I138" s="8">
        <v>42750000</v>
      </c>
      <c r="J138" s="157"/>
      <c r="K138" s="157"/>
      <c r="L138" s="51">
        <f t="shared" si="10"/>
        <v>42750000</v>
      </c>
      <c r="M138" s="44"/>
      <c r="N138" s="7"/>
      <c r="O138" s="7"/>
      <c r="P138" s="7"/>
      <c r="Q138" s="44"/>
      <c r="R138" s="55"/>
    </row>
    <row r="139" spans="1:18" s="1" customFormat="1" x14ac:dyDescent="0.3">
      <c r="A139" s="43" t="s">
        <v>666</v>
      </c>
      <c r="B139" s="52">
        <v>45792</v>
      </c>
      <c r="C139" s="44" t="s">
        <v>153</v>
      </c>
      <c r="D139" s="44" t="s">
        <v>589</v>
      </c>
      <c r="E139" s="44">
        <v>3806</v>
      </c>
      <c r="F139" s="44" t="s">
        <v>19</v>
      </c>
      <c r="G139" s="44"/>
      <c r="H139" s="44"/>
      <c r="I139" s="8">
        <v>10000000</v>
      </c>
      <c r="J139" s="157"/>
      <c r="K139" s="157"/>
      <c r="L139" s="51">
        <f t="shared" si="10"/>
        <v>10000000</v>
      </c>
      <c r="M139" s="44"/>
      <c r="O139" s="7"/>
      <c r="P139" s="7"/>
      <c r="Q139" s="44"/>
      <c r="R139" s="55"/>
    </row>
    <row r="140" spans="1:18" s="1" customFormat="1" x14ac:dyDescent="0.3">
      <c r="A140" s="43" t="s">
        <v>666</v>
      </c>
      <c r="B140" s="52">
        <v>45799</v>
      </c>
      <c r="C140" s="44" t="s">
        <v>364</v>
      </c>
      <c r="D140" s="44" t="s">
        <v>634</v>
      </c>
      <c r="E140" s="159">
        <v>1429</v>
      </c>
      <c r="F140" s="160" t="s">
        <v>19</v>
      </c>
      <c r="G140" s="44"/>
      <c r="H140" s="44"/>
      <c r="I140" s="8">
        <v>50000000</v>
      </c>
      <c r="J140" s="157"/>
      <c r="K140" s="157"/>
      <c r="L140" s="51">
        <f t="shared" si="10"/>
        <v>50000000</v>
      </c>
      <c r="M140" s="44"/>
      <c r="N140" s="7"/>
      <c r="O140" s="7"/>
      <c r="P140" s="7"/>
      <c r="Q140" s="44"/>
      <c r="R140" s="55"/>
    </row>
    <row r="141" spans="1:18" s="1" customFormat="1" x14ac:dyDescent="0.3">
      <c r="A141" s="43" t="s">
        <v>666</v>
      </c>
      <c r="B141" s="52">
        <v>45799</v>
      </c>
      <c r="C141" s="44" t="s">
        <v>2</v>
      </c>
      <c r="D141" s="44" t="s">
        <v>99</v>
      </c>
      <c r="E141" s="159">
        <v>18282</v>
      </c>
      <c r="F141" s="44" t="s">
        <v>468</v>
      </c>
      <c r="G141" s="44"/>
      <c r="H141" s="44"/>
      <c r="I141" s="8">
        <v>7800000</v>
      </c>
      <c r="J141" s="157"/>
      <c r="K141" s="157"/>
      <c r="L141" s="51">
        <f t="shared" si="10"/>
        <v>7800000</v>
      </c>
      <c r="M141" s="44"/>
      <c r="N141" s="55"/>
      <c r="O141" s="7"/>
      <c r="P141" s="7"/>
      <c r="Q141" s="44"/>
      <c r="R141" s="55"/>
    </row>
    <row r="142" spans="1:18" s="1" customFormat="1" x14ac:dyDescent="0.3">
      <c r="A142" s="43" t="s">
        <v>666</v>
      </c>
      <c r="B142" s="52">
        <v>45799</v>
      </c>
      <c r="C142" s="44" t="s">
        <v>2</v>
      </c>
      <c r="D142" s="44" t="s">
        <v>97</v>
      </c>
      <c r="E142" s="159">
        <v>40018</v>
      </c>
      <c r="F142" s="44" t="s">
        <v>397</v>
      </c>
      <c r="G142" s="44"/>
      <c r="H142" s="44"/>
      <c r="I142" s="8">
        <v>17500000</v>
      </c>
      <c r="J142" s="157"/>
      <c r="K142" s="157"/>
      <c r="L142" s="51">
        <f t="shared" si="10"/>
        <v>17500000</v>
      </c>
      <c r="M142" s="44"/>
      <c r="N142" s="55"/>
      <c r="O142" s="7"/>
      <c r="P142" s="7"/>
      <c r="Q142" s="44"/>
      <c r="R142" s="55"/>
    </row>
    <row r="143" spans="1:18" s="1" customFormat="1" x14ac:dyDescent="0.3">
      <c r="A143" s="43" t="s">
        <v>666</v>
      </c>
      <c r="B143" s="52">
        <v>45806</v>
      </c>
      <c r="C143" s="44" t="s">
        <v>2</v>
      </c>
      <c r="D143" s="44" t="s">
        <v>83</v>
      </c>
      <c r="E143" s="159">
        <v>8607</v>
      </c>
      <c r="F143" s="44" t="s">
        <v>19</v>
      </c>
      <c r="G143" s="44"/>
      <c r="H143" s="44"/>
      <c r="I143" s="8">
        <v>18800000</v>
      </c>
      <c r="J143" s="157"/>
      <c r="K143" s="157"/>
      <c r="L143" s="51">
        <f t="shared" si="10"/>
        <v>18800000</v>
      </c>
      <c r="M143" s="44"/>
      <c r="N143" s="55"/>
      <c r="O143" s="7"/>
      <c r="P143" s="7"/>
      <c r="Q143" s="44"/>
      <c r="R143" s="55"/>
    </row>
    <row r="144" spans="1:18" s="1" customFormat="1" x14ac:dyDescent="0.3">
      <c r="A144" s="43" t="s">
        <v>666</v>
      </c>
      <c r="B144" s="52">
        <v>45806</v>
      </c>
      <c r="C144" s="44" t="s">
        <v>364</v>
      </c>
      <c r="D144" s="44" t="s">
        <v>672</v>
      </c>
      <c r="E144" s="159">
        <v>17786</v>
      </c>
      <c r="F144" s="44" t="s">
        <v>478</v>
      </c>
      <c r="G144" s="44"/>
      <c r="H144" s="44"/>
      <c r="I144" s="8">
        <v>6000000</v>
      </c>
      <c r="J144" s="157"/>
      <c r="K144" s="157"/>
      <c r="L144" s="51">
        <f t="shared" si="10"/>
        <v>6000000</v>
      </c>
      <c r="M144" s="44"/>
      <c r="N144" s="55"/>
      <c r="O144" s="7"/>
      <c r="P144" s="7"/>
      <c r="Q144" s="44"/>
      <c r="R144" s="55"/>
    </row>
    <row r="145" spans="1:18" s="1" customFormat="1" x14ac:dyDescent="0.3">
      <c r="A145" s="43" t="s">
        <v>677</v>
      </c>
      <c r="B145" s="52">
        <v>45813</v>
      </c>
      <c r="C145" s="44" t="s">
        <v>456</v>
      </c>
      <c r="D145" s="44" t="s">
        <v>189</v>
      </c>
      <c r="E145" s="159">
        <v>5034</v>
      </c>
      <c r="F145" s="44" t="s">
        <v>468</v>
      </c>
      <c r="G145" s="44"/>
      <c r="H145" s="44"/>
      <c r="I145" s="8">
        <v>21120000</v>
      </c>
      <c r="J145" s="157"/>
      <c r="K145" s="157"/>
      <c r="L145" s="51">
        <f t="shared" si="10"/>
        <v>21120000</v>
      </c>
      <c r="M145" s="44"/>
      <c r="N145" s="55"/>
      <c r="O145" s="7"/>
      <c r="P145" s="7"/>
      <c r="Q145" s="44"/>
      <c r="R145" s="55"/>
    </row>
    <row r="146" spans="1:18" s="1" customFormat="1" x14ac:dyDescent="0.3">
      <c r="A146" s="43" t="s">
        <v>677</v>
      </c>
      <c r="B146" s="52">
        <v>45813</v>
      </c>
      <c r="C146" s="44" t="s">
        <v>456</v>
      </c>
      <c r="D146" s="44" t="s">
        <v>347</v>
      </c>
      <c r="E146" s="43">
        <v>1558</v>
      </c>
      <c r="F146" s="43" t="s">
        <v>468</v>
      </c>
      <c r="G146" s="43"/>
      <c r="H146" s="43"/>
      <c r="I146" s="167">
        <v>4037000</v>
      </c>
      <c r="J146" s="157"/>
      <c r="K146" s="157"/>
      <c r="L146" s="51">
        <f t="shared" si="10"/>
        <v>4037000</v>
      </c>
      <c r="M146" s="44"/>
      <c r="N146" s="55"/>
      <c r="O146" s="7"/>
      <c r="P146" s="7"/>
      <c r="Q146" s="44"/>
      <c r="R146" s="55"/>
    </row>
    <row r="147" spans="1:18" s="1" customFormat="1" x14ac:dyDescent="0.3">
      <c r="A147" s="43" t="s">
        <v>677</v>
      </c>
      <c r="B147" s="52">
        <v>45813</v>
      </c>
      <c r="C147" s="44" t="s">
        <v>456</v>
      </c>
      <c r="D147" s="44" t="s">
        <v>674</v>
      </c>
      <c r="E147" s="158">
        <v>63777</v>
      </c>
      <c r="F147" s="44" t="s">
        <v>28</v>
      </c>
      <c r="G147" s="44"/>
      <c r="H147" s="44"/>
      <c r="I147" s="8">
        <v>11840000</v>
      </c>
      <c r="J147" s="157"/>
      <c r="K147" s="157"/>
      <c r="L147" s="51">
        <f t="shared" si="10"/>
        <v>11840000</v>
      </c>
      <c r="M147" s="44"/>
      <c r="N147" s="55"/>
      <c r="O147" s="7"/>
      <c r="P147" s="7"/>
      <c r="Q147" s="44"/>
      <c r="R147" s="55"/>
    </row>
    <row r="148" spans="1:18" s="1" customFormat="1" x14ac:dyDescent="0.3">
      <c r="A148" s="43" t="s">
        <v>677</v>
      </c>
      <c r="B148" s="52">
        <v>45813</v>
      </c>
      <c r="C148" s="44" t="s">
        <v>456</v>
      </c>
      <c r="D148" s="44" t="s">
        <v>675</v>
      </c>
      <c r="E148" s="158">
        <v>63779</v>
      </c>
      <c r="F148" s="44" t="s">
        <v>28</v>
      </c>
      <c r="G148" s="44"/>
      <c r="H148" s="44"/>
      <c r="I148" s="8">
        <v>8940000</v>
      </c>
      <c r="J148" s="157"/>
      <c r="K148" s="157"/>
      <c r="L148" s="51">
        <f t="shared" si="10"/>
        <v>8940000</v>
      </c>
      <c r="M148" s="44"/>
      <c r="N148" s="7"/>
      <c r="O148" s="7"/>
      <c r="P148" s="7"/>
      <c r="Q148" s="44"/>
      <c r="R148" s="55"/>
    </row>
    <row r="149" spans="1:18" s="1" customFormat="1" x14ac:dyDescent="0.3">
      <c r="A149" s="43" t="s">
        <v>677</v>
      </c>
      <c r="B149" s="52">
        <v>45813</v>
      </c>
      <c r="C149" s="44" t="s">
        <v>456</v>
      </c>
      <c r="D149" s="44" t="s">
        <v>676</v>
      </c>
      <c r="E149" s="158">
        <v>63780</v>
      </c>
      <c r="F149" s="44" t="s">
        <v>28</v>
      </c>
      <c r="G149" s="44"/>
      <c r="H149" s="44"/>
      <c r="I149" s="8">
        <v>24220000</v>
      </c>
      <c r="J149" s="157"/>
      <c r="K149" s="157"/>
      <c r="L149" s="51">
        <f t="shared" si="10"/>
        <v>24220000</v>
      </c>
      <c r="M149" s="44"/>
      <c r="N149" s="7"/>
      <c r="O149" s="7"/>
      <c r="P149" s="7"/>
      <c r="Q149" s="44"/>
      <c r="R149" s="55"/>
    </row>
    <row r="150" spans="1:18" s="1" customFormat="1" x14ac:dyDescent="0.3">
      <c r="A150" s="43" t="s">
        <v>677</v>
      </c>
      <c r="B150" s="52">
        <v>45813</v>
      </c>
      <c r="C150" s="44" t="s">
        <v>237</v>
      </c>
      <c r="D150" s="44" t="s">
        <v>233</v>
      </c>
      <c r="E150" s="158">
        <v>42061</v>
      </c>
      <c r="F150" s="44" t="s">
        <v>28</v>
      </c>
      <c r="G150" s="43"/>
      <c r="H150" s="43"/>
      <c r="I150" s="8">
        <v>98000000</v>
      </c>
      <c r="J150" s="157"/>
      <c r="K150" s="157"/>
      <c r="L150" s="51">
        <f t="shared" si="10"/>
        <v>98000000</v>
      </c>
      <c r="M150" s="44"/>
      <c r="N150" s="7"/>
      <c r="O150" s="7"/>
      <c r="P150" s="7"/>
      <c r="Q150" s="44"/>
      <c r="R150" s="55"/>
    </row>
    <row r="151" spans="1:18" s="1" customFormat="1" x14ac:dyDescent="0.3">
      <c r="A151" s="43" t="s">
        <v>677</v>
      </c>
      <c r="B151" s="52">
        <v>45813</v>
      </c>
      <c r="C151" s="44" t="s">
        <v>237</v>
      </c>
      <c r="D151" s="44" t="s">
        <v>257</v>
      </c>
      <c r="E151" s="158">
        <v>44010</v>
      </c>
      <c r="F151" s="44" t="s">
        <v>468</v>
      </c>
      <c r="G151" s="43"/>
      <c r="H151" s="43"/>
      <c r="I151" s="8">
        <v>1600000</v>
      </c>
      <c r="J151" s="157"/>
      <c r="K151" s="157"/>
      <c r="L151" s="51">
        <f t="shared" si="10"/>
        <v>1600000</v>
      </c>
      <c r="M151" s="44"/>
      <c r="N151" s="7"/>
      <c r="O151" s="7"/>
      <c r="P151" s="7"/>
      <c r="Q151" s="44"/>
      <c r="R151" s="55"/>
    </row>
    <row r="152" spans="1:18" s="1" customFormat="1" x14ac:dyDescent="0.3">
      <c r="A152" s="43" t="s">
        <v>677</v>
      </c>
      <c r="B152" s="52">
        <v>45813</v>
      </c>
      <c r="C152" s="44" t="s">
        <v>364</v>
      </c>
      <c r="D152" s="44" t="s">
        <v>149</v>
      </c>
      <c r="E152" s="158">
        <v>3829</v>
      </c>
      <c r="F152" s="44" t="s">
        <v>28</v>
      </c>
      <c r="G152" s="43"/>
      <c r="H152" s="43"/>
      <c r="I152" s="8">
        <v>175000000</v>
      </c>
      <c r="J152" s="157"/>
      <c r="K152" s="157"/>
      <c r="L152" s="51">
        <f t="shared" si="10"/>
        <v>175000000</v>
      </c>
      <c r="M152" s="44"/>
      <c r="N152" s="7"/>
      <c r="O152" s="7"/>
      <c r="P152" s="7"/>
      <c r="Q152" s="44"/>
      <c r="R152" s="55"/>
    </row>
    <row r="153" spans="1:18" s="1" customFormat="1" x14ac:dyDescent="0.3">
      <c r="A153" s="43" t="s">
        <v>677</v>
      </c>
      <c r="B153" s="52">
        <v>45813</v>
      </c>
      <c r="C153" s="44" t="s">
        <v>0</v>
      </c>
      <c r="D153" s="44" t="s">
        <v>162</v>
      </c>
      <c r="E153" s="158">
        <v>29192</v>
      </c>
      <c r="F153" s="44" t="s">
        <v>476</v>
      </c>
      <c r="G153" s="44"/>
      <c r="H153" s="44"/>
      <c r="I153" s="8">
        <v>130000000</v>
      </c>
      <c r="J153" s="157"/>
      <c r="K153" s="157"/>
      <c r="L153" s="51">
        <f t="shared" si="10"/>
        <v>130000000</v>
      </c>
      <c r="M153" s="44"/>
      <c r="N153" s="7"/>
      <c r="O153" s="7"/>
      <c r="P153" s="7"/>
      <c r="Q153" s="44"/>
      <c r="R153" s="55"/>
    </row>
    <row r="154" spans="1:18" s="1" customFormat="1" x14ac:dyDescent="0.3">
      <c r="A154" s="43" t="s">
        <v>677</v>
      </c>
      <c r="B154" s="52">
        <v>45813</v>
      </c>
      <c r="C154" s="44" t="s">
        <v>0</v>
      </c>
      <c r="D154" s="44" t="s">
        <v>226</v>
      </c>
      <c r="E154" s="158">
        <v>7261</v>
      </c>
      <c r="F154" s="44" t="s">
        <v>478</v>
      </c>
      <c r="G154" s="43"/>
      <c r="H154" s="43"/>
      <c r="I154" s="8">
        <v>14645000</v>
      </c>
      <c r="J154" s="157"/>
      <c r="K154" s="157"/>
      <c r="L154" s="51">
        <f t="shared" si="10"/>
        <v>14645000</v>
      </c>
      <c r="M154" s="44"/>
      <c r="N154" s="7"/>
      <c r="O154" s="7"/>
      <c r="P154" s="7"/>
      <c r="Q154" s="44"/>
      <c r="R154" s="55"/>
    </row>
    <row r="155" spans="1:18" s="1" customFormat="1" x14ac:dyDescent="0.3">
      <c r="A155" s="43" t="s">
        <v>677</v>
      </c>
      <c r="B155" s="52">
        <v>45820</v>
      </c>
      <c r="C155" s="44" t="s">
        <v>456</v>
      </c>
      <c r="D155" s="44" t="s">
        <v>189</v>
      </c>
      <c r="E155" s="158">
        <v>5034</v>
      </c>
      <c r="F155" s="44" t="s">
        <v>47</v>
      </c>
      <c r="G155" s="44"/>
      <c r="H155" s="44"/>
      <c r="I155" s="8">
        <v>17500000</v>
      </c>
      <c r="J155" s="53"/>
      <c r="K155" s="53"/>
      <c r="L155" s="51">
        <f t="shared" si="10"/>
        <v>17500000</v>
      </c>
      <c r="M155" s="44"/>
      <c r="N155" s="7"/>
      <c r="O155" s="7"/>
      <c r="P155" s="7"/>
      <c r="Q155" s="44"/>
      <c r="R155" s="55"/>
    </row>
    <row r="156" spans="1:18" s="1" customFormat="1" x14ac:dyDescent="0.3">
      <c r="A156" s="43" t="s">
        <v>677</v>
      </c>
      <c r="B156" s="52">
        <v>45820</v>
      </c>
      <c r="C156" s="44" t="s">
        <v>175</v>
      </c>
      <c r="D156" s="44" t="s">
        <v>680</v>
      </c>
      <c r="E156" s="158" t="s">
        <v>681</v>
      </c>
      <c r="F156" s="44" t="s">
        <v>31</v>
      </c>
      <c r="G156" s="43"/>
      <c r="H156" s="43"/>
      <c r="I156" s="8">
        <v>7500000</v>
      </c>
      <c r="J156" s="157"/>
      <c r="K156" s="157"/>
      <c r="L156" s="51">
        <f t="shared" si="10"/>
        <v>7500000</v>
      </c>
      <c r="M156" s="44"/>
      <c r="N156" s="7"/>
      <c r="O156" s="7"/>
      <c r="P156" s="7"/>
      <c r="Q156" s="44"/>
      <c r="R156" s="55"/>
    </row>
    <row r="157" spans="1:18" s="1" customFormat="1" x14ac:dyDescent="0.3">
      <c r="A157" s="43" t="s">
        <v>677</v>
      </c>
      <c r="B157" s="52">
        <v>45820</v>
      </c>
      <c r="C157" s="44" t="s">
        <v>175</v>
      </c>
      <c r="D157" s="44" t="s">
        <v>358</v>
      </c>
      <c r="E157" s="43">
        <v>28796</v>
      </c>
      <c r="F157" s="44" t="s">
        <v>47</v>
      </c>
      <c r="G157" s="43"/>
      <c r="H157" s="43"/>
      <c r="I157" s="8">
        <v>9000000</v>
      </c>
      <c r="J157" s="157"/>
      <c r="K157" s="157"/>
      <c r="L157" s="51">
        <f t="shared" si="10"/>
        <v>9000000</v>
      </c>
      <c r="M157" s="44"/>
      <c r="N157" s="7"/>
      <c r="O157" s="7"/>
      <c r="P157" s="7"/>
      <c r="Q157" s="44"/>
      <c r="R157" s="55"/>
    </row>
    <row r="158" spans="1:18" s="1" customFormat="1" ht="17" customHeight="1" x14ac:dyDescent="0.3">
      <c r="A158" s="43" t="s">
        <v>677</v>
      </c>
      <c r="B158" s="52">
        <v>45820</v>
      </c>
      <c r="C158" s="44" t="s">
        <v>175</v>
      </c>
      <c r="D158" s="44" t="s">
        <v>679</v>
      </c>
      <c r="E158" s="44">
        <v>12913</v>
      </c>
      <c r="F158" s="44" t="s">
        <v>633</v>
      </c>
      <c r="G158" s="43"/>
      <c r="H158" s="43"/>
      <c r="I158" s="8">
        <v>8372000</v>
      </c>
      <c r="J158" s="157"/>
      <c r="K158" s="157"/>
      <c r="L158" s="51">
        <f t="shared" si="10"/>
        <v>8372000</v>
      </c>
      <c r="M158" s="44"/>
      <c r="N158" s="7"/>
      <c r="O158" s="7"/>
      <c r="P158" s="7"/>
      <c r="Q158" s="44"/>
      <c r="R158" s="55"/>
    </row>
    <row r="159" spans="1:18" s="1" customFormat="1" ht="17" customHeight="1" x14ac:dyDescent="0.3">
      <c r="A159" s="43" t="s">
        <v>677</v>
      </c>
      <c r="B159" s="52">
        <v>45820</v>
      </c>
      <c r="C159" s="44" t="s">
        <v>237</v>
      </c>
      <c r="D159" s="44" t="s">
        <v>252</v>
      </c>
      <c r="E159" s="44">
        <v>979</v>
      </c>
      <c r="F159" s="44" t="s">
        <v>31</v>
      </c>
      <c r="G159" s="43"/>
      <c r="H159" s="43"/>
      <c r="I159" s="8">
        <v>10000000</v>
      </c>
      <c r="J159" s="157"/>
      <c r="K159" s="157"/>
      <c r="L159" s="51">
        <f>SUM(I159:K159)</f>
        <v>10000000</v>
      </c>
      <c r="M159" s="44"/>
      <c r="N159" s="7"/>
      <c r="O159" s="7"/>
      <c r="P159" s="7"/>
      <c r="Q159" s="44"/>
      <c r="R159" s="55"/>
    </row>
    <row r="160" spans="1:18" s="1" customFormat="1" ht="17" customHeight="1" x14ac:dyDescent="0.3">
      <c r="A160" s="43" t="s">
        <v>677</v>
      </c>
      <c r="B160" s="52">
        <v>45820</v>
      </c>
      <c r="C160" s="44" t="s">
        <v>0</v>
      </c>
      <c r="D160" s="44" t="s">
        <v>682</v>
      </c>
      <c r="E160" s="44">
        <v>42480</v>
      </c>
      <c r="F160" s="44" t="s">
        <v>478</v>
      </c>
      <c r="G160" s="43"/>
      <c r="H160" s="43"/>
      <c r="I160" s="8">
        <v>5500000</v>
      </c>
      <c r="J160" s="157"/>
      <c r="K160" s="157"/>
      <c r="L160" s="51">
        <f>SUM(I160:K160)</f>
        <v>5500000</v>
      </c>
      <c r="M160" s="44"/>
      <c r="N160" s="7"/>
      <c r="O160" s="7"/>
      <c r="P160" s="7"/>
      <c r="Q160" s="44"/>
      <c r="R160" s="55"/>
    </row>
    <row r="161" spans="1:18" s="1" customFormat="1" ht="17" customHeight="1" x14ac:dyDescent="0.3">
      <c r="A161" s="43" t="s">
        <v>677</v>
      </c>
      <c r="B161" s="52">
        <v>45827</v>
      </c>
      <c r="C161" s="44" t="s">
        <v>0</v>
      </c>
      <c r="D161" s="44" t="s">
        <v>40</v>
      </c>
      <c r="E161" s="44">
        <v>16207</v>
      </c>
      <c r="F161" s="44" t="s">
        <v>31</v>
      </c>
      <c r="G161" s="43"/>
      <c r="H161" s="43"/>
      <c r="I161" s="8">
        <v>21000000</v>
      </c>
      <c r="J161" s="157"/>
      <c r="K161" s="157"/>
      <c r="L161" s="51">
        <f>SUM(I161:K161)</f>
        <v>21000000</v>
      </c>
      <c r="M161" s="44"/>
      <c r="N161" s="7"/>
      <c r="O161" s="7"/>
      <c r="P161" s="7"/>
      <c r="Q161" s="44"/>
      <c r="R161" s="55"/>
    </row>
    <row r="162" spans="1:18" s="1" customFormat="1" ht="17" customHeight="1" x14ac:dyDescent="0.3">
      <c r="A162" s="43" t="s">
        <v>677</v>
      </c>
      <c r="B162" s="52">
        <v>45827</v>
      </c>
      <c r="C162" s="44" t="s">
        <v>2</v>
      </c>
      <c r="D162" s="44" t="s">
        <v>97</v>
      </c>
      <c r="E162" s="44">
        <v>40018</v>
      </c>
      <c r="F162" s="44" t="s">
        <v>19</v>
      </c>
      <c r="G162" s="43"/>
      <c r="H162" s="43"/>
      <c r="I162" s="8">
        <v>15000000</v>
      </c>
      <c r="J162" s="157"/>
      <c r="K162" s="157"/>
      <c r="L162" s="51">
        <f>SUM(I162:K162)</f>
        <v>15000000</v>
      </c>
      <c r="M162" s="44"/>
      <c r="N162" s="7"/>
      <c r="O162" s="7"/>
      <c r="P162" s="7"/>
      <c r="Q162" s="44"/>
      <c r="R162" s="55"/>
    </row>
    <row r="163" spans="1:18" s="1" customFormat="1" ht="17" customHeight="1" x14ac:dyDescent="0.3">
      <c r="A163" s="43" t="s">
        <v>677</v>
      </c>
      <c r="B163" s="52">
        <v>45827</v>
      </c>
      <c r="C163" s="44" t="s">
        <v>456</v>
      </c>
      <c r="D163" s="44" t="s">
        <v>202</v>
      </c>
      <c r="E163" s="44">
        <v>23778</v>
      </c>
      <c r="F163" s="44" t="s">
        <v>397</v>
      </c>
      <c r="G163" s="43"/>
      <c r="H163" s="43"/>
      <c r="I163" s="8">
        <v>324000000</v>
      </c>
      <c r="J163" s="157"/>
      <c r="K163" s="157"/>
      <c r="L163" s="51">
        <f>SUM(I163:K163)</f>
        <v>324000000</v>
      </c>
      <c r="M163" s="44"/>
      <c r="N163" s="7"/>
      <c r="O163" s="7"/>
      <c r="P163" s="7"/>
      <c r="Q163" s="44"/>
      <c r="R163" s="55"/>
    </row>
    <row r="164" spans="1:18" s="1" customFormat="1" ht="17" customHeight="1" x14ac:dyDescent="0.3">
      <c r="A164" s="43" t="s">
        <v>677</v>
      </c>
      <c r="B164" s="52">
        <v>45827</v>
      </c>
      <c r="C164" s="44" t="s">
        <v>456</v>
      </c>
      <c r="D164" s="44" t="s">
        <v>321</v>
      </c>
      <c r="E164" s="44">
        <v>10339</v>
      </c>
      <c r="F164" s="44" t="s">
        <v>397</v>
      </c>
      <c r="G164" s="43"/>
      <c r="H164" s="43"/>
      <c r="I164" s="8">
        <v>900000000</v>
      </c>
      <c r="J164" s="157"/>
      <c r="K164" s="157"/>
      <c r="L164" s="51">
        <f t="shared" ref="L164:L170" si="11">SUM(I164:K164)</f>
        <v>900000000</v>
      </c>
      <c r="M164" s="44"/>
      <c r="N164" s="7"/>
      <c r="O164" s="7"/>
      <c r="P164" s="7"/>
      <c r="Q164" s="44"/>
      <c r="R164" s="55"/>
    </row>
    <row r="165" spans="1:18" s="1" customFormat="1" ht="17" customHeight="1" x14ac:dyDescent="0.3">
      <c r="A165" s="43" t="s">
        <v>677</v>
      </c>
      <c r="B165" s="52">
        <v>45827</v>
      </c>
      <c r="C165" s="44" t="s">
        <v>456</v>
      </c>
      <c r="D165" s="44" t="s">
        <v>321</v>
      </c>
      <c r="E165" s="44">
        <v>10339</v>
      </c>
      <c r="F165" s="44" t="s">
        <v>472</v>
      </c>
      <c r="G165" s="43"/>
      <c r="H165" s="43"/>
      <c r="I165" s="8">
        <v>170000000</v>
      </c>
      <c r="J165" s="157"/>
      <c r="K165" s="157"/>
      <c r="L165" s="51">
        <f t="shared" si="11"/>
        <v>170000000</v>
      </c>
      <c r="M165" s="44"/>
      <c r="N165" s="7"/>
      <c r="O165" s="7"/>
      <c r="P165" s="7"/>
      <c r="Q165" s="44"/>
      <c r="R165" s="55"/>
    </row>
    <row r="166" spans="1:18" s="1" customFormat="1" ht="17" customHeight="1" x14ac:dyDescent="0.3">
      <c r="A166" s="43" t="s">
        <v>677</v>
      </c>
      <c r="B166" s="52">
        <v>45834</v>
      </c>
      <c r="C166" s="44" t="s">
        <v>2</v>
      </c>
      <c r="D166" s="44" t="s">
        <v>650</v>
      </c>
      <c r="E166" s="44">
        <v>50479</v>
      </c>
      <c r="F166" s="44" t="s">
        <v>31</v>
      </c>
      <c r="G166" s="43"/>
      <c r="H166" s="43"/>
      <c r="I166" s="8">
        <v>3000000</v>
      </c>
      <c r="J166" s="157"/>
      <c r="K166" s="157"/>
      <c r="L166" s="51">
        <f t="shared" si="11"/>
        <v>3000000</v>
      </c>
      <c r="M166" s="44"/>
      <c r="N166" s="7"/>
      <c r="O166" s="7"/>
      <c r="P166" s="7"/>
      <c r="Q166" s="44"/>
      <c r="R166" s="55"/>
    </row>
    <row r="167" spans="1:18" s="1" customFormat="1" ht="17" customHeight="1" x14ac:dyDescent="0.3">
      <c r="A167" s="43" t="s">
        <v>677</v>
      </c>
      <c r="B167" s="52">
        <v>45834</v>
      </c>
      <c r="C167" s="44" t="s">
        <v>2</v>
      </c>
      <c r="D167" s="44" t="s">
        <v>91</v>
      </c>
      <c r="E167" s="44">
        <v>28140</v>
      </c>
      <c r="F167" s="44" t="s">
        <v>397</v>
      </c>
      <c r="G167" s="43"/>
      <c r="H167" s="43"/>
      <c r="I167" s="8">
        <v>3000000</v>
      </c>
      <c r="J167" s="157"/>
      <c r="K167" s="157"/>
      <c r="L167" s="51">
        <f t="shared" si="11"/>
        <v>3000000</v>
      </c>
      <c r="M167" s="44"/>
      <c r="N167" s="7"/>
      <c r="O167" s="7"/>
      <c r="P167" s="7"/>
      <c r="Q167" s="44"/>
      <c r="R167" s="55"/>
    </row>
    <row r="168" spans="1:18" s="1" customFormat="1" ht="17" customHeight="1" x14ac:dyDescent="0.3">
      <c r="A168" s="43" t="s">
        <v>677</v>
      </c>
      <c r="B168" s="52">
        <v>45834</v>
      </c>
      <c r="C168" s="44" t="s">
        <v>2</v>
      </c>
      <c r="D168" s="44" t="s">
        <v>93</v>
      </c>
      <c r="E168" s="44">
        <v>23495</v>
      </c>
      <c r="F168" s="44" t="s">
        <v>31</v>
      </c>
      <c r="G168" s="43"/>
      <c r="H168" s="43"/>
      <c r="I168" s="8">
        <v>3400000</v>
      </c>
      <c r="J168" s="157"/>
      <c r="K168" s="157"/>
      <c r="L168" s="51">
        <f t="shared" si="11"/>
        <v>3400000</v>
      </c>
      <c r="M168" s="44"/>
      <c r="N168" s="7"/>
      <c r="O168" s="7"/>
      <c r="P168" s="7"/>
      <c r="Q168" s="44"/>
      <c r="R168" s="55"/>
    </row>
    <row r="169" spans="1:18" s="1" customFormat="1" ht="17" customHeight="1" x14ac:dyDescent="0.3">
      <c r="A169" s="43" t="s">
        <v>677</v>
      </c>
      <c r="B169" s="52">
        <v>45834</v>
      </c>
      <c r="C169" s="44" t="s">
        <v>2</v>
      </c>
      <c r="D169" s="44" t="s">
        <v>93</v>
      </c>
      <c r="E169" s="44">
        <v>23495</v>
      </c>
      <c r="F169" s="44" t="s">
        <v>478</v>
      </c>
      <c r="G169" s="43"/>
      <c r="H169" s="43"/>
      <c r="I169" s="8">
        <v>9000000</v>
      </c>
      <c r="J169" s="157"/>
      <c r="K169" s="157"/>
      <c r="L169" s="51">
        <f t="shared" si="11"/>
        <v>9000000</v>
      </c>
      <c r="M169" s="44"/>
      <c r="N169" s="7"/>
      <c r="O169" s="7"/>
      <c r="P169" s="7"/>
      <c r="Q169" s="44"/>
      <c r="R169" s="55"/>
    </row>
    <row r="170" spans="1:18" s="1" customFormat="1" ht="17" customHeight="1" x14ac:dyDescent="0.3">
      <c r="A170" s="43" t="s">
        <v>685</v>
      </c>
      <c r="B170" s="52">
        <v>45841</v>
      </c>
      <c r="C170" s="44" t="s">
        <v>237</v>
      </c>
      <c r="D170" s="44" t="s">
        <v>250</v>
      </c>
      <c r="E170" s="44">
        <v>342</v>
      </c>
      <c r="F170" s="44" t="s">
        <v>469</v>
      </c>
      <c r="G170" s="43"/>
      <c r="H170" s="43"/>
      <c r="I170" s="8">
        <v>4000000</v>
      </c>
      <c r="J170" s="157"/>
      <c r="K170" s="157"/>
      <c r="L170" s="51">
        <f t="shared" si="11"/>
        <v>4000000</v>
      </c>
      <c r="M170" s="44"/>
      <c r="N170" s="7"/>
      <c r="O170" s="7"/>
      <c r="P170" s="7"/>
      <c r="Q170" s="44"/>
      <c r="R170" s="55"/>
    </row>
    <row r="171" spans="1:18" s="1" customFormat="1" ht="17" customHeight="1" x14ac:dyDescent="0.3">
      <c r="A171" s="43" t="s">
        <v>685</v>
      </c>
      <c r="B171" s="52">
        <v>45841</v>
      </c>
      <c r="C171" s="44" t="s">
        <v>153</v>
      </c>
      <c r="D171" s="44" t="s">
        <v>687</v>
      </c>
      <c r="E171" s="44">
        <v>21561</v>
      </c>
      <c r="F171" s="44" t="s">
        <v>397</v>
      </c>
      <c r="G171" s="43"/>
      <c r="H171" s="43"/>
      <c r="I171" s="8">
        <v>28000000</v>
      </c>
      <c r="J171" s="157"/>
      <c r="K171" s="157"/>
      <c r="L171" s="51">
        <f t="shared" ref="L171:L178" si="12">SUM(I171:K171)</f>
        <v>28000000</v>
      </c>
      <c r="M171" s="44"/>
      <c r="N171" s="7"/>
      <c r="O171" s="7"/>
      <c r="P171" s="7"/>
      <c r="Q171" s="44"/>
      <c r="R171" s="55"/>
    </row>
    <row r="172" spans="1:18" s="155" customFormat="1" ht="17" customHeight="1" x14ac:dyDescent="0.3">
      <c r="A172" s="148" t="s">
        <v>685</v>
      </c>
      <c r="B172" s="149">
        <v>45848</v>
      </c>
      <c r="C172" s="150"/>
      <c r="D172" s="150"/>
      <c r="E172" s="150"/>
      <c r="F172" s="150"/>
      <c r="G172" s="148"/>
      <c r="H172" s="148"/>
      <c r="I172" s="151"/>
      <c r="J172" s="156"/>
      <c r="K172" s="156"/>
      <c r="L172" s="152">
        <f t="shared" si="12"/>
        <v>0</v>
      </c>
      <c r="M172" s="150"/>
      <c r="N172" s="153"/>
      <c r="O172" s="153"/>
      <c r="P172" s="153"/>
      <c r="Q172" s="150"/>
      <c r="R172" s="154"/>
    </row>
    <row r="173" spans="1:18" s="155" customFormat="1" ht="17" customHeight="1" x14ac:dyDescent="0.3">
      <c r="A173" s="148" t="s">
        <v>685</v>
      </c>
      <c r="B173" s="149">
        <v>45848</v>
      </c>
      <c r="C173" s="150"/>
      <c r="D173" s="150"/>
      <c r="E173" s="150"/>
      <c r="F173" s="150"/>
      <c r="G173" s="148"/>
      <c r="H173" s="148"/>
      <c r="I173" s="151"/>
      <c r="J173" s="156"/>
      <c r="K173" s="156"/>
      <c r="L173" s="152">
        <f t="shared" si="12"/>
        <v>0</v>
      </c>
      <c r="M173" s="150"/>
      <c r="N173" s="153"/>
      <c r="O173" s="153"/>
      <c r="P173" s="153"/>
      <c r="Q173" s="150"/>
      <c r="R173" s="154"/>
    </row>
    <row r="174" spans="1:18" s="155" customFormat="1" ht="17" customHeight="1" x14ac:dyDescent="0.3">
      <c r="A174" s="148" t="s">
        <v>685</v>
      </c>
      <c r="B174" s="149">
        <v>45848</v>
      </c>
      <c r="C174" s="150"/>
      <c r="D174" s="150"/>
      <c r="E174" s="150"/>
      <c r="F174" s="150"/>
      <c r="G174" s="148"/>
      <c r="H174" s="148"/>
      <c r="I174" s="151"/>
      <c r="J174" s="156"/>
      <c r="K174" s="156"/>
      <c r="L174" s="152">
        <f t="shared" si="12"/>
        <v>0</v>
      </c>
      <c r="M174" s="150"/>
      <c r="N174" s="153"/>
      <c r="O174" s="153"/>
      <c r="P174" s="153"/>
      <c r="Q174" s="150"/>
      <c r="R174" s="154"/>
    </row>
    <row r="175" spans="1:18" s="155" customFormat="1" ht="17" customHeight="1" x14ac:dyDescent="0.3">
      <c r="A175" s="148" t="s">
        <v>685</v>
      </c>
      <c r="B175" s="149">
        <v>45848</v>
      </c>
      <c r="C175" s="150"/>
      <c r="D175" s="150"/>
      <c r="E175" s="150"/>
      <c r="F175" s="150"/>
      <c r="G175" s="148"/>
      <c r="H175" s="148"/>
      <c r="I175" s="151"/>
      <c r="J175" s="156"/>
      <c r="K175" s="156"/>
      <c r="L175" s="152">
        <f t="shared" si="12"/>
        <v>0</v>
      </c>
      <c r="M175" s="150"/>
      <c r="N175" s="153"/>
      <c r="O175" s="153"/>
      <c r="P175" s="153"/>
      <c r="Q175" s="150"/>
      <c r="R175" s="154"/>
    </row>
    <row r="176" spans="1:18" s="155" customFormat="1" ht="17" customHeight="1" x14ac:dyDescent="0.3">
      <c r="A176" s="148" t="s">
        <v>685</v>
      </c>
      <c r="B176" s="149">
        <v>45848</v>
      </c>
      <c r="C176" s="150"/>
      <c r="D176" s="150"/>
      <c r="E176" s="150"/>
      <c r="F176" s="150"/>
      <c r="G176" s="148"/>
      <c r="H176" s="148"/>
      <c r="I176" s="151"/>
      <c r="J176" s="156"/>
      <c r="K176" s="156"/>
      <c r="L176" s="152">
        <f t="shared" si="12"/>
        <v>0</v>
      </c>
      <c r="M176" s="150"/>
      <c r="N176" s="153"/>
      <c r="O176" s="153"/>
      <c r="P176" s="153"/>
      <c r="Q176" s="150"/>
      <c r="R176" s="154"/>
    </row>
    <row r="177" spans="1:18" s="155" customFormat="1" ht="17" customHeight="1" x14ac:dyDescent="0.3">
      <c r="A177" s="148" t="s">
        <v>685</v>
      </c>
      <c r="B177" s="149">
        <v>45848</v>
      </c>
      <c r="C177" s="150"/>
      <c r="D177" s="150"/>
      <c r="E177" s="150"/>
      <c r="F177" s="150"/>
      <c r="G177" s="148"/>
      <c r="H177" s="148"/>
      <c r="I177" s="151"/>
      <c r="J177" s="156"/>
      <c r="K177" s="156"/>
      <c r="L177" s="152">
        <f t="shared" si="12"/>
        <v>0</v>
      </c>
      <c r="M177" s="150"/>
      <c r="N177" s="153"/>
      <c r="O177" s="153"/>
      <c r="P177" s="153"/>
      <c r="Q177" s="150"/>
      <c r="R177" s="154"/>
    </row>
    <row r="178" spans="1:18" s="155" customFormat="1" ht="17" customHeight="1" x14ac:dyDescent="0.3">
      <c r="A178" s="148" t="s">
        <v>685</v>
      </c>
      <c r="B178" s="149">
        <v>45848</v>
      </c>
      <c r="C178" s="150"/>
      <c r="D178" s="150"/>
      <c r="E178" s="150"/>
      <c r="F178" s="150"/>
      <c r="G178" s="148"/>
      <c r="H178" s="148"/>
      <c r="I178" s="151"/>
      <c r="J178" s="156"/>
      <c r="K178" s="156"/>
      <c r="L178" s="152">
        <f t="shared" si="12"/>
        <v>0</v>
      </c>
      <c r="M178" s="150"/>
      <c r="N178" s="153"/>
      <c r="O178" s="153"/>
      <c r="P178" s="153"/>
      <c r="Q178" s="150"/>
      <c r="R178" s="154"/>
    </row>
    <row r="179" spans="1:18" x14ac:dyDescent="0.3">
      <c r="A179" s="47"/>
      <c r="B179" s="59"/>
      <c r="C179" s="47"/>
      <c r="D179" s="47"/>
      <c r="E179" s="48"/>
      <c r="F179" s="168"/>
      <c r="G179" s="49"/>
      <c r="H179" s="49"/>
      <c r="I179" s="8"/>
      <c r="J179" s="50"/>
      <c r="K179" s="50"/>
      <c r="L179" s="51"/>
      <c r="M179" s="49"/>
      <c r="N179" s="31"/>
      <c r="O179" s="6"/>
      <c r="P179" s="6"/>
      <c r="Q179" s="49"/>
      <c r="R179" s="56"/>
    </row>
    <row r="180" spans="1:18" x14ac:dyDescent="0.3">
      <c r="A180" s="47"/>
      <c r="B180" s="59"/>
      <c r="C180" s="47"/>
      <c r="D180" s="47"/>
      <c r="E180" s="48"/>
      <c r="F180" s="49"/>
      <c r="G180" s="49"/>
      <c r="H180" s="49"/>
      <c r="I180" s="8"/>
      <c r="J180" s="50"/>
      <c r="K180" s="50"/>
      <c r="L180" s="51"/>
      <c r="M180" s="49"/>
      <c r="N180" s="6"/>
      <c r="O180" s="6"/>
      <c r="P180" s="6"/>
      <c r="Q180" s="49"/>
      <c r="R180" s="56"/>
    </row>
    <row r="181" spans="1:18" x14ac:dyDescent="0.3">
      <c r="A181" s="47"/>
      <c r="B181" s="59"/>
      <c r="C181" s="47"/>
      <c r="D181" s="47"/>
      <c r="E181" s="48"/>
      <c r="F181" s="49"/>
      <c r="G181" s="49"/>
      <c r="H181" s="49"/>
      <c r="I181" s="8"/>
      <c r="J181" s="50"/>
      <c r="K181" s="50"/>
      <c r="L181" s="51"/>
      <c r="M181" s="49"/>
      <c r="N181" s="6"/>
      <c r="O181" s="6"/>
      <c r="P181" s="6"/>
      <c r="Q181" s="49"/>
      <c r="R181" s="56"/>
    </row>
    <row r="182" spans="1:18" x14ac:dyDescent="0.3">
      <c r="A182" s="47"/>
      <c r="B182" s="59"/>
      <c r="C182" s="47"/>
      <c r="D182" s="47"/>
      <c r="E182" s="48"/>
      <c r="F182" s="49"/>
      <c r="G182" s="49"/>
      <c r="H182" s="49"/>
      <c r="I182" s="8"/>
      <c r="J182" s="50"/>
      <c r="K182" s="50"/>
      <c r="L182" s="51"/>
      <c r="M182" s="49"/>
      <c r="N182" s="6"/>
      <c r="O182" s="6"/>
      <c r="P182" s="6"/>
      <c r="Q182" s="49"/>
      <c r="R182" s="56"/>
    </row>
    <row r="183" spans="1:18" x14ac:dyDescent="0.3">
      <c r="A183" s="47"/>
      <c r="B183" s="59"/>
      <c r="C183" s="47"/>
      <c r="D183" s="49"/>
      <c r="E183" s="49"/>
      <c r="F183" s="49"/>
      <c r="G183" s="49"/>
      <c r="H183" s="49"/>
      <c r="I183" s="8"/>
      <c r="J183" s="50"/>
      <c r="K183" s="50"/>
      <c r="L183" s="51"/>
      <c r="M183" s="49"/>
      <c r="N183" s="6"/>
      <c r="O183" s="6"/>
      <c r="P183" s="6"/>
      <c r="Q183" s="49"/>
      <c r="R183" s="56"/>
    </row>
    <row r="184" spans="1:18" x14ac:dyDescent="0.3">
      <c r="A184" s="47"/>
      <c r="B184" s="59"/>
      <c r="C184" s="47"/>
      <c r="D184" s="49"/>
      <c r="E184" s="49"/>
      <c r="F184" s="49"/>
      <c r="G184" s="49"/>
      <c r="H184" s="49"/>
      <c r="I184" s="8"/>
      <c r="J184" s="50"/>
      <c r="K184" s="50"/>
      <c r="L184" s="51"/>
      <c r="M184" s="49"/>
      <c r="N184" s="6"/>
      <c r="O184" s="6"/>
      <c r="P184" s="6"/>
      <c r="Q184" s="49"/>
      <c r="R184" s="56"/>
    </row>
    <row r="185" spans="1:18" x14ac:dyDescent="0.3">
      <c r="A185" s="47"/>
      <c r="B185" s="59"/>
      <c r="C185" s="47"/>
      <c r="D185" s="49"/>
      <c r="E185" s="49"/>
      <c r="F185" s="49"/>
      <c r="G185" s="49"/>
      <c r="H185" s="49"/>
      <c r="I185" s="8"/>
      <c r="J185" s="50"/>
      <c r="K185" s="50"/>
      <c r="L185" s="51"/>
      <c r="M185" s="49"/>
      <c r="N185" s="6"/>
      <c r="O185" s="6"/>
      <c r="P185" s="6"/>
      <c r="Q185" s="49"/>
      <c r="R185" s="56"/>
    </row>
    <row r="186" spans="1:18" x14ac:dyDescent="0.3">
      <c r="A186" s="47"/>
      <c r="B186" s="59"/>
      <c r="C186" s="47"/>
      <c r="D186" s="49"/>
      <c r="E186" s="49"/>
      <c r="F186" s="49"/>
      <c r="G186" s="49"/>
      <c r="H186" s="49"/>
      <c r="I186" s="8"/>
      <c r="J186" s="50"/>
      <c r="K186" s="50"/>
      <c r="L186" s="51"/>
      <c r="M186" s="49"/>
      <c r="N186" s="6"/>
      <c r="O186" s="6"/>
      <c r="P186" s="6"/>
      <c r="Q186" s="49"/>
      <c r="R186" s="56"/>
    </row>
    <row r="187" spans="1:18" x14ac:dyDescent="0.3">
      <c r="A187" s="47"/>
      <c r="B187" s="59"/>
      <c r="C187" s="47"/>
      <c r="D187" s="49"/>
      <c r="E187" s="49"/>
      <c r="F187" s="49"/>
      <c r="G187" s="49"/>
      <c r="H187" s="49"/>
      <c r="I187" s="8"/>
      <c r="J187" s="50"/>
      <c r="K187" s="50"/>
      <c r="L187" s="51"/>
      <c r="M187" s="49"/>
      <c r="N187" s="6"/>
      <c r="O187" s="6"/>
      <c r="P187" s="6"/>
      <c r="Q187" s="49"/>
      <c r="R187" s="56"/>
    </row>
    <row r="188" spans="1:18" x14ac:dyDescent="0.3">
      <c r="A188" s="47"/>
      <c r="B188" s="59"/>
      <c r="C188" s="47"/>
      <c r="D188" s="49"/>
      <c r="E188" s="58"/>
      <c r="F188" s="49"/>
      <c r="G188" s="49"/>
      <c r="H188" s="49"/>
      <c r="I188" s="8"/>
      <c r="J188" s="50"/>
      <c r="K188" s="50"/>
      <c r="L188" s="51"/>
      <c r="M188" s="49"/>
      <c r="N188" s="6"/>
      <c r="O188" s="6"/>
      <c r="P188" s="6"/>
      <c r="Q188" s="49"/>
      <c r="R188" s="56"/>
    </row>
    <row r="189" spans="1:18" x14ac:dyDescent="0.3">
      <c r="A189" s="47"/>
      <c r="B189" s="59"/>
      <c r="C189" s="49"/>
      <c r="D189" s="49"/>
      <c r="E189" s="58"/>
      <c r="F189" s="49"/>
      <c r="G189" s="49"/>
      <c r="H189" s="49"/>
      <c r="I189" s="8"/>
      <c r="J189" s="50"/>
      <c r="K189" s="50"/>
      <c r="L189" s="51"/>
      <c r="M189" s="49"/>
      <c r="N189" s="6"/>
      <c r="O189" s="6"/>
      <c r="P189" s="6"/>
      <c r="Q189" s="49"/>
      <c r="R189" s="56"/>
    </row>
    <row r="190" spans="1:18" x14ac:dyDescent="0.3">
      <c r="A190" s="47"/>
      <c r="B190" s="46"/>
      <c r="C190" s="49"/>
      <c r="D190" s="49"/>
      <c r="E190" s="58"/>
      <c r="F190" s="49"/>
      <c r="G190" s="49"/>
      <c r="H190" s="49"/>
      <c r="I190" s="8"/>
      <c r="J190" s="50"/>
      <c r="K190" s="50"/>
      <c r="L190" s="51"/>
      <c r="M190" s="49"/>
      <c r="N190" s="46"/>
      <c r="O190" s="49"/>
      <c r="P190" s="6"/>
      <c r="Q190" s="49"/>
      <c r="R190" s="56"/>
    </row>
    <row r="191" spans="1:18" x14ac:dyDescent="0.3">
      <c r="A191" s="47"/>
      <c r="B191" s="46"/>
      <c r="C191" s="49"/>
      <c r="D191" s="49"/>
      <c r="E191" s="58"/>
      <c r="F191" s="49"/>
      <c r="G191" s="49"/>
      <c r="H191" s="49"/>
      <c r="I191" s="8"/>
      <c r="J191" s="50"/>
      <c r="K191" s="50"/>
      <c r="L191" s="51"/>
      <c r="M191" s="49"/>
      <c r="N191" s="46"/>
      <c r="O191" s="49"/>
      <c r="P191" s="6"/>
      <c r="Q191" s="49"/>
      <c r="R191" s="56"/>
    </row>
    <row r="192" spans="1:18" x14ac:dyDescent="0.3">
      <c r="A192" s="47"/>
      <c r="B192" s="46"/>
      <c r="C192" s="49"/>
      <c r="D192" s="49"/>
      <c r="E192" s="58"/>
      <c r="F192" s="49"/>
      <c r="G192" s="49"/>
      <c r="H192" s="49"/>
      <c r="I192" s="8"/>
      <c r="J192" s="50"/>
      <c r="K192" s="50"/>
      <c r="L192" s="51"/>
      <c r="M192" s="49"/>
      <c r="N192" s="46"/>
      <c r="O192" s="49"/>
      <c r="P192" s="6"/>
      <c r="Q192" s="49"/>
      <c r="R192" s="56"/>
    </row>
    <row r="193" spans="1:18" x14ac:dyDescent="0.3">
      <c r="A193" s="47"/>
      <c r="B193" s="46"/>
      <c r="C193" s="49"/>
      <c r="D193" s="49"/>
      <c r="E193" s="58"/>
      <c r="F193" s="49"/>
      <c r="G193" s="49"/>
      <c r="H193" s="49"/>
      <c r="I193" s="8"/>
      <c r="J193" s="50"/>
      <c r="K193" s="50"/>
      <c r="L193" s="51"/>
      <c r="M193" s="49"/>
      <c r="N193" s="46"/>
      <c r="O193" s="49"/>
      <c r="P193" s="60"/>
      <c r="Q193" s="49"/>
      <c r="R193" s="56"/>
    </row>
    <row r="194" spans="1:18" x14ac:dyDescent="0.3">
      <c r="A194" s="47"/>
      <c r="B194" s="46"/>
      <c r="C194" s="49"/>
      <c r="D194" s="49"/>
      <c r="E194" s="58"/>
      <c r="F194" s="49"/>
      <c r="G194" s="49"/>
      <c r="H194" s="49"/>
      <c r="I194" s="8"/>
      <c r="J194" s="50"/>
      <c r="K194" s="50"/>
      <c r="L194" s="51"/>
      <c r="M194" s="49"/>
      <c r="N194" s="46"/>
      <c r="O194" s="49"/>
      <c r="P194" s="6"/>
      <c r="Q194" s="49"/>
      <c r="R194" s="56"/>
    </row>
    <row r="195" spans="1:18" x14ac:dyDescent="0.3">
      <c r="A195" s="47"/>
      <c r="B195" s="46"/>
      <c r="C195" s="49"/>
      <c r="D195" s="49"/>
      <c r="E195" s="58"/>
      <c r="F195" s="49"/>
      <c r="G195" s="49"/>
      <c r="H195" s="49"/>
      <c r="I195" s="8"/>
      <c r="J195" s="50"/>
      <c r="K195" s="50"/>
      <c r="L195" s="51"/>
      <c r="M195" s="49"/>
      <c r="N195" s="46"/>
      <c r="O195" s="49"/>
      <c r="P195" s="6"/>
      <c r="Q195" s="49"/>
      <c r="R195" s="56"/>
    </row>
    <row r="196" spans="1:18" x14ac:dyDescent="0.3">
      <c r="A196" s="47"/>
      <c r="B196" s="46"/>
      <c r="C196" s="49"/>
      <c r="D196" s="49"/>
      <c r="E196" s="58"/>
      <c r="F196" s="49"/>
      <c r="G196" s="49"/>
      <c r="H196" s="49"/>
      <c r="I196" s="8"/>
      <c r="J196" s="50"/>
      <c r="K196" s="50"/>
      <c r="L196" s="51"/>
      <c r="M196" s="49"/>
      <c r="N196" s="46"/>
      <c r="O196" s="49"/>
      <c r="P196" s="6"/>
      <c r="Q196" s="49"/>
      <c r="R196" s="56"/>
    </row>
    <row r="197" spans="1:18" x14ac:dyDescent="0.3">
      <c r="A197" s="47"/>
      <c r="B197" s="46"/>
      <c r="C197" s="49"/>
      <c r="D197" s="49"/>
      <c r="E197" s="58"/>
      <c r="F197" s="49"/>
      <c r="G197" s="49"/>
      <c r="H197" s="49"/>
      <c r="I197" s="8"/>
      <c r="J197" s="50"/>
      <c r="K197" s="50"/>
      <c r="L197" s="51"/>
      <c r="M197" s="49"/>
      <c r="N197" s="46"/>
      <c r="O197" s="49"/>
      <c r="P197" s="6"/>
      <c r="Q197" s="49"/>
      <c r="R197" s="56"/>
    </row>
    <row r="198" spans="1:18" x14ac:dyDescent="0.3">
      <c r="A198" s="47"/>
      <c r="B198" s="46"/>
      <c r="C198" s="49"/>
      <c r="D198" s="57"/>
      <c r="E198" s="57"/>
      <c r="F198" s="49"/>
      <c r="G198" s="49"/>
      <c r="H198" s="49"/>
      <c r="I198" s="8"/>
      <c r="J198" s="50"/>
      <c r="K198" s="50"/>
      <c r="L198" s="51"/>
      <c r="M198" s="49"/>
      <c r="N198" s="46"/>
      <c r="O198" s="49"/>
      <c r="P198" s="6"/>
      <c r="Q198" s="49"/>
      <c r="R198" s="56"/>
    </row>
    <row r="199" spans="1:18" x14ac:dyDescent="0.3">
      <c r="A199" s="47"/>
      <c r="B199" s="46"/>
      <c r="C199" s="49"/>
      <c r="D199" s="49"/>
      <c r="E199" s="58"/>
      <c r="F199" s="49"/>
      <c r="G199" s="49"/>
      <c r="H199" s="49"/>
      <c r="I199" s="8"/>
      <c r="J199" s="50"/>
      <c r="K199" s="50"/>
      <c r="L199" s="51"/>
      <c r="M199" s="49"/>
      <c r="N199" s="46"/>
      <c r="O199" s="49"/>
      <c r="P199" s="6"/>
      <c r="Q199" s="49"/>
      <c r="R199" s="56"/>
    </row>
    <row r="200" spans="1:18" x14ac:dyDescent="0.3">
      <c r="A200" s="47"/>
      <c r="B200" s="46"/>
      <c r="C200" s="49"/>
      <c r="D200" s="49"/>
      <c r="E200" s="49"/>
      <c r="F200" s="49"/>
      <c r="G200" s="49"/>
      <c r="H200" s="49"/>
      <c r="I200" s="8"/>
      <c r="J200" s="50"/>
      <c r="K200" s="50"/>
      <c r="L200" s="51"/>
      <c r="M200" s="49"/>
      <c r="N200" s="46"/>
      <c r="O200" s="49"/>
      <c r="P200" s="6"/>
      <c r="Q200" s="49"/>
      <c r="R200" s="56"/>
    </row>
    <row r="201" spans="1:18" x14ac:dyDescent="0.3">
      <c r="A201" s="47"/>
      <c r="B201" s="46"/>
      <c r="C201" s="49"/>
      <c r="D201" s="49"/>
      <c r="E201" s="49"/>
      <c r="F201" s="49"/>
      <c r="G201" s="49"/>
      <c r="H201" s="49"/>
      <c r="I201" s="8"/>
      <c r="J201" s="50"/>
      <c r="K201" s="50"/>
      <c r="L201" s="51"/>
      <c r="M201" s="49"/>
      <c r="N201" s="46"/>
      <c r="O201" s="49"/>
      <c r="P201" s="6"/>
      <c r="Q201" s="49"/>
      <c r="R201" s="56"/>
    </row>
    <row r="202" spans="1:18" x14ac:dyDescent="0.3">
      <c r="A202" s="49"/>
      <c r="B202" s="46"/>
      <c r="C202" s="49"/>
      <c r="D202" s="49"/>
      <c r="E202" s="49"/>
      <c r="F202" s="49"/>
      <c r="G202" s="49"/>
      <c r="H202" s="49"/>
      <c r="I202" s="8"/>
      <c r="J202" s="50"/>
      <c r="K202" s="50"/>
      <c r="L202" s="51"/>
      <c r="M202" s="49"/>
      <c r="N202" s="6"/>
      <c r="O202" s="6"/>
      <c r="P202" s="6"/>
      <c r="Q202" s="49"/>
      <c r="R202" s="56"/>
    </row>
    <row r="203" spans="1:18" x14ac:dyDescent="0.3">
      <c r="A203" s="49"/>
      <c r="B203" s="46"/>
      <c r="C203" s="49"/>
      <c r="D203" s="49"/>
      <c r="E203" s="49"/>
      <c r="F203" s="49"/>
      <c r="G203" s="49"/>
      <c r="H203" s="49"/>
      <c r="I203" s="8"/>
      <c r="J203" s="50"/>
      <c r="K203" s="50"/>
      <c r="L203" s="51"/>
      <c r="M203" s="49"/>
      <c r="N203" s="6"/>
      <c r="O203" s="6"/>
      <c r="P203" s="6"/>
      <c r="Q203" s="49"/>
      <c r="R203" s="56"/>
    </row>
    <row r="204" spans="1:18" x14ac:dyDescent="0.3">
      <c r="A204" s="49"/>
      <c r="B204" s="46"/>
      <c r="C204" s="49"/>
      <c r="D204" s="49"/>
      <c r="E204" s="49"/>
      <c r="F204" s="49"/>
      <c r="G204" s="49"/>
      <c r="H204" s="49"/>
      <c r="I204" s="8"/>
      <c r="J204" s="50"/>
      <c r="K204" s="50"/>
      <c r="L204" s="51"/>
      <c r="M204" s="49"/>
      <c r="N204" s="6"/>
      <c r="O204" s="6"/>
      <c r="P204" s="6"/>
      <c r="Q204" s="49"/>
      <c r="R204" s="56"/>
    </row>
    <row r="205" spans="1:18" x14ac:dyDescent="0.3">
      <c r="A205" s="49"/>
      <c r="B205" s="46"/>
      <c r="C205" s="49"/>
      <c r="D205" s="49"/>
      <c r="E205" s="49"/>
      <c r="F205" s="49"/>
      <c r="G205" s="49"/>
      <c r="H205" s="49"/>
      <c r="I205" s="8"/>
      <c r="J205" s="50"/>
      <c r="K205" s="50"/>
      <c r="L205" s="51"/>
      <c r="M205" s="49"/>
      <c r="N205" s="6"/>
      <c r="O205" s="6"/>
      <c r="P205" s="6"/>
      <c r="Q205" s="49"/>
      <c r="R205" s="56"/>
    </row>
    <row r="206" spans="1:18" x14ac:dyDescent="0.3">
      <c r="A206" s="49"/>
      <c r="B206" s="46"/>
      <c r="C206" s="49"/>
      <c r="D206" s="49"/>
      <c r="E206" s="49"/>
      <c r="F206" s="49"/>
      <c r="G206" s="49"/>
      <c r="H206" s="49"/>
      <c r="I206" s="8"/>
      <c r="J206" s="50"/>
      <c r="K206" s="50"/>
      <c r="L206" s="51"/>
      <c r="M206" s="49"/>
      <c r="N206" s="6"/>
      <c r="O206" s="6"/>
      <c r="P206" s="6"/>
      <c r="Q206" s="49"/>
      <c r="R206" s="56"/>
    </row>
    <row r="207" spans="1:18" x14ac:dyDescent="0.3">
      <c r="A207" s="49"/>
      <c r="B207" s="46"/>
      <c r="C207" s="49"/>
      <c r="D207" s="49"/>
      <c r="E207" s="49"/>
      <c r="F207" s="49"/>
      <c r="G207" s="49"/>
      <c r="H207" s="49"/>
      <c r="I207" s="8"/>
      <c r="J207" s="50"/>
      <c r="K207" s="50"/>
      <c r="L207" s="51"/>
      <c r="M207" s="49"/>
      <c r="N207" s="6"/>
      <c r="O207" s="6"/>
      <c r="P207" s="6"/>
      <c r="Q207" s="49"/>
      <c r="R207" s="56"/>
    </row>
    <row r="208" spans="1:18" x14ac:dyDescent="0.3">
      <c r="A208" s="49"/>
      <c r="B208" s="46"/>
      <c r="C208" s="49"/>
      <c r="D208" s="49"/>
      <c r="E208" s="49"/>
      <c r="F208" s="49"/>
      <c r="G208" s="49"/>
      <c r="H208" s="49"/>
      <c r="I208" s="8"/>
      <c r="J208" s="50"/>
      <c r="K208" s="50"/>
      <c r="L208" s="51"/>
      <c r="M208" s="49"/>
      <c r="N208" s="6"/>
      <c r="O208" s="6"/>
      <c r="P208" s="6"/>
      <c r="Q208" s="49"/>
      <c r="R208" s="56"/>
    </row>
    <row r="209" spans="1:18" x14ac:dyDescent="0.3">
      <c r="A209" s="49"/>
      <c r="B209" s="46"/>
      <c r="C209" s="49"/>
      <c r="D209" s="49"/>
      <c r="E209" s="49"/>
      <c r="F209" s="45"/>
      <c r="G209" s="49"/>
      <c r="H209" s="49"/>
      <c r="I209" s="8"/>
      <c r="J209" s="50"/>
      <c r="K209" s="50"/>
      <c r="L209" s="51"/>
      <c r="M209" s="49"/>
      <c r="N209" s="6"/>
      <c r="O209" s="6"/>
      <c r="P209" s="6"/>
      <c r="Q209" s="49"/>
      <c r="R209" s="56"/>
    </row>
    <row r="210" spans="1:18" x14ac:dyDescent="0.3">
      <c r="A210" s="49"/>
      <c r="B210" s="46"/>
      <c r="C210" s="49"/>
      <c r="D210" s="49"/>
      <c r="E210" s="49"/>
      <c r="F210" s="49"/>
      <c r="G210" s="49"/>
      <c r="H210" s="49"/>
      <c r="I210" s="8"/>
      <c r="J210" s="50"/>
      <c r="K210" s="50"/>
      <c r="L210" s="51"/>
      <c r="M210" s="49"/>
      <c r="N210" s="6"/>
      <c r="O210" s="6"/>
      <c r="P210" s="6"/>
      <c r="Q210" s="49"/>
      <c r="R210" s="56"/>
    </row>
    <row r="211" spans="1:18" x14ac:dyDescent="0.3">
      <c r="A211" s="49"/>
      <c r="B211" s="46"/>
      <c r="C211" s="49"/>
      <c r="D211" s="49"/>
      <c r="E211" s="49"/>
      <c r="F211" s="49"/>
      <c r="G211" s="49"/>
      <c r="H211" s="49"/>
      <c r="I211" s="8"/>
      <c r="J211" s="50"/>
      <c r="K211" s="50"/>
      <c r="L211" s="51"/>
      <c r="M211" s="49"/>
      <c r="N211" s="6"/>
      <c r="O211" s="6"/>
      <c r="P211" s="6"/>
      <c r="Q211" s="49"/>
      <c r="R211" s="56"/>
    </row>
    <row r="212" spans="1:18" x14ac:dyDescent="0.3">
      <c r="A212" s="49"/>
      <c r="B212" s="46"/>
      <c r="C212" s="49"/>
      <c r="D212" s="49"/>
      <c r="E212" s="49"/>
      <c r="F212" s="49"/>
      <c r="G212" s="49"/>
      <c r="H212" s="49"/>
      <c r="I212" s="8"/>
      <c r="J212" s="50"/>
      <c r="K212" s="50"/>
      <c r="L212" s="51"/>
      <c r="M212" s="49"/>
      <c r="N212" s="6"/>
      <c r="O212" s="6"/>
      <c r="P212" s="6"/>
      <c r="Q212" s="49"/>
      <c r="R212" s="56"/>
    </row>
    <row r="213" spans="1:18" x14ac:dyDescent="0.3">
      <c r="A213" s="49"/>
      <c r="B213" s="46"/>
      <c r="C213" s="49"/>
      <c r="D213" s="49"/>
      <c r="E213" s="49"/>
      <c r="F213" s="49"/>
      <c r="G213" s="49"/>
      <c r="H213" s="49"/>
      <c r="I213" s="8"/>
      <c r="J213" s="50"/>
      <c r="K213" s="50"/>
      <c r="L213" s="51"/>
      <c r="M213" s="49"/>
      <c r="N213" s="6"/>
      <c r="O213" s="6"/>
      <c r="P213" s="6"/>
      <c r="Q213" s="49"/>
      <c r="R213" s="56"/>
    </row>
    <row r="214" spans="1:18" x14ac:dyDescent="0.3">
      <c r="A214" s="49"/>
      <c r="B214" s="46"/>
      <c r="C214" s="49"/>
      <c r="D214" s="49"/>
      <c r="E214" s="49"/>
      <c r="F214" s="45"/>
      <c r="G214" s="49"/>
      <c r="H214" s="49"/>
      <c r="I214" s="8"/>
      <c r="J214" s="50"/>
      <c r="K214" s="50"/>
      <c r="L214" s="51"/>
      <c r="M214" s="49"/>
      <c r="N214" s="6"/>
      <c r="O214" s="6"/>
      <c r="P214" s="6"/>
      <c r="Q214" s="45"/>
      <c r="R214" s="56"/>
    </row>
    <row r="215" spans="1:18" x14ac:dyDescent="0.3">
      <c r="A215" s="49"/>
      <c r="B215" s="46"/>
      <c r="C215" s="49"/>
      <c r="D215" s="49"/>
      <c r="E215" s="49"/>
      <c r="F215" s="49"/>
      <c r="G215" s="49"/>
      <c r="H215" s="49"/>
      <c r="I215" s="8"/>
      <c r="J215" s="50"/>
      <c r="K215" s="50"/>
      <c r="L215" s="51"/>
      <c r="M215" s="49"/>
      <c r="N215" s="6"/>
      <c r="O215" s="6"/>
      <c r="P215" s="6"/>
      <c r="Q215" s="45"/>
      <c r="R215" s="56"/>
    </row>
    <row r="216" spans="1:18" x14ac:dyDescent="0.3">
      <c r="A216" s="49"/>
      <c r="B216" s="46"/>
      <c r="C216" s="49"/>
      <c r="D216" s="49"/>
      <c r="E216" s="49"/>
      <c r="F216" s="49"/>
      <c r="G216" s="49"/>
      <c r="H216" s="49"/>
      <c r="I216" s="8"/>
      <c r="J216" s="50"/>
      <c r="K216" s="50"/>
      <c r="L216" s="51"/>
      <c r="M216" s="49"/>
      <c r="N216" s="6"/>
      <c r="O216" s="6"/>
      <c r="P216" s="6"/>
      <c r="Q216" s="49"/>
      <c r="R216" s="56"/>
    </row>
    <row r="217" spans="1:18" x14ac:dyDescent="0.3">
      <c r="A217" s="49"/>
      <c r="B217" s="46"/>
      <c r="C217" s="49"/>
      <c r="D217" s="49"/>
      <c r="E217" s="49"/>
      <c r="F217" s="49"/>
      <c r="G217" s="49"/>
      <c r="H217" s="49"/>
      <c r="I217" s="8"/>
      <c r="J217" s="50"/>
      <c r="K217" s="50"/>
      <c r="L217" s="51"/>
      <c r="M217" s="49"/>
      <c r="N217" s="6"/>
      <c r="O217" s="6"/>
      <c r="P217" s="6"/>
      <c r="Q217" s="49"/>
      <c r="R217" s="56"/>
    </row>
    <row r="218" spans="1:18" x14ac:dyDescent="0.3">
      <c r="A218" s="49"/>
      <c r="B218" s="46"/>
      <c r="C218" s="49"/>
      <c r="D218" s="49"/>
      <c r="E218" s="49"/>
      <c r="F218" s="49"/>
      <c r="G218" s="49"/>
      <c r="H218" s="49"/>
      <c r="I218" s="8"/>
      <c r="J218" s="50"/>
      <c r="K218" s="50"/>
      <c r="L218" s="51"/>
      <c r="M218" s="49"/>
      <c r="N218" s="6"/>
      <c r="O218" s="6"/>
      <c r="P218" s="6"/>
      <c r="Q218" s="49"/>
      <c r="R218" s="56"/>
    </row>
    <row r="219" spans="1:18" x14ac:dyDescent="0.3">
      <c r="A219" s="49"/>
      <c r="B219" s="46"/>
      <c r="C219" s="49"/>
      <c r="D219" s="49"/>
      <c r="E219" s="49"/>
      <c r="F219" s="49"/>
      <c r="G219" s="49"/>
      <c r="H219" s="49"/>
      <c r="I219" s="8"/>
      <c r="J219" s="50"/>
      <c r="K219" s="50"/>
      <c r="L219" s="51"/>
      <c r="M219" s="49"/>
      <c r="N219" s="6"/>
      <c r="O219" s="6"/>
      <c r="P219" s="6"/>
      <c r="Q219" s="49"/>
      <c r="R219" s="56"/>
    </row>
    <row r="220" spans="1:18" x14ac:dyDescent="0.3">
      <c r="A220" s="49"/>
      <c r="B220" s="46"/>
      <c r="C220" s="49"/>
      <c r="D220" s="49"/>
      <c r="E220" s="49"/>
      <c r="F220" s="49"/>
      <c r="G220" s="49"/>
      <c r="H220" s="49"/>
      <c r="I220" s="8"/>
      <c r="J220" s="50"/>
      <c r="K220" s="50"/>
      <c r="L220" s="51"/>
      <c r="M220" s="49"/>
      <c r="N220" s="6"/>
      <c r="O220" s="6"/>
      <c r="P220" s="6"/>
      <c r="Q220" s="49"/>
      <c r="R220" s="56"/>
    </row>
    <row r="221" spans="1:18" x14ac:dyDescent="0.3">
      <c r="A221" s="49"/>
      <c r="B221" s="46"/>
      <c r="C221" s="49"/>
      <c r="D221" s="49"/>
      <c r="E221" s="49"/>
      <c r="F221" s="49"/>
      <c r="G221" s="49"/>
      <c r="H221" s="49"/>
      <c r="I221" s="8"/>
      <c r="J221" s="50"/>
      <c r="K221" s="50"/>
      <c r="L221" s="51"/>
      <c r="M221" s="49"/>
      <c r="N221" s="6"/>
      <c r="O221" s="6"/>
      <c r="P221" s="6"/>
      <c r="Q221" s="49"/>
      <c r="R221" s="56"/>
    </row>
    <row r="222" spans="1:18" x14ac:dyDescent="0.3">
      <c r="A222" s="49"/>
      <c r="B222" s="46"/>
      <c r="C222" s="49"/>
      <c r="D222" s="49"/>
      <c r="E222" s="49"/>
      <c r="F222" s="49"/>
      <c r="G222" s="49"/>
      <c r="H222" s="49"/>
      <c r="I222" s="8"/>
      <c r="J222" s="50"/>
      <c r="K222" s="50"/>
      <c r="L222" s="51"/>
      <c r="M222" s="49"/>
      <c r="N222" s="6"/>
      <c r="O222" s="6"/>
      <c r="P222" s="6"/>
      <c r="Q222" s="49"/>
      <c r="R222" s="56"/>
    </row>
    <row r="223" spans="1:18" x14ac:dyDescent="0.3">
      <c r="A223" s="49"/>
      <c r="B223" s="46"/>
      <c r="C223" s="49"/>
      <c r="D223" s="49"/>
      <c r="E223" s="49"/>
      <c r="F223" s="49"/>
      <c r="G223" s="49"/>
      <c r="H223" s="49"/>
      <c r="I223" s="8"/>
      <c r="J223" s="50"/>
      <c r="K223" s="50"/>
      <c r="L223" s="51"/>
      <c r="M223" s="49"/>
      <c r="N223" s="6"/>
      <c r="O223" s="6"/>
      <c r="P223" s="6"/>
      <c r="Q223" s="49"/>
      <c r="R223" s="56"/>
    </row>
    <row r="224" spans="1:18" x14ac:dyDescent="0.3">
      <c r="A224" s="49"/>
      <c r="B224" s="46"/>
      <c r="C224" s="49"/>
      <c r="D224" s="49"/>
      <c r="E224" s="49"/>
      <c r="F224" s="49"/>
      <c r="G224" s="49"/>
      <c r="H224" s="49"/>
      <c r="I224" s="8"/>
      <c r="J224" s="50"/>
      <c r="K224" s="50"/>
      <c r="L224" s="51"/>
      <c r="M224" s="49"/>
      <c r="N224" s="6"/>
      <c r="O224" s="6"/>
      <c r="P224" s="6"/>
      <c r="Q224" s="49"/>
      <c r="R224" s="56"/>
    </row>
    <row r="225" spans="1:18" x14ac:dyDescent="0.3">
      <c r="A225" s="49"/>
      <c r="B225" s="46"/>
      <c r="C225" s="49"/>
      <c r="D225" s="49"/>
      <c r="E225" s="49"/>
      <c r="F225" s="49"/>
      <c r="G225" s="49"/>
      <c r="H225" s="49"/>
      <c r="I225" s="8"/>
      <c r="J225" s="50"/>
      <c r="K225" s="50"/>
      <c r="L225" s="51"/>
      <c r="M225" s="49"/>
      <c r="N225" s="6"/>
      <c r="O225" s="6"/>
      <c r="P225" s="6"/>
      <c r="Q225" s="49"/>
      <c r="R225" s="56"/>
    </row>
    <row r="226" spans="1:18" x14ac:dyDescent="0.3">
      <c r="A226" s="49"/>
      <c r="B226" s="46"/>
      <c r="C226" s="49"/>
      <c r="D226" s="49"/>
      <c r="E226" s="49"/>
      <c r="F226" s="49"/>
      <c r="G226" s="49"/>
      <c r="H226" s="49"/>
      <c r="I226" s="8"/>
      <c r="J226" s="50"/>
      <c r="K226" s="50"/>
      <c r="L226" s="51"/>
      <c r="M226" s="49"/>
      <c r="N226" s="6"/>
      <c r="O226" s="6"/>
      <c r="P226" s="6"/>
      <c r="Q226" s="49"/>
      <c r="R226" s="56"/>
    </row>
    <row r="227" spans="1:18" x14ac:dyDescent="0.3">
      <c r="A227" s="49"/>
      <c r="B227" s="46"/>
      <c r="C227" s="49"/>
      <c r="D227" s="49"/>
      <c r="E227" s="49"/>
      <c r="F227" s="49"/>
      <c r="G227" s="49"/>
      <c r="H227" s="49"/>
      <c r="I227" s="8"/>
      <c r="J227" s="50"/>
      <c r="K227" s="50"/>
      <c r="L227" s="51"/>
      <c r="M227" s="49"/>
      <c r="N227" s="6"/>
      <c r="O227" s="6"/>
      <c r="P227" s="6"/>
      <c r="Q227" s="49"/>
      <c r="R227" s="6"/>
    </row>
    <row r="228" spans="1:18" x14ac:dyDescent="0.3">
      <c r="A228" s="49"/>
      <c r="B228" s="46"/>
      <c r="C228" s="49"/>
      <c r="D228" s="49"/>
      <c r="E228" s="49"/>
      <c r="F228" s="49"/>
      <c r="G228" s="49"/>
      <c r="H228" s="49"/>
      <c r="I228" s="8"/>
      <c r="J228" s="50"/>
      <c r="K228" s="50"/>
      <c r="L228" s="51"/>
      <c r="M228" s="49"/>
      <c r="N228" s="6"/>
      <c r="O228" s="6"/>
      <c r="P228" s="6"/>
      <c r="Q228" s="49"/>
      <c r="R228" s="6"/>
    </row>
    <row r="229" spans="1:18" x14ac:dyDescent="0.3">
      <c r="A229" s="49"/>
      <c r="B229" s="46"/>
      <c r="C229" s="49"/>
      <c r="D229" s="49"/>
      <c r="E229" s="49"/>
      <c r="F229" s="49"/>
      <c r="G229" s="49"/>
      <c r="H229" s="49"/>
      <c r="I229" s="8"/>
      <c r="J229" s="50"/>
      <c r="K229" s="50"/>
      <c r="L229" s="51"/>
      <c r="M229" s="49"/>
      <c r="N229" s="6"/>
      <c r="O229" s="6"/>
      <c r="P229" s="6"/>
      <c r="Q229" s="49"/>
      <c r="R229" s="6"/>
    </row>
    <row r="230" spans="1:18" x14ac:dyDescent="0.3">
      <c r="A230" s="49"/>
      <c r="B230" s="46"/>
      <c r="C230" s="49"/>
      <c r="D230" s="49"/>
      <c r="E230" s="49"/>
      <c r="F230" s="49"/>
      <c r="G230" s="49"/>
      <c r="H230" s="49"/>
      <c r="I230" s="8"/>
      <c r="J230" s="50"/>
      <c r="K230" s="50"/>
      <c r="L230" s="51"/>
      <c r="M230" s="49"/>
      <c r="N230" s="6"/>
      <c r="O230" s="6"/>
      <c r="P230" s="6"/>
      <c r="Q230" s="49"/>
      <c r="R230" s="6"/>
    </row>
    <row r="231" spans="1:18" x14ac:dyDescent="0.3">
      <c r="A231" s="49"/>
      <c r="B231" s="46"/>
      <c r="C231" s="49"/>
      <c r="D231" s="49"/>
      <c r="E231" s="49"/>
      <c r="F231" s="49"/>
      <c r="G231" s="49"/>
      <c r="H231" s="49"/>
      <c r="I231" s="8"/>
      <c r="J231" s="50"/>
      <c r="K231" s="50"/>
      <c r="L231" s="51"/>
      <c r="M231" s="49"/>
      <c r="N231" s="6"/>
      <c r="O231" s="6"/>
      <c r="P231" s="6"/>
      <c r="Q231" s="49"/>
      <c r="R231" s="6"/>
    </row>
    <row r="232" spans="1:18" x14ac:dyDescent="0.3">
      <c r="A232" s="49"/>
      <c r="B232" s="46"/>
      <c r="C232" s="49"/>
      <c r="D232" s="49"/>
      <c r="E232" s="49"/>
      <c r="F232" s="49"/>
      <c r="G232" s="49"/>
      <c r="H232" s="49"/>
      <c r="I232" s="8"/>
      <c r="J232" s="50"/>
      <c r="K232" s="50"/>
      <c r="L232" s="51"/>
      <c r="M232" s="49"/>
      <c r="N232" s="6"/>
      <c r="O232" s="6"/>
      <c r="P232" s="6"/>
      <c r="Q232" s="49"/>
      <c r="R232" s="6"/>
    </row>
    <row r="233" spans="1:18" x14ac:dyDescent="0.3">
      <c r="A233" s="49"/>
      <c r="B233" s="46"/>
      <c r="C233" s="49"/>
      <c r="D233" s="49"/>
      <c r="E233" s="49"/>
      <c r="F233" s="49"/>
      <c r="G233" s="49"/>
      <c r="H233" s="49"/>
      <c r="I233" s="8"/>
      <c r="J233" s="50"/>
      <c r="K233" s="50"/>
      <c r="L233" s="51"/>
      <c r="M233" s="49"/>
      <c r="N233" s="6"/>
      <c r="O233" s="6"/>
      <c r="P233" s="6"/>
      <c r="Q233" s="49"/>
      <c r="R233" s="6"/>
    </row>
    <row r="234" spans="1:18" x14ac:dyDescent="0.3">
      <c r="A234" s="49"/>
      <c r="B234" s="49"/>
      <c r="C234" s="49"/>
      <c r="D234" s="49"/>
      <c r="E234" s="49"/>
      <c r="F234" s="49"/>
      <c r="G234" s="49"/>
      <c r="H234" s="49"/>
      <c r="I234" s="8"/>
      <c r="J234" s="50"/>
      <c r="K234" s="50"/>
      <c r="L234" s="51"/>
      <c r="M234" s="49"/>
      <c r="N234" s="6"/>
      <c r="O234" s="6"/>
      <c r="P234" s="6"/>
      <c r="Q234" s="49"/>
      <c r="R234" s="6"/>
    </row>
    <row r="235" spans="1:18" x14ac:dyDescent="0.3">
      <c r="A235" s="49"/>
      <c r="B235" s="49"/>
      <c r="C235" s="49"/>
      <c r="D235" s="49"/>
      <c r="E235" s="49"/>
      <c r="F235" s="49"/>
      <c r="G235" s="49"/>
      <c r="H235" s="49"/>
      <c r="I235" s="8"/>
      <c r="J235" s="50"/>
      <c r="K235" s="50"/>
      <c r="L235" s="51"/>
      <c r="M235" s="49"/>
      <c r="N235" s="6"/>
      <c r="O235" s="6"/>
      <c r="P235" s="6"/>
      <c r="Q235" s="49"/>
      <c r="R235" s="6"/>
    </row>
    <row r="236" spans="1:18" x14ac:dyDescent="0.3">
      <c r="A236" s="49"/>
      <c r="B236" s="49"/>
      <c r="C236" s="49"/>
      <c r="D236" s="49"/>
      <c r="E236" s="49"/>
      <c r="F236" s="49"/>
      <c r="G236" s="49"/>
      <c r="H236" s="49"/>
      <c r="I236" s="8"/>
      <c r="J236" s="50"/>
      <c r="K236" s="50"/>
      <c r="L236" s="51"/>
      <c r="M236" s="49"/>
      <c r="N236" s="6"/>
      <c r="O236" s="6"/>
      <c r="P236" s="6"/>
      <c r="Q236" s="49"/>
      <c r="R236" s="6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2:AA25"/>
  <sheetViews>
    <sheetView showGridLines="0" zoomScale="85" zoomScaleNormal="85" workbookViewId="0">
      <selection activeCell="E6" sqref="E6:H18"/>
    </sheetView>
  </sheetViews>
  <sheetFormatPr defaultRowHeight="15.65" x14ac:dyDescent="0.3"/>
  <cols>
    <col min="2" max="2" width="12.88671875" customWidth="1"/>
    <col min="3" max="9" width="8.77734375" customWidth="1"/>
    <col min="10" max="10" width="11.21875" bestFit="1" customWidth="1"/>
    <col min="14" max="14" width="64.33203125" customWidth="1"/>
    <col min="15" max="15" width="18.6640625" customWidth="1"/>
    <col min="16" max="16" width="12.44140625" style="1" customWidth="1"/>
    <col min="17" max="17" width="12.88671875" style="1" customWidth="1"/>
    <col min="18" max="18" width="12.44140625" style="1" customWidth="1"/>
    <col min="19" max="19" width="14.21875" style="1" customWidth="1"/>
    <col min="20" max="20" width="11.6640625" style="1" customWidth="1"/>
    <col min="21" max="21" width="8.77734375" style="1" customWidth="1"/>
    <col min="22" max="22" width="8.77734375" customWidth="1"/>
    <col min="23" max="23" width="15" bestFit="1" customWidth="1"/>
    <col min="24" max="25" width="13.88671875" bestFit="1" customWidth="1"/>
    <col min="27" max="27" width="13.44140625" bestFit="1" customWidth="1"/>
  </cols>
  <sheetData>
    <row r="2" spans="1:27" ht="16.3" thickBot="1" x14ac:dyDescent="0.35"/>
    <row r="3" spans="1:27" ht="17.5" customHeight="1" x14ac:dyDescent="0.3">
      <c r="B3" s="306" t="s">
        <v>515</v>
      </c>
      <c r="C3" s="309" t="s">
        <v>845</v>
      </c>
      <c r="D3" s="312" t="s">
        <v>846</v>
      </c>
      <c r="E3" s="315" t="s">
        <v>805</v>
      </c>
      <c r="F3" s="316"/>
      <c r="G3" s="316"/>
      <c r="H3" s="316"/>
      <c r="I3" s="316"/>
      <c r="J3" s="316"/>
      <c r="K3" s="316"/>
      <c r="L3" s="317"/>
      <c r="M3" s="318" t="s">
        <v>516</v>
      </c>
      <c r="N3" s="321" t="s">
        <v>517</v>
      </c>
      <c r="O3" s="322" t="s">
        <v>518</v>
      </c>
    </row>
    <row r="4" spans="1:27" ht="18" customHeight="1" thickBot="1" x14ac:dyDescent="0.35">
      <c r="B4" s="307"/>
      <c r="C4" s="310"/>
      <c r="D4" s="313"/>
      <c r="E4" s="323" t="s">
        <v>519</v>
      </c>
      <c r="F4" s="323"/>
      <c r="G4" s="323"/>
      <c r="H4" s="324"/>
      <c r="I4" s="325" t="s">
        <v>520</v>
      </c>
      <c r="J4" s="323"/>
      <c r="K4" s="323"/>
      <c r="L4" s="324"/>
      <c r="M4" s="319"/>
      <c r="N4" s="319"/>
      <c r="O4" s="307"/>
      <c r="P4" s="326"/>
      <c r="Q4" s="305"/>
      <c r="R4" s="305"/>
      <c r="S4" s="305"/>
      <c r="T4" s="305"/>
      <c r="U4" s="305"/>
      <c r="W4" s="62"/>
      <c r="X4" s="62"/>
      <c r="Y4" s="62"/>
    </row>
    <row r="5" spans="1:27" x14ac:dyDescent="0.3">
      <c r="B5" s="308"/>
      <c r="C5" s="311"/>
      <c r="D5" s="314"/>
      <c r="E5" s="63" t="s">
        <v>521</v>
      </c>
      <c r="F5" s="64" t="s">
        <v>522</v>
      </c>
      <c r="G5" s="65" t="s">
        <v>523</v>
      </c>
      <c r="H5" s="66" t="s">
        <v>524</v>
      </c>
      <c r="I5" s="67" t="s">
        <v>521</v>
      </c>
      <c r="J5" s="64" t="s">
        <v>450</v>
      </c>
      <c r="K5" s="65" t="s">
        <v>523</v>
      </c>
      <c r="L5" s="66" t="s">
        <v>524</v>
      </c>
      <c r="M5" s="320"/>
      <c r="N5" s="320"/>
      <c r="O5" s="308"/>
      <c r="P5" s="5"/>
      <c r="Q5" s="5"/>
      <c r="R5" s="5"/>
      <c r="S5" s="5"/>
      <c r="T5" s="5"/>
      <c r="U5" s="5"/>
      <c r="W5" s="62" t="s">
        <v>525</v>
      </c>
      <c r="X5" s="62"/>
      <c r="Y5" s="62"/>
    </row>
    <row r="6" spans="1:27" ht="30.1" customHeight="1" x14ac:dyDescent="0.3">
      <c r="B6" s="130" t="s">
        <v>113</v>
      </c>
      <c r="C6" s="69">
        <v>4184649571</v>
      </c>
      <c r="D6" s="70"/>
      <c r="E6" s="71">
        <v>5598106607.5</v>
      </c>
      <c r="F6" s="72">
        <v>4664806607.5</v>
      </c>
      <c r="G6" s="73">
        <v>430000000</v>
      </c>
      <c r="H6" s="74">
        <v>503300000</v>
      </c>
      <c r="I6" s="71">
        <f>SUM(J6:L6)</f>
        <v>5598106607.5</v>
      </c>
      <c r="J6" s="72">
        <v>4664806607.5</v>
      </c>
      <c r="K6" s="73">
        <v>430000000</v>
      </c>
      <c r="L6" s="74">
        <v>503300000</v>
      </c>
      <c r="M6" s="75">
        <f>J6-F6</f>
        <v>0</v>
      </c>
      <c r="N6" s="76">
        <f>'26년 databook(취합)'!AE3</f>
        <v>0</v>
      </c>
      <c r="O6" s="77" t="e">
        <f>J6/D6</f>
        <v>#DIV/0!</v>
      </c>
      <c r="R6" s="137"/>
      <c r="W6" s="78"/>
      <c r="X6" s="62"/>
      <c r="Y6" s="62"/>
      <c r="AA6" s="79"/>
    </row>
    <row r="7" spans="1:27" ht="31.1" customHeight="1" x14ac:dyDescent="0.3">
      <c r="B7" s="130" t="s">
        <v>0</v>
      </c>
      <c r="C7" s="69">
        <v>3484662895.090909</v>
      </c>
      <c r="D7" s="70"/>
      <c r="E7" s="71">
        <v>5024510549</v>
      </c>
      <c r="F7" s="72">
        <v>4001510549</v>
      </c>
      <c r="G7" s="73">
        <v>717000000</v>
      </c>
      <c r="H7" s="74">
        <v>306000000</v>
      </c>
      <c r="I7" s="71">
        <f t="shared" ref="I7:I13" si="0">SUM(J7:L7)</f>
        <v>5024510549</v>
      </c>
      <c r="J7" s="72">
        <v>4001510549</v>
      </c>
      <c r="K7" s="73">
        <v>717000000</v>
      </c>
      <c r="L7" s="74">
        <v>306000000</v>
      </c>
      <c r="M7" s="75">
        <f t="shared" ref="M7:M15" si="1">J7-F7</f>
        <v>0</v>
      </c>
      <c r="N7" s="76">
        <f>'26년 databook(취합)'!AE4</f>
        <v>0</v>
      </c>
      <c r="O7" s="77" t="e">
        <f t="shared" ref="O7:O13" si="2">J7/D7</f>
        <v>#DIV/0!</v>
      </c>
      <c r="R7" s="137"/>
      <c r="W7" s="78"/>
      <c r="X7" s="62"/>
      <c r="Y7" s="62"/>
      <c r="AA7" s="79"/>
    </row>
    <row r="8" spans="1:27" ht="31.1" customHeight="1" x14ac:dyDescent="0.3">
      <c r="B8" s="130" t="s">
        <v>175</v>
      </c>
      <c r="C8" s="69">
        <v>2005292094</v>
      </c>
      <c r="D8" s="70"/>
      <c r="E8" s="71">
        <v>4519790930</v>
      </c>
      <c r="F8" s="72">
        <v>4021790930</v>
      </c>
      <c r="G8" s="73">
        <v>379000000</v>
      </c>
      <c r="H8" s="74">
        <v>119000000</v>
      </c>
      <c r="I8" s="71">
        <f>SUM(J8:L8)</f>
        <v>4519790930</v>
      </c>
      <c r="J8" s="72">
        <v>4021790930</v>
      </c>
      <c r="K8" s="73">
        <v>379000000</v>
      </c>
      <c r="L8" s="74">
        <v>119000000</v>
      </c>
      <c r="M8" s="75">
        <f t="shared" si="1"/>
        <v>0</v>
      </c>
      <c r="N8" s="76">
        <f>'26년 databook(취합)'!AE5</f>
        <v>0</v>
      </c>
      <c r="O8" s="77" t="e">
        <f t="shared" si="2"/>
        <v>#DIV/0!</v>
      </c>
      <c r="R8" s="137"/>
      <c r="W8" s="78"/>
      <c r="X8" s="62"/>
      <c r="Z8" s="79"/>
    </row>
    <row r="9" spans="1:27" ht="31.1" customHeight="1" x14ac:dyDescent="0.3">
      <c r="B9" s="130" t="s">
        <v>364</v>
      </c>
      <c r="C9" s="69">
        <v>1366817612</v>
      </c>
      <c r="D9" s="70"/>
      <c r="E9" s="71">
        <v>3327273958</v>
      </c>
      <c r="F9" s="72">
        <v>1884773958</v>
      </c>
      <c r="G9" s="73">
        <v>586500000</v>
      </c>
      <c r="H9" s="74">
        <v>856000000</v>
      </c>
      <c r="I9" s="71">
        <f t="shared" si="0"/>
        <v>3327273958</v>
      </c>
      <c r="J9" s="72">
        <v>1884773958</v>
      </c>
      <c r="K9" s="73">
        <v>586500000</v>
      </c>
      <c r="L9" s="74">
        <v>856000000</v>
      </c>
      <c r="M9" s="75">
        <f t="shared" si="1"/>
        <v>0</v>
      </c>
      <c r="N9" s="76">
        <f>'26년 databook(취합)'!AE6</f>
        <v>0</v>
      </c>
      <c r="O9" s="77" t="e">
        <f t="shared" si="2"/>
        <v>#DIV/0!</v>
      </c>
      <c r="R9" s="137"/>
      <c r="W9" s="78"/>
      <c r="X9" s="62"/>
      <c r="Z9" s="79"/>
    </row>
    <row r="10" spans="1:27" ht="31.1" customHeight="1" x14ac:dyDescent="0.3">
      <c r="B10" s="130" t="s">
        <v>2</v>
      </c>
      <c r="C10" s="69">
        <v>1893798194</v>
      </c>
      <c r="D10" s="70"/>
      <c r="E10" s="71">
        <v>2828323523</v>
      </c>
      <c r="F10" s="72">
        <v>1657753523</v>
      </c>
      <c r="G10" s="73">
        <v>454000000</v>
      </c>
      <c r="H10" s="74">
        <v>716570000</v>
      </c>
      <c r="I10" s="71">
        <f t="shared" si="0"/>
        <v>2828323523</v>
      </c>
      <c r="J10" s="72">
        <v>1657753523</v>
      </c>
      <c r="K10" s="73">
        <v>454000000</v>
      </c>
      <c r="L10" s="74">
        <v>716570000</v>
      </c>
      <c r="M10" s="75">
        <f t="shared" si="1"/>
        <v>0</v>
      </c>
      <c r="N10" s="76">
        <f>'26년 databook(취합)'!AE7</f>
        <v>0</v>
      </c>
      <c r="O10" s="77" t="e">
        <f t="shared" si="2"/>
        <v>#DIV/0!</v>
      </c>
      <c r="R10" s="137"/>
      <c r="W10" s="78"/>
      <c r="X10" s="62"/>
      <c r="Y10" s="62"/>
      <c r="AA10" s="79"/>
    </row>
    <row r="11" spans="1:27" ht="31.1" customHeight="1" x14ac:dyDescent="0.3">
      <c r="B11" s="130" t="s">
        <v>237</v>
      </c>
      <c r="C11" s="69">
        <v>1301610244</v>
      </c>
      <c r="D11" s="70"/>
      <c r="E11" s="71">
        <v>2504797506</v>
      </c>
      <c r="F11" s="72">
        <v>1186797506</v>
      </c>
      <c r="G11" s="73">
        <v>334000000</v>
      </c>
      <c r="H11" s="74">
        <v>984000000</v>
      </c>
      <c r="I11" s="71">
        <f t="shared" si="0"/>
        <v>2504797506</v>
      </c>
      <c r="J11" s="72">
        <v>1186797506</v>
      </c>
      <c r="K11" s="73">
        <v>334000000</v>
      </c>
      <c r="L11" s="74">
        <v>984000000</v>
      </c>
      <c r="M11" s="75">
        <f t="shared" si="1"/>
        <v>0</v>
      </c>
      <c r="N11" s="76">
        <f>'26년 databook(취합)'!AE8</f>
        <v>0</v>
      </c>
      <c r="O11" s="77" t="e">
        <f t="shared" si="2"/>
        <v>#DIV/0!</v>
      </c>
      <c r="R11" s="137"/>
      <c r="W11" s="78"/>
      <c r="X11" s="78"/>
      <c r="Z11" s="79"/>
    </row>
    <row r="12" spans="1:27" ht="31.1" customHeight="1" x14ac:dyDescent="0.3">
      <c r="B12" s="130" t="s">
        <v>277</v>
      </c>
      <c r="C12" s="69">
        <v>1183797298</v>
      </c>
      <c r="D12" s="70"/>
      <c r="E12" s="71">
        <v>2011005105</v>
      </c>
      <c r="F12" s="80">
        <v>1082195105</v>
      </c>
      <c r="G12" s="81">
        <v>288060000</v>
      </c>
      <c r="H12" s="82">
        <v>640750000</v>
      </c>
      <c r="I12" s="71">
        <f t="shared" si="0"/>
        <v>2011005105</v>
      </c>
      <c r="J12" s="80">
        <v>1082195105</v>
      </c>
      <c r="K12" s="81">
        <v>288060000</v>
      </c>
      <c r="L12" s="82">
        <v>640750000</v>
      </c>
      <c r="M12" s="75">
        <f t="shared" si="1"/>
        <v>0</v>
      </c>
      <c r="N12" s="76">
        <f>'26년 databook(취합)'!AE9</f>
        <v>0</v>
      </c>
      <c r="O12" s="77" t="e">
        <f t="shared" si="2"/>
        <v>#DIV/0!</v>
      </c>
      <c r="R12" s="137"/>
      <c r="W12" s="78"/>
      <c r="X12" s="62"/>
      <c r="Y12" s="62"/>
      <c r="AA12" s="79"/>
    </row>
    <row r="13" spans="1:27" ht="31.1" customHeight="1" x14ac:dyDescent="0.3">
      <c r="B13" s="130" t="s">
        <v>153</v>
      </c>
      <c r="C13" s="69">
        <v>3207072477</v>
      </c>
      <c r="D13" s="70"/>
      <c r="E13" s="71">
        <v>3977365945</v>
      </c>
      <c r="F13" s="80">
        <v>3134365945</v>
      </c>
      <c r="G13" s="132">
        <v>582000000</v>
      </c>
      <c r="H13" s="132">
        <v>261000000</v>
      </c>
      <c r="I13" s="71">
        <f t="shared" si="0"/>
        <v>3977365945</v>
      </c>
      <c r="J13" s="80">
        <v>3134365945</v>
      </c>
      <c r="K13" s="132">
        <v>582000000</v>
      </c>
      <c r="L13" s="132">
        <v>261000000</v>
      </c>
      <c r="M13" s="133">
        <f t="shared" si="1"/>
        <v>0</v>
      </c>
      <c r="N13" s="76">
        <f>'26년 databook(취합)'!AE10</f>
        <v>0</v>
      </c>
      <c r="O13" s="77" t="e">
        <f t="shared" si="2"/>
        <v>#DIV/0!</v>
      </c>
      <c r="R13" s="137"/>
      <c r="W13" s="78"/>
      <c r="X13" s="62"/>
      <c r="Y13" s="62"/>
      <c r="AA13" s="79"/>
    </row>
    <row r="14" spans="1:27" ht="31.1" customHeight="1" x14ac:dyDescent="0.3">
      <c r="B14" s="130" t="s">
        <v>456</v>
      </c>
      <c r="C14" s="69">
        <v>2673335870</v>
      </c>
      <c r="D14" s="70"/>
      <c r="E14" s="71">
        <v>1709787785</v>
      </c>
      <c r="F14" s="80">
        <v>683287785</v>
      </c>
      <c r="G14" s="81">
        <v>764500000</v>
      </c>
      <c r="H14" s="82">
        <v>262000000</v>
      </c>
      <c r="I14" s="71">
        <f>SUM(J14:L14)</f>
        <v>1709787785</v>
      </c>
      <c r="J14" s="80">
        <v>683287785</v>
      </c>
      <c r="K14" s="81">
        <v>764500000</v>
      </c>
      <c r="L14" s="82">
        <v>262000000</v>
      </c>
      <c r="M14" s="75">
        <f t="shared" si="1"/>
        <v>0</v>
      </c>
      <c r="N14" s="76">
        <f>'26년 databook(취합)'!AE11</f>
        <v>0</v>
      </c>
      <c r="O14" s="77" t="e">
        <f>J14/D14</f>
        <v>#DIV/0!</v>
      </c>
      <c r="R14" s="137"/>
      <c r="W14" s="78"/>
      <c r="X14" s="62"/>
      <c r="Z14" s="79"/>
    </row>
    <row r="15" spans="1:27" ht="31.1" customHeight="1" x14ac:dyDescent="0.3">
      <c r="B15" s="130" t="s">
        <v>320</v>
      </c>
      <c r="C15" s="69">
        <v>1358008451</v>
      </c>
      <c r="D15" s="131"/>
      <c r="E15" s="71">
        <v>2457883107</v>
      </c>
      <c r="F15" s="80">
        <v>2457883107</v>
      </c>
      <c r="G15" s="134"/>
      <c r="H15" s="135"/>
      <c r="I15" s="71">
        <f>SUM(J15:L15)</f>
        <v>2457883107</v>
      </c>
      <c r="J15" s="80">
        <v>2457883107</v>
      </c>
      <c r="K15" s="134"/>
      <c r="L15" s="135"/>
      <c r="M15" s="133">
        <f t="shared" si="1"/>
        <v>0</v>
      </c>
      <c r="N15" s="76">
        <f>'26년 databook(취합)'!AE12</f>
        <v>0</v>
      </c>
      <c r="O15" s="77"/>
      <c r="R15" s="137"/>
      <c r="W15" s="78"/>
      <c r="X15" s="62"/>
      <c r="Y15" s="62"/>
      <c r="AA15" s="79"/>
    </row>
    <row r="16" spans="1:27" ht="31.1" hidden="1" customHeight="1" x14ac:dyDescent="0.3">
      <c r="A16" t="s">
        <v>790</v>
      </c>
      <c r="B16" s="130" t="s">
        <v>664</v>
      </c>
      <c r="C16" s="69"/>
      <c r="D16" s="131"/>
      <c r="E16" s="71">
        <v>0</v>
      </c>
      <c r="F16" s="80"/>
      <c r="G16" s="134"/>
      <c r="H16" s="135">
        <v>0</v>
      </c>
      <c r="I16" s="71">
        <f>SUM(J16:L16)</f>
        <v>0</v>
      </c>
      <c r="J16" s="80"/>
      <c r="K16" s="134"/>
      <c r="L16" s="135">
        <v>0</v>
      </c>
      <c r="M16" s="133">
        <v>0</v>
      </c>
      <c r="N16" s="76"/>
      <c r="O16" s="77"/>
      <c r="R16" s="137"/>
      <c r="W16" s="78"/>
      <c r="X16" s="62"/>
      <c r="Y16" s="62"/>
      <c r="AA16" s="79"/>
    </row>
    <row r="17" spans="2:27" ht="31.1" customHeight="1" x14ac:dyDescent="0.3">
      <c r="B17" s="138"/>
      <c r="C17" s="139" t="s">
        <v>610</v>
      </c>
      <c r="D17" s="140"/>
      <c r="E17" s="141">
        <v>0</v>
      </c>
      <c r="F17" s="142"/>
      <c r="G17" s="143"/>
      <c r="H17" s="144"/>
      <c r="I17" s="141">
        <f>SUM(J17:L17)</f>
        <v>0</v>
      </c>
      <c r="J17" s="142"/>
      <c r="K17" s="143"/>
      <c r="L17" s="144"/>
      <c r="M17" s="145">
        <f>J17-F17</f>
        <v>0</v>
      </c>
      <c r="N17" s="146"/>
      <c r="O17" s="147" t="e">
        <f>J17/D17</f>
        <v>#DIV/0!</v>
      </c>
      <c r="R17" s="137"/>
      <c r="W17" s="78"/>
      <c r="X17" s="78"/>
      <c r="Z17" s="79"/>
    </row>
    <row r="18" spans="2:27" ht="31.1" customHeight="1" thickBot="1" x14ac:dyDescent="0.35">
      <c r="B18" s="68" t="s">
        <v>526</v>
      </c>
      <c r="C18" s="69">
        <f>SUM(C6:C16)</f>
        <v>22659044706.090908</v>
      </c>
      <c r="D18" s="83">
        <f t="shared" ref="D18:L18" si="3">SUM(D6:D17)</f>
        <v>0</v>
      </c>
      <c r="E18" s="71">
        <v>33958845015.5</v>
      </c>
      <c r="F18" s="84">
        <v>24775165015.5</v>
      </c>
      <c r="G18" s="85">
        <v>4535060000</v>
      </c>
      <c r="H18" s="71">
        <v>4648620000</v>
      </c>
      <c r="I18" s="71">
        <f>SUM(I6:I17)</f>
        <v>33958845015.5</v>
      </c>
      <c r="J18" s="84">
        <f t="shared" si="3"/>
        <v>24775165015.5</v>
      </c>
      <c r="K18" s="85">
        <f t="shared" si="3"/>
        <v>4535060000</v>
      </c>
      <c r="L18" s="71">
        <f t="shared" si="3"/>
        <v>4648620000</v>
      </c>
      <c r="M18" s="86">
        <f>SUM(M6:M17)</f>
        <v>0</v>
      </c>
      <c r="N18" s="87"/>
      <c r="O18" s="77" t="e">
        <f>J18/D18</f>
        <v>#DIV/0!</v>
      </c>
      <c r="W18" s="88"/>
      <c r="X18" s="88"/>
      <c r="Y18" s="62"/>
      <c r="AA18" s="79"/>
    </row>
    <row r="19" spans="2:27" x14ac:dyDescent="0.3">
      <c r="N19" s="78"/>
    </row>
    <row r="20" spans="2:27" x14ac:dyDescent="0.3">
      <c r="J20" s="78"/>
      <c r="N20" s="78"/>
    </row>
    <row r="21" spans="2:27" x14ac:dyDescent="0.3">
      <c r="F21" s="89"/>
      <c r="J21" s="89"/>
      <c r="M21" s="90"/>
      <c r="N21" s="78"/>
    </row>
    <row r="22" spans="2:27" x14ac:dyDescent="0.3">
      <c r="K22" s="90"/>
      <c r="N22" s="78"/>
    </row>
    <row r="23" spans="2:27" x14ac:dyDescent="0.3">
      <c r="E23" s="89"/>
      <c r="J23" s="89"/>
      <c r="M23" s="90"/>
      <c r="N23" s="78"/>
    </row>
    <row r="24" spans="2:27" x14ac:dyDescent="0.3">
      <c r="N24" s="78"/>
    </row>
    <row r="25" spans="2:27" x14ac:dyDescent="0.3">
      <c r="M25" s="90"/>
    </row>
  </sheetData>
  <autoFilter ref="B5:U20"/>
  <mergeCells count="11">
    <mergeCell ref="S4:U4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P4:R4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7"/>
  <sheetViews>
    <sheetView showGridLines="0" zoomScaleNormal="100" workbookViewId="0">
      <selection activeCell="H19" sqref="H19"/>
    </sheetView>
  </sheetViews>
  <sheetFormatPr defaultRowHeight="15.65" outlineLevelCol="1" x14ac:dyDescent="0.3"/>
  <cols>
    <col min="1" max="1" width="3.77734375" customWidth="1"/>
    <col min="2" max="2" width="9.6640625" customWidth="1"/>
    <col min="3" max="5" width="15.77734375" hidden="1" customWidth="1" outlineLevel="1"/>
    <col min="6" max="6" width="10.109375" hidden="1" customWidth="1" collapsed="1"/>
    <col min="7" max="9" width="15.77734375" hidden="1" customWidth="1" outlineLevel="1"/>
    <col min="10" max="10" width="13.21875" hidden="1" customWidth="1"/>
    <col min="11" max="13" width="15.77734375" customWidth="1" outlineLevel="1"/>
    <col min="14" max="14" width="15" bestFit="1" customWidth="1"/>
    <col min="15" max="15" width="12.77734375" hidden="1" customWidth="1" outlineLevel="1"/>
    <col min="16" max="16" width="13.21875" hidden="1" customWidth="1" outlineLevel="1"/>
    <col min="17" max="17" width="15.109375" hidden="1" customWidth="1" outlineLevel="1"/>
    <col min="18" max="18" width="10.77734375" style="2" hidden="1" customWidth="1" outlineLevel="1"/>
    <col min="19" max="19" width="14.6640625" hidden="1" customWidth="1" outlineLevel="1"/>
    <col min="20" max="20" width="15.21875" hidden="1" customWidth="1" outlineLevel="1"/>
    <col min="21" max="21" width="13.44140625" hidden="1" customWidth="1" outlineLevel="1"/>
    <col min="22" max="25" width="10.77734375" hidden="1" customWidth="1" outlineLevel="1"/>
    <col min="26" max="26" width="10.77734375" hidden="1" customWidth="1" outlineLevel="1" collapsed="1"/>
    <col min="27" max="30" width="10.77734375" hidden="1" customWidth="1" outlineLevel="1"/>
    <col min="31" max="31" width="12.77734375" hidden="1" customWidth="1" outlineLevel="1"/>
    <col min="32" max="32" width="13.21875" hidden="1" customWidth="1" outlineLevel="1"/>
    <col min="33" max="33" width="15.109375" hidden="1" customWidth="1" outlineLevel="1"/>
    <col min="34" max="34" width="10.77734375" style="2" hidden="1" customWidth="1" outlineLevel="1"/>
    <col min="35" max="35" width="12.77734375" hidden="1" customWidth="1" outlineLevel="1"/>
    <col min="36" max="36" width="13.21875" hidden="1" customWidth="1" outlineLevel="1"/>
    <col min="37" max="37" width="15.109375" hidden="1" customWidth="1" outlineLevel="1"/>
    <col min="38" max="38" width="10.77734375" style="2" hidden="1" customWidth="1" outlineLevel="1"/>
    <col min="39" max="39" width="14.6640625" hidden="1" customWidth="1" outlineLevel="1"/>
    <col min="40" max="40" width="15.21875" hidden="1" customWidth="1" outlineLevel="1"/>
    <col min="41" max="41" width="13.44140625" hidden="1" customWidth="1" outlineLevel="1"/>
    <col min="42" max="50" width="10.77734375" hidden="1" customWidth="1" outlineLevel="1"/>
    <col min="51" max="51" width="11.88671875" hidden="1" customWidth="1" outlineLevel="1"/>
    <col min="52" max="52" width="8.77734375" collapsed="1"/>
    <col min="53" max="53" width="13.88671875" bestFit="1" customWidth="1"/>
  </cols>
  <sheetData>
    <row r="2" spans="2:53" x14ac:dyDescent="0.3">
      <c r="B2" s="116" t="s">
        <v>545</v>
      </c>
      <c r="C2" s="327" t="s">
        <v>558</v>
      </c>
      <c r="D2" s="327"/>
      <c r="E2" s="327"/>
      <c r="F2" s="327"/>
      <c r="G2" s="327" t="s">
        <v>638</v>
      </c>
      <c r="H2" s="327"/>
      <c r="I2" s="327"/>
      <c r="J2" s="327"/>
      <c r="K2" s="327" t="s">
        <v>683</v>
      </c>
      <c r="L2" s="327"/>
      <c r="M2" s="327"/>
      <c r="N2" s="327"/>
      <c r="O2" s="327" t="s">
        <v>510</v>
      </c>
      <c r="P2" s="327"/>
      <c r="Q2" s="327"/>
      <c r="R2" s="327"/>
      <c r="S2" s="327" t="s">
        <v>509</v>
      </c>
      <c r="T2" s="327"/>
      <c r="U2" s="327"/>
      <c r="V2" s="327"/>
      <c r="W2" s="327" t="s">
        <v>530</v>
      </c>
      <c r="X2" s="327"/>
      <c r="Y2" s="327"/>
      <c r="Z2" s="327"/>
      <c r="AA2" s="327" t="s">
        <v>531</v>
      </c>
      <c r="AB2" s="327"/>
      <c r="AC2" s="327"/>
      <c r="AD2" s="327"/>
      <c r="AE2" s="327" t="s">
        <v>546</v>
      </c>
      <c r="AF2" s="327"/>
      <c r="AG2" s="327"/>
      <c r="AH2" s="327"/>
      <c r="AI2" s="327" t="s">
        <v>547</v>
      </c>
      <c r="AJ2" s="327"/>
      <c r="AK2" s="327"/>
      <c r="AL2" s="327"/>
      <c r="AM2" s="327" t="s">
        <v>548</v>
      </c>
      <c r="AN2" s="327"/>
      <c r="AO2" s="327"/>
      <c r="AP2" s="327"/>
      <c r="AQ2" s="327" t="s">
        <v>549</v>
      </c>
      <c r="AR2" s="327"/>
      <c r="AS2" s="327"/>
      <c r="AT2" s="327"/>
      <c r="AU2" s="327" t="s">
        <v>550</v>
      </c>
      <c r="AV2" s="327"/>
      <c r="AW2" s="327"/>
      <c r="AX2" s="327"/>
    </row>
    <row r="3" spans="2:53" x14ac:dyDescent="0.3">
      <c r="B3" s="117" t="s">
        <v>551</v>
      </c>
      <c r="C3" s="117" t="s">
        <v>552</v>
      </c>
      <c r="D3" s="117" t="s">
        <v>553</v>
      </c>
      <c r="E3" s="117" t="s">
        <v>554</v>
      </c>
      <c r="F3" s="117" t="s">
        <v>555</v>
      </c>
      <c r="G3" s="117" t="s">
        <v>639</v>
      </c>
      <c r="H3" s="117" t="s">
        <v>640</v>
      </c>
      <c r="I3" s="117" t="s">
        <v>554</v>
      </c>
      <c r="J3" s="117" t="s">
        <v>555</v>
      </c>
      <c r="K3" s="117" t="s">
        <v>658</v>
      </c>
      <c r="L3" s="117" t="s">
        <v>659</v>
      </c>
      <c r="M3" s="117" t="s">
        <v>554</v>
      </c>
      <c r="N3" s="117" t="s">
        <v>555</v>
      </c>
      <c r="O3" s="117" t="s">
        <v>552</v>
      </c>
      <c r="P3" s="117" t="s">
        <v>556</v>
      </c>
      <c r="Q3" s="117" t="s">
        <v>554</v>
      </c>
      <c r="R3" s="117" t="s">
        <v>555</v>
      </c>
      <c r="S3" s="117" t="s">
        <v>552</v>
      </c>
      <c r="T3" s="117" t="s">
        <v>556</v>
      </c>
      <c r="U3" s="117" t="s">
        <v>554</v>
      </c>
      <c r="V3" s="117" t="s">
        <v>555</v>
      </c>
      <c r="W3" s="117" t="s">
        <v>552</v>
      </c>
      <c r="X3" s="117" t="s">
        <v>556</v>
      </c>
      <c r="Y3" s="117" t="s">
        <v>554</v>
      </c>
      <c r="Z3" s="117" t="s">
        <v>555</v>
      </c>
      <c r="AA3" s="117" t="s">
        <v>552</v>
      </c>
      <c r="AB3" s="117" t="s">
        <v>556</v>
      </c>
      <c r="AC3" s="117" t="s">
        <v>554</v>
      </c>
      <c r="AD3" s="117" t="s">
        <v>555</v>
      </c>
      <c r="AE3" s="117" t="s">
        <v>552</v>
      </c>
      <c r="AF3" s="117" t="s">
        <v>556</v>
      </c>
      <c r="AG3" s="117" t="s">
        <v>554</v>
      </c>
      <c r="AH3" s="117" t="s">
        <v>555</v>
      </c>
      <c r="AI3" s="117" t="s">
        <v>552</v>
      </c>
      <c r="AJ3" s="117" t="s">
        <v>556</v>
      </c>
      <c r="AK3" s="117" t="s">
        <v>554</v>
      </c>
      <c r="AL3" s="117" t="s">
        <v>555</v>
      </c>
      <c r="AM3" s="117" t="s">
        <v>552</v>
      </c>
      <c r="AN3" s="117" t="s">
        <v>556</v>
      </c>
      <c r="AO3" s="117" t="s">
        <v>554</v>
      </c>
      <c r="AP3" s="117" t="s">
        <v>555</v>
      </c>
      <c r="AQ3" s="117" t="s">
        <v>552</v>
      </c>
      <c r="AR3" s="117" t="s">
        <v>556</v>
      </c>
      <c r="AS3" s="117" t="s">
        <v>554</v>
      </c>
      <c r="AT3" s="117" t="s">
        <v>555</v>
      </c>
      <c r="AU3" s="117" t="s">
        <v>552</v>
      </c>
      <c r="AV3" s="117" t="s">
        <v>556</v>
      </c>
      <c r="AW3" s="117" t="s">
        <v>554</v>
      </c>
      <c r="AX3" s="117" t="s">
        <v>555</v>
      </c>
      <c r="BA3" s="3"/>
    </row>
    <row r="4" spans="2:53" x14ac:dyDescent="0.3">
      <c r="B4" s="118" t="s">
        <v>113</v>
      </c>
      <c r="C4" s="119">
        <v>134302632</v>
      </c>
      <c r="D4" s="8">
        <v>134302632</v>
      </c>
      <c r="E4" s="120">
        <f t="shared" ref="E4:E14" si="0">C4-D4</f>
        <v>0</v>
      </c>
      <c r="F4" s="49" t="s">
        <v>611</v>
      </c>
      <c r="G4" s="119">
        <v>397538580</v>
      </c>
      <c r="H4" s="8">
        <v>397538580</v>
      </c>
      <c r="I4" s="120">
        <f>G4-H4</f>
        <v>0</v>
      </c>
      <c r="J4" s="49" t="s">
        <v>644</v>
      </c>
      <c r="K4" s="119"/>
      <c r="L4" s="161">
        <v>186117560</v>
      </c>
      <c r="M4" s="120">
        <f t="shared" ref="M4:M11" si="1">K4-L4</f>
        <v>-186117560</v>
      </c>
      <c r="N4" s="49"/>
      <c r="O4" s="121"/>
      <c r="P4" s="121"/>
      <c r="Q4" s="120">
        <f t="shared" ref="Q4:Q11" si="2">O4-P4</f>
        <v>0</v>
      </c>
      <c r="R4" s="118"/>
      <c r="S4" s="121"/>
      <c r="T4" s="121"/>
      <c r="U4" s="120">
        <f t="shared" ref="U4:U11" si="3">S4-T4</f>
        <v>0</v>
      </c>
      <c r="V4" s="122"/>
      <c r="W4" s="121"/>
      <c r="X4" s="121"/>
      <c r="Y4" s="120">
        <f t="shared" ref="Y4:Y11" si="4">W4-X4</f>
        <v>0</v>
      </c>
      <c r="Z4" s="122"/>
      <c r="AA4" s="121"/>
      <c r="AB4" s="121"/>
      <c r="AC4" s="120">
        <f t="shared" ref="AC4:AC11" si="5">AA4-AB4</f>
        <v>0</v>
      </c>
      <c r="AD4" s="122"/>
      <c r="AE4" s="121"/>
      <c r="AF4" s="121"/>
      <c r="AG4" s="120">
        <f t="shared" ref="AG4:AG11" si="6">AE4-AF4</f>
        <v>0</v>
      </c>
      <c r="AH4" s="118"/>
      <c r="AI4" s="121"/>
      <c r="AJ4" s="121"/>
      <c r="AK4" s="120">
        <f t="shared" ref="AK4:AK11" si="7">AI4-AJ4</f>
        <v>0</v>
      </c>
      <c r="AL4" s="118"/>
      <c r="AM4" s="121"/>
      <c r="AN4" s="121"/>
      <c r="AO4" s="120">
        <f t="shared" ref="AO4:AO11" si="8">AM4-AN4</f>
        <v>0</v>
      </c>
      <c r="AP4" s="122"/>
      <c r="AQ4" s="121"/>
      <c r="AR4" s="121"/>
      <c r="AS4" s="120">
        <f t="shared" ref="AS4:AS11" si="9">AQ4-AR4</f>
        <v>0</v>
      </c>
      <c r="AT4" s="122"/>
      <c r="AU4" s="121"/>
      <c r="AV4" s="121"/>
      <c r="AW4" s="120">
        <f t="shared" ref="AW4:AW11" si="10">AU4-AV4</f>
        <v>0</v>
      </c>
      <c r="AX4" s="122"/>
      <c r="BA4" s="3"/>
    </row>
    <row r="5" spans="2:53" x14ac:dyDescent="0.3">
      <c r="B5" s="49" t="s">
        <v>0</v>
      </c>
      <c r="C5" s="8">
        <v>84915550</v>
      </c>
      <c r="D5" s="8">
        <v>68254213</v>
      </c>
      <c r="E5" s="123">
        <f t="shared" si="0"/>
        <v>16661337</v>
      </c>
      <c r="F5" s="49" t="s">
        <v>615</v>
      </c>
      <c r="G5" s="8">
        <v>262117045</v>
      </c>
      <c r="H5" s="8">
        <v>277627045</v>
      </c>
      <c r="I5" s="123">
        <f t="shared" ref="I5:I11" si="11">G5-H5</f>
        <v>-15510000</v>
      </c>
      <c r="J5" s="136" t="s">
        <v>641</v>
      </c>
      <c r="K5" s="8"/>
      <c r="L5" s="161">
        <v>465858986</v>
      </c>
      <c r="M5" s="123">
        <f t="shared" si="1"/>
        <v>-465858986</v>
      </c>
      <c r="N5" s="136" t="s">
        <v>671</v>
      </c>
      <c r="O5" s="121"/>
      <c r="P5" s="121"/>
      <c r="Q5" s="120">
        <f t="shared" si="2"/>
        <v>0</v>
      </c>
      <c r="R5" s="118"/>
      <c r="S5" s="121"/>
      <c r="T5" s="121"/>
      <c r="U5" s="120">
        <f t="shared" si="3"/>
        <v>0</v>
      </c>
      <c r="V5" s="122"/>
      <c r="W5" s="121"/>
      <c r="X5" s="121"/>
      <c r="Y5" s="120">
        <f t="shared" si="4"/>
        <v>0</v>
      </c>
      <c r="Z5" s="122"/>
      <c r="AA5" s="121"/>
      <c r="AB5" s="121"/>
      <c r="AC5" s="120">
        <f t="shared" si="5"/>
        <v>0</v>
      </c>
      <c r="AD5" s="122"/>
      <c r="AE5" s="121"/>
      <c r="AF5" s="121"/>
      <c r="AG5" s="120">
        <f t="shared" si="6"/>
        <v>0</v>
      </c>
      <c r="AH5" s="118"/>
      <c r="AI5" s="121"/>
      <c r="AJ5" s="121"/>
      <c r="AK5" s="120">
        <f t="shared" si="7"/>
        <v>0</v>
      </c>
      <c r="AL5" s="118"/>
      <c r="AM5" s="121"/>
      <c r="AN5" s="121"/>
      <c r="AO5" s="120">
        <f t="shared" si="8"/>
        <v>0</v>
      </c>
      <c r="AP5" s="122"/>
      <c r="AQ5" s="121"/>
      <c r="AR5" s="121"/>
      <c r="AS5" s="120">
        <f t="shared" si="9"/>
        <v>0</v>
      </c>
      <c r="AT5" s="122"/>
      <c r="AU5" s="121"/>
      <c r="AV5" s="121"/>
      <c r="AW5" s="120">
        <f t="shared" si="10"/>
        <v>0</v>
      </c>
      <c r="AX5" s="122"/>
      <c r="BA5" s="3"/>
    </row>
    <row r="6" spans="2:53" x14ac:dyDescent="0.3">
      <c r="B6" s="49" t="s">
        <v>175</v>
      </c>
      <c r="C6" s="8">
        <v>35300000</v>
      </c>
      <c r="D6" s="8">
        <v>74680915</v>
      </c>
      <c r="E6" s="123">
        <f t="shared" si="0"/>
        <v>-39380915</v>
      </c>
      <c r="F6" s="49" t="s">
        <v>616</v>
      </c>
      <c r="G6" s="8">
        <v>134885283</v>
      </c>
      <c r="H6" s="8">
        <v>246812556</v>
      </c>
      <c r="I6" s="123">
        <f t="shared" si="11"/>
        <v>-111927273</v>
      </c>
      <c r="J6" s="49" t="s">
        <v>646</v>
      </c>
      <c r="K6" s="8"/>
      <c r="L6" s="161">
        <v>737866514</v>
      </c>
      <c r="M6" s="123">
        <f t="shared" si="1"/>
        <v>-737866514</v>
      </c>
      <c r="N6" s="49"/>
      <c r="O6" s="121"/>
      <c r="P6" s="121"/>
      <c r="Q6" s="120">
        <f t="shared" si="2"/>
        <v>0</v>
      </c>
      <c r="R6" s="118"/>
      <c r="S6" s="121"/>
      <c r="T6" s="121"/>
      <c r="U6" s="120">
        <f t="shared" si="3"/>
        <v>0</v>
      </c>
      <c r="V6" s="122"/>
      <c r="W6" s="121"/>
      <c r="X6" s="121"/>
      <c r="Y6" s="120">
        <f t="shared" si="4"/>
        <v>0</v>
      </c>
      <c r="Z6" s="122"/>
      <c r="AA6" s="121"/>
      <c r="AB6" s="121"/>
      <c r="AC6" s="120">
        <f t="shared" si="5"/>
        <v>0</v>
      </c>
      <c r="AD6" s="122"/>
      <c r="AE6" s="121"/>
      <c r="AF6" s="121"/>
      <c r="AG6" s="120">
        <f t="shared" si="6"/>
        <v>0</v>
      </c>
      <c r="AH6" s="118"/>
      <c r="AI6" s="121"/>
      <c r="AJ6" s="121"/>
      <c r="AK6" s="120">
        <f t="shared" si="7"/>
        <v>0</v>
      </c>
      <c r="AL6" s="118"/>
      <c r="AM6" s="121"/>
      <c r="AN6" s="121"/>
      <c r="AO6" s="120">
        <f t="shared" si="8"/>
        <v>0</v>
      </c>
      <c r="AP6" s="122"/>
      <c r="AQ6" s="121"/>
      <c r="AR6" s="121"/>
      <c r="AS6" s="120">
        <f t="shared" si="9"/>
        <v>0</v>
      </c>
      <c r="AT6" s="122"/>
      <c r="AU6" s="121"/>
      <c r="AV6" s="121"/>
      <c r="AW6" s="120">
        <f t="shared" si="10"/>
        <v>0</v>
      </c>
      <c r="AX6" s="122"/>
      <c r="BA6" s="3"/>
    </row>
    <row r="7" spans="2:53" x14ac:dyDescent="0.3">
      <c r="B7" s="49" t="s">
        <v>364</v>
      </c>
      <c r="C7" s="51">
        <v>157032457</v>
      </c>
      <c r="D7" s="8">
        <v>157032457</v>
      </c>
      <c r="E7" s="123">
        <f t="shared" si="0"/>
        <v>0</v>
      </c>
      <c r="F7" s="49" t="s">
        <v>612</v>
      </c>
      <c r="G7" s="51">
        <v>72509800</v>
      </c>
      <c r="H7" s="8">
        <v>69097800</v>
      </c>
      <c r="I7" s="123">
        <f t="shared" si="11"/>
        <v>3412000</v>
      </c>
      <c r="J7" s="49" t="s">
        <v>642</v>
      </c>
      <c r="K7" s="51"/>
      <c r="L7" s="161">
        <v>62732920</v>
      </c>
      <c r="M7" s="123">
        <f t="shared" si="1"/>
        <v>-62732920</v>
      </c>
      <c r="N7" s="49"/>
      <c r="O7" s="121"/>
      <c r="P7" s="121"/>
      <c r="Q7" s="120">
        <f t="shared" si="2"/>
        <v>0</v>
      </c>
      <c r="R7" s="118"/>
      <c r="S7" s="121"/>
      <c r="T7" s="121"/>
      <c r="U7" s="120">
        <f t="shared" si="3"/>
        <v>0</v>
      </c>
      <c r="V7" s="122"/>
      <c r="W7" s="121"/>
      <c r="X7" s="121"/>
      <c r="Y7" s="120">
        <f t="shared" si="4"/>
        <v>0</v>
      </c>
      <c r="Z7" s="118"/>
      <c r="AA7" s="121"/>
      <c r="AB7" s="121"/>
      <c r="AC7" s="120">
        <f t="shared" si="5"/>
        <v>0</v>
      </c>
      <c r="AD7" s="118"/>
      <c r="AE7" s="121"/>
      <c r="AF7" s="121"/>
      <c r="AG7" s="120">
        <f t="shared" si="6"/>
        <v>0</v>
      </c>
      <c r="AH7" s="118"/>
      <c r="AI7" s="121"/>
      <c r="AJ7" s="121"/>
      <c r="AK7" s="120">
        <f t="shared" si="7"/>
        <v>0</v>
      </c>
      <c r="AL7" s="118"/>
      <c r="AM7" s="121"/>
      <c r="AN7" s="121"/>
      <c r="AO7" s="120">
        <f t="shared" si="8"/>
        <v>0</v>
      </c>
      <c r="AP7" s="122"/>
      <c r="AQ7" s="121"/>
      <c r="AR7" s="121"/>
      <c r="AS7" s="120">
        <f t="shared" si="9"/>
        <v>0</v>
      </c>
      <c r="AT7" s="118"/>
      <c r="AU7" s="121"/>
      <c r="AV7" s="121"/>
      <c r="AW7" s="120">
        <f t="shared" si="10"/>
        <v>0</v>
      </c>
      <c r="AX7" s="118"/>
      <c r="BA7" s="3"/>
    </row>
    <row r="8" spans="2:53" x14ac:dyDescent="0.3">
      <c r="B8" s="118" t="s">
        <v>2</v>
      </c>
      <c r="C8" s="119">
        <v>86750000</v>
      </c>
      <c r="D8" s="8">
        <v>73771944</v>
      </c>
      <c r="E8" s="120">
        <f t="shared" si="0"/>
        <v>12978056</v>
      </c>
      <c r="F8" s="49" t="s">
        <v>613</v>
      </c>
      <c r="G8" s="119">
        <v>73731640</v>
      </c>
      <c r="H8" s="8">
        <v>62686890</v>
      </c>
      <c r="I8" s="120">
        <f t="shared" si="11"/>
        <v>11044750</v>
      </c>
      <c r="J8" s="49" t="s">
        <v>643</v>
      </c>
      <c r="K8" s="119"/>
      <c r="L8" s="161">
        <v>139357252</v>
      </c>
      <c r="M8" s="120">
        <f t="shared" si="1"/>
        <v>-139357252</v>
      </c>
      <c r="N8" s="49"/>
      <c r="O8" s="121"/>
      <c r="P8" s="121"/>
      <c r="Q8" s="120">
        <f t="shared" si="2"/>
        <v>0</v>
      </c>
      <c r="R8" s="118"/>
      <c r="S8" s="121"/>
      <c r="T8" s="121"/>
      <c r="U8" s="120">
        <f t="shared" si="3"/>
        <v>0</v>
      </c>
      <c r="V8" s="122"/>
      <c r="W8" s="121"/>
      <c r="X8" s="121"/>
      <c r="Y8" s="120">
        <f t="shared" si="4"/>
        <v>0</v>
      </c>
      <c r="Z8" s="122"/>
      <c r="AA8" s="121"/>
      <c r="AB8" s="121"/>
      <c r="AC8" s="120">
        <f t="shared" si="5"/>
        <v>0</v>
      </c>
      <c r="AD8" s="122"/>
      <c r="AE8" s="121"/>
      <c r="AF8" s="121"/>
      <c r="AG8" s="120">
        <f t="shared" si="6"/>
        <v>0</v>
      </c>
      <c r="AH8" s="118"/>
      <c r="AI8" s="121"/>
      <c r="AJ8" s="121"/>
      <c r="AK8" s="120">
        <f t="shared" si="7"/>
        <v>0</v>
      </c>
      <c r="AL8" s="118"/>
      <c r="AM8" s="121"/>
      <c r="AN8" s="121"/>
      <c r="AO8" s="120">
        <f t="shared" si="8"/>
        <v>0</v>
      </c>
      <c r="AP8" s="122"/>
      <c r="AQ8" s="121"/>
      <c r="AR8" s="121"/>
      <c r="AS8" s="120">
        <f t="shared" si="9"/>
        <v>0</v>
      </c>
      <c r="AT8" s="122"/>
      <c r="AU8" s="121"/>
      <c r="AV8" s="121"/>
      <c r="AW8" s="120">
        <f t="shared" si="10"/>
        <v>0</v>
      </c>
      <c r="AX8" s="122"/>
      <c r="BA8" s="3"/>
    </row>
    <row r="9" spans="2:53" x14ac:dyDescent="0.3">
      <c r="B9" s="49" t="s">
        <v>237</v>
      </c>
      <c r="C9" s="51">
        <v>113690007</v>
      </c>
      <c r="D9" s="8">
        <v>113690007</v>
      </c>
      <c r="E9" s="123">
        <f t="shared" si="0"/>
        <v>0</v>
      </c>
      <c r="F9" s="49" t="s">
        <v>612</v>
      </c>
      <c r="G9" s="51">
        <v>165186250</v>
      </c>
      <c r="H9" s="8">
        <v>29348250</v>
      </c>
      <c r="I9" s="123">
        <f t="shared" si="11"/>
        <v>135838000</v>
      </c>
      <c r="J9" s="49" t="s">
        <v>644</v>
      </c>
      <c r="K9" s="8"/>
      <c r="L9" s="161">
        <v>65074380</v>
      </c>
      <c r="M9" s="123">
        <f t="shared" si="1"/>
        <v>-65074380</v>
      </c>
      <c r="N9" s="49"/>
      <c r="O9" s="121"/>
      <c r="P9" s="121"/>
      <c r="Q9" s="120">
        <f t="shared" si="2"/>
        <v>0</v>
      </c>
      <c r="R9" s="118"/>
      <c r="S9" s="121"/>
      <c r="T9" s="121"/>
      <c r="U9" s="120">
        <f t="shared" si="3"/>
        <v>0</v>
      </c>
      <c r="V9" s="122"/>
      <c r="W9" s="121"/>
      <c r="X9" s="121"/>
      <c r="Y9" s="120">
        <f t="shared" si="4"/>
        <v>0</v>
      </c>
      <c r="Z9" s="118"/>
      <c r="AA9" s="121"/>
      <c r="AB9" s="121"/>
      <c r="AC9" s="120">
        <f t="shared" si="5"/>
        <v>0</v>
      </c>
      <c r="AD9" s="118"/>
      <c r="AE9" s="121"/>
      <c r="AF9" s="121"/>
      <c r="AG9" s="120">
        <f t="shared" si="6"/>
        <v>0</v>
      </c>
      <c r="AH9" s="118"/>
      <c r="AI9" s="121"/>
      <c r="AJ9" s="121"/>
      <c r="AK9" s="120">
        <f t="shared" si="7"/>
        <v>0</v>
      </c>
      <c r="AL9" s="118"/>
      <c r="AM9" s="121"/>
      <c r="AN9" s="121"/>
      <c r="AO9" s="120">
        <f t="shared" si="8"/>
        <v>0</v>
      </c>
      <c r="AP9" s="122"/>
      <c r="AQ9" s="121"/>
      <c r="AR9" s="121"/>
      <c r="AS9" s="120">
        <f t="shared" si="9"/>
        <v>0</v>
      </c>
      <c r="AT9" s="118"/>
      <c r="AU9" s="121"/>
      <c r="AV9" s="121"/>
      <c r="AW9" s="120">
        <f t="shared" si="10"/>
        <v>0</v>
      </c>
      <c r="AX9" s="118"/>
      <c r="BA9" s="3"/>
    </row>
    <row r="10" spans="2:53" x14ac:dyDescent="0.3">
      <c r="B10" s="118" t="s">
        <v>277</v>
      </c>
      <c r="C10" s="3">
        <v>54600000</v>
      </c>
      <c r="D10" s="8">
        <v>41501900</v>
      </c>
      <c r="E10" s="120">
        <f t="shared" si="0"/>
        <v>13098100</v>
      </c>
      <c r="F10" s="49" t="s">
        <v>614</v>
      </c>
      <c r="G10" s="3">
        <v>127360000</v>
      </c>
      <c r="H10" s="8">
        <v>173276900</v>
      </c>
      <c r="I10" s="120">
        <f t="shared" si="11"/>
        <v>-45916900</v>
      </c>
      <c r="J10" s="49"/>
      <c r="K10" s="3"/>
      <c r="L10" s="161">
        <v>78401670</v>
      </c>
      <c r="M10" s="120">
        <f t="shared" si="1"/>
        <v>-78401670</v>
      </c>
      <c r="N10" s="49"/>
      <c r="O10" s="121"/>
      <c r="P10" s="121"/>
      <c r="Q10" s="120">
        <f t="shared" si="2"/>
        <v>0</v>
      </c>
      <c r="R10" s="118"/>
      <c r="S10" s="121"/>
      <c r="T10" s="121"/>
      <c r="U10" s="120">
        <f t="shared" si="3"/>
        <v>0</v>
      </c>
      <c r="V10" s="122"/>
      <c r="W10" s="121"/>
      <c r="X10" s="121"/>
      <c r="Y10" s="120">
        <f t="shared" si="4"/>
        <v>0</v>
      </c>
      <c r="Z10" s="122"/>
      <c r="AA10" s="121"/>
      <c r="AB10" s="121"/>
      <c r="AC10" s="120">
        <f t="shared" si="5"/>
        <v>0</v>
      </c>
      <c r="AD10" s="122"/>
      <c r="AE10" s="121"/>
      <c r="AF10" s="121"/>
      <c r="AG10" s="120">
        <f t="shared" si="6"/>
        <v>0</v>
      </c>
      <c r="AH10" s="118"/>
      <c r="AI10" s="121"/>
      <c r="AJ10" s="121"/>
      <c r="AK10" s="120">
        <f t="shared" si="7"/>
        <v>0</v>
      </c>
      <c r="AL10" s="118"/>
      <c r="AM10" s="121"/>
      <c r="AN10" s="121"/>
      <c r="AO10" s="120">
        <f t="shared" si="8"/>
        <v>0</v>
      </c>
      <c r="AP10" s="122"/>
      <c r="AQ10" s="121"/>
      <c r="AR10" s="121"/>
      <c r="AS10" s="120">
        <f t="shared" si="9"/>
        <v>0</v>
      </c>
      <c r="AT10" s="122"/>
      <c r="AU10" s="121"/>
      <c r="AV10" s="121"/>
      <c r="AW10" s="120">
        <f t="shared" si="10"/>
        <v>0</v>
      </c>
      <c r="AX10" s="122"/>
      <c r="BA10" s="3"/>
    </row>
    <row r="11" spans="2:53" x14ac:dyDescent="0.3">
      <c r="B11" s="49" t="s">
        <v>153</v>
      </c>
      <c r="C11" s="51">
        <v>23990000</v>
      </c>
      <c r="D11" s="8">
        <v>30165419</v>
      </c>
      <c r="E11" s="123">
        <f t="shared" si="0"/>
        <v>-6175419</v>
      </c>
      <c r="F11" s="49" t="s">
        <v>614</v>
      </c>
      <c r="G11" s="51">
        <v>240150000</v>
      </c>
      <c r="H11" s="8">
        <v>266734879</v>
      </c>
      <c r="I11" s="123">
        <f t="shared" si="11"/>
        <v>-26584879</v>
      </c>
      <c r="J11" s="49" t="s">
        <v>644</v>
      </c>
      <c r="K11" s="51"/>
      <c r="L11" s="161">
        <v>85671943</v>
      </c>
      <c r="M11" s="123">
        <f t="shared" si="1"/>
        <v>-85671943</v>
      </c>
      <c r="N11" s="49"/>
      <c r="O11" s="121"/>
      <c r="P11" s="121"/>
      <c r="Q11" s="120">
        <f t="shared" si="2"/>
        <v>0</v>
      </c>
      <c r="R11" s="118"/>
      <c r="S11" s="121"/>
      <c r="T11" s="121"/>
      <c r="U11" s="120">
        <f t="shared" si="3"/>
        <v>0</v>
      </c>
      <c r="V11" s="122"/>
      <c r="W11" s="121"/>
      <c r="X11" s="121"/>
      <c r="Y11" s="120">
        <f t="shared" si="4"/>
        <v>0</v>
      </c>
      <c r="Z11" s="122"/>
      <c r="AA11" s="121"/>
      <c r="AB11" s="121"/>
      <c r="AC11" s="120">
        <f t="shared" si="5"/>
        <v>0</v>
      </c>
      <c r="AD11" s="122"/>
      <c r="AE11" s="121"/>
      <c r="AF11" s="121"/>
      <c r="AG11" s="120">
        <f t="shared" si="6"/>
        <v>0</v>
      </c>
      <c r="AH11" s="118"/>
      <c r="AI11" s="121"/>
      <c r="AJ11" s="121"/>
      <c r="AK11" s="120">
        <f t="shared" si="7"/>
        <v>0</v>
      </c>
      <c r="AL11" s="118"/>
      <c r="AM11" s="121"/>
      <c r="AN11" s="121"/>
      <c r="AO11" s="120">
        <f t="shared" si="8"/>
        <v>0</v>
      </c>
      <c r="AP11" s="122"/>
      <c r="AQ11" s="121"/>
      <c r="AR11" s="121"/>
      <c r="AS11" s="120">
        <f t="shared" si="9"/>
        <v>0</v>
      </c>
      <c r="AT11" s="122"/>
      <c r="AU11" s="121"/>
      <c r="AV11" s="121"/>
      <c r="AW11" s="120">
        <f t="shared" si="10"/>
        <v>0</v>
      </c>
      <c r="AX11" s="122"/>
      <c r="BA11" s="3"/>
    </row>
    <row r="12" spans="2:53" x14ac:dyDescent="0.3">
      <c r="B12" s="49" t="s">
        <v>456</v>
      </c>
      <c r="C12" s="8">
        <v>27270500</v>
      </c>
      <c r="D12" s="8">
        <v>30053400</v>
      </c>
      <c r="E12" s="123">
        <f t="shared" si="0"/>
        <v>-2782900</v>
      </c>
      <c r="F12" s="49"/>
      <c r="G12" s="8">
        <v>13300000</v>
      </c>
      <c r="H12" s="8">
        <v>4222265</v>
      </c>
      <c r="I12" s="123">
        <f>G12-H12</f>
        <v>9077735</v>
      </c>
      <c r="J12" s="49" t="s">
        <v>645</v>
      </c>
      <c r="K12" s="8"/>
      <c r="L12" s="161">
        <v>193923498</v>
      </c>
      <c r="M12" s="123">
        <f>K12-L12</f>
        <v>-193923498</v>
      </c>
      <c r="N12" s="49"/>
      <c r="O12" s="121"/>
      <c r="P12" s="121"/>
      <c r="Q12" s="120">
        <f>O12-P12</f>
        <v>0</v>
      </c>
      <c r="R12" s="118"/>
      <c r="S12" s="121"/>
      <c r="T12" s="121"/>
      <c r="U12" s="120">
        <f>S12-T12</f>
        <v>0</v>
      </c>
      <c r="V12" s="122"/>
      <c r="W12" s="121"/>
      <c r="X12" s="121"/>
      <c r="Y12" s="120">
        <f>W12-X12</f>
        <v>0</v>
      </c>
      <c r="Z12" s="122"/>
      <c r="AA12" s="121"/>
      <c r="AB12" s="121"/>
      <c r="AC12" s="120">
        <f>AA12-AB12</f>
        <v>0</v>
      </c>
      <c r="AD12" s="122"/>
      <c r="AE12" s="121"/>
      <c r="AF12" s="121"/>
      <c r="AG12" s="120">
        <f>AE12-AF12</f>
        <v>0</v>
      </c>
      <c r="AH12" s="118"/>
      <c r="AI12" s="121"/>
      <c r="AJ12" s="121"/>
      <c r="AK12" s="120">
        <f>AI12-AJ12</f>
        <v>0</v>
      </c>
      <c r="AL12" s="118"/>
      <c r="AM12" s="121"/>
      <c r="AN12" s="121"/>
      <c r="AO12" s="120">
        <f>AM12-AN12</f>
        <v>0</v>
      </c>
      <c r="AP12" s="122"/>
      <c r="AQ12" s="121"/>
      <c r="AR12" s="121"/>
      <c r="AS12" s="120">
        <f>AQ12-AR12</f>
        <v>0</v>
      </c>
      <c r="AT12" s="122"/>
      <c r="AU12" s="121"/>
      <c r="AV12" s="121"/>
      <c r="AW12" s="120">
        <f>AU12-AV12</f>
        <v>0</v>
      </c>
      <c r="AX12" s="122"/>
      <c r="BA12" s="3"/>
    </row>
    <row r="13" spans="2:53" hidden="1" x14ac:dyDescent="0.3">
      <c r="B13" s="118" t="s">
        <v>458</v>
      </c>
      <c r="C13" s="119">
        <v>1000000</v>
      </c>
      <c r="D13" s="8">
        <v>9670000</v>
      </c>
      <c r="E13" s="120">
        <f t="shared" si="0"/>
        <v>-8670000</v>
      </c>
      <c r="F13" s="49" t="s">
        <v>613</v>
      </c>
      <c r="G13" s="119">
        <v>26950000</v>
      </c>
      <c r="H13" s="8">
        <v>28060000</v>
      </c>
      <c r="I13" s="120">
        <f>G13-H13</f>
        <v>-1110000</v>
      </c>
      <c r="J13" s="49" t="s">
        <v>644</v>
      </c>
      <c r="K13" s="119"/>
      <c r="L13" s="8"/>
      <c r="M13" s="120">
        <f>K13-L13</f>
        <v>0</v>
      </c>
      <c r="N13" s="49"/>
      <c r="O13" s="121"/>
      <c r="P13" s="121"/>
      <c r="Q13" s="120">
        <f>O13-P13</f>
        <v>0</v>
      </c>
      <c r="R13" s="118"/>
      <c r="S13" s="121"/>
      <c r="T13" s="121"/>
      <c r="U13" s="120">
        <f>S13-T13</f>
        <v>0</v>
      </c>
      <c r="V13" s="122"/>
      <c r="W13" s="121"/>
      <c r="X13" s="121"/>
      <c r="Y13" s="120">
        <f>W13-X13</f>
        <v>0</v>
      </c>
      <c r="Z13" s="122"/>
      <c r="AA13" s="121"/>
      <c r="AB13" s="121"/>
      <c r="AC13" s="120">
        <f>AA13-AB13</f>
        <v>0</v>
      </c>
      <c r="AD13" s="122"/>
      <c r="AE13" s="121"/>
      <c r="AF13" s="121"/>
      <c r="AG13" s="120">
        <f>AE13-AF13</f>
        <v>0</v>
      </c>
      <c r="AH13" s="118"/>
      <c r="AI13" s="121"/>
      <c r="AJ13" s="121"/>
      <c r="AK13" s="120">
        <f>AI13-AJ13</f>
        <v>0</v>
      </c>
      <c r="AL13" s="118"/>
      <c r="AM13" s="121"/>
      <c r="AN13" s="121"/>
      <c r="AO13" s="120">
        <f>AM13-AN13</f>
        <v>0</v>
      </c>
      <c r="AP13" s="122"/>
      <c r="AQ13" s="121"/>
      <c r="AR13" s="121"/>
      <c r="AS13" s="120">
        <f>AQ13-AR13</f>
        <v>0</v>
      </c>
      <c r="AT13" s="122"/>
      <c r="AU13" s="121"/>
      <c r="AV13" s="121"/>
      <c r="AW13" s="120">
        <f>AU13-AV13</f>
        <v>0</v>
      </c>
      <c r="AX13" s="122"/>
      <c r="BA13" s="3"/>
    </row>
    <row r="14" spans="2:53" x14ac:dyDescent="0.3">
      <c r="B14" s="124" t="s">
        <v>557</v>
      </c>
      <c r="C14" s="125">
        <f>SUM(C4:C13)</f>
        <v>718851146</v>
      </c>
      <c r="D14" s="125">
        <f>SUM(D4:D13)</f>
        <v>733122887</v>
      </c>
      <c r="E14" s="125">
        <f t="shared" si="0"/>
        <v>-14271741</v>
      </c>
      <c r="F14" s="126"/>
      <c r="G14" s="125">
        <f>SUM(G4:G13)</f>
        <v>1513728598</v>
      </c>
      <c r="H14" s="125">
        <f>SUM(H4:H13)</f>
        <v>1555405165</v>
      </c>
      <c r="I14" s="125">
        <f>SUM(I4:I13)</f>
        <v>-41676567</v>
      </c>
      <c r="J14" s="126"/>
      <c r="K14" s="125">
        <f>SUM(K4:K12)</f>
        <v>0</v>
      </c>
      <c r="L14" s="125">
        <f>SUM(L4:L12)</f>
        <v>2015004723</v>
      </c>
      <c r="M14" s="125">
        <f>SUM(M4:M12)</f>
        <v>-2015004723</v>
      </c>
      <c r="N14" s="126"/>
      <c r="O14" s="126">
        <f>SUM(O4:O11)</f>
        <v>0</v>
      </c>
      <c r="P14" s="127">
        <f>SUM(P4:P11)</f>
        <v>0</v>
      </c>
      <c r="Q14" s="125">
        <f>SUM(Q4:Q11)</f>
        <v>0</v>
      </c>
      <c r="R14" s="126"/>
      <c r="S14" s="126">
        <f>SUM(S4:S11)</f>
        <v>0</v>
      </c>
      <c r="T14" s="127">
        <f>SUM(T4:T11)</f>
        <v>0</v>
      </c>
      <c r="U14" s="125">
        <f>SUM(U4:U11)</f>
        <v>0</v>
      </c>
      <c r="V14" s="126"/>
      <c r="W14" s="126">
        <f>SUM(W4:W11)</f>
        <v>0</v>
      </c>
      <c r="X14" s="127">
        <f>SUM(X4:X11)</f>
        <v>0</v>
      </c>
      <c r="Y14" s="125">
        <f>SUM(Y4:Y11)</f>
        <v>0</v>
      </c>
      <c r="Z14" s="126"/>
      <c r="AA14" s="126">
        <f>SUM(AA4:AA11)</f>
        <v>0</v>
      </c>
      <c r="AB14" s="127">
        <f>SUM(AB4:AB11)</f>
        <v>0</v>
      </c>
      <c r="AC14" s="125">
        <f>SUM(AC4:AC11)</f>
        <v>0</v>
      </c>
      <c r="AD14" s="126"/>
      <c r="AE14" s="126">
        <f>SUM(AE4:AE11)</f>
        <v>0</v>
      </c>
      <c r="AF14" s="127">
        <f>SUM(AF4:AF11)</f>
        <v>0</v>
      </c>
      <c r="AG14" s="125">
        <f>SUM(AG4:AG11)</f>
        <v>0</v>
      </c>
      <c r="AH14" s="126"/>
      <c r="AI14" s="126">
        <f>SUM(AI4:AI11)</f>
        <v>0</v>
      </c>
      <c r="AJ14" s="127">
        <f>SUM(AJ4:AJ11)</f>
        <v>0</v>
      </c>
      <c r="AK14" s="125">
        <f>SUM(AK4:AK11)</f>
        <v>0</v>
      </c>
      <c r="AL14" s="126"/>
      <c r="AM14" s="126">
        <f>SUM(AM4:AM11)</f>
        <v>0</v>
      </c>
      <c r="AN14" s="127">
        <f>SUM(AN4:AN11)</f>
        <v>0</v>
      </c>
      <c r="AO14" s="125">
        <f>SUM(AO4:AO11)</f>
        <v>0</v>
      </c>
      <c r="AP14" s="126"/>
      <c r="AQ14" s="126">
        <f>SUM(AQ4:AQ11)</f>
        <v>0</v>
      </c>
      <c r="AR14" s="127">
        <f>SUM(AR4:AR11)</f>
        <v>0</v>
      </c>
      <c r="AS14" s="125">
        <f>SUM(AS4:AS11)</f>
        <v>0</v>
      </c>
      <c r="AT14" s="126"/>
      <c r="AU14" s="126">
        <f>SUM(AU4:AU11)</f>
        <v>0</v>
      </c>
      <c r="AV14" s="127">
        <f>SUM(AV4:AV11)</f>
        <v>0</v>
      </c>
      <c r="AW14" s="125">
        <f>SUM(AW4:AW11)</f>
        <v>0</v>
      </c>
      <c r="AX14" s="126"/>
    </row>
    <row r="16" spans="2:53" x14ac:dyDescent="0.3">
      <c r="B16" s="128"/>
      <c r="E16" s="129"/>
      <c r="I16" s="129"/>
      <c r="M16" s="129"/>
    </row>
    <row r="17" spans="4:12" x14ac:dyDescent="0.3">
      <c r="D17" s="3"/>
      <c r="H17" s="3"/>
      <c r="L17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K19" sqref="K19"/>
    </sheetView>
  </sheetViews>
  <sheetFormatPr defaultRowHeight="15.65" x14ac:dyDescent="0.3"/>
  <cols>
    <col min="1" max="1" width="2.6640625" customWidth="1"/>
    <col min="2" max="2" width="11.6640625" customWidth="1"/>
    <col min="3" max="3" width="16.77734375" customWidth="1"/>
    <col min="4" max="16" width="8.77734375" customWidth="1"/>
    <col min="19" max="19" width="12.6640625" bestFit="1" customWidth="1"/>
    <col min="20" max="20" width="13.88671875" bestFit="1" customWidth="1"/>
  </cols>
  <sheetData>
    <row r="2" spans="2:20" x14ac:dyDescent="0.2">
      <c r="R2" s="29" t="s">
        <v>527</v>
      </c>
    </row>
    <row r="3" spans="2:20" x14ac:dyDescent="0.3">
      <c r="B3" s="328" t="s">
        <v>528</v>
      </c>
      <c r="C3" s="329"/>
      <c r="D3" s="332" t="s">
        <v>844</v>
      </c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91"/>
      <c r="Q3" s="332" t="s">
        <v>529</v>
      </c>
      <c r="R3" s="334"/>
      <c r="T3" s="78"/>
    </row>
    <row r="4" spans="2:20" x14ac:dyDescent="0.3">
      <c r="B4" s="330"/>
      <c r="C4" s="331"/>
      <c r="D4" s="92" t="s">
        <v>506</v>
      </c>
      <c r="E4" s="92" t="s">
        <v>511</v>
      </c>
      <c r="F4" s="92" t="s">
        <v>508</v>
      </c>
      <c r="G4" s="92" t="s">
        <v>510</v>
      </c>
      <c r="H4" s="92" t="s">
        <v>509</v>
      </c>
      <c r="I4" s="92" t="s">
        <v>530</v>
      </c>
      <c r="J4" s="92" t="s">
        <v>531</v>
      </c>
      <c r="K4" s="92" t="s">
        <v>513</v>
      </c>
      <c r="L4" s="92" t="s">
        <v>532</v>
      </c>
      <c r="M4" s="92" t="s">
        <v>512</v>
      </c>
      <c r="N4" s="92" t="s">
        <v>533</v>
      </c>
      <c r="O4" s="92" t="s">
        <v>507</v>
      </c>
      <c r="P4" s="93" t="s">
        <v>534</v>
      </c>
      <c r="Q4" s="92" t="s">
        <v>535</v>
      </c>
      <c r="R4" s="92" t="s">
        <v>536</v>
      </c>
    </row>
    <row r="5" spans="2:20" x14ac:dyDescent="0.3">
      <c r="B5" s="335" t="s">
        <v>843</v>
      </c>
      <c r="C5" s="336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73"/>
      <c r="R5" s="94"/>
    </row>
    <row r="6" spans="2:20" x14ac:dyDescent="0.3">
      <c r="B6" s="337" t="s">
        <v>842</v>
      </c>
      <c r="C6" s="338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>
        <f t="shared" ref="P6" si="0">SUM(D6:O6)</f>
        <v>0</v>
      </c>
      <c r="Q6" s="174">
        <v>0</v>
      </c>
      <c r="R6" s="97">
        <f>Q6-P6</f>
        <v>0</v>
      </c>
    </row>
    <row r="7" spans="2:20" x14ac:dyDescent="0.3">
      <c r="B7" s="98" t="s">
        <v>841</v>
      </c>
      <c r="C7" s="99" t="s">
        <v>537</v>
      </c>
      <c r="D7" s="100">
        <f>D8+D9</f>
        <v>990760965</v>
      </c>
      <c r="E7" s="100">
        <f t="shared" ref="E7:O7" si="1">E8+E9</f>
        <v>1680107334</v>
      </c>
      <c r="F7" s="100">
        <f t="shared" si="1"/>
        <v>1957013064</v>
      </c>
      <c r="G7" s="100">
        <f t="shared" si="1"/>
        <v>2560258577</v>
      </c>
      <c r="H7" s="100">
        <f t="shared" si="1"/>
        <v>2982984040</v>
      </c>
      <c r="I7" s="100">
        <f t="shared" si="1"/>
        <v>2291272000</v>
      </c>
      <c r="J7" s="100">
        <f t="shared" si="1"/>
        <v>3017905445</v>
      </c>
      <c r="K7" s="100">
        <f t="shared" si="1"/>
        <v>2049615500</v>
      </c>
      <c r="L7" s="100">
        <f t="shared" si="1"/>
        <v>2113889645</v>
      </c>
      <c r="M7" s="100">
        <f t="shared" si="1"/>
        <v>3369463365</v>
      </c>
      <c r="N7" s="100">
        <f t="shared" si="1"/>
        <v>2706170110</v>
      </c>
      <c r="O7" s="100">
        <f t="shared" si="1"/>
        <v>3590784970.5</v>
      </c>
      <c r="P7" s="101">
        <f>SUM(D7:O7)</f>
        <v>29310225015.5</v>
      </c>
      <c r="Q7" s="100">
        <v>29310225015.5</v>
      </c>
      <c r="R7" s="102">
        <f>P7-Q7</f>
        <v>0</v>
      </c>
    </row>
    <row r="8" spans="2:20" x14ac:dyDescent="0.3">
      <c r="B8" s="103"/>
      <c r="C8" s="68" t="s">
        <v>538</v>
      </c>
      <c r="D8" s="171">
        <v>990760965</v>
      </c>
      <c r="E8" s="171">
        <v>1680107334</v>
      </c>
      <c r="F8" s="171">
        <v>1957013064</v>
      </c>
      <c r="G8" s="171">
        <v>2474758577</v>
      </c>
      <c r="H8" s="171">
        <v>2244834040</v>
      </c>
      <c r="I8" s="171">
        <v>2068412000</v>
      </c>
      <c r="J8" s="171">
        <v>2357805445</v>
      </c>
      <c r="K8" s="171">
        <v>1746015500</v>
      </c>
      <c r="L8" s="171">
        <v>1643289645</v>
      </c>
      <c r="M8" s="171">
        <v>2506063365</v>
      </c>
      <c r="N8" s="171">
        <v>2233170110</v>
      </c>
      <c r="O8" s="171">
        <v>2872934970.5</v>
      </c>
      <c r="P8" s="104">
        <f>SUM(D8:O8)</f>
        <v>24775165015.5</v>
      </c>
      <c r="Q8" s="175">
        <v>24775165015.5</v>
      </c>
      <c r="R8" s="102">
        <f>P8-Q8</f>
        <v>0</v>
      </c>
    </row>
    <row r="9" spans="2:20" x14ac:dyDescent="0.3">
      <c r="B9" s="103"/>
      <c r="C9" s="68" t="s">
        <v>539</v>
      </c>
      <c r="D9" s="172"/>
      <c r="E9" s="172"/>
      <c r="F9" s="172"/>
      <c r="G9" s="172">
        <v>85500000</v>
      </c>
      <c r="H9" s="172">
        <v>738150000</v>
      </c>
      <c r="I9" s="172">
        <v>222860000</v>
      </c>
      <c r="J9" s="172">
        <v>660100000</v>
      </c>
      <c r="K9" s="172">
        <v>303600000</v>
      </c>
      <c r="L9" s="172">
        <v>470600000</v>
      </c>
      <c r="M9" s="172">
        <v>863400000</v>
      </c>
      <c r="N9" s="172">
        <v>473000000</v>
      </c>
      <c r="O9" s="172">
        <v>717850000</v>
      </c>
      <c r="P9" s="105">
        <f t="shared" ref="P9:P11" si="2">SUM(D9:O9)</f>
        <v>4535060000</v>
      </c>
      <c r="Q9" s="176">
        <v>4535060000</v>
      </c>
      <c r="R9" s="102">
        <f>P9-Q9</f>
        <v>0</v>
      </c>
    </row>
    <row r="10" spans="2:20" x14ac:dyDescent="0.3">
      <c r="B10" s="103"/>
      <c r="C10" s="68" t="s">
        <v>540</v>
      </c>
      <c r="D10" s="172"/>
      <c r="E10" s="172"/>
      <c r="F10" s="172"/>
      <c r="G10" s="172">
        <v>65000000</v>
      </c>
      <c r="H10" s="172">
        <v>1740620000</v>
      </c>
      <c r="I10" s="172">
        <v>594800000</v>
      </c>
      <c r="J10" s="172">
        <v>207200000</v>
      </c>
      <c r="K10" s="172">
        <v>302000000</v>
      </c>
      <c r="L10" s="172">
        <v>700000000</v>
      </c>
      <c r="M10" s="172">
        <v>317500000</v>
      </c>
      <c r="N10" s="172">
        <v>462500000</v>
      </c>
      <c r="O10" s="172">
        <v>259000000</v>
      </c>
      <c r="P10" s="105">
        <f t="shared" si="2"/>
        <v>4648620000</v>
      </c>
      <c r="Q10" s="176">
        <v>4648620000</v>
      </c>
      <c r="R10" s="102">
        <f>P10-Q10</f>
        <v>0</v>
      </c>
    </row>
    <row r="11" spans="2:20" x14ac:dyDescent="0.3">
      <c r="B11" s="106"/>
      <c r="C11" s="107" t="s">
        <v>541</v>
      </c>
      <c r="D11" s="108">
        <f>D8+D9+D10</f>
        <v>990760965</v>
      </c>
      <c r="E11" s="108">
        <f t="shared" ref="E11:O11" si="3">E8+E9+E10</f>
        <v>1680107334</v>
      </c>
      <c r="F11" s="108">
        <f t="shared" si="3"/>
        <v>1957013064</v>
      </c>
      <c r="G11" s="108">
        <f t="shared" si="3"/>
        <v>2625258577</v>
      </c>
      <c r="H11" s="108">
        <f t="shared" si="3"/>
        <v>4723604040</v>
      </c>
      <c r="I11" s="108">
        <f t="shared" si="3"/>
        <v>2886072000</v>
      </c>
      <c r="J11" s="108">
        <f t="shared" si="3"/>
        <v>3225105445</v>
      </c>
      <c r="K11" s="108">
        <f t="shared" si="3"/>
        <v>2351615500</v>
      </c>
      <c r="L11" s="108">
        <f t="shared" si="3"/>
        <v>2813889645</v>
      </c>
      <c r="M11" s="108">
        <f t="shared" si="3"/>
        <v>3686963365</v>
      </c>
      <c r="N11" s="108">
        <f t="shared" si="3"/>
        <v>3168670110</v>
      </c>
      <c r="O11" s="108">
        <f t="shared" si="3"/>
        <v>3849784970.5</v>
      </c>
      <c r="P11" s="109">
        <f t="shared" si="2"/>
        <v>33958845015.5</v>
      </c>
      <c r="Q11" s="177">
        <v>33958845015.5</v>
      </c>
      <c r="R11" s="110">
        <f>P11-Q11</f>
        <v>0</v>
      </c>
    </row>
    <row r="12" spans="2:20" x14ac:dyDescent="0.3">
      <c r="B12" s="111"/>
      <c r="C12" s="112" t="s">
        <v>542</v>
      </c>
      <c r="D12" s="113" t="e">
        <f>D8/D6</f>
        <v>#DIV/0!</v>
      </c>
      <c r="E12" s="113" t="e">
        <f t="shared" ref="E12:L12" si="4">E8/E6</f>
        <v>#DIV/0!</v>
      </c>
      <c r="F12" s="113" t="e">
        <f t="shared" si="4"/>
        <v>#DIV/0!</v>
      </c>
      <c r="G12" s="113" t="e">
        <f t="shared" si="4"/>
        <v>#DIV/0!</v>
      </c>
      <c r="H12" s="113" t="e">
        <f t="shared" si="4"/>
        <v>#DIV/0!</v>
      </c>
      <c r="I12" s="113" t="e">
        <f t="shared" si="4"/>
        <v>#DIV/0!</v>
      </c>
      <c r="J12" s="113" t="e">
        <f t="shared" si="4"/>
        <v>#DIV/0!</v>
      </c>
      <c r="K12" s="113" t="e">
        <f t="shared" si="4"/>
        <v>#DIV/0!</v>
      </c>
      <c r="L12" s="113" t="e">
        <f t="shared" si="4"/>
        <v>#DIV/0!</v>
      </c>
      <c r="M12" s="113" t="e">
        <f>M8/M6</f>
        <v>#DIV/0!</v>
      </c>
      <c r="N12" s="113" t="e">
        <f>N8/N6</f>
        <v>#DIV/0!</v>
      </c>
      <c r="O12" s="113" t="e">
        <f>O8/O6</f>
        <v>#DIV/0!</v>
      </c>
      <c r="P12" s="113" t="e">
        <f>P8/P6</f>
        <v>#DIV/0!</v>
      </c>
      <c r="Q12" s="178" t="e">
        <v>#DIV/0!</v>
      </c>
      <c r="R12" s="114"/>
    </row>
    <row r="14" spans="2:20" x14ac:dyDescent="0.3">
      <c r="D14" t="s">
        <v>543</v>
      </c>
      <c r="E14" s="115"/>
      <c r="F14" s="30"/>
      <c r="G14" s="30"/>
      <c r="H14" s="30"/>
      <c r="I14" s="30"/>
      <c r="K14" s="30"/>
      <c r="N14" s="90"/>
    </row>
    <row r="15" spans="2:20" x14ac:dyDescent="0.3">
      <c r="E15" s="30"/>
      <c r="F15" s="30"/>
      <c r="G15" s="30"/>
      <c r="H15" s="30"/>
      <c r="I15" s="30"/>
      <c r="K15" s="30"/>
    </row>
    <row r="16" spans="2:20" x14ac:dyDescent="0.3">
      <c r="I16" s="30"/>
    </row>
    <row r="17" spans="16:16" x14ac:dyDescent="0.3">
      <c r="P17" s="89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topLeftCell="A2" workbookViewId="0">
      <selection activeCell="B13" sqref="B13:D22"/>
    </sheetView>
  </sheetViews>
  <sheetFormatPr defaultColWidth="9" defaultRowHeight="12.25" x14ac:dyDescent="0.3"/>
  <cols>
    <col min="1" max="1" width="19.44140625" style="169" customWidth="1"/>
    <col min="2" max="2" width="12.33203125" style="169" customWidth="1"/>
    <col min="3" max="4" width="11.44140625" style="169" customWidth="1"/>
    <col min="5" max="5" width="12.33203125" style="169" customWidth="1"/>
    <col min="6" max="13" width="12.88671875" style="169" customWidth="1"/>
    <col min="14" max="15" width="19.44140625" style="169" customWidth="1"/>
    <col min="16" max="16" width="22.88671875" style="169" customWidth="1"/>
    <col min="17" max="1380" width="15.109375" style="169" customWidth="1"/>
    <col min="1381" max="1389" width="18.6640625" style="169" customWidth="1"/>
    <col min="1390" max="1392" width="19.77734375" style="169" customWidth="1"/>
    <col min="1393" max="1393" width="22.21875" style="169" customWidth="1"/>
    <col min="1394" max="1396" width="23.33203125" style="169" customWidth="1"/>
    <col min="1397" max="1402" width="14" style="169" customWidth="1"/>
    <col min="1403" max="1405" width="15.109375" style="169" customWidth="1"/>
    <col min="1406" max="1411" width="22.21875" style="169" customWidth="1"/>
    <col min="1412" max="1414" width="23.33203125" style="169" customWidth="1"/>
    <col min="1415" max="1420" width="14" style="169" customWidth="1"/>
    <col min="1421" max="1423" width="15.109375" style="169" customWidth="1"/>
    <col min="1424" max="1429" width="14" style="169" customWidth="1"/>
    <col min="1430" max="1432" width="15.109375" style="169" customWidth="1"/>
    <col min="1433" max="1438" width="22.21875" style="169" customWidth="1"/>
    <col min="1439" max="1441" width="23.33203125" style="169" customWidth="1"/>
    <col min="1442" max="1447" width="14" style="169" customWidth="1"/>
    <col min="1448" max="1450" width="15.109375" style="169" customWidth="1"/>
    <col min="1451" max="1456" width="22.21875" style="169" customWidth="1"/>
    <col min="1457" max="1459" width="23.33203125" style="169" customWidth="1"/>
    <col min="1460" max="1465" width="14" style="169" customWidth="1"/>
    <col min="1466" max="1468" width="15.109375" style="169" customWidth="1"/>
    <col min="1469" max="1474" width="14" style="169" customWidth="1"/>
    <col min="1475" max="1477" width="15.109375" style="169" customWidth="1"/>
    <col min="1478" max="1483" width="22.21875" style="169" customWidth="1"/>
    <col min="1484" max="1486" width="23.33203125" style="169" customWidth="1"/>
    <col min="1487" max="1492" width="14" style="169" customWidth="1"/>
    <col min="1493" max="1495" width="15.109375" style="169" customWidth="1"/>
    <col min="1496" max="1501" width="14" style="169" customWidth="1"/>
    <col min="1502" max="1504" width="15.109375" style="169" customWidth="1"/>
    <col min="1505" max="1510" width="23.33203125" style="169" customWidth="1"/>
    <col min="1511" max="1513" width="24.44140625" style="169" customWidth="1"/>
    <col min="1514" max="1519" width="14" style="169" customWidth="1"/>
    <col min="1520" max="1522" width="15.109375" style="169" customWidth="1"/>
    <col min="1523" max="1528" width="14" style="169" customWidth="1"/>
    <col min="1529" max="1531" width="15.109375" style="169" customWidth="1"/>
    <col min="1532" max="1537" width="23.33203125" style="169" customWidth="1"/>
    <col min="1538" max="1540" width="24.44140625" style="169" customWidth="1"/>
    <col min="1541" max="1546" width="14" style="169" customWidth="1"/>
    <col min="1547" max="1549" width="15.109375" style="169" customWidth="1"/>
    <col min="1550" max="1555" width="14" style="169" customWidth="1"/>
    <col min="1556" max="1558" width="15.109375" style="169" customWidth="1"/>
    <col min="1559" max="1564" width="23.33203125" style="169" customWidth="1"/>
    <col min="1565" max="1567" width="24.44140625" style="169" customWidth="1"/>
    <col min="1568" max="1573" width="14" style="169" customWidth="1"/>
    <col min="1574" max="1576" width="15.109375" style="169" customWidth="1"/>
    <col min="1577" max="1582" width="14" style="169" customWidth="1"/>
    <col min="1583" max="1585" width="15.109375" style="169" customWidth="1"/>
    <col min="1586" max="1591" width="14" style="169" customWidth="1"/>
    <col min="1592" max="1594" width="15.109375" style="169" customWidth="1"/>
    <col min="1595" max="1600" width="23.33203125" style="169" customWidth="1"/>
    <col min="1601" max="1603" width="24.44140625" style="169" customWidth="1"/>
    <col min="1604" max="1609" width="14" style="169" customWidth="1"/>
    <col min="1610" max="1612" width="15.109375" style="169" customWidth="1"/>
    <col min="1613" max="1618" width="23.33203125" style="169" customWidth="1"/>
    <col min="1619" max="1621" width="24.44140625" style="169" customWidth="1"/>
    <col min="1622" max="1627" width="14" style="169" customWidth="1"/>
    <col min="1628" max="1630" width="15.109375" style="169" customWidth="1"/>
    <col min="1631" max="1636" width="23.33203125" style="169" customWidth="1"/>
    <col min="1637" max="1639" width="24.44140625" style="169" customWidth="1"/>
    <col min="1640" max="1645" width="14" style="169" customWidth="1"/>
    <col min="1646" max="1648" width="15.109375" style="169" customWidth="1"/>
    <col min="1649" max="1654" width="23.33203125" style="169" customWidth="1"/>
    <col min="1655" max="1657" width="24.44140625" style="169" customWidth="1"/>
    <col min="1658" max="1663" width="14" style="169" customWidth="1"/>
    <col min="1664" max="1666" width="15.109375" style="169" customWidth="1"/>
    <col min="1667" max="1672" width="23.33203125" style="169" customWidth="1"/>
    <col min="1673" max="1675" width="24.44140625" style="169" customWidth="1"/>
    <col min="1676" max="1681" width="14" style="169" customWidth="1"/>
    <col min="1682" max="1684" width="15.109375" style="169" customWidth="1"/>
    <col min="1685" max="1690" width="24.44140625" style="169" customWidth="1"/>
    <col min="1691" max="1693" width="25.6640625" style="169" customWidth="1"/>
    <col min="1694" max="1699" width="14" style="169" customWidth="1"/>
    <col min="1700" max="1702" width="15.109375" style="169" customWidth="1"/>
    <col min="1703" max="1708" width="24.44140625" style="169" customWidth="1"/>
    <col min="1709" max="1711" width="25.6640625" style="169" customWidth="1"/>
    <col min="1712" max="1717" width="14" style="169" customWidth="1"/>
    <col min="1718" max="1720" width="15.109375" style="169" customWidth="1"/>
    <col min="1721" max="1726" width="24.44140625" style="169" customWidth="1"/>
    <col min="1727" max="1729" width="25.6640625" style="169" customWidth="1"/>
    <col min="1730" max="1735" width="14" style="169" customWidth="1"/>
    <col min="1736" max="1738" width="15.109375" style="169" customWidth="1"/>
    <col min="1739" max="1744" width="24.44140625" style="169" customWidth="1"/>
    <col min="1745" max="1747" width="25.6640625" style="169" customWidth="1"/>
    <col min="1748" max="1753" width="14" style="169" customWidth="1"/>
    <col min="1754" max="1756" width="15.109375" style="169" customWidth="1"/>
    <col min="1757" max="1762" width="24.44140625" style="169" customWidth="1"/>
    <col min="1763" max="1765" width="25.6640625" style="169" customWidth="1"/>
    <col min="1766" max="1771" width="14" style="169" customWidth="1"/>
    <col min="1772" max="1774" width="15.109375" style="169" customWidth="1"/>
    <col min="1775" max="1780" width="24.44140625" style="169" customWidth="1"/>
    <col min="1781" max="1783" width="25.6640625" style="169" customWidth="1"/>
    <col min="1784" max="1789" width="14" style="169" customWidth="1"/>
    <col min="1790" max="1792" width="15.109375" style="169" customWidth="1"/>
    <col min="1793" max="1798" width="14" style="169" customWidth="1"/>
    <col min="1799" max="1801" width="15.109375" style="169" customWidth="1"/>
    <col min="1802" max="1807" width="14" style="169" customWidth="1"/>
    <col min="1808" max="1810" width="15.109375" style="169" customWidth="1"/>
    <col min="1811" max="1816" width="14" style="169" customWidth="1"/>
    <col min="1817" max="1819" width="15.109375" style="169" customWidth="1"/>
    <col min="1820" max="1825" width="14" style="169" customWidth="1"/>
    <col min="1826" max="1828" width="15.109375" style="169" customWidth="1"/>
    <col min="1829" max="1834" width="14" style="169" customWidth="1"/>
    <col min="1835" max="1837" width="15.109375" style="169" customWidth="1"/>
    <col min="1838" max="1843" width="14" style="169" customWidth="1"/>
    <col min="1844" max="1846" width="15.109375" style="169" customWidth="1"/>
    <col min="1847" max="1852" width="14" style="169" customWidth="1"/>
    <col min="1853" max="1855" width="15.109375" style="169" customWidth="1"/>
    <col min="1856" max="1861" width="14" style="169" customWidth="1"/>
    <col min="1862" max="1864" width="15.109375" style="169" customWidth="1"/>
    <col min="1865" max="1870" width="14" style="169" customWidth="1"/>
    <col min="1871" max="1873" width="15.109375" style="169" customWidth="1"/>
    <col min="1874" max="1879" width="14" style="169" customWidth="1"/>
    <col min="1880" max="1882" width="15.109375" style="169" customWidth="1"/>
    <col min="1883" max="1888" width="14" style="169" customWidth="1"/>
    <col min="1889" max="1891" width="15.109375" style="169" customWidth="1"/>
    <col min="1892" max="1897" width="14" style="169" customWidth="1"/>
    <col min="1898" max="1900" width="15.109375" style="169" customWidth="1"/>
    <col min="1901" max="1906" width="14" style="169" customWidth="1"/>
    <col min="1907" max="1909" width="15.109375" style="169" customWidth="1"/>
    <col min="1910" max="1915" width="14" style="169" customWidth="1"/>
    <col min="1916" max="1918" width="15.109375" style="169" customWidth="1"/>
    <col min="1919" max="1924" width="14" style="169" customWidth="1"/>
    <col min="1925" max="1927" width="15.109375" style="169" customWidth="1"/>
    <col min="1928" max="1933" width="14" style="169" customWidth="1"/>
    <col min="1934" max="1936" width="15.109375" style="169" customWidth="1"/>
    <col min="1937" max="1942" width="14" style="169" customWidth="1"/>
    <col min="1943" max="1945" width="15.109375" style="169" customWidth="1"/>
    <col min="1946" max="1951" width="14" style="169" customWidth="1"/>
    <col min="1952" max="1954" width="15.109375" style="169" customWidth="1"/>
    <col min="1955" max="1960" width="14" style="169" customWidth="1"/>
    <col min="1961" max="1963" width="15.109375" style="169" customWidth="1"/>
    <col min="1964" max="1969" width="14" style="169" customWidth="1"/>
    <col min="1970" max="1972" width="15.109375" style="169" customWidth="1"/>
    <col min="1973" max="1978" width="14" style="169" customWidth="1"/>
    <col min="1979" max="1981" width="15.109375" style="169" customWidth="1"/>
    <col min="1982" max="1987" width="14" style="169" customWidth="1"/>
    <col min="1988" max="1990" width="15.109375" style="169" customWidth="1"/>
    <col min="1991" max="1996" width="14" style="169" customWidth="1"/>
    <col min="1997" max="1999" width="15.109375" style="169" customWidth="1"/>
    <col min="2000" max="2005" width="14" style="169" customWidth="1"/>
    <col min="2006" max="2008" width="15.109375" style="169" customWidth="1"/>
    <col min="2009" max="2014" width="14" style="169" customWidth="1"/>
    <col min="2015" max="2017" width="15.109375" style="169" customWidth="1"/>
    <col min="2018" max="2023" width="14" style="169" customWidth="1"/>
    <col min="2024" max="2026" width="15.109375" style="169" customWidth="1"/>
    <col min="2027" max="2032" width="14" style="169" customWidth="1"/>
    <col min="2033" max="2035" width="15.109375" style="169" customWidth="1"/>
    <col min="2036" max="2041" width="24.44140625" style="169" customWidth="1"/>
    <col min="2042" max="2044" width="25.6640625" style="169" customWidth="1"/>
    <col min="2045" max="2050" width="24.44140625" style="169" customWidth="1"/>
    <col min="2051" max="2053" width="25.6640625" style="169" customWidth="1"/>
    <col min="2054" max="2059" width="18.6640625" style="169" customWidth="1"/>
    <col min="2060" max="2062" width="19.77734375" style="169" customWidth="1"/>
    <col min="2063" max="2065" width="25.6640625" style="169" customWidth="1"/>
    <col min="2066" max="2070" width="23.33203125" style="169" customWidth="1"/>
    <col min="2071" max="2073" width="24.44140625" style="169" customWidth="1"/>
    <col min="2074" max="2078" width="14" style="169" customWidth="1"/>
    <col min="2079" max="2081" width="15.109375" style="169" customWidth="1"/>
    <col min="2082" max="2086" width="23.33203125" style="169" customWidth="1"/>
    <col min="2087" max="2089" width="24.44140625" style="169" customWidth="1"/>
    <col min="2090" max="2094" width="14" style="169" customWidth="1"/>
    <col min="2095" max="2097" width="15.109375" style="169" customWidth="1"/>
    <col min="2098" max="2102" width="23.33203125" style="169" customWidth="1"/>
    <col min="2103" max="2105" width="24.44140625" style="169" customWidth="1"/>
    <col min="2106" max="2110" width="14" style="169" customWidth="1"/>
    <col min="2111" max="2113" width="15.109375" style="169" customWidth="1"/>
    <col min="2114" max="2118" width="24.44140625" style="169" customWidth="1"/>
    <col min="2119" max="2121" width="25.6640625" style="169" customWidth="1"/>
    <col min="2122" max="2126" width="23.33203125" style="169" customWidth="1"/>
    <col min="2127" max="2129" width="24.44140625" style="169" customWidth="1"/>
    <col min="2130" max="2134" width="14" style="169" customWidth="1"/>
    <col min="2135" max="2137" width="15.109375" style="169" customWidth="1"/>
    <col min="2138" max="2142" width="24.44140625" style="169" customWidth="1"/>
    <col min="2143" max="2145" width="25.6640625" style="169" customWidth="1"/>
    <col min="2146" max="2150" width="23.33203125" style="169" customWidth="1"/>
    <col min="2151" max="2153" width="24.44140625" style="169" customWidth="1"/>
    <col min="2154" max="2158" width="14" style="169" customWidth="1"/>
    <col min="2159" max="2161" width="15.109375" style="169" customWidth="1"/>
    <col min="2162" max="2166" width="24.44140625" style="169" customWidth="1"/>
    <col min="2167" max="2169" width="25.6640625" style="169" customWidth="1"/>
    <col min="2170" max="2174" width="23.33203125" style="169" customWidth="1"/>
    <col min="2175" max="2177" width="24.44140625" style="169" customWidth="1"/>
    <col min="2178" max="2182" width="14" style="169" customWidth="1"/>
    <col min="2183" max="2185" width="15.109375" style="169" customWidth="1"/>
    <col min="2186" max="2190" width="24.44140625" style="169" customWidth="1"/>
    <col min="2191" max="2193" width="25.6640625" style="169" customWidth="1"/>
    <col min="2194" max="2198" width="23.33203125" style="169" customWidth="1"/>
    <col min="2199" max="2201" width="24.44140625" style="169" customWidth="1"/>
    <col min="2202" max="2206" width="14" style="169" customWidth="1"/>
    <col min="2207" max="2209" width="15.109375" style="169" customWidth="1"/>
    <col min="2210" max="2214" width="24.44140625" style="169" customWidth="1"/>
    <col min="2215" max="2217" width="25.6640625" style="169" customWidth="1"/>
    <col min="2218" max="2222" width="23.33203125" style="169" customWidth="1"/>
    <col min="2223" max="2225" width="24.44140625" style="169" customWidth="1"/>
    <col min="2226" max="2230" width="14" style="169" customWidth="1"/>
    <col min="2231" max="2233" width="15.109375" style="169" customWidth="1"/>
    <col min="2234" max="2238" width="24.44140625" style="169" customWidth="1"/>
    <col min="2239" max="2241" width="25.6640625" style="169" customWidth="1"/>
    <col min="2242" max="2246" width="24.44140625" style="169" customWidth="1"/>
    <col min="2247" max="2249" width="25.6640625" style="169" customWidth="1"/>
    <col min="2250" max="2254" width="14" style="169" customWidth="1"/>
    <col min="2255" max="2257" width="15.109375" style="169" customWidth="1"/>
    <col min="2258" max="2262" width="24.44140625" style="169" customWidth="1"/>
    <col min="2263" max="2265" width="25.6640625" style="169" customWidth="1"/>
    <col min="2266" max="2270" width="24.44140625" style="169" customWidth="1"/>
    <col min="2271" max="2273" width="25.6640625" style="169" customWidth="1"/>
    <col min="2274" max="2278" width="14" style="169" customWidth="1"/>
    <col min="2279" max="2281" width="15.109375" style="169" customWidth="1"/>
    <col min="2282" max="2286" width="24.44140625" style="169" customWidth="1"/>
    <col min="2287" max="2289" width="25.6640625" style="169" customWidth="1"/>
    <col min="2290" max="2294" width="24.44140625" style="169" customWidth="1"/>
    <col min="2295" max="2297" width="25.6640625" style="169" customWidth="1"/>
    <col min="2298" max="2302" width="14" style="169" customWidth="1"/>
    <col min="2303" max="2305" width="15.109375" style="169" customWidth="1"/>
    <col min="2306" max="2310" width="24.44140625" style="169" customWidth="1"/>
    <col min="2311" max="2313" width="25.6640625" style="169" customWidth="1"/>
    <col min="2314" max="2318" width="24.44140625" style="169" customWidth="1"/>
    <col min="2319" max="2321" width="25.6640625" style="169" customWidth="1"/>
    <col min="2322" max="2326" width="14" style="169" customWidth="1"/>
    <col min="2327" max="2329" width="15.109375" style="169" customWidth="1"/>
    <col min="2330" max="2334" width="24.44140625" style="169" customWidth="1"/>
    <col min="2335" max="2337" width="25.6640625" style="169" customWidth="1"/>
    <col min="2338" max="2342" width="24.44140625" style="169" customWidth="1"/>
    <col min="2343" max="2345" width="25.6640625" style="169" customWidth="1"/>
    <col min="2346" max="2350" width="14" style="169" customWidth="1"/>
    <col min="2351" max="2353" width="15.109375" style="169" customWidth="1"/>
    <col min="2354" max="2358" width="24.44140625" style="169" customWidth="1"/>
    <col min="2359" max="2361" width="25.6640625" style="169" customWidth="1"/>
    <col min="2362" max="2366" width="24.44140625" style="169" customWidth="1"/>
    <col min="2367" max="2369" width="25.6640625" style="169" customWidth="1"/>
    <col min="2370" max="2374" width="14" style="169" customWidth="1"/>
    <col min="2375" max="2377" width="15.109375" style="169" customWidth="1"/>
    <col min="2378" max="2382" width="21.21875" style="169" customWidth="1"/>
    <col min="2383" max="2385" width="22.21875" style="169" customWidth="1"/>
    <col min="2386" max="2390" width="14" style="169" customWidth="1"/>
    <col min="2391" max="2393" width="15.109375" style="169" customWidth="1"/>
    <col min="2394" max="2398" width="14" style="169" customWidth="1"/>
    <col min="2399" max="2401" width="15.109375" style="169" customWidth="1"/>
    <col min="2402" max="2406" width="22.21875" style="169" customWidth="1"/>
    <col min="2407" max="2409" width="23.33203125" style="169" customWidth="1"/>
    <col min="2410" max="2414" width="14" style="169" customWidth="1"/>
    <col min="2415" max="2417" width="15.109375" style="169" customWidth="1"/>
    <col min="2418" max="2422" width="14" style="169" customWidth="1"/>
    <col min="2423" max="2425" width="15.109375" style="169" customWidth="1"/>
    <col min="2426" max="2430" width="22.21875" style="169" customWidth="1"/>
    <col min="2431" max="2433" width="23.33203125" style="169" customWidth="1"/>
    <col min="2434" max="2438" width="14" style="169" customWidth="1"/>
    <col min="2439" max="2441" width="15.109375" style="169" customWidth="1"/>
    <col min="2442" max="2446" width="14" style="169" customWidth="1"/>
    <col min="2447" max="2449" width="15.109375" style="169" customWidth="1"/>
    <col min="2450" max="2454" width="22.21875" style="169" customWidth="1"/>
    <col min="2455" max="2457" width="23.33203125" style="169" customWidth="1"/>
    <col min="2458" max="2462" width="14" style="169" customWidth="1"/>
    <col min="2463" max="2465" width="15.109375" style="169" customWidth="1"/>
    <col min="2466" max="2470" width="22.21875" style="169" customWidth="1"/>
    <col min="2471" max="2473" width="23.33203125" style="169" customWidth="1"/>
    <col min="2474" max="2478" width="14" style="169" customWidth="1"/>
    <col min="2479" max="2481" width="15.109375" style="169" customWidth="1"/>
    <col min="2482" max="2486" width="14" style="169" customWidth="1"/>
    <col min="2487" max="2489" width="15.109375" style="169" customWidth="1"/>
    <col min="2490" max="2494" width="22.21875" style="169" customWidth="1"/>
    <col min="2495" max="2497" width="23.33203125" style="169" customWidth="1"/>
    <col min="2498" max="2502" width="14" style="169" customWidth="1"/>
    <col min="2503" max="2505" width="15.109375" style="169" customWidth="1"/>
    <col min="2506" max="2510" width="22.21875" style="169" customWidth="1"/>
    <col min="2511" max="2513" width="23.33203125" style="169" customWidth="1"/>
    <col min="2514" max="2518" width="14" style="169" customWidth="1"/>
    <col min="2519" max="2521" width="15.109375" style="169" customWidth="1"/>
    <col min="2522" max="2526" width="14" style="169" customWidth="1"/>
    <col min="2527" max="2529" width="15.109375" style="169" customWidth="1"/>
    <col min="2530" max="2534" width="23.33203125" style="169" customWidth="1"/>
    <col min="2535" max="2537" width="24.44140625" style="169" customWidth="1"/>
    <col min="2538" max="2542" width="14" style="169" customWidth="1"/>
    <col min="2543" max="2545" width="15.109375" style="169" customWidth="1"/>
    <col min="2546" max="2550" width="23.33203125" style="169" customWidth="1"/>
    <col min="2551" max="2553" width="24.44140625" style="169" customWidth="1"/>
    <col min="2554" max="2558" width="14" style="169" customWidth="1"/>
    <col min="2559" max="2561" width="15.109375" style="169" customWidth="1"/>
    <col min="2562" max="2566" width="14" style="169" customWidth="1"/>
    <col min="2567" max="2569" width="15.109375" style="169" customWidth="1"/>
    <col min="2570" max="2574" width="23.33203125" style="169" customWidth="1"/>
    <col min="2575" max="2577" width="24.44140625" style="169" customWidth="1"/>
    <col min="2578" max="2582" width="14" style="169" customWidth="1"/>
    <col min="2583" max="2585" width="15.109375" style="169" customWidth="1"/>
    <col min="2586" max="2590" width="14" style="169" customWidth="1"/>
    <col min="2591" max="2593" width="15.109375" style="169" customWidth="1"/>
    <col min="2594" max="2598" width="23.33203125" style="169" customWidth="1"/>
    <col min="2599" max="2601" width="24.44140625" style="169" customWidth="1"/>
    <col min="2602" max="2606" width="14" style="169" customWidth="1"/>
    <col min="2607" max="2609" width="15.109375" style="169" customWidth="1"/>
    <col min="2610" max="2614" width="23.33203125" style="169" customWidth="1"/>
    <col min="2615" max="2617" width="24.44140625" style="169" customWidth="1"/>
    <col min="2618" max="2622" width="14" style="169" customWidth="1"/>
    <col min="2623" max="2625" width="15.109375" style="169" customWidth="1"/>
    <col min="2626" max="2630" width="23.33203125" style="169" customWidth="1"/>
    <col min="2631" max="2633" width="24.44140625" style="169" customWidth="1"/>
    <col min="2634" max="2638" width="14" style="169" customWidth="1"/>
    <col min="2639" max="2641" width="15.109375" style="169" customWidth="1"/>
    <col min="2642" max="2646" width="23.33203125" style="169" customWidth="1"/>
    <col min="2647" max="2649" width="24.44140625" style="169" customWidth="1"/>
    <col min="2650" max="2654" width="14" style="169" customWidth="1"/>
    <col min="2655" max="2657" width="15.109375" style="169" customWidth="1"/>
    <col min="2658" max="2662" width="14" style="169" customWidth="1"/>
    <col min="2663" max="2665" width="15.109375" style="169" customWidth="1"/>
    <col min="2666" max="2670" width="23.33203125" style="169" customWidth="1"/>
    <col min="2671" max="2673" width="24.44140625" style="169" customWidth="1"/>
    <col min="2674" max="2678" width="14" style="169" customWidth="1"/>
    <col min="2679" max="2681" width="15.109375" style="169" customWidth="1"/>
    <col min="2682" max="2686" width="23.33203125" style="169" customWidth="1"/>
    <col min="2687" max="2689" width="24.44140625" style="169" customWidth="1"/>
    <col min="2690" max="2694" width="14" style="169" customWidth="1"/>
    <col min="2695" max="2697" width="15.109375" style="169" customWidth="1"/>
    <col min="2698" max="2702" width="23.33203125" style="169" customWidth="1"/>
    <col min="2703" max="2705" width="24.44140625" style="169" customWidth="1"/>
    <col min="2706" max="2710" width="14" style="169" customWidth="1"/>
    <col min="2711" max="2713" width="15.109375" style="169" customWidth="1"/>
    <col min="2714" max="2718" width="23.33203125" style="169" customWidth="1"/>
    <col min="2719" max="2721" width="24.44140625" style="169" customWidth="1"/>
    <col min="2722" max="2726" width="14" style="169" customWidth="1"/>
    <col min="2727" max="2729" width="15.109375" style="169" customWidth="1"/>
    <col min="2730" max="2734" width="23.33203125" style="169" customWidth="1"/>
    <col min="2735" max="2737" width="24.44140625" style="169" customWidth="1"/>
    <col min="2738" max="2742" width="14" style="169" customWidth="1"/>
    <col min="2743" max="2745" width="15.109375" style="169" customWidth="1"/>
    <col min="2746" max="2750" width="23.33203125" style="169" customWidth="1"/>
    <col min="2751" max="2753" width="24.44140625" style="169" customWidth="1"/>
    <col min="2754" max="2758" width="14" style="169" customWidth="1"/>
    <col min="2759" max="2761" width="15.109375" style="169" customWidth="1"/>
    <col min="2762" max="2766" width="23.33203125" style="169" customWidth="1"/>
    <col min="2767" max="2769" width="24.44140625" style="169" customWidth="1"/>
    <col min="2770" max="2774" width="14" style="169" customWidth="1"/>
    <col min="2775" max="2777" width="15.109375" style="169" customWidth="1"/>
    <col min="2778" max="2782" width="23.33203125" style="169" customWidth="1"/>
    <col min="2783" max="2785" width="24.44140625" style="169" customWidth="1"/>
    <col min="2786" max="2790" width="14" style="169" customWidth="1"/>
    <col min="2791" max="2793" width="15.109375" style="169" customWidth="1"/>
    <col min="2794" max="2798" width="24.44140625" style="169" customWidth="1"/>
    <col min="2799" max="2801" width="25.6640625" style="169" customWidth="1"/>
    <col min="2802" max="2806" width="14" style="169" customWidth="1"/>
    <col min="2807" max="2809" width="15.109375" style="169" customWidth="1"/>
    <col min="2810" max="2814" width="24.44140625" style="169" customWidth="1"/>
    <col min="2815" max="2817" width="25.6640625" style="169" customWidth="1"/>
    <col min="2818" max="2822" width="14" style="169" customWidth="1"/>
    <col min="2823" max="2825" width="15.109375" style="169" customWidth="1"/>
    <col min="2826" max="2830" width="24.44140625" style="169" customWidth="1"/>
    <col min="2831" max="2833" width="25.6640625" style="169" customWidth="1"/>
    <col min="2834" max="2838" width="14" style="169" customWidth="1"/>
    <col min="2839" max="2841" width="15.109375" style="169" customWidth="1"/>
    <col min="2842" max="2846" width="24.44140625" style="169" customWidth="1"/>
    <col min="2847" max="2849" width="25.6640625" style="169" customWidth="1"/>
    <col min="2850" max="2854" width="14" style="169" customWidth="1"/>
    <col min="2855" max="2857" width="15.109375" style="169" customWidth="1"/>
    <col min="2858" max="2862" width="24.44140625" style="169" customWidth="1"/>
    <col min="2863" max="2865" width="25.6640625" style="169" customWidth="1"/>
    <col min="2866" max="2870" width="14" style="169" customWidth="1"/>
    <col min="2871" max="2873" width="15.109375" style="169" customWidth="1"/>
    <col min="2874" max="2878" width="14" style="169" customWidth="1"/>
    <col min="2879" max="2881" width="15.109375" style="169" customWidth="1"/>
    <col min="2882" max="2886" width="14" style="169" customWidth="1"/>
    <col min="2887" max="2889" width="15.109375" style="169" customWidth="1"/>
    <col min="2890" max="2894" width="14" style="169" customWidth="1"/>
    <col min="2895" max="2897" width="15.109375" style="169" customWidth="1"/>
    <col min="2898" max="2902" width="14" style="169" customWidth="1"/>
    <col min="2903" max="2905" width="15.109375" style="169" customWidth="1"/>
    <col min="2906" max="2910" width="14" style="169" customWidth="1"/>
    <col min="2911" max="2913" width="15.109375" style="169" customWidth="1"/>
    <col min="2914" max="2918" width="14" style="169" customWidth="1"/>
    <col min="2919" max="2921" width="15.109375" style="169" customWidth="1"/>
    <col min="2922" max="2926" width="14" style="169" customWidth="1"/>
    <col min="2927" max="2929" width="15.109375" style="169" customWidth="1"/>
    <col min="2930" max="2934" width="14" style="169" customWidth="1"/>
    <col min="2935" max="2937" width="15.109375" style="169" customWidth="1"/>
    <col min="2938" max="2942" width="14" style="169" customWidth="1"/>
    <col min="2943" max="2945" width="15.109375" style="169" customWidth="1"/>
    <col min="2946" max="2950" width="14" style="169" customWidth="1"/>
    <col min="2951" max="2953" width="15.109375" style="169" customWidth="1"/>
    <col min="2954" max="2958" width="14" style="169" customWidth="1"/>
    <col min="2959" max="2961" width="15.109375" style="169" customWidth="1"/>
    <col min="2962" max="2966" width="14" style="169" customWidth="1"/>
    <col min="2967" max="2969" width="15.109375" style="169" customWidth="1"/>
    <col min="2970" max="2974" width="14" style="169" customWidth="1"/>
    <col min="2975" max="2977" width="15.109375" style="169" customWidth="1"/>
    <col min="2978" max="2982" width="14" style="169" customWidth="1"/>
    <col min="2983" max="2985" width="15.109375" style="169" customWidth="1"/>
    <col min="2986" max="2990" width="14" style="169" customWidth="1"/>
    <col min="2991" max="2993" width="15.109375" style="169" customWidth="1"/>
    <col min="2994" max="2998" width="14" style="169" customWidth="1"/>
    <col min="2999" max="3001" width="15.109375" style="169" customWidth="1"/>
    <col min="3002" max="3006" width="14" style="169" customWidth="1"/>
    <col min="3007" max="3009" width="15.109375" style="169" customWidth="1"/>
    <col min="3010" max="3014" width="14" style="169" customWidth="1"/>
    <col min="3015" max="3017" width="15.109375" style="169" customWidth="1"/>
    <col min="3018" max="3022" width="14" style="169" customWidth="1"/>
    <col min="3023" max="3025" width="15.109375" style="169" customWidth="1"/>
    <col min="3026" max="3030" width="14" style="169" customWidth="1"/>
    <col min="3031" max="3033" width="15.109375" style="169" customWidth="1"/>
    <col min="3034" max="3038" width="14" style="169" customWidth="1"/>
    <col min="3039" max="3041" width="15.109375" style="169" customWidth="1"/>
    <col min="3042" max="3046" width="14" style="169" customWidth="1"/>
    <col min="3047" max="3049" width="15.109375" style="169" customWidth="1"/>
    <col min="3050" max="3054" width="14" style="169" customWidth="1"/>
    <col min="3055" max="3057" width="15.109375" style="169" customWidth="1"/>
    <col min="3058" max="3062" width="14" style="169" customWidth="1"/>
    <col min="3063" max="3065" width="15.109375" style="169" customWidth="1"/>
    <col min="3066" max="3070" width="14" style="169" customWidth="1"/>
    <col min="3071" max="3073" width="15.109375" style="169" customWidth="1"/>
    <col min="3074" max="3078" width="14" style="169" customWidth="1"/>
    <col min="3079" max="3081" width="15.109375" style="169" customWidth="1"/>
    <col min="3082" max="3086" width="24.44140625" style="169" customWidth="1"/>
    <col min="3087" max="3089" width="25.6640625" style="169" customWidth="1"/>
    <col min="3090" max="3094" width="24.44140625" style="169" customWidth="1"/>
    <col min="3095" max="3097" width="25.6640625" style="169" customWidth="1"/>
    <col min="3098" max="3102" width="24.44140625" style="169" customWidth="1"/>
    <col min="3103" max="3105" width="25.6640625" style="169" customWidth="1"/>
    <col min="3106" max="3110" width="18.6640625" style="169" customWidth="1"/>
    <col min="3111" max="3113" width="19.77734375" style="169" customWidth="1"/>
    <col min="3114" max="3116" width="24.44140625" style="169" customWidth="1"/>
    <col min="3117" max="3120" width="14" style="169" customWidth="1"/>
    <col min="3121" max="3123" width="15.109375" style="169" customWidth="1"/>
    <col min="3124" max="3127" width="24.44140625" style="169" customWidth="1"/>
    <col min="3128" max="3130" width="25.6640625" style="169" customWidth="1"/>
    <col min="3131" max="3134" width="23.33203125" style="169" customWidth="1"/>
    <col min="3135" max="3137" width="24.44140625" style="169" customWidth="1"/>
    <col min="3138" max="3141" width="14" style="169" customWidth="1"/>
    <col min="3142" max="3144" width="15.109375" style="169" customWidth="1"/>
    <col min="3145" max="3148" width="24.44140625" style="169" customWidth="1"/>
    <col min="3149" max="3151" width="25.6640625" style="169" customWidth="1"/>
    <col min="3152" max="3155" width="23.33203125" style="169" customWidth="1"/>
    <col min="3156" max="3158" width="24.44140625" style="169" customWidth="1"/>
    <col min="3159" max="3162" width="14" style="169" customWidth="1"/>
    <col min="3163" max="3165" width="15.109375" style="169" customWidth="1"/>
    <col min="3166" max="3169" width="24.44140625" style="169" customWidth="1"/>
    <col min="3170" max="3172" width="25.6640625" style="169" customWidth="1"/>
    <col min="3173" max="3176" width="23.33203125" style="169" customWidth="1"/>
    <col min="3177" max="3179" width="24.44140625" style="169" customWidth="1"/>
    <col min="3180" max="3183" width="14" style="169" customWidth="1"/>
    <col min="3184" max="3186" width="15.109375" style="169" customWidth="1"/>
    <col min="3187" max="3190" width="23.33203125" style="169" customWidth="1"/>
    <col min="3191" max="3193" width="24.44140625" style="169" customWidth="1"/>
    <col min="3194" max="3197" width="14" style="169" customWidth="1"/>
    <col min="3198" max="3200" width="15.109375" style="169" customWidth="1"/>
    <col min="3201" max="3204" width="24.44140625" style="169" customWidth="1"/>
    <col min="3205" max="3207" width="25.6640625" style="169" customWidth="1"/>
    <col min="3208" max="3211" width="23.33203125" style="169" customWidth="1"/>
    <col min="3212" max="3214" width="24.44140625" style="169" customWidth="1"/>
    <col min="3215" max="3218" width="14" style="169" customWidth="1"/>
    <col min="3219" max="3221" width="15.109375" style="169" customWidth="1"/>
    <col min="3222" max="3225" width="24.44140625" style="169" customWidth="1"/>
    <col min="3226" max="3228" width="25.6640625" style="169" customWidth="1"/>
    <col min="3229" max="3232" width="23.33203125" style="169" customWidth="1"/>
    <col min="3233" max="3235" width="24.44140625" style="169" customWidth="1"/>
    <col min="3236" max="3239" width="14" style="169" customWidth="1"/>
    <col min="3240" max="3242" width="15.109375" style="169" customWidth="1"/>
    <col min="3243" max="3246" width="24.44140625" style="169" customWidth="1"/>
    <col min="3247" max="3249" width="25.6640625" style="169" customWidth="1"/>
    <col min="3250" max="3253" width="23.33203125" style="169" customWidth="1"/>
    <col min="3254" max="3256" width="24.44140625" style="169" customWidth="1"/>
    <col min="3257" max="3260" width="14" style="169" customWidth="1"/>
    <col min="3261" max="3263" width="15.109375" style="169" customWidth="1"/>
    <col min="3264" max="3267" width="24.44140625" style="169" customWidth="1"/>
    <col min="3268" max="3270" width="25.6640625" style="169" customWidth="1"/>
    <col min="3271" max="3274" width="23.33203125" style="169" customWidth="1"/>
    <col min="3275" max="3277" width="24.44140625" style="169" customWidth="1"/>
    <col min="3278" max="3281" width="14" style="169" customWidth="1"/>
    <col min="3282" max="3284" width="15.109375" style="169" customWidth="1"/>
    <col min="3285" max="3288" width="24.44140625" style="169" customWidth="1"/>
    <col min="3289" max="3291" width="25.6640625" style="169" customWidth="1"/>
    <col min="3292" max="3295" width="23.33203125" style="169" customWidth="1"/>
    <col min="3296" max="3298" width="24.44140625" style="169" customWidth="1"/>
    <col min="3299" max="3302" width="14" style="169" customWidth="1"/>
    <col min="3303" max="3305" width="15.109375" style="169" customWidth="1"/>
    <col min="3306" max="3309" width="24.44140625" style="169" customWidth="1"/>
    <col min="3310" max="3312" width="25.6640625" style="169" customWidth="1"/>
    <col min="3313" max="3316" width="23.33203125" style="169" customWidth="1"/>
    <col min="3317" max="3319" width="24.44140625" style="169" customWidth="1"/>
    <col min="3320" max="3323" width="14" style="169" customWidth="1"/>
    <col min="3324" max="3326" width="15.109375" style="169" customWidth="1"/>
    <col min="3327" max="3330" width="24.44140625" style="169" customWidth="1"/>
    <col min="3331" max="3333" width="25.6640625" style="169" customWidth="1"/>
    <col min="3334" max="3337" width="23.33203125" style="169" customWidth="1"/>
    <col min="3338" max="3340" width="24.44140625" style="169" customWidth="1"/>
    <col min="3341" max="3344" width="14" style="169" customWidth="1"/>
    <col min="3345" max="3347" width="15.109375" style="169" customWidth="1"/>
    <col min="3348" max="3351" width="24.44140625" style="169" customWidth="1"/>
    <col min="3352" max="3354" width="25.6640625" style="169" customWidth="1"/>
    <col min="3355" max="3358" width="23.33203125" style="169" customWidth="1"/>
    <col min="3359" max="3361" width="24.44140625" style="169" customWidth="1"/>
    <col min="3362" max="3365" width="14" style="169" customWidth="1"/>
    <col min="3366" max="3368" width="15.109375" style="169" customWidth="1"/>
    <col min="3369" max="3372" width="24.44140625" style="169" customWidth="1"/>
    <col min="3373" max="3375" width="25.6640625" style="169" customWidth="1"/>
    <col min="3376" max="3379" width="24.44140625" style="169" customWidth="1"/>
    <col min="3380" max="3382" width="25.6640625" style="169" customWidth="1"/>
    <col min="3383" max="3386" width="14" style="169" customWidth="1"/>
    <col min="3387" max="3389" width="15.109375" style="169" customWidth="1"/>
    <col min="3390" max="3393" width="24.44140625" style="169" customWidth="1"/>
    <col min="3394" max="3396" width="25.6640625" style="169" customWidth="1"/>
    <col min="3397" max="3400" width="24.44140625" style="169" customWidth="1"/>
    <col min="3401" max="3403" width="25.6640625" style="169" customWidth="1"/>
    <col min="3404" max="3407" width="14" style="169" customWidth="1"/>
    <col min="3408" max="3410" width="15.109375" style="169" customWidth="1"/>
    <col min="3411" max="3414" width="24.44140625" style="169" customWidth="1"/>
    <col min="3415" max="3417" width="25.6640625" style="169" customWidth="1"/>
    <col min="3418" max="3421" width="24.44140625" style="169" customWidth="1"/>
    <col min="3422" max="3424" width="25.6640625" style="169" customWidth="1"/>
    <col min="3425" max="3428" width="14" style="169" customWidth="1"/>
    <col min="3429" max="3431" width="15.109375" style="169" customWidth="1"/>
    <col min="3432" max="3435" width="24.44140625" style="169" customWidth="1"/>
    <col min="3436" max="3438" width="25.6640625" style="169" customWidth="1"/>
    <col min="3439" max="3442" width="24.44140625" style="169" customWidth="1"/>
    <col min="3443" max="3445" width="25.6640625" style="169" customWidth="1"/>
    <col min="3446" max="3449" width="14" style="169" customWidth="1"/>
    <col min="3450" max="3452" width="15.109375" style="169" customWidth="1"/>
    <col min="3453" max="3456" width="24.44140625" style="169" customWidth="1"/>
    <col min="3457" max="3459" width="25.6640625" style="169" customWidth="1"/>
    <col min="3460" max="3463" width="24.44140625" style="169" customWidth="1"/>
    <col min="3464" max="3466" width="25.6640625" style="169" customWidth="1"/>
    <col min="3467" max="3470" width="14" style="169" customWidth="1"/>
    <col min="3471" max="3473" width="15.109375" style="169" customWidth="1"/>
    <col min="3474" max="3477" width="21.21875" style="169" customWidth="1"/>
    <col min="3478" max="3480" width="22.21875" style="169" customWidth="1"/>
    <col min="3481" max="3484" width="14" style="169" customWidth="1"/>
    <col min="3485" max="3487" width="15.109375" style="169" customWidth="1"/>
    <col min="3488" max="3491" width="22.21875" style="169" customWidth="1"/>
    <col min="3492" max="3494" width="23.33203125" style="169" customWidth="1"/>
    <col min="3495" max="3498" width="14" style="169" customWidth="1"/>
    <col min="3499" max="3501" width="15.109375" style="169" customWidth="1"/>
    <col min="3502" max="3505" width="14" style="169" customWidth="1"/>
    <col min="3506" max="3508" width="15.109375" style="169" customWidth="1"/>
    <col min="3509" max="3512" width="22.21875" style="169" customWidth="1"/>
    <col min="3513" max="3515" width="23.33203125" style="169" customWidth="1"/>
    <col min="3516" max="3519" width="14" style="169" customWidth="1"/>
    <col min="3520" max="3522" width="15.109375" style="169" customWidth="1"/>
    <col min="3523" max="3526" width="22.21875" style="169" customWidth="1"/>
    <col min="3527" max="3529" width="23.33203125" style="169" customWidth="1"/>
    <col min="3530" max="3533" width="14" style="169" customWidth="1"/>
    <col min="3534" max="3536" width="15.109375" style="169" customWidth="1"/>
    <col min="3537" max="3540" width="22.21875" style="169" customWidth="1"/>
    <col min="3541" max="3543" width="23.33203125" style="169" customWidth="1"/>
    <col min="3544" max="3547" width="14" style="169" customWidth="1"/>
    <col min="3548" max="3550" width="15.109375" style="169" customWidth="1"/>
    <col min="3551" max="3554" width="22.21875" style="169" customWidth="1"/>
    <col min="3555" max="3557" width="23.33203125" style="169" customWidth="1"/>
    <col min="3558" max="3561" width="14" style="169" customWidth="1"/>
    <col min="3562" max="3564" width="15.109375" style="169" customWidth="1"/>
    <col min="3565" max="3568" width="14" style="169" customWidth="1"/>
    <col min="3569" max="3571" width="15.109375" style="169" customWidth="1"/>
    <col min="3572" max="3575" width="22.21875" style="169" customWidth="1"/>
    <col min="3576" max="3578" width="23.33203125" style="169" customWidth="1"/>
    <col min="3579" max="3582" width="14" style="169" customWidth="1"/>
    <col min="3583" max="3585" width="15.109375" style="169" customWidth="1"/>
    <col min="3586" max="3589" width="22.21875" style="169" customWidth="1"/>
    <col min="3590" max="3592" width="23.33203125" style="169" customWidth="1"/>
    <col min="3593" max="3596" width="14" style="169" customWidth="1"/>
    <col min="3597" max="3599" width="15.109375" style="169" customWidth="1"/>
    <col min="3600" max="3603" width="22.21875" style="169" customWidth="1"/>
    <col min="3604" max="3606" width="23.33203125" style="169" customWidth="1"/>
    <col min="3607" max="3610" width="14" style="169" customWidth="1"/>
    <col min="3611" max="3613" width="15.109375" style="169" customWidth="1"/>
    <col min="3614" max="3617" width="23.33203125" style="169" customWidth="1"/>
    <col min="3618" max="3620" width="24.44140625" style="169" customWidth="1"/>
    <col min="3621" max="3624" width="14" style="169" customWidth="1"/>
    <col min="3625" max="3627" width="15.109375" style="169" customWidth="1"/>
    <col min="3628" max="3631" width="23.33203125" style="169" customWidth="1"/>
    <col min="3632" max="3634" width="24.44140625" style="169" customWidth="1"/>
    <col min="3635" max="3638" width="14" style="169" customWidth="1"/>
    <col min="3639" max="3641" width="15.109375" style="169" customWidth="1"/>
    <col min="3642" max="3645" width="14" style="169" customWidth="1"/>
    <col min="3646" max="3648" width="15.109375" style="169" customWidth="1"/>
    <col min="3649" max="3652" width="23.33203125" style="169" customWidth="1"/>
    <col min="3653" max="3655" width="24.44140625" style="169" customWidth="1"/>
    <col min="3656" max="3659" width="14" style="169" customWidth="1"/>
    <col min="3660" max="3662" width="15.109375" style="169" customWidth="1"/>
    <col min="3663" max="3666" width="23.33203125" style="169" customWidth="1"/>
    <col min="3667" max="3669" width="24.44140625" style="169" customWidth="1"/>
    <col min="3670" max="3673" width="14" style="169" customWidth="1"/>
    <col min="3674" max="3676" width="15.109375" style="169" customWidth="1"/>
    <col min="3677" max="3680" width="23.33203125" style="169" customWidth="1"/>
    <col min="3681" max="3683" width="24.44140625" style="169" customWidth="1"/>
    <col min="3684" max="3687" width="14" style="169" customWidth="1"/>
    <col min="3688" max="3690" width="15.109375" style="169" customWidth="1"/>
    <col min="3691" max="3694" width="23.33203125" style="169" customWidth="1"/>
    <col min="3695" max="3697" width="24.44140625" style="169" customWidth="1"/>
    <col min="3698" max="3701" width="14" style="169" customWidth="1"/>
    <col min="3702" max="3704" width="15.109375" style="169" customWidth="1"/>
    <col min="3705" max="3708" width="14" style="169" customWidth="1"/>
    <col min="3709" max="3711" width="15.109375" style="169" customWidth="1"/>
    <col min="3712" max="3715" width="14" style="169" customWidth="1"/>
    <col min="3716" max="3718" width="15.109375" style="169" customWidth="1"/>
    <col min="3719" max="3722" width="23.33203125" style="169" customWidth="1"/>
    <col min="3723" max="3725" width="24.44140625" style="169" customWidth="1"/>
    <col min="3726" max="3729" width="14" style="169" customWidth="1"/>
    <col min="3730" max="3732" width="15.109375" style="169" customWidth="1"/>
    <col min="3733" max="3736" width="23.33203125" style="169" customWidth="1"/>
    <col min="3737" max="3739" width="24.44140625" style="169" customWidth="1"/>
    <col min="3740" max="3743" width="14" style="169" customWidth="1"/>
    <col min="3744" max="3746" width="15.109375" style="169" customWidth="1"/>
    <col min="3747" max="3750" width="23.33203125" style="169" customWidth="1"/>
    <col min="3751" max="3753" width="24.44140625" style="169" customWidth="1"/>
    <col min="3754" max="3757" width="14" style="169" customWidth="1"/>
    <col min="3758" max="3760" width="15.109375" style="169" customWidth="1"/>
    <col min="3761" max="3764" width="23.33203125" style="169" customWidth="1"/>
    <col min="3765" max="3767" width="24.44140625" style="169" customWidth="1"/>
    <col min="3768" max="3771" width="14" style="169" customWidth="1"/>
    <col min="3772" max="3774" width="15.109375" style="169" customWidth="1"/>
    <col min="3775" max="3778" width="23.33203125" style="169" customWidth="1"/>
    <col min="3779" max="3781" width="24.44140625" style="169" customWidth="1"/>
    <col min="3782" max="3785" width="14" style="169" customWidth="1"/>
    <col min="3786" max="3788" width="15.109375" style="169" customWidth="1"/>
    <col min="3789" max="3792" width="23.33203125" style="169" customWidth="1"/>
    <col min="3793" max="3795" width="24.44140625" style="169" customWidth="1"/>
    <col min="3796" max="3799" width="14" style="169" customWidth="1"/>
    <col min="3800" max="3802" width="15.109375" style="169" customWidth="1"/>
    <col min="3803" max="3806" width="23.33203125" style="169" customWidth="1"/>
    <col min="3807" max="3809" width="24.44140625" style="169" customWidth="1"/>
    <col min="3810" max="3813" width="14" style="169" customWidth="1"/>
    <col min="3814" max="3816" width="15.109375" style="169" customWidth="1"/>
    <col min="3817" max="3820" width="23.33203125" style="169" customWidth="1"/>
    <col min="3821" max="3823" width="24.44140625" style="169" customWidth="1"/>
    <col min="3824" max="3827" width="14" style="169" customWidth="1"/>
    <col min="3828" max="3830" width="15.109375" style="169" customWidth="1"/>
    <col min="3831" max="3834" width="24.44140625" style="169" customWidth="1"/>
    <col min="3835" max="3837" width="25.6640625" style="169" customWidth="1"/>
    <col min="3838" max="3841" width="14" style="169" customWidth="1"/>
    <col min="3842" max="3844" width="15.109375" style="169" customWidth="1"/>
    <col min="3845" max="3848" width="24.44140625" style="169" customWidth="1"/>
    <col min="3849" max="3851" width="25.6640625" style="169" customWidth="1"/>
    <col min="3852" max="3855" width="14" style="169" customWidth="1"/>
    <col min="3856" max="3858" width="15.109375" style="169" customWidth="1"/>
    <col min="3859" max="3862" width="24.44140625" style="169" customWidth="1"/>
    <col min="3863" max="3865" width="25.6640625" style="169" customWidth="1"/>
    <col min="3866" max="3869" width="14" style="169" customWidth="1"/>
    <col min="3870" max="3872" width="15.109375" style="169" customWidth="1"/>
    <col min="3873" max="3876" width="14" style="169" customWidth="1"/>
    <col min="3877" max="3879" width="15.109375" style="169" customWidth="1"/>
    <col min="3880" max="3883" width="14" style="169" customWidth="1"/>
    <col min="3884" max="3886" width="15.109375" style="169" customWidth="1"/>
    <col min="3887" max="3890" width="14" style="169" customWidth="1"/>
    <col min="3891" max="3893" width="15.109375" style="169" customWidth="1"/>
    <col min="3894" max="3897" width="14" style="169" customWidth="1"/>
    <col min="3898" max="3900" width="15.109375" style="169" customWidth="1"/>
    <col min="3901" max="3904" width="14" style="169" customWidth="1"/>
    <col min="3905" max="3907" width="15.109375" style="169" customWidth="1"/>
    <col min="3908" max="3911" width="14" style="169" customWidth="1"/>
    <col min="3912" max="3914" width="15.109375" style="169" customWidth="1"/>
    <col min="3915" max="3918" width="14" style="169" customWidth="1"/>
    <col min="3919" max="3921" width="15.109375" style="169" customWidth="1"/>
    <col min="3922" max="3925" width="14" style="169" customWidth="1"/>
    <col min="3926" max="3928" width="15.109375" style="169" customWidth="1"/>
    <col min="3929" max="3932" width="14" style="169" customWidth="1"/>
    <col min="3933" max="3935" width="15.109375" style="169" customWidth="1"/>
    <col min="3936" max="3939" width="14" style="169" customWidth="1"/>
    <col min="3940" max="3942" width="15.109375" style="169" customWidth="1"/>
    <col min="3943" max="3946" width="14" style="169" customWidth="1"/>
    <col min="3947" max="3949" width="15.109375" style="169" customWidth="1"/>
    <col min="3950" max="3953" width="14" style="169" customWidth="1"/>
    <col min="3954" max="3956" width="15.109375" style="169" customWidth="1"/>
    <col min="3957" max="3960" width="14" style="169" customWidth="1"/>
    <col min="3961" max="3963" width="15.109375" style="169" customWidth="1"/>
    <col min="3964" max="3967" width="14" style="169" customWidth="1"/>
    <col min="3968" max="3970" width="15.109375" style="169" customWidth="1"/>
    <col min="3971" max="3974" width="14" style="169" customWidth="1"/>
    <col min="3975" max="3977" width="15.109375" style="169" customWidth="1"/>
    <col min="3978" max="3981" width="14" style="169" customWidth="1"/>
    <col min="3982" max="3984" width="15.109375" style="169" customWidth="1"/>
    <col min="3985" max="3988" width="14" style="169" customWidth="1"/>
    <col min="3989" max="3991" width="15.109375" style="169" customWidth="1"/>
    <col min="3992" max="3995" width="14" style="169" customWidth="1"/>
    <col min="3996" max="3998" width="15.109375" style="169" customWidth="1"/>
    <col min="3999" max="4002" width="14" style="169" customWidth="1"/>
    <col min="4003" max="4005" width="15.109375" style="169" customWidth="1"/>
    <col min="4006" max="4009" width="14" style="169" customWidth="1"/>
    <col min="4010" max="4012" width="15.109375" style="169" customWidth="1"/>
    <col min="4013" max="4016" width="14" style="169" customWidth="1"/>
    <col min="4017" max="4019" width="15.109375" style="169" customWidth="1"/>
    <col min="4020" max="4023" width="14" style="169" customWidth="1"/>
    <col min="4024" max="4026" width="15.109375" style="169" customWidth="1"/>
    <col min="4027" max="4030" width="14" style="169" customWidth="1"/>
    <col min="4031" max="4033" width="15.109375" style="169" customWidth="1"/>
    <col min="4034" max="4037" width="24.44140625" style="169" customWidth="1"/>
    <col min="4038" max="4040" width="25.6640625" style="169" customWidth="1"/>
    <col min="4041" max="4044" width="24.44140625" style="169" customWidth="1"/>
    <col min="4045" max="4047" width="25.6640625" style="169" customWidth="1"/>
    <col min="4048" max="4051" width="24.44140625" style="169" customWidth="1"/>
    <col min="4052" max="4054" width="25.6640625" style="169" customWidth="1"/>
    <col min="4055" max="4058" width="24.44140625" style="169" customWidth="1"/>
    <col min="4059" max="4061" width="25.6640625" style="169" customWidth="1"/>
    <col min="4062" max="4065" width="18.6640625" style="169" customWidth="1"/>
    <col min="4066" max="4068" width="19.77734375" style="169" customWidth="1"/>
    <col min="4069" max="4069" width="25.6640625" style="169" bestFit="1" customWidth="1"/>
    <col min="4070" max="4072" width="23.33203125" style="169" customWidth="1"/>
    <col min="4073" max="4075" width="24.44140625" style="169" customWidth="1"/>
    <col min="4076" max="4078" width="14" style="169" customWidth="1"/>
    <col min="4079" max="4081" width="15.109375" style="169" customWidth="1"/>
    <col min="4082" max="4084" width="24.44140625" style="169" customWidth="1"/>
    <col min="4085" max="4085" width="25.6640625" style="169" bestFit="1" customWidth="1"/>
    <col min="4086" max="4087" width="25.6640625" style="169" customWidth="1"/>
    <col min="4088" max="4090" width="23.33203125" style="169" customWidth="1"/>
    <col min="4091" max="4093" width="24.44140625" style="169" customWidth="1"/>
    <col min="4094" max="4096" width="14" style="169" customWidth="1"/>
    <col min="4097" max="4099" width="15.109375" style="169" customWidth="1"/>
    <col min="4100" max="4102" width="24.44140625" style="169" customWidth="1"/>
    <col min="4103" max="4105" width="25.6640625" style="169" customWidth="1"/>
    <col min="4106" max="4106" width="23.33203125" style="169" bestFit="1" customWidth="1"/>
    <col min="4107" max="4108" width="23.33203125" style="169" customWidth="1"/>
    <col min="4109" max="4110" width="24.44140625" style="169" customWidth="1"/>
    <col min="4111" max="4111" width="24.44140625" style="169" bestFit="1" customWidth="1"/>
    <col min="4112" max="4114" width="14" style="169" customWidth="1"/>
    <col min="4115" max="4117" width="15.109375" style="169" customWidth="1"/>
    <col min="4118" max="4120" width="24.44140625" style="169" customWidth="1"/>
    <col min="4121" max="4123" width="25.6640625" style="169" customWidth="1"/>
    <col min="4124" max="4125" width="23.33203125" style="169" bestFit="1" customWidth="1"/>
    <col min="4126" max="4126" width="23.33203125" style="169" customWidth="1"/>
    <col min="4127" max="4129" width="24.44140625" style="169" customWidth="1"/>
    <col min="4130" max="4132" width="14" style="169" customWidth="1"/>
    <col min="4133" max="4135" width="15.109375" style="169" customWidth="1"/>
    <col min="4136" max="4138" width="22.21875" style="169" customWidth="1"/>
    <col min="4139" max="4141" width="23.33203125" style="169" customWidth="1"/>
    <col min="4142" max="4144" width="14" style="169" customWidth="1"/>
    <col min="4145" max="4147" width="15.109375" style="169" customWidth="1"/>
    <col min="4148" max="4150" width="23.33203125" style="169" customWidth="1"/>
    <col min="4151" max="4153" width="24.44140625" style="169" customWidth="1"/>
    <col min="4154" max="4156" width="14" style="169" customWidth="1"/>
    <col min="4157" max="4159" width="15.109375" style="169" customWidth="1"/>
    <col min="4160" max="4162" width="24.44140625" style="169" customWidth="1"/>
    <col min="4163" max="4165" width="25.6640625" style="169" customWidth="1"/>
    <col min="4166" max="4168" width="23.33203125" style="169" customWidth="1"/>
    <col min="4169" max="4171" width="24.44140625" style="169" customWidth="1"/>
    <col min="4172" max="4174" width="14" style="169" customWidth="1"/>
    <col min="4175" max="4177" width="15.109375" style="169" customWidth="1"/>
    <col min="4178" max="4180" width="23.33203125" style="169" customWidth="1"/>
    <col min="4181" max="4183" width="24.44140625" style="169" customWidth="1"/>
    <col min="4184" max="4186" width="23.33203125" style="169" customWidth="1"/>
    <col min="4187" max="4189" width="24.44140625" style="169" customWidth="1"/>
    <col min="4190" max="4192" width="14" style="169" customWidth="1"/>
    <col min="4193" max="4195" width="15.109375" style="169" customWidth="1"/>
    <col min="4196" max="4198" width="24.44140625" style="169" customWidth="1"/>
    <col min="4199" max="4201" width="25.6640625" style="169" customWidth="1"/>
    <col min="4202" max="4204" width="23.33203125" style="169" customWidth="1"/>
    <col min="4205" max="4207" width="24.44140625" style="169" customWidth="1"/>
    <col min="4208" max="4210" width="14" style="169" customWidth="1"/>
    <col min="4211" max="4213" width="15.109375" style="169" customWidth="1"/>
    <col min="4214" max="4216" width="23.33203125" style="169" customWidth="1"/>
    <col min="4217" max="4219" width="24.44140625" style="169" customWidth="1"/>
    <col min="4220" max="4222" width="23.33203125" style="169" customWidth="1"/>
    <col min="4223" max="4225" width="24.44140625" style="169" customWidth="1"/>
    <col min="4226" max="4228" width="14" style="169" customWidth="1"/>
    <col min="4229" max="4231" width="15.109375" style="169" customWidth="1"/>
    <col min="4232" max="4233" width="24.44140625" style="169" customWidth="1"/>
    <col min="4234" max="4234" width="24.44140625" style="169" bestFit="1" customWidth="1"/>
    <col min="4235" max="4237" width="25.6640625" style="169" customWidth="1"/>
    <col min="4238" max="4240" width="23.33203125" style="169" customWidth="1"/>
    <col min="4241" max="4243" width="24.44140625" style="169" customWidth="1"/>
    <col min="4244" max="4246" width="14" style="169" customWidth="1"/>
    <col min="4247" max="4249" width="15.109375" style="169" customWidth="1"/>
    <col min="4250" max="4252" width="24.44140625" style="169" customWidth="1"/>
    <col min="4253" max="4255" width="25.6640625" style="169" customWidth="1"/>
    <col min="4256" max="4258" width="23.33203125" style="169" customWidth="1"/>
    <col min="4259" max="4261" width="24.44140625" style="169" customWidth="1"/>
    <col min="4262" max="4264" width="14" style="169" customWidth="1"/>
    <col min="4265" max="4267" width="15.109375" style="169" customWidth="1"/>
    <col min="4268" max="4270" width="24.44140625" style="169" customWidth="1"/>
    <col min="4271" max="4271" width="25.6640625" style="169" bestFit="1" customWidth="1"/>
    <col min="4272" max="4273" width="25.6640625" style="169" customWidth="1"/>
    <col min="4274" max="4276" width="23.33203125" style="169" customWidth="1"/>
    <col min="4277" max="4279" width="24.44140625" style="169" customWidth="1"/>
    <col min="4280" max="4282" width="14" style="169" customWidth="1"/>
    <col min="4283" max="4285" width="15.109375" style="169" customWidth="1"/>
    <col min="4286" max="4288" width="24.44140625" style="169" customWidth="1"/>
    <col min="4289" max="4291" width="25.6640625" style="169" customWidth="1"/>
    <col min="4292" max="4294" width="23.33203125" style="169" customWidth="1"/>
    <col min="4295" max="4297" width="24.44140625" style="169" customWidth="1"/>
    <col min="4298" max="4300" width="14" style="169" customWidth="1"/>
    <col min="4301" max="4303" width="15.109375" style="169" customWidth="1"/>
    <col min="4304" max="4306" width="24.44140625" style="169" customWidth="1"/>
    <col min="4307" max="4308" width="25.6640625" style="169" customWidth="1"/>
    <col min="4309" max="4309" width="25.6640625" style="169" bestFit="1" customWidth="1"/>
    <col min="4310" max="4312" width="24.44140625" style="169" customWidth="1"/>
    <col min="4313" max="4314" width="25.6640625" style="169" customWidth="1"/>
    <col min="4315" max="4315" width="25.6640625" style="169" bestFit="1" customWidth="1"/>
    <col min="4316" max="4318" width="14" style="169" customWidth="1"/>
    <col min="4319" max="4321" width="15.109375" style="169" customWidth="1"/>
    <col min="4322" max="4324" width="24.44140625" style="169" customWidth="1"/>
    <col min="4325" max="4327" width="25.6640625" style="169" customWidth="1"/>
    <col min="4328" max="4330" width="24.44140625" style="169" customWidth="1"/>
    <col min="4331" max="4333" width="25.6640625" style="169" customWidth="1"/>
    <col min="4334" max="4336" width="14" style="169" customWidth="1"/>
    <col min="4337" max="4339" width="15.109375" style="169" customWidth="1"/>
    <col min="4340" max="4342" width="24.44140625" style="169" customWidth="1"/>
    <col min="4343" max="4345" width="25.6640625" style="169" customWidth="1"/>
    <col min="4346" max="4348" width="24.44140625" style="169" customWidth="1"/>
    <col min="4349" max="4351" width="25.6640625" style="169" customWidth="1"/>
    <col min="4352" max="4354" width="14" style="169" customWidth="1"/>
    <col min="4355" max="4357" width="15.109375" style="169" customWidth="1"/>
    <col min="4358" max="4360" width="22.21875" style="169" customWidth="1"/>
    <col min="4361" max="4363" width="23.33203125" style="169" customWidth="1"/>
    <col min="4364" max="4366" width="14" style="169" customWidth="1"/>
    <col min="4367" max="4369" width="15.109375" style="169" customWidth="1"/>
    <col min="4370" max="4372" width="22.21875" style="169" customWidth="1"/>
    <col min="4373" max="4375" width="23.33203125" style="169" customWidth="1"/>
    <col min="4376" max="4378" width="14" style="169" customWidth="1"/>
    <col min="4379" max="4381" width="15.109375" style="169" customWidth="1"/>
    <col min="4382" max="4384" width="22.21875" style="169" customWidth="1"/>
    <col min="4385" max="4387" width="23.33203125" style="169" customWidth="1"/>
    <col min="4388" max="4390" width="14" style="169" customWidth="1"/>
    <col min="4391" max="4391" width="15.109375" style="169" bestFit="1" customWidth="1"/>
    <col min="4392" max="4393" width="15.109375" style="169" customWidth="1"/>
    <col min="4394" max="4396" width="22.21875" style="169" customWidth="1"/>
    <col min="4397" max="4399" width="23.33203125" style="169" customWidth="1"/>
    <col min="4400" max="4402" width="14" style="169" customWidth="1"/>
    <col min="4403" max="4405" width="15.109375" style="169" customWidth="1"/>
    <col min="4406" max="4408" width="22.21875" style="169" customWidth="1"/>
    <col min="4409" max="4411" width="23.33203125" style="169" customWidth="1"/>
    <col min="4412" max="4414" width="14" style="169" customWidth="1"/>
    <col min="4415" max="4417" width="15.109375" style="169" customWidth="1"/>
    <col min="4418" max="4420" width="22.21875" style="169" customWidth="1"/>
    <col min="4421" max="4423" width="23.33203125" style="169" customWidth="1"/>
    <col min="4424" max="4426" width="14" style="169" customWidth="1"/>
    <col min="4427" max="4429" width="15.109375" style="169" customWidth="1"/>
    <col min="4430" max="4432" width="22.21875" style="169" customWidth="1"/>
    <col min="4433" max="4435" width="23.33203125" style="169" customWidth="1"/>
    <col min="4436" max="4438" width="14" style="169" customWidth="1"/>
    <col min="4439" max="4441" width="15.109375" style="169" customWidth="1"/>
    <col min="4442" max="4444" width="14" style="169" customWidth="1"/>
    <col min="4445" max="4447" width="15.109375" style="169" customWidth="1"/>
    <col min="4448" max="4450" width="22.21875" style="169" customWidth="1"/>
    <col min="4451" max="4453" width="23.33203125" style="169" customWidth="1"/>
    <col min="4454" max="4456" width="14" style="169" customWidth="1"/>
    <col min="4457" max="4459" width="15.109375" style="169" customWidth="1"/>
    <col min="4460" max="4462" width="14" style="169" customWidth="1"/>
    <col min="4463" max="4465" width="15.109375" style="169" customWidth="1"/>
    <col min="4466" max="4468" width="22.21875" style="169" customWidth="1"/>
    <col min="4469" max="4471" width="23.33203125" style="169" customWidth="1"/>
    <col min="4472" max="4474" width="14" style="169" customWidth="1"/>
    <col min="4475" max="4477" width="15.109375" style="169" customWidth="1"/>
    <col min="4478" max="4480" width="14" style="169" customWidth="1"/>
    <col min="4481" max="4483" width="15.109375" style="169" customWidth="1"/>
    <col min="4484" max="4486" width="22.21875" style="169" customWidth="1"/>
    <col min="4487" max="4489" width="23.33203125" style="169" customWidth="1"/>
    <col min="4490" max="4492" width="14" style="169" customWidth="1"/>
    <col min="4493" max="4495" width="15.109375" style="169" customWidth="1"/>
    <col min="4496" max="4498" width="14" style="169" customWidth="1"/>
    <col min="4499" max="4501" width="15.109375" style="169" customWidth="1"/>
    <col min="4502" max="4504" width="22.21875" style="169" customWidth="1"/>
    <col min="4505" max="4507" width="23.33203125" style="169" customWidth="1"/>
    <col min="4508" max="4510" width="14" style="169" customWidth="1"/>
    <col min="4511" max="4513" width="15.109375" style="169" customWidth="1"/>
    <col min="4514" max="4516" width="22.21875" style="169" customWidth="1"/>
    <col min="4517" max="4519" width="23.33203125" style="169" customWidth="1"/>
    <col min="4520" max="4522" width="14" style="169" customWidth="1"/>
    <col min="4523" max="4525" width="15.109375" style="169" customWidth="1"/>
    <col min="4526" max="4528" width="22.21875" style="169" customWidth="1"/>
    <col min="4529" max="4531" width="23.33203125" style="169" customWidth="1"/>
    <col min="4532" max="4534" width="14" style="169" customWidth="1"/>
    <col min="4535" max="4537" width="15.109375" style="169" customWidth="1"/>
    <col min="4538" max="4540" width="23.33203125" style="169" customWidth="1"/>
    <col min="4541" max="4543" width="24.44140625" style="169" customWidth="1"/>
    <col min="4544" max="4546" width="14" style="169" customWidth="1"/>
    <col min="4547" max="4549" width="15.109375" style="169" customWidth="1"/>
    <col min="4550" max="4552" width="14" style="169" customWidth="1"/>
    <col min="4553" max="4555" width="15.109375" style="169" customWidth="1"/>
    <col min="4556" max="4558" width="23.33203125" style="169" customWidth="1"/>
    <col min="4559" max="4561" width="24.44140625" style="169" customWidth="1"/>
    <col min="4562" max="4564" width="14" style="169" customWidth="1"/>
    <col min="4565" max="4565" width="15.109375" style="169" bestFit="1" customWidth="1"/>
    <col min="4566" max="4567" width="15.109375" style="169" customWidth="1"/>
    <col min="4568" max="4570" width="14" style="169" customWidth="1"/>
    <col min="4571" max="4573" width="15.109375" style="169" customWidth="1"/>
    <col min="4574" max="4576" width="23.33203125" style="169" customWidth="1"/>
    <col min="4577" max="4579" width="24.44140625" style="169" customWidth="1"/>
    <col min="4580" max="4582" width="14" style="169" customWidth="1"/>
    <col min="4583" max="4585" width="15.109375" style="169" customWidth="1"/>
    <col min="4586" max="4588" width="23.33203125" style="169" customWidth="1"/>
    <col min="4589" max="4591" width="24.44140625" style="169" customWidth="1"/>
    <col min="4592" max="4594" width="14" style="169" customWidth="1"/>
    <col min="4595" max="4597" width="15.109375" style="169" customWidth="1"/>
    <col min="4598" max="4600" width="23.33203125" style="169" customWidth="1"/>
    <col min="4601" max="4603" width="24.44140625" style="169" customWidth="1"/>
    <col min="4604" max="4606" width="14" style="169" customWidth="1"/>
    <col min="4607" max="4609" width="15.109375" style="169" customWidth="1"/>
    <col min="4610" max="4612" width="23.33203125" style="169" customWidth="1"/>
    <col min="4613" max="4615" width="24.44140625" style="169" customWidth="1"/>
    <col min="4616" max="4618" width="14" style="169" customWidth="1"/>
    <col min="4619" max="4621" width="15.109375" style="169" customWidth="1"/>
    <col min="4622" max="4624" width="23.33203125" style="169" customWidth="1"/>
    <col min="4625" max="4626" width="24.44140625" style="169" customWidth="1"/>
    <col min="4627" max="4627" width="24.44140625" style="169" bestFit="1" customWidth="1"/>
    <col min="4628" max="4630" width="14" style="169" customWidth="1"/>
    <col min="4631" max="4633" width="15.109375" style="169" customWidth="1"/>
    <col min="4634" max="4636" width="24.44140625" style="169" customWidth="1"/>
    <col min="4637" max="4639" width="25.6640625" style="169" customWidth="1"/>
    <col min="4640" max="4642" width="14" style="169" customWidth="1"/>
    <col min="4643" max="4645" width="15.109375" style="169" customWidth="1"/>
    <col min="4646" max="4648" width="24.44140625" style="169" customWidth="1"/>
    <col min="4649" max="4649" width="25.6640625" style="169" bestFit="1" customWidth="1"/>
    <col min="4650" max="4651" width="25.6640625" style="169" customWidth="1"/>
    <col min="4652" max="4654" width="14" style="169" customWidth="1"/>
    <col min="4655" max="4657" width="15.109375" style="169" customWidth="1"/>
    <col min="4658" max="4658" width="24.44140625" style="169" bestFit="1" customWidth="1"/>
    <col min="4659" max="4660" width="24.44140625" style="169" customWidth="1"/>
    <col min="4661" max="4661" width="25.6640625" style="169" bestFit="1" customWidth="1"/>
    <col min="4662" max="4663" width="25.6640625" style="169" customWidth="1"/>
    <col min="4664" max="4666" width="14" style="169" customWidth="1"/>
    <col min="4667" max="4669" width="15.109375" style="169" customWidth="1"/>
    <col min="4670" max="4672" width="14" style="169" customWidth="1"/>
    <col min="4673" max="4675" width="15.109375" style="169" customWidth="1"/>
    <col min="4676" max="4678" width="14" style="169" customWidth="1"/>
    <col min="4679" max="4681" width="15.109375" style="169" customWidth="1"/>
    <col min="4682" max="4684" width="14" style="169" customWidth="1"/>
    <col min="4685" max="4687" width="15.109375" style="169" customWidth="1"/>
    <col min="4688" max="4690" width="14" style="169" customWidth="1"/>
    <col min="4691" max="4693" width="15.109375" style="169" customWidth="1"/>
    <col min="4694" max="4696" width="14" style="169" customWidth="1"/>
    <col min="4697" max="4699" width="15.109375" style="169" customWidth="1"/>
    <col min="4700" max="4702" width="14" style="169" customWidth="1"/>
    <col min="4703" max="4705" width="15.109375" style="169" customWidth="1"/>
    <col min="4706" max="4708" width="14" style="169" customWidth="1"/>
    <col min="4709" max="4711" width="15.109375" style="169" customWidth="1"/>
    <col min="4712" max="4714" width="14" style="169" customWidth="1"/>
    <col min="4715" max="4717" width="15.109375" style="169" customWidth="1"/>
    <col min="4718" max="4720" width="14" style="169" customWidth="1"/>
    <col min="4721" max="4723" width="15.109375" style="169" customWidth="1"/>
    <col min="4724" max="4726" width="14" style="169" customWidth="1"/>
    <col min="4727" max="4729" width="15.109375" style="169" customWidth="1"/>
    <col min="4730" max="4732" width="14" style="169" customWidth="1"/>
    <col min="4733" max="4735" width="15.109375" style="169" customWidth="1"/>
    <col min="4736" max="4738" width="14" style="169" customWidth="1"/>
    <col min="4739" max="4741" width="15.109375" style="169" customWidth="1"/>
    <col min="4742" max="4744" width="14" style="169" customWidth="1"/>
    <col min="4745" max="4747" width="15.109375" style="169" customWidth="1"/>
    <col min="4748" max="4750" width="14" style="169" customWidth="1"/>
    <col min="4751" max="4753" width="15.109375" style="169" customWidth="1"/>
    <col min="4754" max="4756" width="14" style="169" customWidth="1"/>
    <col min="4757" max="4759" width="15.109375" style="169" customWidth="1"/>
    <col min="4760" max="4762" width="14" style="169" customWidth="1"/>
    <col min="4763" max="4765" width="15.109375" style="169" customWidth="1"/>
    <col min="4766" max="4768" width="14" style="169" customWidth="1"/>
    <col min="4769" max="4771" width="15.109375" style="169" customWidth="1"/>
    <col min="4772" max="4774" width="14" style="169" customWidth="1"/>
    <col min="4775" max="4777" width="15.109375" style="169" customWidth="1"/>
    <col min="4778" max="4780" width="14" style="169" customWidth="1"/>
    <col min="4781" max="4783" width="15.109375" style="169" customWidth="1"/>
    <col min="4784" max="4786" width="14" style="169" customWidth="1"/>
    <col min="4787" max="4789" width="15.109375" style="169" customWidth="1"/>
    <col min="4790" max="4792" width="14" style="169" customWidth="1"/>
    <col min="4793" max="4795" width="15.109375" style="169" customWidth="1"/>
    <col min="4796" max="4798" width="14" style="169" customWidth="1"/>
    <col min="4799" max="4801" width="15.109375" style="169" bestFit="1" customWidth="1"/>
    <col min="4802" max="4804" width="14" style="169" customWidth="1"/>
    <col min="4805" max="4807" width="15.109375" style="169" customWidth="1"/>
    <col min="4808" max="4809" width="24.44140625" style="169" customWidth="1"/>
    <col min="4810" max="4810" width="24.44140625" style="169" bestFit="1" customWidth="1"/>
    <col min="4811" max="4813" width="25.6640625" style="169" customWidth="1"/>
    <col min="4814" max="4816" width="24.44140625" style="169" customWidth="1"/>
    <col min="4817" max="4817" width="25.6640625" style="169" bestFit="1" customWidth="1"/>
    <col min="4818" max="4819" width="25.6640625" style="169" customWidth="1"/>
    <col min="4820" max="4822" width="24.44140625" style="169" customWidth="1"/>
    <col min="4823" max="4825" width="25.6640625" style="169" customWidth="1"/>
    <col min="4826" max="4828" width="24.44140625" style="169" customWidth="1"/>
    <col min="4829" max="4829" width="25.6640625" style="169" bestFit="1" customWidth="1"/>
    <col min="4830" max="4831" width="25.6640625" style="169" customWidth="1"/>
    <col min="4832" max="4833" width="24.44140625" style="169" customWidth="1"/>
    <col min="4834" max="4834" width="24.44140625" style="169" bestFit="1" customWidth="1"/>
    <col min="4835" max="4837" width="25.6640625" style="169" customWidth="1"/>
    <col min="4838" max="4840" width="18.6640625" style="169" customWidth="1"/>
    <col min="4841" max="4843" width="19.77734375" style="169" customWidth="1"/>
    <col min="4844" max="4846" width="25.6640625" style="169" bestFit="1" customWidth="1"/>
    <col min="4847" max="4848" width="23.33203125" style="169" customWidth="1"/>
    <col min="4849" max="4851" width="24.44140625" style="169" customWidth="1"/>
    <col min="4852" max="4853" width="14" style="169" customWidth="1"/>
    <col min="4854" max="4854" width="15.109375" style="169" customWidth="1"/>
    <col min="4855" max="4855" width="15.109375" style="169" bestFit="1" customWidth="1"/>
    <col min="4856" max="4856" width="15.109375" style="169" customWidth="1"/>
    <col min="4857" max="4858" width="24.44140625" style="169" customWidth="1"/>
    <col min="4859" max="4861" width="25.6640625" style="169" bestFit="1" customWidth="1"/>
    <col min="4862" max="4863" width="23.33203125" style="169" bestFit="1" customWidth="1"/>
    <col min="4864" max="4864" width="24.44140625" style="169" bestFit="1" customWidth="1"/>
    <col min="4865" max="4866" width="24.44140625" style="169" customWidth="1"/>
    <col min="4867" max="4868" width="14" style="169" customWidth="1"/>
    <col min="4869" max="4871" width="15.109375" style="169" customWidth="1"/>
    <col min="4872" max="4873" width="24.44140625" style="169" customWidth="1"/>
    <col min="4874" max="4876" width="25.6640625" style="169" customWidth="1"/>
    <col min="4877" max="4878" width="23.33203125" style="169" customWidth="1"/>
    <col min="4879" max="4879" width="24.44140625" style="169" customWidth="1"/>
    <col min="4880" max="4881" width="24.44140625" style="169" bestFit="1" customWidth="1"/>
    <col min="4882" max="4883" width="14" style="169" customWidth="1"/>
    <col min="4884" max="4886" width="15.109375" style="169" customWidth="1"/>
    <col min="4887" max="4888" width="24.44140625" style="169" bestFit="1" customWidth="1"/>
    <col min="4889" max="4889" width="25.6640625" style="169" bestFit="1" customWidth="1"/>
    <col min="4890" max="4891" width="25.6640625" style="169" customWidth="1"/>
    <col min="4892" max="4893" width="23.33203125" style="169" bestFit="1" customWidth="1"/>
    <col min="4894" max="4894" width="24.44140625" style="169" bestFit="1" customWidth="1"/>
    <col min="4895" max="4896" width="24.44140625" style="169" customWidth="1"/>
    <col min="4897" max="4898" width="14" style="169" customWidth="1"/>
    <col min="4899" max="4901" width="15.109375" style="169" customWidth="1"/>
    <col min="4902" max="4903" width="24.44140625" style="169" customWidth="1"/>
    <col min="4904" max="4906" width="25.6640625" style="169" bestFit="1" customWidth="1"/>
    <col min="4907" max="4908" width="24.44140625" style="169" customWidth="1"/>
    <col min="4909" max="4911" width="25.6640625" style="169" bestFit="1" customWidth="1"/>
    <col min="4912" max="4913" width="14" style="169" customWidth="1"/>
    <col min="4914" max="4915" width="15.109375" style="169" customWidth="1"/>
    <col min="4916" max="4916" width="15.109375" style="169" bestFit="1" customWidth="1"/>
    <col min="4917" max="4918" width="24.44140625" style="169" bestFit="1" customWidth="1"/>
    <col min="4919" max="4921" width="25.6640625" style="169" bestFit="1" customWidth="1"/>
    <col min="4922" max="4923" width="24.44140625" style="169" bestFit="1" customWidth="1"/>
    <col min="4924" max="4925" width="25.6640625" style="169" bestFit="1" customWidth="1"/>
    <col min="4926" max="4926" width="25.6640625" style="169" customWidth="1"/>
    <col min="4927" max="4928" width="14" style="169" customWidth="1"/>
    <col min="4929" max="4931" width="15.109375" style="169" customWidth="1"/>
    <col min="4932" max="4933" width="24.44140625" style="169" customWidth="1"/>
    <col min="4934" max="4936" width="25.6640625" style="169" customWidth="1"/>
    <col min="4937" max="4937" width="24.44140625" style="169" bestFit="1" customWidth="1"/>
    <col min="4938" max="4938" width="24.44140625" style="169" customWidth="1"/>
    <col min="4939" max="4941" width="25.6640625" style="169" bestFit="1" customWidth="1"/>
    <col min="4942" max="4943" width="14" style="169" customWidth="1"/>
    <col min="4944" max="4946" width="15.109375" style="169" customWidth="1"/>
    <col min="4947" max="4948" width="21.21875" style="169" customWidth="1"/>
    <col min="4949" max="4951" width="22.21875" style="169" customWidth="1"/>
    <col min="4952" max="4953" width="14" style="169" customWidth="1"/>
    <col min="4954" max="4956" width="15.109375" style="169" customWidth="1"/>
    <col min="4957" max="4958" width="21.21875" style="169" customWidth="1"/>
    <col min="4959" max="4960" width="22.21875" style="169" bestFit="1" customWidth="1"/>
    <col min="4961" max="4961" width="22.21875" style="169" customWidth="1"/>
    <col min="4962" max="4963" width="14" style="169" customWidth="1"/>
    <col min="4964" max="4966" width="15.109375" style="169" customWidth="1"/>
    <col min="4967" max="4968" width="21.21875" style="169" bestFit="1" customWidth="1"/>
    <col min="4969" max="4969" width="22.21875" style="169" bestFit="1" customWidth="1"/>
    <col min="4970" max="4971" width="22.21875" style="169" customWidth="1"/>
    <col min="4972" max="4973" width="14" style="169" customWidth="1"/>
    <col min="4974" max="4976" width="15.109375" style="169" customWidth="1"/>
    <col min="4977" max="4978" width="21.21875" style="169" customWidth="1"/>
    <col min="4979" max="4981" width="22.21875" style="169" bestFit="1" customWidth="1"/>
    <col min="4982" max="4983" width="14" style="169" customWidth="1"/>
    <col min="4984" max="4986" width="15.109375" style="169" customWidth="1"/>
    <col min="4987" max="4988" width="22.21875" style="169" customWidth="1"/>
    <col min="4989" max="4989" width="23.33203125" style="169" bestFit="1" customWidth="1"/>
    <col min="4990" max="4990" width="23.33203125" style="169" customWidth="1"/>
    <col min="4991" max="4991" width="23.33203125" style="169" bestFit="1" customWidth="1"/>
    <col min="4992" max="4993" width="14" style="169" customWidth="1"/>
    <col min="4994" max="4996" width="15.109375" style="169" customWidth="1"/>
    <col min="4997" max="4997" width="22.21875" style="169" customWidth="1"/>
    <col min="4998" max="4998" width="22.21875" style="169" bestFit="1" customWidth="1"/>
    <col min="4999" max="5001" width="23.33203125" style="169" bestFit="1" customWidth="1"/>
    <col min="5002" max="5003" width="14" style="169" customWidth="1"/>
    <col min="5004" max="5005" width="15.109375" style="169" bestFit="1" customWidth="1"/>
    <col min="5006" max="5006" width="15.109375" style="169" customWidth="1"/>
    <col min="5007" max="5008" width="22.21875" style="169" customWidth="1"/>
    <col min="5009" max="5009" width="23.33203125" style="169" customWidth="1"/>
    <col min="5010" max="5011" width="23.33203125" style="169" bestFit="1" customWidth="1"/>
    <col min="5012" max="5013" width="14" style="169" customWidth="1"/>
    <col min="5014" max="5014" width="15.109375" style="169" customWidth="1"/>
    <col min="5015" max="5016" width="15.109375" style="169" bestFit="1" customWidth="1"/>
    <col min="5017" max="5017" width="22.21875" style="169" bestFit="1" customWidth="1"/>
    <col min="5018" max="5018" width="22.21875" style="169" customWidth="1"/>
    <col min="5019" max="5021" width="23.33203125" style="169" customWidth="1"/>
    <col min="5022" max="5023" width="14" style="169" customWidth="1"/>
    <col min="5024" max="5025" width="15.109375" style="169" bestFit="1" customWidth="1"/>
    <col min="5026" max="5026" width="15.109375" style="169" customWidth="1"/>
    <col min="5027" max="5028" width="22.21875" style="169" customWidth="1"/>
    <col min="5029" max="5031" width="23.33203125" style="169" customWidth="1"/>
    <col min="5032" max="5033" width="14" style="169" customWidth="1"/>
    <col min="5034" max="5036" width="15.109375" style="169" customWidth="1"/>
    <col min="5037" max="5038" width="22.21875" style="169" customWidth="1"/>
    <col min="5039" max="5041" width="23.33203125" style="169" customWidth="1"/>
    <col min="5042" max="5043" width="14" style="169" customWidth="1"/>
    <col min="5044" max="5046" width="15.109375" style="169" customWidth="1"/>
    <col min="5047" max="5048" width="14" style="169" customWidth="1"/>
    <col min="5049" max="5051" width="15.109375" style="169" customWidth="1"/>
    <col min="5052" max="5053" width="14" style="169" customWidth="1"/>
    <col min="5054" max="5056" width="15.109375" style="169" customWidth="1"/>
    <col min="5057" max="5057" width="22.21875" style="169" bestFit="1" customWidth="1"/>
    <col min="5058" max="5058" width="22.21875" style="169" customWidth="1"/>
    <col min="5059" max="5061" width="23.33203125" style="169" customWidth="1"/>
    <col min="5062" max="5063" width="14" style="169" customWidth="1"/>
    <col min="5064" max="5065" width="15.109375" style="169" customWidth="1"/>
    <col min="5066" max="5066" width="15.109375" style="169" bestFit="1" customWidth="1"/>
    <col min="5067" max="5068" width="22.21875" style="169" bestFit="1" customWidth="1"/>
    <col min="5069" max="5069" width="23.33203125" style="169" bestFit="1" customWidth="1"/>
    <col min="5070" max="5071" width="23.33203125" style="169" customWidth="1"/>
    <col min="5072" max="5073" width="14" style="169" customWidth="1"/>
    <col min="5074" max="5076" width="15.109375" style="169" customWidth="1"/>
    <col min="5077" max="5077" width="22.21875" style="169" customWidth="1"/>
    <col min="5078" max="5078" width="22.21875" style="169" bestFit="1" customWidth="1"/>
    <col min="5079" max="5081" width="23.33203125" style="169" bestFit="1" customWidth="1"/>
    <col min="5082" max="5083" width="14" style="169" customWidth="1"/>
    <col min="5084" max="5086" width="15.109375" style="169" customWidth="1"/>
    <col min="5087" max="5088" width="22.21875" style="169" customWidth="1"/>
    <col min="5089" max="5089" width="23.33203125" style="169" customWidth="1"/>
    <col min="5090" max="5091" width="23.33203125" style="169" bestFit="1" customWidth="1"/>
    <col min="5092" max="5093" width="14" style="169" customWidth="1"/>
    <col min="5094" max="5096" width="15.109375" style="169" customWidth="1"/>
    <col min="5097" max="5098" width="14" style="169" customWidth="1"/>
    <col min="5099" max="5101" width="15.109375" style="169" customWidth="1"/>
    <col min="5102" max="5102" width="14" style="169" bestFit="1" customWidth="1"/>
    <col min="5103" max="5103" width="14" style="169" customWidth="1"/>
    <col min="5104" max="5105" width="15.109375" style="169" bestFit="1" customWidth="1"/>
    <col min="5106" max="5106" width="15.109375" style="169" customWidth="1"/>
    <col min="5107" max="5108" width="23.33203125" style="169" customWidth="1"/>
    <col min="5109" max="5109" width="24.44140625" style="169" customWidth="1"/>
    <col min="5110" max="5111" width="24.44140625" style="169" bestFit="1" customWidth="1"/>
    <col min="5112" max="5113" width="14" style="169" customWidth="1"/>
    <col min="5114" max="5116" width="15.109375" style="169" bestFit="1" customWidth="1"/>
    <col min="5117" max="5118" width="23.33203125" style="169" bestFit="1" customWidth="1"/>
    <col min="5119" max="5121" width="24.44140625" style="169" bestFit="1" customWidth="1"/>
    <col min="5122" max="5122" width="14" style="169" bestFit="1" customWidth="1"/>
    <col min="5123" max="5123" width="14" style="169" customWidth="1"/>
    <col min="5124" max="5125" width="15.109375" style="169" bestFit="1" customWidth="1"/>
    <col min="5126" max="5126" width="15.109375" style="169" customWidth="1"/>
    <col min="5127" max="5128" width="23.33203125" style="169" customWidth="1"/>
    <col min="5129" max="5129" width="24.44140625" style="169" customWidth="1"/>
    <col min="5130" max="5131" width="24.44140625" style="169" bestFit="1" customWidth="1"/>
    <col min="5132" max="5133" width="14" style="169" customWidth="1"/>
    <col min="5134" max="5136" width="15.109375" style="169" bestFit="1" customWidth="1"/>
    <col min="5137" max="5137" width="23.33203125" style="169" bestFit="1" customWidth="1"/>
    <col min="5138" max="5138" width="23.33203125" style="169" customWidth="1"/>
    <col min="5139" max="5141" width="24.44140625" style="169" customWidth="1"/>
    <col min="5142" max="5143" width="14" style="169" customWidth="1"/>
    <col min="5144" max="5145" width="15.109375" style="169" customWidth="1"/>
    <col min="5146" max="5146" width="15.109375" style="169" bestFit="1" customWidth="1"/>
    <col min="5147" max="5148" width="23.33203125" style="169" bestFit="1" customWidth="1"/>
    <col min="5149" max="5151" width="24.44140625" style="169" bestFit="1" customWidth="1"/>
    <col min="5152" max="5153" width="14" style="169" customWidth="1"/>
    <col min="5154" max="5156" width="15.109375" style="169" bestFit="1" customWidth="1"/>
    <col min="5157" max="5158" width="23.33203125" style="169" bestFit="1" customWidth="1"/>
    <col min="5159" max="5161" width="24.44140625" style="169" bestFit="1" customWidth="1"/>
    <col min="5162" max="5163" width="14" style="169" customWidth="1"/>
    <col min="5164" max="5165" width="15.109375" style="169" customWidth="1"/>
    <col min="5166" max="5166" width="15.109375" style="169" bestFit="1" customWidth="1"/>
    <col min="5167" max="5168" width="23.33203125" style="169" bestFit="1" customWidth="1"/>
    <col min="5169" max="5171" width="24.44140625" style="169" bestFit="1" customWidth="1"/>
    <col min="5172" max="5173" width="14" style="169" customWidth="1"/>
    <col min="5174" max="5176" width="15.109375" style="169" customWidth="1"/>
    <col min="5177" max="5177" width="14" style="169" customWidth="1"/>
    <col min="5178" max="5178" width="14" style="169" bestFit="1" customWidth="1"/>
    <col min="5179" max="5181" width="15.109375" style="169" bestFit="1" customWidth="1"/>
    <col min="5182" max="5183" width="23.33203125" style="169" bestFit="1" customWidth="1"/>
    <col min="5184" max="5186" width="24.44140625" style="169" bestFit="1" customWidth="1"/>
    <col min="5187" max="5188" width="14" style="169" customWidth="1"/>
    <col min="5189" max="5189" width="15.109375" style="169" bestFit="1" customWidth="1"/>
    <col min="5190" max="5191" width="15.109375" style="169" customWidth="1"/>
    <col min="5192" max="5193" width="23.33203125" style="169" bestFit="1" customWidth="1"/>
    <col min="5194" max="5196" width="24.44140625" style="169" bestFit="1" customWidth="1"/>
    <col min="5197" max="5198" width="14" style="169" customWidth="1"/>
    <col min="5199" max="5201" width="15.109375" style="169" customWidth="1"/>
    <col min="5202" max="5202" width="14" style="169" bestFit="1" customWidth="1"/>
    <col min="5203" max="5203" width="14" style="169" customWidth="1"/>
    <col min="5204" max="5205" width="15.109375" style="169" bestFit="1" customWidth="1"/>
    <col min="5206" max="5206" width="15.109375" style="169" customWidth="1"/>
    <col min="5207" max="5208" width="14" style="169" customWidth="1"/>
    <col min="5209" max="5209" width="15.109375" style="169" customWidth="1"/>
    <col min="5210" max="5211" width="15.109375" style="169" bestFit="1" customWidth="1"/>
    <col min="5212" max="5213" width="14" style="169" customWidth="1"/>
    <col min="5214" max="5216" width="15.109375" style="169" customWidth="1"/>
    <col min="5217" max="5217" width="14" style="169" customWidth="1"/>
    <col min="5218" max="5218" width="14" style="169" bestFit="1" customWidth="1"/>
    <col min="5219" max="5221" width="15.109375" style="169" bestFit="1" customWidth="1"/>
    <col min="5222" max="5223" width="14" style="169" customWidth="1"/>
    <col min="5224" max="5225" width="15.109375" style="169" customWidth="1"/>
    <col min="5226" max="5226" width="15.109375" style="169" bestFit="1" customWidth="1"/>
    <col min="5227" max="5228" width="14" style="169" customWidth="1"/>
    <col min="5229" max="5229" width="15.109375" style="169" bestFit="1" customWidth="1"/>
    <col min="5230" max="5231" width="15.109375" style="169" customWidth="1"/>
    <col min="5232" max="5233" width="14" style="169" customWidth="1"/>
    <col min="5234" max="5236" width="15.109375" style="169" bestFit="1" customWidth="1"/>
    <col min="5237" max="5237" width="14" style="169" customWidth="1"/>
    <col min="5238" max="5238" width="14" style="169" bestFit="1" customWidth="1"/>
    <col min="5239" max="5241" width="15.109375" style="169" bestFit="1" customWidth="1"/>
    <col min="5242" max="5242" width="14" style="169" bestFit="1" customWidth="1"/>
    <col min="5243" max="5243" width="14" style="169" customWidth="1"/>
    <col min="5244" max="5245" width="15.109375" style="169" bestFit="1" customWidth="1"/>
    <col min="5246" max="5246" width="15.109375" style="169" customWidth="1"/>
    <col min="5247" max="5248" width="14" style="169" customWidth="1"/>
    <col min="5249" max="5249" width="15.109375" style="169" customWidth="1"/>
    <col min="5250" max="5251" width="15.109375" style="169" bestFit="1" customWidth="1"/>
    <col min="5252" max="5253" width="14" style="169" customWidth="1"/>
    <col min="5254" max="5256" width="15.109375" style="169" customWidth="1"/>
    <col min="5257" max="5257" width="14" style="169" customWidth="1"/>
    <col min="5258" max="5258" width="14" style="169" bestFit="1" customWidth="1"/>
    <col min="5259" max="5261" width="15.109375" style="169" bestFit="1" customWidth="1"/>
    <col min="5262" max="5263" width="14" style="169" customWidth="1"/>
    <col min="5264" max="5265" width="15.109375" style="169" customWidth="1"/>
    <col min="5266" max="5266" width="15.109375" style="169" bestFit="1" customWidth="1"/>
    <col min="5267" max="5268" width="14" style="169" customWidth="1"/>
    <col min="5269" max="5269" width="15.109375" style="169" bestFit="1" customWidth="1"/>
    <col min="5270" max="5271" width="15.109375" style="169" customWidth="1"/>
    <col min="5272" max="5273" width="14" style="169" customWidth="1"/>
    <col min="5274" max="5276" width="15.109375" style="169" bestFit="1" customWidth="1"/>
    <col min="5277" max="5278" width="14" style="169" customWidth="1"/>
    <col min="5279" max="5281" width="15.109375" style="169" customWidth="1"/>
    <col min="5282" max="5282" width="14" style="169" bestFit="1" customWidth="1"/>
    <col min="5283" max="5283" width="14" style="169" customWidth="1"/>
    <col min="5284" max="5285" width="15.109375" style="169" bestFit="1" customWidth="1"/>
    <col min="5286" max="5286" width="15.109375" style="169" customWidth="1"/>
    <col min="5287" max="5288" width="14" style="169" customWidth="1"/>
    <col min="5289" max="5289" width="15.109375" style="169" customWidth="1"/>
    <col min="5290" max="5291" width="15.109375" style="169" bestFit="1" customWidth="1"/>
    <col min="5292" max="5293" width="14" style="169" customWidth="1"/>
    <col min="5294" max="5296" width="15.109375" style="169" customWidth="1"/>
    <col min="5297" max="5297" width="14" style="169" customWidth="1"/>
    <col min="5298" max="5298" width="14" style="169" bestFit="1" customWidth="1"/>
    <col min="5299" max="5301" width="15.109375" style="169" bestFit="1" customWidth="1"/>
    <col min="5302" max="5303" width="14" style="169" customWidth="1"/>
    <col min="5304" max="5305" width="15.109375" style="169" customWidth="1"/>
    <col min="5306" max="5306" width="15.109375" style="169" bestFit="1" customWidth="1"/>
    <col min="5307" max="5308" width="14" style="169" customWidth="1"/>
    <col min="5309" max="5309" width="15.109375" style="169" bestFit="1" customWidth="1"/>
    <col min="5310" max="5311" width="15.109375" style="169" customWidth="1"/>
    <col min="5312" max="5313" width="14" style="169" customWidth="1"/>
    <col min="5314" max="5316" width="15.109375" style="169" bestFit="1" customWidth="1"/>
    <col min="5317" max="5318" width="24.44140625" style="169" bestFit="1" customWidth="1"/>
    <col min="5319" max="5321" width="25.6640625" style="169" bestFit="1" customWidth="1"/>
    <col min="5322" max="5323" width="24.44140625" style="169" bestFit="1" customWidth="1"/>
    <col min="5324" max="5326" width="25.6640625" style="169" bestFit="1" customWidth="1"/>
    <col min="5327" max="5328" width="24.44140625" style="169" customWidth="1"/>
    <col min="5329" max="5331" width="25.6640625" style="169" bestFit="1" customWidth="1"/>
    <col min="5332" max="5333" width="24.44140625" style="169" bestFit="1" customWidth="1"/>
    <col min="5334" max="5336" width="25.6640625" style="169" bestFit="1" customWidth="1"/>
    <col min="5337" max="5337" width="24.44140625" style="169" customWidth="1"/>
    <col min="5338" max="5338" width="24.44140625" style="169" bestFit="1" customWidth="1"/>
    <col min="5339" max="5341" width="25.6640625" style="169" bestFit="1" customWidth="1"/>
    <col min="5342" max="5342" width="24.44140625" style="169" bestFit="1" customWidth="1"/>
    <col min="5343" max="5343" width="24.44140625" style="169" customWidth="1"/>
    <col min="5344" max="5346" width="25.6640625" style="169" bestFit="1" customWidth="1"/>
    <col min="5347" max="5348" width="18.6640625" style="169" bestFit="1" customWidth="1"/>
    <col min="5349" max="5351" width="19.77734375" style="169" bestFit="1" customWidth="1"/>
    <col min="5352" max="5353" width="15.109375" style="169" bestFit="1" customWidth="1"/>
    <col min="5354" max="5354" width="14" style="169" bestFit="1" customWidth="1"/>
    <col min="5355" max="5357" width="15.109375" style="169" bestFit="1" customWidth="1"/>
    <col min="5358" max="5358" width="14" style="169" bestFit="1" customWidth="1"/>
    <col min="5359" max="5361" width="15.109375" style="169" bestFit="1" customWidth="1"/>
    <col min="5362" max="5362" width="14" style="169" bestFit="1" customWidth="1"/>
    <col min="5363" max="5365" width="15.109375" style="169" bestFit="1" customWidth="1"/>
    <col min="5366" max="5366" width="14" style="169" bestFit="1" customWidth="1"/>
    <col min="5367" max="5369" width="15.109375" style="169" bestFit="1" customWidth="1"/>
    <col min="5370" max="5370" width="14" style="169" bestFit="1" customWidth="1"/>
    <col min="5371" max="5373" width="15.109375" style="169" bestFit="1" customWidth="1"/>
    <col min="5374" max="5374" width="14" style="169" bestFit="1" customWidth="1"/>
    <col min="5375" max="5377" width="15.109375" style="169" bestFit="1" customWidth="1"/>
    <col min="5378" max="5378" width="14" style="169" bestFit="1" customWidth="1"/>
    <col min="5379" max="5381" width="15.109375" style="169" bestFit="1" customWidth="1"/>
    <col min="5382" max="5382" width="14" style="169" bestFit="1" customWidth="1"/>
    <col min="5383" max="5385" width="15.109375" style="169" bestFit="1" customWidth="1"/>
    <col min="5386" max="5386" width="14" style="169" bestFit="1" customWidth="1"/>
    <col min="5387" max="5389" width="15.109375" style="169" bestFit="1" customWidth="1"/>
    <col min="5390" max="5390" width="14" style="169" bestFit="1" customWidth="1"/>
    <col min="5391" max="5393" width="15.109375" style="169" bestFit="1" customWidth="1"/>
    <col min="5394" max="5394" width="14" style="169" bestFit="1" customWidth="1"/>
    <col min="5395" max="5397" width="15.109375" style="169" bestFit="1" customWidth="1"/>
    <col min="5398" max="5398" width="14" style="169" bestFit="1" customWidth="1"/>
    <col min="5399" max="5401" width="15.109375" style="169" bestFit="1" customWidth="1"/>
    <col min="5402" max="5402" width="24.44140625" style="169" bestFit="1" customWidth="1"/>
    <col min="5403" max="5405" width="25.6640625" style="169" bestFit="1" customWidth="1"/>
    <col min="5406" max="5406" width="24.44140625" style="169" bestFit="1" customWidth="1"/>
    <col min="5407" max="5409" width="25.6640625" style="169" bestFit="1" customWidth="1"/>
    <col min="5410" max="5410" width="24.44140625" style="169" bestFit="1" customWidth="1"/>
    <col min="5411" max="5413" width="25.6640625" style="169" bestFit="1" customWidth="1"/>
    <col min="5414" max="5414" width="24.44140625" style="169" bestFit="1" customWidth="1"/>
    <col min="5415" max="5417" width="25.6640625" style="169" bestFit="1" customWidth="1"/>
    <col min="5418" max="5418" width="24.44140625" style="169" bestFit="1" customWidth="1"/>
    <col min="5419" max="5421" width="25.6640625" style="169" bestFit="1" customWidth="1"/>
    <col min="5422" max="5422" width="24.44140625" style="169" bestFit="1" customWidth="1"/>
    <col min="5423" max="5425" width="25.6640625" style="169" bestFit="1" customWidth="1"/>
    <col min="5426" max="5426" width="24.44140625" style="169" bestFit="1" customWidth="1"/>
    <col min="5427" max="5429" width="25.6640625" style="169" bestFit="1" customWidth="1"/>
    <col min="5430" max="5430" width="18.6640625" style="169" bestFit="1" customWidth="1"/>
    <col min="5431" max="5433" width="19.77734375" style="169" bestFit="1" customWidth="1"/>
    <col min="5434" max="16384" width="9" style="169"/>
  </cols>
  <sheetData>
    <row r="1" spans="1:15" ht="15.65" x14ac:dyDescent="0.3">
      <c r="A1"/>
      <c r="B1" s="3"/>
    </row>
    <row r="3" spans="1:15" ht="15.65" x14ac:dyDescent="0.3">
      <c r="A3" s="181" t="s">
        <v>451</v>
      </c>
      <c r="B3" s="183" t="s">
        <v>1034</v>
      </c>
      <c r="C3" s="183" t="s">
        <v>1035</v>
      </c>
      <c r="D3" s="183" t="s">
        <v>1036</v>
      </c>
      <c r="E3" s="183" t="s">
        <v>729</v>
      </c>
      <c r="F3" s="183" t="s">
        <v>730</v>
      </c>
      <c r="G3" s="183" t="s">
        <v>459</v>
      </c>
      <c r="H3" s="183" t="s">
        <v>460</v>
      </c>
      <c r="I3" s="183" t="s">
        <v>462</v>
      </c>
      <c r="J3" s="183" t="s">
        <v>461</v>
      </c>
      <c r="K3" s="183" t="s">
        <v>463</v>
      </c>
      <c r="L3" s="183" t="s">
        <v>464</v>
      </c>
      <c r="M3" s="183" t="s">
        <v>465</v>
      </c>
      <c r="N3" s="183" t="s">
        <v>731</v>
      </c>
      <c r="O3"/>
    </row>
    <row r="4" spans="1:15" ht="15.65" x14ac:dyDescent="0.3">
      <c r="A4" s="182" t="s">
        <v>27</v>
      </c>
      <c r="B4" s="179">
        <v>990760965</v>
      </c>
      <c r="C4" s="179">
        <v>1680107334</v>
      </c>
      <c r="D4" s="179">
        <v>1957013064</v>
      </c>
      <c r="E4" s="179">
        <v>2474758577</v>
      </c>
      <c r="F4" s="179">
        <v>2244834040</v>
      </c>
      <c r="G4" s="179">
        <v>2068412000</v>
      </c>
      <c r="H4" s="179">
        <v>2357805445</v>
      </c>
      <c r="I4" s="179">
        <v>1746015500</v>
      </c>
      <c r="J4" s="179">
        <v>1643289645</v>
      </c>
      <c r="K4" s="179">
        <v>2506063365</v>
      </c>
      <c r="L4" s="179">
        <v>2233170110</v>
      </c>
      <c r="M4" s="179">
        <v>2872934970.5</v>
      </c>
      <c r="N4" s="179">
        <v>24775165015.5</v>
      </c>
      <c r="O4"/>
    </row>
    <row r="5" spans="1:15" ht="15.65" x14ac:dyDescent="0.3">
      <c r="A5" s="182" t="s">
        <v>24</v>
      </c>
      <c r="B5" s="179"/>
      <c r="C5" s="179"/>
      <c r="D5" s="179"/>
      <c r="E5" s="179">
        <v>85500000</v>
      </c>
      <c r="F5" s="179">
        <v>738150000</v>
      </c>
      <c r="G5" s="179">
        <v>222860000</v>
      </c>
      <c r="H5" s="179">
        <v>660100000</v>
      </c>
      <c r="I5" s="179">
        <v>303600000</v>
      </c>
      <c r="J5" s="179">
        <v>470600000</v>
      </c>
      <c r="K5" s="179">
        <v>863400000</v>
      </c>
      <c r="L5" s="179">
        <v>473000000</v>
      </c>
      <c r="M5" s="179">
        <v>717850000</v>
      </c>
      <c r="N5" s="179">
        <v>4535060000</v>
      </c>
      <c r="O5"/>
    </row>
    <row r="6" spans="1:15" ht="15.65" x14ac:dyDescent="0.3">
      <c r="A6" s="182" t="s">
        <v>25</v>
      </c>
      <c r="B6" s="179"/>
      <c r="C6" s="179"/>
      <c r="D6" s="179"/>
      <c r="E6" s="179">
        <v>65000000</v>
      </c>
      <c r="F6" s="179">
        <v>1740620000</v>
      </c>
      <c r="G6" s="179">
        <v>594800000</v>
      </c>
      <c r="H6" s="179">
        <v>207200000</v>
      </c>
      <c r="I6" s="179">
        <v>302000000</v>
      </c>
      <c r="J6" s="179">
        <v>700000000</v>
      </c>
      <c r="K6" s="179">
        <v>317500000</v>
      </c>
      <c r="L6" s="179">
        <v>462500000</v>
      </c>
      <c r="M6" s="179">
        <v>259000000</v>
      </c>
      <c r="N6" s="179">
        <v>4648620000</v>
      </c>
      <c r="O6"/>
    </row>
    <row r="7" spans="1:15" ht="15.65" x14ac:dyDescent="0.3">
      <c r="A7" s="182" t="s">
        <v>452</v>
      </c>
      <c r="B7" s="179">
        <v>990760965</v>
      </c>
      <c r="C7" s="179">
        <v>1680107334</v>
      </c>
      <c r="D7" s="179">
        <v>1957013064</v>
      </c>
      <c r="E7" s="179">
        <v>2625258577</v>
      </c>
      <c r="F7" s="179">
        <v>4723604040</v>
      </c>
      <c r="G7" s="179">
        <v>2886072000</v>
      </c>
      <c r="H7" s="179">
        <v>3225105445</v>
      </c>
      <c r="I7" s="179">
        <v>2351615500</v>
      </c>
      <c r="J7" s="179">
        <v>2813889645</v>
      </c>
      <c r="K7" s="179">
        <v>3686963365</v>
      </c>
      <c r="L7" s="179">
        <v>3168670110</v>
      </c>
      <c r="M7" s="179">
        <v>3849784970.5</v>
      </c>
      <c r="N7" s="179">
        <v>33958845015.5</v>
      </c>
      <c r="O7"/>
    </row>
    <row r="8" spans="1:15" x14ac:dyDescent="0.3">
      <c r="A8" s="170"/>
    </row>
    <row r="11" spans="1:15" ht="15.65" x14ac:dyDescent="0.3">
      <c r="A11" s="181" t="s">
        <v>731</v>
      </c>
      <c r="B11" s="181" t="s">
        <v>488</v>
      </c>
      <c r="C11" s="183"/>
      <c r="D11" s="183"/>
      <c r="E11" s="183"/>
      <c r="F11"/>
      <c r="G11"/>
      <c r="H11"/>
      <c r="I11"/>
      <c r="J11"/>
      <c r="K11"/>
      <c r="L11"/>
    </row>
    <row r="12" spans="1:15" ht="15.65" x14ac:dyDescent="0.3">
      <c r="A12" s="181" t="s">
        <v>451</v>
      </c>
      <c r="B12" s="183" t="s">
        <v>27</v>
      </c>
      <c r="C12" s="183" t="s">
        <v>24</v>
      </c>
      <c r="D12" s="183" t="s">
        <v>25</v>
      </c>
      <c r="E12" s="183" t="s">
        <v>452</v>
      </c>
      <c r="F12"/>
      <c r="G12"/>
      <c r="H12"/>
      <c r="I12"/>
      <c r="J12"/>
      <c r="K12"/>
      <c r="L12"/>
    </row>
    <row r="13" spans="1:15" ht="15.65" x14ac:dyDescent="0.3">
      <c r="A13" s="182" t="s">
        <v>113</v>
      </c>
      <c r="B13" s="180">
        <v>4664806607.5</v>
      </c>
      <c r="C13" s="180">
        <v>430000000</v>
      </c>
      <c r="D13" s="180">
        <v>503300000</v>
      </c>
      <c r="E13" s="180">
        <v>5598106607.5</v>
      </c>
      <c r="F13"/>
      <c r="G13"/>
      <c r="H13"/>
      <c r="I13"/>
      <c r="J13"/>
      <c r="K13"/>
      <c r="L13"/>
    </row>
    <row r="14" spans="1:15" ht="15.65" x14ac:dyDescent="0.3">
      <c r="A14" s="182" t="s">
        <v>0</v>
      </c>
      <c r="B14" s="180">
        <v>4001510549</v>
      </c>
      <c r="C14" s="180">
        <v>717000000</v>
      </c>
      <c r="D14" s="180">
        <v>306000000</v>
      </c>
      <c r="E14" s="180">
        <v>5024510549</v>
      </c>
      <c r="F14"/>
      <c r="G14"/>
      <c r="H14"/>
      <c r="I14"/>
      <c r="J14"/>
      <c r="K14"/>
      <c r="L14"/>
    </row>
    <row r="15" spans="1:15" ht="15.65" x14ac:dyDescent="0.3">
      <c r="A15" s="182" t="s">
        <v>175</v>
      </c>
      <c r="B15" s="180">
        <v>4021790930</v>
      </c>
      <c r="C15" s="180">
        <v>379000000</v>
      </c>
      <c r="D15" s="180">
        <v>119000000</v>
      </c>
      <c r="E15" s="180">
        <v>4519790930</v>
      </c>
      <c r="F15"/>
      <c r="G15"/>
      <c r="H15"/>
      <c r="I15"/>
      <c r="J15"/>
      <c r="K15"/>
      <c r="L15"/>
    </row>
    <row r="16" spans="1:15" ht="15.65" x14ac:dyDescent="0.3">
      <c r="A16" s="182" t="s">
        <v>364</v>
      </c>
      <c r="B16" s="180">
        <v>1884773958</v>
      </c>
      <c r="C16" s="180">
        <v>586500000</v>
      </c>
      <c r="D16" s="180">
        <v>856000000</v>
      </c>
      <c r="E16" s="180">
        <v>3327273958</v>
      </c>
      <c r="F16"/>
      <c r="G16"/>
      <c r="H16"/>
      <c r="I16"/>
      <c r="J16"/>
      <c r="K16"/>
      <c r="L16"/>
    </row>
    <row r="17" spans="1:12" ht="15.65" x14ac:dyDescent="0.3">
      <c r="A17" s="182" t="s">
        <v>2</v>
      </c>
      <c r="B17" s="180">
        <v>1657753523</v>
      </c>
      <c r="C17" s="180">
        <v>454000000</v>
      </c>
      <c r="D17" s="180">
        <v>716570000</v>
      </c>
      <c r="E17" s="180">
        <v>2828323523</v>
      </c>
      <c r="F17"/>
      <c r="G17"/>
      <c r="H17"/>
      <c r="I17"/>
      <c r="J17"/>
      <c r="K17"/>
      <c r="L17"/>
    </row>
    <row r="18" spans="1:12" ht="15.65" x14ac:dyDescent="0.3">
      <c r="A18" s="182" t="s">
        <v>237</v>
      </c>
      <c r="B18" s="180">
        <v>1186797506</v>
      </c>
      <c r="C18" s="180">
        <v>334000000</v>
      </c>
      <c r="D18" s="180">
        <v>984000000</v>
      </c>
      <c r="E18" s="180">
        <v>2504797506</v>
      </c>
      <c r="F18"/>
      <c r="G18"/>
      <c r="H18"/>
      <c r="I18"/>
      <c r="J18"/>
      <c r="K18"/>
      <c r="L18"/>
    </row>
    <row r="19" spans="1:12" ht="15.65" x14ac:dyDescent="0.3">
      <c r="A19" s="182" t="s">
        <v>277</v>
      </c>
      <c r="B19" s="180">
        <v>1082195105</v>
      </c>
      <c r="C19" s="180">
        <v>288060000</v>
      </c>
      <c r="D19" s="180">
        <v>640750000</v>
      </c>
      <c r="E19" s="180">
        <v>2011005105</v>
      </c>
      <c r="F19"/>
      <c r="G19"/>
      <c r="H19"/>
      <c r="I19"/>
      <c r="J19"/>
      <c r="K19"/>
      <c r="L19"/>
    </row>
    <row r="20" spans="1:12" ht="15.65" x14ac:dyDescent="0.3">
      <c r="A20" s="182" t="s">
        <v>153</v>
      </c>
      <c r="B20" s="180">
        <v>3134365945</v>
      </c>
      <c r="C20" s="180">
        <v>582000000</v>
      </c>
      <c r="D20" s="180">
        <v>261000000</v>
      </c>
      <c r="E20" s="180">
        <v>3977365945</v>
      </c>
      <c r="F20"/>
      <c r="G20"/>
      <c r="H20"/>
      <c r="I20"/>
      <c r="J20"/>
      <c r="K20"/>
      <c r="L20"/>
    </row>
    <row r="21" spans="1:12" ht="15.65" x14ac:dyDescent="0.3">
      <c r="A21" s="182" t="s">
        <v>456</v>
      </c>
      <c r="B21" s="180">
        <v>683287785</v>
      </c>
      <c r="C21" s="180">
        <v>764500000</v>
      </c>
      <c r="D21" s="180">
        <v>262000000</v>
      </c>
      <c r="E21" s="180">
        <v>1709787785</v>
      </c>
      <c r="F21"/>
      <c r="G21"/>
      <c r="H21"/>
      <c r="I21"/>
      <c r="J21"/>
      <c r="K21"/>
      <c r="L21"/>
    </row>
    <row r="22" spans="1:12" ht="15.65" x14ac:dyDescent="0.3">
      <c r="A22" s="182" t="s">
        <v>606</v>
      </c>
      <c r="B22" s="180">
        <v>2457883107</v>
      </c>
      <c r="C22" s="180"/>
      <c r="D22" s="180"/>
      <c r="E22" s="180">
        <v>2457883107</v>
      </c>
      <c r="F22"/>
      <c r="G22"/>
      <c r="H22"/>
      <c r="I22"/>
      <c r="J22"/>
      <c r="K22"/>
      <c r="L22"/>
    </row>
    <row r="23" spans="1:12" ht="15.65" x14ac:dyDescent="0.3">
      <c r="A23" s="182" t="s">
        <v>452</v>
      </c>
      <c r="B23" s="180">
        <v>24775165015.5</v>
      </c>
      <c r="C23" s="180">
        <v>4535060000</v>
      </c>
      <c r="D23" s="180">
        <v>4648620000</v>
      </c>
      <c r="E23" s="180">
        <v>33958845015.5</v>
      </c>
      <c r="F23"/>
      <c r="G23"/>
      <c r="H23"/>
      <c r="I23"/>
      <c r="J23"/>
      <c r="K23"/>
      <c r="L23"/>
    </row>
    <row r="24" spans="1:12" ht="15.65" x14ac:dyDescent="0.3">
      <c r="A24"/>
      <c r="B24"/>
      <c r="C24"/>
      <c r="D24"/>
      <c r="E24"/>
      <c r="F24"/>
      <c r="G24"/>
      <c r="H24"/>
      <c r="I24"/>
      <c r="J24"/>
      <c r="K24"/>
      <c r="L24"/>
    </row>
    <row r="25" spans="1:12" ht="15.65" x14ac:dyDescent="0.3">
      <c r="A25"/>
      <c r="B25" s="3"/>
      <c r="C25" s="3"/>
      <c r="D25" s="3"/>
      <c r="E25" s="3"/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="85" zoomScaleNormal="85" workbookViewId="0">
      <selection activeCell="J23" sqref="J23"/>
    </sheetView>
  </sheetViews>
  <sheetFormatPr defaultColWidth="8" defaultRowHeight="15.65" x14ac:dyDescent="0.3"/>
  <cols>
    <col min="1" max="1" width="3.44140625" style="10" customWidth="1"/>
    <col min="2" max="3" width="12.77734375" style="10" customWidth="1"/>
    <col min="4" max="4" width="12.77734375" style="11" customWidth="1"/>
    <col min="5" max="6" width="8" style="10"/>
    <col min="7" max="7" width="14.6640625" style="10" bestFit="1" customWidth="1"/>
    <col min="8" max="8" width="14.33203125" style="10" bestFit="1" customWidth="1"/>
    <col min="9" max="9" width="8.21875" style="10" bestFit="1" customWidth="1"/>
    <col min="10" max="10" width="32" style="10" bestFit="1" customWidth="1"/>
    <col min="11" max="11" width="34.109375" style="10" bestFit="1" customWidth="1"/>
    <col min="12" max="12" width="13.33203125" style="10" bestFit="1" customWidth="1"/>
    <col min="13" max="13" width="13" style="10" bestFit="1" customWidth="1"/>
    <col min="14" max="14" width="25.6640625" style="10" bestFit="1" customWidth="1"/>
    <col min="15" max="16384" width="8" style="10"/>
  </cols>
  <sheetData>
    <row r="1" spans="2:14" x14ac:dyDescent="0.3">
      <c r="B1" s="9">
        <f>SUBTOTAL(3,B3:B41)</f>
        <v>39</v>
      </c>
    </row>
    <row r="2" spans="2:14" x14ac:dyDescent="0.3">
      <c r="B2" s="12" t="s">
        <v>398</v>
      </c>
      <c r="C2" s="12" t="s">
        <v>399</v>
      </c>
      <c r="D2" s="13" t="s">
        <v>400</v>
      </c>
      <c r="G2" s="17" t="s">
        <v>409</v>
      </c>
      <c r="H2" s="17" t="s">
        <v>410</v>
      </c>
      <c r="I2" s="18" t="s">
        <v>9</v>
      </c>
      <c r="J2" s="17" t="s">
        <v>411</v>
      </c>
      <c r="K2" s="19" t="s">
        <v>840</v>
      </c>
      <c r="L2" s="20" t="s">
        <v>412</v>
      </c>
      <c r="M2" s="20" t="s">
        <v>10</v>
      </c>
      <c r="N2" s="20" t="s">
        <v>413</v>
      </c>
    </row>
    <row r="3" spans="2:14" x14ac:dyDescent="0.3">
      <c r="B3" s="14" t="s">
        <v>113</v>
      </c>
      <c r="C3" s="14" t="s">
        <v>15</v>
      </c>
      <c r="D3" s="15"/>
      <c r="G3" s="21" t="s">
        <v>414</v>
      </c>
      <c r="H3" s="21" t="s">
        <v>415</v>
      </c>
      <c r="I3" s="22" t="s">
        <v>56</v>
      </c>
      <c r="J3" s="23" t="s">
        <v>18</v>
      </c>
      <c r="K3" s="24" t="s">
        <v>28</v>
      </c>
      <c r="L3" s="25" t="s">
        <v>27</v>
      </c>
      <c r="M3" s="25" t="s">
        <v>416</v>
      </c>
      <c r="N3" s="25" t="s">
        <v>417</v>
      </c>
    </row>
    <row r="4" spans="2:14" x14ac:dyDescent="0.3">
      <c r="B4" s="14" t="s">
        <v>0</v>
      </c>
      <c r="C4" s="14" t="s">
        <v>15</v>
      </c>
      <c r="D4" s="15"/>
      <c r="G4" s="21" t="s">
        <v>418</v>
      </c>
      <c r="H4" s="21" t="s">
        <v>419</v>
      </c>
      <c r="I4" s="22" t="s">
        <v>178</v>
      </c>
      <c r="J4" s="23" t="s">
        <v>30</v>
      </c>
      <c r="K4" s="24" t="s">
        <v>19</v>
      </c>
      <c r="L4" s="25" t="s">
        <v>24</v>
      </c>
      <c r="M4" s="25" t="s">
        <v>420</v>
      </c>
      <c r="N4" s="25" t="s">
        <v>421</v>
      </c>
    </row>
    <row r="5" spans="2:14" x14ac:dyDescent="0.3">
      <c r="B5" s="14" t="s">
        <v>175</v>
      </c>
      <c r="C5" s="14" t="s">
        <v>15</v>
      </c>
      <c r="D5" s="15"/>
      <c r="G5" s="21" t="s">
        <v>422</v>
      </c>
      <c r="H5" s="21" t="s">
        <v>423</v>
      </c>
      <c r="I5" s="22" t="s">
        <v>35</v>
      </c>
      <c r="J5" s="23" t="s">
        <v>46</v>
      </c>
      <c r="K5" s="24" t="s">
        <v>31</v>
      </c>
      <c r="L5" s="25" t="s">
        <v>25</v>
      </c>
      <c r="M5" s="25" t="s">
        <v>424</v>
      </c>
      <c r="N5" s="25" t="s">
        <v>425</v>
      </c>
    </row>
    <row r="6" spans="2:14" x14ac:dyDescent="0.3">
      <c r="B6" s="14" t="s">
        <v>364</v>
      </c>
      <c r="C6" s="14" t="s">
        <v>15</v>
      </c>
      <c r="D6" s="15"/>
      <c r="G6" s="21" t="s">
        <v>426</v>
      </c>
      <c r="H6" s="21" t="s">
        <v>427</v>
      </c>
      <c r="I6" s="21" t="s">
        <v>428</v>
      </c>
      <c r="J6" s="23" t="s">
        <v>61</v>
      </c>
      <c r="K6" s="24" t="s">
        <v>47</v>
      </c>
      <c r="L6" s="21" t="s">
        <v>74</v>
      </c>
      <c r="M6" s="23"/>
      <c r="N6" s="23" t="s">
        <v>429</v>
      </c>
    </row>
    <row r="7" spans="2:14" x14ac:dyDescent="0.3">
      <c r="B7" s="14" t="s">
        <v>2</v>
      </c>
      <c r="C7" s="14" t="s">
        <v>15</v>
      </c>
      <c r="D7" s="15"/>
      <c r="G7" s="21" t="s">
        <v>430</v>
      </c>
      <c r="H7" s="21"/>
      <c r="I7" s="21"/>
      <c r="J7" s="23" t="s">
        <v>73</v>
      </c>
      <c r="K7" s="24" t="s">
        <v>333</v>
      </c>
      <c r="L7" s="21" t="s">
        <v>599</v>
      </c>
      <c r="M7" s="23"/>
      <c r="N7" s="23" t="s">
        <v>431</v>
      </c>
    </row>
    <row r="8" spans="2:14" x14ac:dyDescent="0.3">
      <c r="B8" s="14" t="s">
        <v>237</v>
      </c>
      <c r="C8" s="14" t="s">
        <v>15</v>
      </c>
      <c r="D8" s="15"/>
      <c r="G8" s="21"/>
      <c r="H8" s="21"/>
      <c r="I8" s="21"/>
      <c r="J8" s="23" t="s">
        <v>26</v>
      </c>
      <c r="K8" s="24" t="s">
        <v>833</v>
      </c>
      <c r="L8" s="21" t="s">
        <v>562</v>
      </c>
      <c r="M8" s="23"/>
      <c r="N8" s="23" t="s">
        <v>432</v>
      </c>
    </row>
    <row r="9" spans="2:14" x14ac:dyDescent="0.3">
      <c r="B9" s="14" t="s">
        <v>277</v>
      </c>
      <c r="C9" s="14" t="s">
        <v>15</v>
      </c>
      <c r="D9" s="16"/>
      <c r="G9" s="21"/>
      <c r="H9" s="21"/>
      <c r="I9" s="21"/>
      <c r="J9" s="23" t="s">
        <v>58</v>
      </c>
      <c r="K9" s="24" t="s">
        <v>469</v>
      </c>
      <c r="L9" s="21" t="s">
        <v>21</v>
      </c>
      <c r="M9" s="23"/>
      <c r="N9" s="23" t="s">
        <v>433</v>
      </c>
    </row>
    <row r="10" spans="2:14" x14ac:dyDescent="0.3">
      <c r="B10" s="14" t="s">
        <v>153</v>
      </c>
      <c r="C10" s="14" t="s">
        <v>15</v>
      </c>
      <c r="D10" s="16"/>
      <c r="G10" s="21"/>
      <c r="H10" s="21"/>
      <c r="I10" s="21"/>
      <c r="J10" s="23" t="s">
        <v>77</v>
      </c>
      <c r="K10" s="26" t="s">
        <v>468</v>
      </c>
      <c r="L10" s="21" t="s">
        <v>20</v>
      </c>
      <c r="M10" s="23"/>
      <c r="N10" s="23" t="s">
        <v>434</v>
      </c>
    </row>
    <row r="11" spans="2:14" x14ac:dyDescent="0.3">
      <c r="B11" s="14" t="s">
        <v>456</v>
      </c>
      <c r="C11" s="14" t="s">
        <v>15</v>
      </c>
      <c r="D11" s="16"/>
      <c r="G11" s="21"/>
      <c r="H11" s="21"/>
      <c r="I11" s="21"/>
      <c r="J11" s="23" t="s">
        <v>435</v>
      </c>
      <c r="K11" s="26" t="s">
        <v>478</v>
      </c>
      <c r="L11" s="21" t="s">
        <v>718</v>
      </c>
      <c r="M11" s="23"/>
      <c r="N11" s="23"/>
    </row>
    <row r="12" spans="2:14" x14ac:dyDescent="0.3">
      <c r="B12" s="14" t="s">
        <v>696</v>
      </c>
      <c r="C12" s="14" t="s">
        <v>15</v>
      </c>
      <c r="D12" s="15"/>
      <c r="G12" s="21"/>
      <c r="H12" s="21"/>
      <c r="I12" s="21"/>
      <c r="J12" s="23" t="s">
        <v>23</v>
      </c>
      <c r="K12" s="26" t="s">
        <v>837</v>
      </c>
      <c r="L12" s="21"/>
      <c r="M12" s="23"/>
      <c r="N12" s="23"/>
    </row>
    <row r="13" spans="2:14" x14ac:dyDescent="0.3">
      <c r="B13" s="14" t="s">
        <v>697</v>
      </c>
      <c r="C13" s="14" t="s">
        <v>15</v>
      </c>
      <c r="D13" s="15"/>
      <c r="G13" s="21"/>
      <c r="H13" s="21"/>
      <c r="I13" s="21"/>
      <c r="J13" s="23" t="s">
        <v>44</v>
      </c>
      <c r="K13" s="26" t="s">
        <v>822</v>
      </c>
      <c r="L13" s="21"/>
      <c r="M13" s="23"/>
      <c r="N13" s="23"/>
    </row>
    <row r="14" spans="2:14" x14ac:dyDescent="0.3">
      <c r="B14" s="14" t="s">
        <v>698</v>
      </c>
      <c r="C14" s="14" t="s">
        <v>15</v>
      </c>
      <c r="D14" s="15"/>
      <c r="G14" s="21"/>
      <c r="H14" s="21"/>
      <c r="I14" s="21"/>
      <c r="J14" s="23" t="s">
        <v>49</v>
      </c>
      <c r="K14" s="26" t="s">
        <v>828</v>
      </c>
      <c r="L14" s="21"/>
      <c r="M14" s="23"/>
      <c r="N14" s="23"/>
    </row>
    <row r="15" spans="2:14" x14ac:dyDescent="0.3">
      <c r="B15" s="14" t="s">
        <v>699</v>
      </c>
      <c r="C15" s="14" t="s">
        <v>112</v>
      </c>
      <c r="D15" s="15"/>
      <c r="G15" s="21"/>
      <c r="H15" s="21"/>
      <c r="I15" s="21"/>
      <c r="J15" s="23" t="s">
        <v>224</v>
      </c>
      <c r="K15" s="26" t="s">
        <v>832</v>
      </c>
      <c r="L15" s="21"/>
      <c r="M15" s="23"/>
      <c r="N15" s="23"/>
    </row>
    <row r="16" spans="2:14" x14ac:dyDescent="0.3">
      <c r="B16" s="14" t="s">
        <v>700</v>
      </c>
      <c r="C16" s="14" t="s">
        <v>112</v>
      </c>
      <c r="D16" s="15"/>
      <c r="G16" s="21"/>
      <c r="H16" s="21"/>
      <c r="I16" s="21"/>
      <c r="J16" s="23" t="s">
        <v>54</v>
      </c>
      <c r="K16" s="26" t="s">
        <v>834</v>
      </c>
      <c r="L16" s="21"/>
      <c r="M16" s="23"/>
      <c r="N16" s="23"/>
    </row>
    <row r="17" spans="2:14" x14ac:dyDescent="0.3">
      <c r="B17" s="14" t="s">
        <v>701</v>
      </c>
      <c r="C17" s="14" t="s">
        <v>112</v>
      </c>
      <c r="D17" s="15"/>
      <c r="G17" s="21"/>
      <c r="H17" s="21"/>
      <c r="I17" s="21"/>
      <c r="J17" s="23" t="s">
        <v>408</v>
      </c>
      <c r="K17" s="26" t="s">
        <v>823</v>
      </c>
      <c r="L17" s="21"/>
      <c r="M17" s="23"/>
      <c r="N17" s="23"/>
    </row>
    <row r="18" spans="2:14" x14ac:dyDescent="0.3">
      <c r="B18" s="14" t="s">
        <v>702</v>
      </c>
      <c r="C18" s="14" t="s">
        <v>112</v>
      </c>
      <c r="D18" s="15"/>
      <c r="G18" s="21"/>
      <c r="H18" s="21"/>
      <c r="I18" s="21"/>
      <c r="J18" s="23" t="s">
        <v>436</v>
      </c>
      <c r="K18" s="26" t="s">
        <v>826</v>
      </c>
      <c r="L18" s="21"/>
      <c r="M18" s="23"/>
      <c r="N18" s="23"/>
    </row>
    <row r="19" spans="2:14" x14ac:dyDescent="0.3">
      <c r="B19" s="14" t="s">
        <v>637</v>
      </c>
      <c r="C19" s="14" t="s">
        <v>112</v>
      </c>
      <c r="D19" s="15"/>
      <c r="G19" s="21"/>
      <c r="H19" s="21"/>
      <c r="I19" s="21"/>
      <c r="J19" s="23" t="s">
        <v>437</v>
      </c>
      <c r="K19" s="26" t="s">
        <v>835</v>
      </c>
      <c r="L19" s="21"/>
      <c r="M19" s="23"/>
      <c r="N19" s="23"/>
    </row>
    <row r="20" spans="2:14" x14ac:dyDescent="0.3">
      <c r="B20" s="14" t="s">
        <v>186</v>
      </c>
      <c r="C20" s="14" t="s">
        <v>112</v>
      </c>
      <c r="D20" s="15"/>
      <c r="G20" s="21"/>
      <c r="H20" s="21"/>
      <c r="I20" s="21"/>
      <c r="J20" s="23" t="s">
        <v>39</v>
      </c>
      <c r="K20" s="26" t="s">
        <v>831</v>
      </c>
      <c r="L20" s="21"/>
      <c r="M20" s="23"/>
      <c r="N20" s="23"/>
    </row>
    <row r="21" spans="2:14" x14ac:dyDescent="0.3">
      <c r="B21" s="14" t="s">
        <v>703</v>
      </c>
      <c r="C21" s="14" t="s">
        <v>112</v>
      </c>
      <c r="D21" s="15"/>
      <c r="G21" s="21"/>
      <c r="H21" s="21"/>
      <c r="I21" s="21"/>
      <c r="J21" s="23" t="s">
        <v>193</v>
      </c>
      <c r="K21" s="26" t="s">
        <v>824</v>
      </c>
      <c r="L21" s="21"/>
      <c r="M21" s="23"/>
      <c r="N21" s="23"/>
    </row>
    <row r="22" spans="2:14" x14ac:dyDescent="0.3">
      <c r="B22" s="14" t="s">
        <v>704</v>
      </c>
      <c r="C22" s="14" t="s">
        <v>112</v>
      </c>
      <c r="D22" s="15"/>
      <c r="G22" s="21"/>
      <c r="H22" s="21"/>
      <c r="I22" s="21"/>
      <c r="J22" s="23" t="s">
        <v>261</v>
      </c>
      <c r="K22" s="26" t="s">
        <v>825</v>
      </c>
      <c r="L22" s="21"/>
      <c r="M22" s="23"/>
      <c r="N22" s="23"/>
    </row>
    <row r="23" spans="2:14" x14ac:dyDescent="0.3">
      <c r="B23" s="14" t="s">
        <v>705</v>
      </c>
      <c r="C23" s="14" t="s">
        <v>112</v>
      </c>
      <c r="D23" s="16"/>
      <c r="G23" s="21"/>
      <c r="H23" s="21"/>
      <c r="I23" s="21"/>
      <c r="J23" s="23" t="s">
        <v>438</v>
      </c>
      <c r="K23" s="26" t="s">
        <v>838</v>
      </c>
      <c r="L23" s="21"/>
      <c r="M23" s="23"/>
      <c r="N23" s="23"/>
    </row>
    <row r="24" spans="2:14" x14ac:dyDescent="0.3">
      <c r="B24" s="14" t="s">
        <v>706</v>
      </c>
      <c r="C24" s="14" t="s">
        <v>112</v>
      </c>
      <c r="D24" s="15"/>
      <c r="G24" s="23"/>
      <c r="H24" s="23"/>
      <c r="I24" s="23"/>
      <c r="J24" s="23" t="s">
        <v>439</v>
      </c>
      <c r="K24" s="26" t="s">
        <v>480</v>
      </c>
      <c r="L24" s="23"/>
      <c r="M24" s="23"/>
      <c r="N24" s="23"/>
    </row>
    <row r="25" spans="2:14" x14ac:dyDescent="0.3">
      <c r="B25" s="14" t="s">
        <v>1</v>
      </c>
      <c r="C25" s="14" t="s">
        <v>331</v>
      </c>
      <c r="D25" s="15"/>
      <c r="G25" s="23"/>
      <c r="H25" s="23"/>
      <c r="I25" s="23"/>
      <c r="J25" s="27" t="s">
        <v>111</v>
      </c>
      <c r="K25" s="26" t="s">
        <v>830</v>
      </c>
      <c r="L25" s="23"/>
      <c r="M25" s="23"/>
      <c r="N25" s="23"/>
    </row>
    <row r="26" spans="2:14" x14ac:dyDescent="0.3">
      <c r="B26" s="14" t="s">
        <v>707</v>
      </c>
      <c r="C26" s="14" t="s">
        <v>331</v>
      </c>
      <c r="D26" s="15"/>
      <c r="G26" s="23"/>
      <c r="H26" s="23"/>
      <c r="I26" s="23"/>
      <c r="J26" s="27" t="s">
        <v>59</v>
      </c>
      <c r="K26" s="26" t="s">
        <v>829</v>
      </c>
      <c r="L26" s="23"/>
      <c r="M26" s="23"/>
      <c r="N26" s="23"/>
    </row>
    <row r="27" spans="2:14" x14ac:dyDescent="0.3">
      <c r="B27" s="14" t="s">
        <v>708</v>
      </c>
      <c r="C27" s="14" t="s">
        <v>331</v>
      </c>
      <c r="D27" s="15"/>
      <c r="G27" s="23"/>
      <c r="H27" s="23"/>
      <c r="I27" s="23"/>
      <c r="J27" s="27" t="s">
        <v>372</v>
      </c>
      <c r="K27" s="26" t="s">
        <v>839</v>
      </c>
      <c r="L27" s="23"/>
      <c r="M27" s="23"/>
      <c r="N27" s="23"/>
    </row>
    <row r="28" spans="2:14" x14ac:dyDescent="0.3">
      <c r="B28" s="14" t="s">
        <v>709</v>
      </c>
      <c r="C28" s="14" t="s">
        <v>331</v>
      </c>
      <c r="D28" s="16"/>
      <c r="G28" s="23"/>
      <c r="H28" s="23"/>
      <c r="I28" s="23"/>
      <c r="J28" s="27" t="s">
        <v>62</v>
      </c>
      <c r="K28" s="26"/>
      <c r="L28" s="23"/>
      <c r="M28" s="23"/>
      <c r="N28" s="23"/>
    </row>
    <row r="29" spans="2:14" x14ac:dyDescent="0.3">
      <c r="B29" s="14" t="s">
        <v>710</v>
      </c>
      <c r="C29" s="14" t="s">
        <v>331</v>
      </c>
      <c r="D29" s="15"/>
      <c r="G29" s="23"/>
      <c r="H29" s="23"/>
      <c r="I29" s="23"/>
      <c r="J29" s="27" t="s">
        <v>440</v>
      </c>
      <c r="K29" s="26"/>
      <c r="L29" s="23"/>
      <c r="M29" s="23"/>
      <c r="N29" s="23"/>
    </row>
    <row r="30" spans="2:14" x14ac:dyDescent="0.3">
      <c r="B30" s="14" t="s">
        <v>711</v>
      </c>
      <c r="C30" s="14" t="s">
        <v>331</v>
      </c>
      <c r="D30" s="15"/>
      <c r="G30" s="23"/>
      <c r="H30" s="23"/>
      <c r="I30" s="23"/>
      <c r="J30" s="27" t="s">
        <v>441</v>
      </c>
      <c r="K30" s="28"/>
      <c r="L30" s="23"/>
      <c r="M30" s="23"/>
      <c r="N30" s="23"/>
    </row>
    <row r="31" spans="2:14" x14ac:dyDescent="0.3">
      <c r="B31" s="14" t="s">
        <v>712</v>
      </c>
      <c r="C31" s="14" t="s">
        <v>331</v>
      </c>
      <c r="D31" s="15"/>
      <c r="G31" s="23"/>
      <c r="H31" s="23"/>
      <c r="I31" s="23"/>
      <c r="J31" s="27" t="s">
        <v>442</v>
      </c>
      <c r="K31" s="28"/>
      <c r="L31" s="23"/>
      <c r="M31" s="23"/>
      <c r="N31" s="23"/>
    </row>
    <row r="32" spans="2:14" x14ac:dyDescent="0.3">
      <c r="B32" s="14" t="s">
        <v>401</v>
      </c>
      <c r="C32" s="14" t="s">
        <v>110</v>
      </c>
      <c r="D32" s="15"/>
      <c r="G32" s="23"/>
      <c r="H32" s="23"/>
      <c r="I32" s="23"/>
      <c r="J32" s="27" t="s">
        <v>443</v>
      </c>
      <c r="K32" s="28"/>
      <c r="L32" s="23"/>
      <c r="M32" s="23"/>
      <c r="N32" s="23"/>
    </row>
    <row r="33" spans="2:14" x14ac:dyDescent="0.3">
      <c r="B33" s="14" t="s">
        <v>402</v>
      </c>
      <c r="C33" s="14" t="s">
        <v>110</v>
      </c>
      <c r="D33" s="15"/>
      <c r="G33" s="23"/>
      <c r="H33" s="23"/>
      <c r="I33" s="23"/>
      <c r="J33" s="27" t="s">
        <v>160</v>
      </c>
      <c r="K33" s="28"/>
      <c r="L33" s="23"/>
      <c r="M33" s="23"/>
      <c r="N33" s="23"/>
    </row>
    <row r="34" spans="2:14" x14ac:dyDescent="0.3">
      <c r="B34" s="14" t="s">
        <v>403</v>
      </c>
      <c r="C34" s="14" t="s">
        <v>110</v>
      </c>
      <c r="D34" s="16"/>
      <c r="G34" s="23"/>
      <c r="H34" s="23"/>
      <c r="I34" s="23"/>
      <c r="J34" s="27" t="s">
        <v>444</v>
      </c>
      <c r="K34" s="28"/>
      <c r="L34" s="23"/>
      <c r="M34" s="23"/>
      <c r="N34" s="23"/>
    </row>
    <row r="35" spans="2:14" x14ac:dyDescent="0.3">
      <c r="B35" s="14" t="s">
        <v>404</v>
      </c>
      <c r="C35" s="14" t="s">
        <v>110</v>
      </c>
      <c r="D35" s="15"/>
      <c r="G35" s="23"/>
      <c r="H35" s="23"/>
      <c r="I35" s="23"/>
      <c r="J35" s="27" t="s">
        <v>445</v>
      </c>
      <c r="K35" s="28"/>
      <c r="L35" s="23"/>
      <c r="M35" s="23"/>
      <c r="N35" s="23"/>
    </row>
    <row r="36" spans="2:14" x14ac:dyDescent="0.3">
      <c r="B36" s="14" t="s">
        <v>405</v>
      </c>
      <c r="C36" s="14" t="s">
        <v>110</v>
      </c>
      <c r="D36" s="15"/>
      <c r="G36" s="23"/>
      <c r="H36" s="23"/>
      <c r="I36" s="23"/>
      <c r="J36" s="27" t="s">
        <v>76</v>
      </c>
      <c r="K36" s="28"/>
      <c r="L36" s="23"/>
      <c r="M36" s="23"/>
      <c r="N36" s="23"/>
    </row>
    <row r="37" spans="2:14" x14ac:dyDescent="0.3">
      <c r="B37" s="14" t="s">
        <v>406</v>
      </c>
      <c r="C37" s="14" t="s">
        <v>110</v>
      </c>
      <c r="D37" s="15"/>
      <c r="G37" s="23"/>
      <c r="H37" s="23"/>
      <c r="I37" s="23"/>
      <c r="J37" s="27" t="s">
        <v>396</v>
      </c>
      <c r="K37" s="28"/>
      <c r="L37" s="23"/>
      <c r="M37" s="23"/>
      <c r="N37" s="23"/>
    </row>
    <row r="38" spans="2:14" x14ac:dyDescent="0.3">
      <c r="B38" s="14" t="s">
        <v>407</v>
      </c>
      <c r="C38" s="14" t="s">
        <v>110</v>
      </c>
      <c r="D38" s="15"/>
      <c r="G38" s="23"/>
      <c r="H38" s="23"/>
      <c r="I38" s="23"/>
      <c r="J38" s="27" t="s">
        <v>55</v>
      </c>
      <c r="K38" s="28"/>
      <c r="L38" s="23"/>
      <c r="M38" s="23"/>
      <c r="N38" s="23"/>
    </row>
    <row r="39" spans="2:14" x14ac:dyDescent="0.3">
      <c r="B39" s="14" t="s">
        <v>715</v>
      </c>
      <c r="C39" s="14" t="s">
        <v>455</v>
      </c>
      <c r="D39" s="15"/>
    </row>
    <row r="40" spans="2:14" x14ac:dyDescent="0.3">
      <c r="B40" s="14" t="s">
        <v>716</v>
      </c>
      <c r="C40" s="14" t="s">
        <v>455</v>
      </c>
      <c r="D40" s="15"/>
    </row>
    <row r="41" spans="2:14" x14ac:dyDescent="0.3">
      <c r="B41" s="14" t="s">
        <v>717</v>
      </c>
      <c r="C41" s="14" t="s">
        <v>455</v>
      </c>
      <c r="D41" s="15"/>
    </row>
    <row r="42" spans="2:14" x14ac:dyDescent="0.3">
      <c r="B42" s="14" t="s">
        <v>714</v>
      </c>
      <c r="C42" s="14" t="s">
        <v>455</v>
      </c>
      <c r="D42" s="15"/>
    </row>
    <row r="43" spans="2:14" x14ac:dyDescent="0.3">
      <c r="B43" s="14" t="s">
        <v>16</v>
      </c>
      <c r="C43" s="14" t="s">
        <v>16</v>
      </c>
      <c r="D43" s="15"/>
    </row>
    <row r="44" spans="2:14" x14ac:dyDescent="0.3">
      <c r="B44" s="14" t="s">
        <v>713</v>
      </c>
      <c r="C44" s="14" t="s">
        <v>332</v>
      </c>
      <c r="D44" s="15"/>
    </row>
    <row r="45" spans="2:14" x14ac:dyDescent="0.3">
      <c r="B45" s="14" t="s">
        <v>453</v>
      </c>
      <c r="C45" s="14" t="s">
        <v>454</v>
      </c>
      <c r="D45" s="15"/>
    </row>
    <row r="46" spans="2:14" x14ac:dyDescent="0.3">
      <c r="B46" s="14" t="s">
        <v>320</v>
      </c>
      <c r="C46" s="14" t="s">
        <v>446</v>
      </c>
      <c r="D46" s="15"/>
    </row>
    <row r="47" spans="2:14" x14ac:dyDescent="0.3">
      <c r="B47" s="14" t="s">
        <v>447</v>
      </c>
      <c r="C47" s="14" t="s">
        <v>448</v>
      </c>
      <c r="D47" s="15"/>
    </row>
    <row r="48" spans="2:14" x14ac:dyDescent="0.3">
      <c r="B48" s="14" t="s">
        <v>449</v>
      </c>
      <c r="C48" s="14" t="s">
        <v>448</v>
      </c>
      <c r="D48" s="15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F5" sqref="F5"/>
    </sheetView>
  </sheetViews>
  <sheetFormatPr defaultRowHeight="15.65" x14ac:dyDescent="0.3"/>
  <cols>
    <col min="1" max="1" width="2.77734375" customWidth="1"/>
    <col min="5" max="5" width="2.77734375" customWidth="1"/>
    <col min="6" max="8" width="27.88671875" customWidth="1"/>
    <col min="9" max="9" width="1.88671875" customWidth="1"/>
    <col min="10" max="12" width="27.88671875" customWidth="1"/>
  </cols>
  <sheetData>
    <row r="1" spans="2:12" s="2" customFormat="1" x14ac:dyDescent="0.3">
      <c r="B1" s="194" t="s">
        <v>947</v>
      </c>
      <c r="F1" s="189"/>
      <c r="G1" s="191" t="s">
        <v>943</v>
      </c>
      <c r="H1" s="189"/>
      <c r="I1"/>
      <c r="J1" s="190"/>
      <c r="K1" s="192" t="s">
        <v>942</v>
      </c>
      <c r="L1" s="190"/>
    </row>
    <row r="2" spans="2:12" x14ac:dyDescent="0.3">
      <c r="B2" s="185"/>
      <c r="C2" s="193" t="s">
        <v>944</v>
      </c>
      <c r="D2" s="185"/>
      <c r="E2" s="2"/>
      <c r="F2" s="187" t="s">
        <v>938</v>
      </c>
      <c r="G2" s="187" t="s">
        <v>940</v>
      </c>
      <c r="H2" s="188" t="s">
        <v>945</v>
      </c>
      <c r="J2" s="187" t="s">
        <v>938</v>
      </c>
      <c r="K2" s="187" t="s">
        <v>940</v>
      </c>
      <c r="L2" s="188" t="s">
        <v>946</v>
      </c>
    </row>
    <row r="3" spans="2:12" s="2" customFormat="1" x14ac:dyDescent="0.3">
      <c r="B3" s="186"/>
      <c r="C3" s="186"/>
      <c r="D3" s="186"/>
      <c r="F3" s="187">
        <f>SUBTOTAL(3,F5:F1000)</f>
        <v>0</v>
      </c>
      <c r="G3" s="187">
        <f t="shared" ref="G3:H3" si="0">SUBTOTAL(3,G5:G1000)</f>
        <v>0</v>
      </c>
      <c r="H3" s="187">
        <f t="shared" si="0"/>
        <v>0</v>
      </c>
      <c r="I3"/>
      <c r="J3" s="187">
        <f>SUBTOTAL(3,J5:J1000)</f>
        <v>0</v>
      </c>
      <c r="K3" s="187">
        <f t="shared" ref="K3:L3" si="1">SUBTOTAL(3,K5:K1000)</f>
        <v>0</v>
      </c>
      <c r="L3" s="187">
        <f t="shared" si="1"/>
        <v>0</v>
      </c>
    </row>
    <row r="4" spans="2:12" x14ac:dyDescent="0.3">
      <c r="B4" s="184"/>
      <c r="C4" s="184"/>
      <c r="D4" s="184"/>
      <c r="E4" s="2"/>
      <c r="F4" s="184"/>
      <c r="G4" s="184"/>
      <c r="H4" s="184"/>
      <c r="J4" s="184"/>
      <c r="K4" s="184"/>
      <c r="L4" s="184"/>
    </row>
    <row r="5" spans="2:12" x14ac:dyDescent="0.3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 x14ac:dyDescent="0.3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3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3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3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3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3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3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3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3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3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3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3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3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3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3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3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3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3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3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3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3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3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3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3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3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3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3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3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3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3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3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3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3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3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3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3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3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3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3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3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3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3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3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3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3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3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3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3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3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3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3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3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3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3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3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3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3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3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3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3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3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3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3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 x14ac:dyDescent="0.3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 x14ac:dyDescent="0.3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3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3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3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3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3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3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3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3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3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3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3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3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3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3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3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3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3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3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3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3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3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3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3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3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3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3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3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3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3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3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3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3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3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3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 x14ac:dyDescent="0.3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 x14ac:dyDescent="0.3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 x14ac:dyDescent="0.3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 x14ac:dyDescent="0.3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 x14ac:dyDescent="0.3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 x14ac:dyDescent="0.3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 x14ac:dyDescent="0.3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 x14ac:dyDescent="0.3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 x14ac:dyDescent="0.3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 x14ac:dyDescent="0.3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 x14ac:dyDescent="0.3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 x14ac:dyDescent="0.3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 x14ac:dyDescent="0.3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 x14ac:dyDescent="0.3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 x14ac:dyDescent="0.3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 x14ac:dyDescent="0.3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 x14ac:dyDescent="0.3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 x14ac:dyDescent="0.3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 x14ac:dyDescent="0.3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 x14ac:dyDescent="0.3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 x14ac:dyDescent="0.3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 x14ac:dyDescent="0.3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 x14ac:dyDescent="0.3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 x14ac:dyDescent="0.3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 x14ac:dyDescent="0.3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 x14ac:dyDescent="0.3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 x14ac:dyDescent="0.3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 x14ac:dyDescent="0.3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 x14ac:dyDescent="0.3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 x14ac:dyDescent="0.3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 x14ac:dyDescent="0.3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 x14ac:dyDescent="0.3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 x14ac:dyDescent="0.3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 x14ac:dyDescent="0.3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 x14ac:dyDescent="0.3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 x14ac:dyDescent="0.3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 x14ac:dyDescent="0.3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 x14ac:dyDescent="0.3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 x14ac:dyDescent="0.3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 x14ac:dyDescent="0.3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 x14ac:dyDescent="0.3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 x14ac:dyDescent="0.3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 x14ac:dyDescent="0.3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 x14ac:dyDescent="0.3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 x14ac:dyDescent="0.3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 x14ac:dyDescent="0.3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 x14ac:dyDescent="0.3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 x14ac:dyDescent="0.3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 x14ac:dyDescent="0.3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 x14ac:dyDescent="0.3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 x14ac:dyDescent="0.3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 x14ac:dyDescent="0.3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 x14ac:dyDescent="0.3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 x14ac:dyDescent="0.3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 x14ac:dyDescent="0.3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 x14ac:dyDescent="0.3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 x14ac:dyDescent="0.3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 x14ac:dyDescent="0.3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 x14ac:dyDescent="0.3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 x14ac:dyDescent="0.3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 x14ac:dyDescent="0.3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 x14ac:dyDescent="0.3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 x14ac:dyDescent="0.3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 x14ac:dyDescent="0.3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 x14ac:dyDescent="0.3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 x14ac:dyDescent="0.3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 x14ac:dyDescent="0.3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 x14ac:dyDescent="0.3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 x14ac:dyDescent="0.3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 x14ac:dyDescent="0.3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 x14ac:dyDescent="0.3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 x14ac:dyDescent="0.3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 x14ac:dyDescent="0.3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 x14ac:dyDescent="0.3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 x14ac:dyDescent="0.3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 x14ac:dyDescent="0.3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 x14ac:dyDescent="0.3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 x14ac:dyDescent="0.3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 x14ac:dyDescent="0.3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 x14ac:dyDescent="0.3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 x14ac:dyDescent="0.3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 x14ac:dyDescent="0.3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 x14ac:dyDescent="0.3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 x14ac:dyDescent="0.3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 x14ac:dyDescent="0.3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 x14ac:dyDescent="0.3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 x14ac:dyDescent="0.3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 x14ac:dyDescent="0.3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 x14ac:dyDescent="0.3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 x14ac:dyDescent="0.3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 x14ac:dyDescent="0.3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 x14ac:dyDescent="0.3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 x14ac:dyDescent="0.3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 x14ac:dyDescent="0.3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 x14ac:dyDescent="0.3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 x14ac:dyDescent="0.3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 x14ac:dyDescent="0.3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 x14ac:dyDescent="0.3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 x14ac:dyDescent="0.3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 x14ac:dyDescent="0.3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 x14ac:dyDescent="0.3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 x14ac:dyDescent="0.3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 x14ac:dyDescent="0.3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 x14ac:dyDescent="0.3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 x14ac:dyDescent="0.3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 x14ac:dyDescent="0.3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 x14ac:dyDescent="0.3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 x14ac:dyDescent="0.3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 x14ac:dyDescent="0.3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 x14ac:dyDescent="0.3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 x14ac:dyDescent="0.3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 x14ac:dyDescent="0.3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 x14ac:dyDescent="0.3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 x14ac:dyDescent="0.3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 x14ac:dyDescent="0.3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 x14ac:dyDescent="0.3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 x14ac:dyDescent="0.3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 x14ac:dyDescent="0.3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 x14ac:dyDescent="0.3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 x14ac:dyDescent="0.3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 x14ac:dyDescent="0.3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 x14ac:dyDescent="0.3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 x14ac:dyDescent="0.3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 x14ac:dyDescent="0.3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 x14ac:dyDescent="0.3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 x14ac:dyDescent="0.3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 x14ac:dyDescent="0.3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 x14ac:dyDescent="0.3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 x14ac:dyDescent="0.3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 x14ac:dyDescent="0.3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 x14ac:dyDescent="0.3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 x14ac:dyDescent="0.3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 x14ac:dyDescent="0.3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 x14ac:dyDescent="0.3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 x14ac:dyDescent="0.3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 x14ac:dyDescent="0.3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 x14ac:dyDescent="0.3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 x14ac:dyDescent="0.3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 x14ac:dyDescent="0.3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 x14ac:dyDescent="0.3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 x14ac:dyDescent="0.3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 x14ac:dyDescent="0.3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 x14ac:dyDescent="0.3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 x14ac:dyDescent="0.3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 x14ac:dyDescent="0.3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 x14ac:dyDescent="0.3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 x14ac:dyDescent="0.3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 x14ac:dyDescent="0.3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 x14ac:dyDescent="0.3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 x14ac:dyDescent="0.3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 x14ac:dyDescent="0.3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 x14ac:dyDescent="0.3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 x14ac:dyDescent="0.3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 x14ac:dyDescent="0.3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 x14ac:dyDescent="0.3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 x14ac:dyDescent="0.3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 x14ac:dyDescent="0.3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 x14ac:dyDescent="0.3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 x14ac:dyDescent="0.3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 x14ac:dyDescent="0.3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 x14ac:dyDescent="0.3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 x14ac:dyDescent="0.3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 x14ac:dyDescent="0.3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 x14ac:dyDescent="0.3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 x14ac:dyDescent="0.3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 x14ac:dyDescent="0.3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 x14ac:dyDescent="0.3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 x14ac:dyDescent="0.3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 x14ac:dyDescent="0.3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 x14ac:dyDescent="0.3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 x14ac:dyDescent="0.3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 x14ac:dyDescent="0.3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 x14ac:dyDescent="0.3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 x14ac:dyDescent="0.3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 x14ac:dyDescent="0.3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 x14ac:dyDescent="0.3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 x14ac:dyDescent="0.3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26년 databook(취합)</vt:lpstr>
      <vt:lpstr>25Pivot</vt:lpstr>
      <vt:lpstr>수주리스트</vt:lpstr>
      <vt:lpstr>영업대표별</vt:lpstr>
      <vt:lpstr>HSM비교</vt:lpstr>
      <vt:lpstr>팀연간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황동현</cp:lastModifiedBy>
  <dcterms:created xsi:type="dcterms:W3CDTF">2024-10-29T06:57:50Z</dcterms:created>
  <dcterms:modified xsi:type="dcterms:W3CDTF">2026-05-03T12:23:17Z</dcterms:modified>
</cp:coreProperties>
</file>