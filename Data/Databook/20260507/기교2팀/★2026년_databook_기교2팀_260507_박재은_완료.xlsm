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ennypark\Desktop\00. 데이터북\"/>
    </mc:Choice>
  </mc:AlternateContent>
  <bookViews>
    <workbookView xWindow="0" yWindow="0" windowWidth="28800" windowHeight="12165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25"/>
    <pivotCache cacheId="1" r:id="rId26"/>
    <pivotCache cacheId="2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<sst xmlns="http://schemas.openxmlformats.org/spreadsheetml/2006/main" count="9730" uniqueCount="873">
  <si>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</si>
  <si>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</si>
  <si>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</si>
  <si>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</si>
  <si>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</si>
  <si>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</si>
  <si>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</si>
  <si>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</si>
  <si>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</si>
  <si>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</si>
  <si>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</si>
  <si>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</si>
  <si>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</si>
  <si>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</si>
  <si>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</si>
  <si>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</si>
  <si>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</si>
  <si>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</si>
  <si>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</si>
  <si>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</si>
  <si>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</si>
  <si>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</si>
  <si>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</si>
  <si>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</si>
  <si>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</si>
  <si>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</si>
  <si>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</si>
  <si>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</si>
  <si>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</si>
  <si>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</si>
  <si>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</si>
  <si>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</si>
  <si>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</si>
  <si>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</si>
  <si>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</si>
  <si>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</si>
  <si>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</si>
  <si>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</si>
  <si>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</si>
  <si>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</si>
  <si>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</si>
  <si>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</si>
  <si>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</si>
  <si>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</si>
  <si>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</si>
  <si>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</si>
  <si>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</si>
  <si>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</si>
  <si>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</si>
  <si>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</si>
  <si>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</si>
  <si>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</si>
  <si>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</si>
  <si>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</si>
  <si>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</si>
  <si>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</si>
  <si>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</si>
  <si>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</si>
  <si>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</si>
  <si>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</si>
  <si>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</si>
  <si>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</si>
  <si>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</si>
  <si>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</si>
  <si>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</si>
  <si>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</si>
  <si>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</si>
  <si>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</si>
  <si>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</si>
  <si>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</si>
  <si>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</si>
  <si>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</si>
  <si>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</si>
  <si>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</si>
  <si>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</si>
  <si>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</si>
  <si>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</si>
  <si>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</si>
  <si>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</si>
  <si>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</si>
  <si>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</si>
  <si>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</si>
  <si>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</si>
  <si>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</si>
  <si>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</si>
  <si>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</si>
  <si>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</si>
  <si>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</si>
  <si>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</si>
  <si>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</si>
  <si>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</si>
  <si>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</si>
  <si>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</si>
  <si>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</si>
  <si>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</si>
  <si>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</si>
  <si>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</si>
  <si>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</si>
  <si>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</si>
  <si>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</si>
  <si>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</si>
  <si>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</si>
  <si>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</si>
  <si>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</si>
  <si>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</si>
  <si>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</si>
  <si>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</si>
  <si>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</si>
  <si>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</si>
  <si>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</si>
  <si>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</si>
  <si>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</si>
  <si>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</si>
  <si>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</si>
  <si>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</si>
  <si>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</si>
  <si>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</si>
  <si>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</si>
  <si>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</si>
  <si>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</si>
  <si>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</si>
  <si>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</si>
  <si>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</si>
  <si>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</si>
  <si>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</si>
  <si>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</si>
  <si>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</si>
  <si>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</si>
  <si>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</si>
  <si>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</si>
  <si>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</si>
  <si>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</si>
  <si>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</si>
  <si>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</si>
  <si>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</si>
  <si>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</si>
  <si>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</si>
  <si>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</si>
  <si>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</si>
  <si>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</si>
  <si>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</si>
  <si>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</si>
  <si>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</si>
  <si>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</si>
  <si>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</si>
  <si>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</si>
  <si>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</si>
  <si>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</si>
  <si>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</si>
  <si>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</si>
  <si>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</si>
  <si>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</si>
  <si>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</si>
  <si>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</si>
  <si>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</si>
  <si>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</si>
  <si>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</si>
  <si>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</si>
  <si>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</si>
  <si>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</si>
  <si>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</si>
  <si>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</si>
  <si>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</si>
  <si>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</si>
  <si>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</si>
  <si>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</si>
  <si>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</si>
  <si>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</si>
  <si>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</si>
  <si>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</si>
  <si>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</si>
  <si>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</si>
  <si>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</si>
  <si>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</si>
  <si>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</si>
  <si>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</si>
  <si>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</si>
  <si>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</si>
  <si>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</si>
  <si>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</si>
  <si>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</si>
  <si>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</si>
  <si>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</si>
  <si>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</si>
  <si>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</si>
  <si>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</si>
  <si>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</si>
  <si>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</si>
  <si>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</si>
  <si>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</si>
  <si>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</si>
  <si>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</si>
  <si>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</si>
  <si>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</si>
  <si>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</si>
  <si>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</si>
  <si>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</si>
  <si>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</si>
  <si>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</si>
  <si>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</si>
  <si>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</si>
  <si>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</si>
  <si>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</si>
  <si>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</si>
  <si>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</si>
  <si>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</si>
  <si>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</si>
  <si>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</si>
  <si>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</si>
  <si>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</si>
  <si>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</si>
  <si>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</si>
  <si>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</si>
  <si>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</si>
  <si>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</si>
  <si>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</si>
  <si>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</si>
  <si>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</si>
  <si>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</si>
  <si>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</si>
  <si>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</si>
  <si>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</si>
  <si>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</si>
  <si>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</si>
  <si>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</si>
  <si>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</si>
  <si>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</si>
  <si>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</si>
  <si>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</si>
  <si>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</si>
  <si>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</si>
  <si>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</si>
  <si>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</si>
  <si>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</si>
  <si>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</si>
  <si>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</si>
  <si>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</si>
  <si>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</si>
  <si>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</si>
  <si>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</si>
  <si>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</si>
  <si>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</si>
  <si>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</si>
  <si>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</si>
  <si>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</si>
  <si>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</si>
  <si>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</si>
  <si>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</si>
  <si>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</si>
  <si>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</si>
  <si>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</si>
  <si>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</si>
  <si>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</si>
  <si>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</si>
  <si>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</si>
  <si>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</si>
  <si>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</si>
  <si>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</si>
  <si>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</si>
  <si>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</si>
  <si>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</si>
  <si>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</si>
  <si>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</si>
  <si>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</si>
  <si>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</si>
  <si>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</si>
  <si>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</si>
  <si>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</si>
  <si>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</si>
  <si>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</si>
  <si>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</si>
  <si>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</si>
  <si>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</si>
  <si>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</si>
  <si>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</si>
  <si>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</si>
  <si>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</si>
  <si>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</si>
  <si>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</si>
  <si>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</si>
  <si>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</si>
  <si>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</si>
  <si>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</si>
  <si>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</si>
  <si>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</si>
  <si>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</si>
  <si>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</si>
  <si>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</si>
  <si>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</si>
  <si>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</si>
  <si>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</si>
  <si>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</si>
  <si>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</si>
  <si>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</si>
  <si>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</si>
  <si>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</si>
  <si>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</si>
  <si>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</si>
  <si>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</si>
  <si>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</si>
  <si>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</si>
  <si>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</si>
  <si>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</si>
  <si>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</si>
  <si>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</si>
  <si>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</si>
  <si>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</si>
  <si>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</si>
  <si>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</si>
  <si>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</si>
  <si>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</si>
  <si>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</si>
  <si>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</si>
  <si>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</si>
  <si>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</si>
  <si>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</si>
  <si>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</si>
  <si>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</si>
  <si>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</si>
  <si>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</si>
  <si>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</si>
  <si>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</si>
  <si>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</si>
  <si>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</si>
  <si>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</si>
  <si>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</si>
  <si>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</si>
  <si>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</si>
  <si>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</si>
  <si>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</si>
  <si>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</si>
  <si>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</si>
  <si>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</si>
  <si>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</si>
  <si>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</si>
  <si>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</si>
  <si>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</si>
  <si>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</si>
  <si>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</si>
  <si>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</si>
  <si>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</si>
  <si>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</si>
  <si>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</si>
  <si>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</si>
  <si>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</si>
  <si>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</si>
  <si>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</si>
  <si>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</si>
  <si>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</si>
  <si>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</si>
  <si>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</si>
  <si>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</si>
  <si>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</si>
  <si>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</si>
  <si>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</si>
  <si>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</si>
  <si>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</si>
  <si>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</si>
  <si>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</si>
  <si>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</si>
  <si>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</si>
  <si>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</si>
  <si>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</si>
  <si>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</si>
  <si>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</si>
  <si>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</si>
  <si>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</si>
  <si>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</si>
  <si>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</si>
  <si>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</si>
  <si>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</si>
  <si>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</si>
  <si>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</si>
  <si>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</si>
  <si>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</si>
  <si>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</si>
  <si>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</si>
  <si>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</si>
  <si>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</si>
  <si>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</si>
  <si>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</si>
  <si>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</si>
  <si>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</si>
  <si>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</si>
  <si>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</si>
  <si>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</si>
  <si>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</si>
  <si>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</si>
  <si>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</si>
  <si>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</si>
  <si>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</si>
  <si>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</si>
  <si>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</si>
  <si>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</si>
  <si>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</si>
  <si>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</si>
  <si>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</si>
  <si>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</si>
  <si>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</si>
  <si>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</si>
  <si>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</si>
  <si>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</si>
  <si>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</si>
  <si>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</si>
  <si>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</si>
  <si>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</si>
  <si>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</si>
  <si>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</si>
  <si>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</si>
  <si>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</si>
  <si>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</si>
  <si>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</si>
  <si>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</si>
  <si>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</si>
  <si>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</si>
  <si>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</si>
  <si>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</si>
  <si>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</si>
  <si>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</si>
  <si>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</si>
  <si>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</si>
  <si>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</si>
  <si>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</si>
  <si>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</si>
  <si>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</si>
  <si>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</si>
  <si>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</si>
  <si>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</si>
  <si>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</si>
  <si>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</si>
  <si>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</si>
  <si>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</si>
  <si>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</si>
  <si>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</si>
  <si>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</si>
  <si>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</si>
  <si>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</si>
  <si>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</si>
  <si>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</si>
  <si>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</si>
  <si>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</si>
  <si>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</si>
  <si>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</si>
  <si>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</si>
  <si>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</si>
  <si>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</si>
  <si>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</si>
  <si>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</si>
  <si>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</si>
  <si>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</si>
  <si>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</si>
  <si>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</si>
  <si>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</si>
  <si>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</si>
  <si>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</si>
  <si>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</si>
  <si>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</si>
  <si>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</si>
  <si>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</si>
  <si>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</si>
  <si>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</si>
  <si>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</si>
  <si>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</si>
  <si>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</si>
  <si>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</si>
  <si>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</si>
  <si>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</si>
  <si>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</si>
  <si>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</si>
  <si>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</si>
  <si>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</si>
  <si>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</si>
  <si>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</si>
  <si>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</si>
  <si>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</si>
  <si>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</si>
  <si>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</si>
  <si>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</si>
  <si>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</si>
  <si>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</si>
  <si>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</si>
  <si>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</si>
  <si>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</si>
  <si>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</si>
  <si>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</si>
  <si>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</si>
  <si>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</si>
  <si>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</si>
  <si>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</si>
  <si>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</si>
  <si>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</si>
  <si>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</si>
  <si>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</si>
  <si>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</si>
  <si>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</si>
  <si>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</si>
  <si>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</si>
  <si>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</si>
  <si>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</si>
  <si>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</si>
  <si>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</si>
  <si>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</si>
  <si>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</si>
  <si>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</si>
  <si>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</si>
  <si>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</si>
  <si>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</si>
  <si>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</si>
  <si>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</si>
  <si>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</si>
  <si>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</si>
  <si>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</si>
  <si>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</si>
  <si>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</si>
  <si>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</si>
  <si>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</si>
  <si>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</si>
  <si>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</si>
  <si>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</si>
  <si>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</si>
  <si>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</si>
  <si>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</si>
  <si>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</si>
  <si>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</si>
  <si>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</si>
  <si>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</si>
  <si>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</si>
  <si>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</si>
  <si>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</si>
  <si>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</si>
  <si>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</si>
  <si>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</si>
  <si>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</si>
  <si>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</si>
  <si>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</si>
  <si>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</si>
  <si>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</si>
  <si>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</si>
  <si>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</si>
  <si>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</si>
  <si>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</si>
  <si>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</si>
  <si>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</si>
  <si>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</si>
  <si>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</si>
  <si>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</si>
  <si>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</si>
  <si>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</si>
  <si>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</si>
  <si>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</si>
  <si>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</si>
  <si>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</si>
  <si>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</si>
  <si>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</si>
  <si>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</si>
  <si>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</si>
  <si>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</si>
  <si>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</si>
  <si>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</si>
  <si>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</si>
  <si>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</si>
  <si>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</si>
  <si>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</si>
  <si>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</si>
  <si>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</si>
  <si>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</si>
  <si>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</si>
  <si>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</si>
  <si>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</si>
  <si>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</si>
  <si>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</si>
  <si>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</si>
  <si>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</si>
  <si>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</si>
  <si>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</si>
  <si>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</si>
  <si>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</si>
  <si>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</si>
  <si>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</si>
  <si>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</si>
  <si>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</si>
  <si>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</si>
  <si>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</si>
  <si>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</si>
  <si>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</si>
  <si>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</si>
  <si>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</si>
  <si>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</si>
  <si>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</si>
  <si>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</si>
  <si>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</si>
  <si>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</si>
  <si>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</si>
  <si>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</si>
  <si>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</si>
  <si>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</si>
  <si>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</si>
  <si>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</si>
  <si>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</si>
  <si>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</si>
  <si>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</si>
  <si>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</si>
  <si>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</si>
  <si>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</si>
  <si>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</si>
  <si>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</si>
  <si>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</si>
  <si>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</si>
  <si>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</si>
  <si>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</si>
  <si>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</si>
  <si>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</si>
  <si>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</si>
  <si>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</si>
  <si>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</si>
  <si>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</si>
  <si>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</si>
  <si>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</si>
  <si>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</si>
  <si>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</si>
  <si>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</si>
  <si>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</si>
  <si>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</si>
  <si>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</si>
  <si>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</si>
  <si>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</si>
  <si>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</si>
  <si>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</si>
  <si>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</si>
  <si>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</si>
  <si>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</si>
  <si>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</si>
  <si>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</si>
  <si>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</si>
  <si>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</si>
  <si>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</si>
  <si>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</si>
  <si>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</si>
  <si>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</si>
  <si>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</si>
  <si>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</si>
  <si>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</si>
  <si>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</si>
  <si>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</si>
  <si>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</si>
  <si>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</si>
  <si>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</si>
  <si>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</si>
  <si>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</si>
  <si>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</si>
  <si>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</si>
  <si>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</si>
  <si>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</si>
  <si>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</si>
  <si>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</si>
  <si>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</si>
  <si>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</si>
  <si>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</si>
  <si>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</si>
  <si>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</si>
  <si>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</si>
  <si>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</si>
  <si>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</si>
  <si>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</si>
  <si>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</si>
  <si>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</si>
  <si>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</si>
  <si>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</si>
  <si>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</si>
  <si>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</si>
  <si>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</si>
  <si>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</si>
  <si>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</si>
  <si>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</si>
  <si>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</si>
  <si>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</si>
  <si>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</si>
  <si>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</si>
  <si>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</si>
  <si>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</si>
  <si>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</si>
  <si>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</si>
  <si>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</si>
  <si>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</si>
  <si>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</si>
  <si>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</si>
  <si>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</si>
  <si>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</si>
  <si>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</si>
  <si>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</si>
  <si>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</si>
  <si>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</si>
  <si>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</si>
  <si>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</si>
  <si>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</si>
  <si>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</si>
  <si>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</si>
  <si>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</si>
  <si>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</si>
  <si>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</si>
  <si>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</si>
  <si>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</si>
  <si>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</si>
  <si>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</si>
  <si>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</si>
  <si>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</si>
  <si>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</si>
  <si>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</si>
  <si>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</si>
  <si>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</si>
  <si>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</si>
  <si>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</si>
  <si>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</si>
  <si>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</si>
  <si>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</si>
  <si>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</si>
  <si>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</si>
  <si>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</si>
  <si>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</si>
  <si>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</si>
  <si>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</si>
  <si>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</si>
  <si>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</si>
  <si>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</si>
  <si>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</si>
  <si>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</si>
  <si>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</si>
  <si>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</si>
  <si>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</si>
  <si>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</si>
  <si>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</si>
  <si>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</si>
  <si>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</si>
  <si>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</si>
  <si>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</si>
  <si>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</si>
  <si>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</si>
  <si>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</si>
  <si>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</si>
  <si>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</si>
  <si>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</si>
  <si>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</si>
  <si>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</si>
  <si>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</si>
  <si>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</si>
  <si>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</si>
  <si>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</si>
  <si>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</si>
  <si>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</si>
  <si>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</si>
  <si>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</si>
  <si>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</si>
  <si>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</si>
  <si>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</si>
  <si>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</si>
  <si>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</si>
  <si>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</si>
  <si>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</si>
  <si>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</si>
  <si>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</si>
  <si>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</si>
  <si>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</si>
  <si>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</si>
  <si>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</si>
  <si>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</si>
  <si>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</si>
  <si>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</si>
  <si>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</si>
  <si>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</si>
  <si>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</si>
  <si>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</si>
  <si>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</si>
  <si>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</si>
  <si>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</si>
  <si>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</si>
  <si>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</si>
  <si>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</si>
  <si>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</si>
  <si>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</si>
  <si>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</si>
  <si>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</si>
  <si>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</si>
  <si>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</si>
  <si>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</si>
  <si>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</si>
  <si>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</si>
  <si>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</si>
  <si>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</si>
  <si>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</si>
  <si>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</si>
  <si>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</si>
  <si>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</si>
  <si>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</si>
  <si>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</si>
  <si>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</si>
  <si>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</si>
  <si>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</si>
  <si>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</si>
  <si>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</si>
  <si>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</si>
  <si>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</si>
  <si>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</si>
  <si>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</si>
  <si>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</si>
  <si>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</si>
  <si>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</si>
  <si>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</si>
  <si>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</si>
  <si>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</si>
  <si>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</si>
  <si>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</si>
  <si>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</si>
  <si>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</si>
  <si>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</si>
  <si>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</si>
  <si>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</si>
  <si>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</si>
  <si>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</si>
  <si>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</si>
  <si>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</si>
  <si>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</si>
  <si>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</si>
  <si>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</si>
  <si>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</si>
  <si>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</si>
  <si>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</si>
  <si>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</si>
  <si>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</si>
  <si>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</si>
  <si>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</si>
  <si>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</si>
  <si>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</si>
  <si>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</si>
  <si>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</si>
  <si>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</si>
  <si>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</si>
  <si>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</si>
  <si>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</si>
  <si>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</si>
  <si>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</si>
  <si>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</si>
  <si>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</si>
  <si>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</si>
  <si>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</si>
  <si>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</si>
  <si>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</si>
  <si>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</si>
  <si>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</si>
  <si>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</si>
  <si>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</si>
  <si>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</si>
  <si>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</si>
  <si>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</si>
  <si>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</si>
  <si>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</si>
  <si>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</si>
  <si>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</si>
  <si>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</si>
  <si>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</si>
  <si>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</si>
  <si>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</si>
  <si>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</si>
  <si>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</si>
  <si>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</si>
  <si>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</si>
  <si>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</si>
  <si>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</si>
  <si>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</si>
  <si>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</si>
  <si>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</si>
  <si>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</si>
  <si>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</si>
  <si>
    <t>최상근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</si>
</sst>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 applyProtection="1">
      <alignment horizontal="center" vertical="center" shrinkToFit="1"/>
      <protection locked="0"/>
    </xf>
    <xf numFmtId="0" fontId="11" fillId="4" borderId="43" xfId="0" applyFont="1" applyFill="1" applyBorder="1" applyAlignment="1" applyProtection="1">
      <alignment horizontal="center" vertical="center" shrinkToFit="1"/>
      <protection locked="0"/>
    </xf>
    <xf numFmtId="176" fontId="5" fillId="4" borderId="2" xfId="8" applyFont="1" applyFill="1" applyBorder="1" applyAlignment="1" applyProtection="1">
      <alignment horizontal="right" vertical="center" shrinkToFit="1"/>
      <protection locked="0"/>
    </xf>
    <xf numFmtId="176" fontId="11" fillId="4" borderId="2" xfId="8" applyFont="1" applyFill="1" applyBorder="1" applyAlignment="1" applyProtection="1">
      <alignment horizontal="right" vertical="center" shrinkToFit="1"/>
      <protection locked="0"/>
    </xf>
    <xf numFmtId="0" fontId="11" fillId="4" borderId="2" xfId="0" applyFont="1" applyFill="1" applyBorder="1" applyAlignment="1" applyProtection="1">
      <alignment horizontal="center" vertical="center" shrinkToFit="1"/>
      <protection locked="0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1" type="button" dataOnly="0" labelOnly="1" outline="0" axis="axisCol" fieldPosition="0"/>
    </format>
    <format dxfId="12">
      <pivotArea dataOnly="0" labelOnly="1" fieldPosition="0">
        <references count="1">
          <reference field="11" count="0"/>
        </references>
      </pivotArea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23">
      <pivotArea outline="0" collapsedLevelsAreSubtotals="1" fieldPosition="0"/>
    </format>
    <format dxfId="22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1" type="button" dataOnly="0" labelOnly="1" outline="0"/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 axis="axisRow" fieldPosition="0"/>
    </format>
    <format dxfId="26">
      <pivotArea dataOnly="0" labelOnly="1" fieldPosition="0">
        <references count="1">
          <reference field="11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7">
      <pivotArea outline="0" collapsedLevelsAreSubtotals="1" fieldPosition="0"/>
    </format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10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9">
      <pivotArea collapsedLevelsAreSubtotals="1" fieldPosition="0">
        <references count="1">
          <reference field="25" count="0"/>
        </references>
      </pivotArea>
    </format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6.5"/>
  <cols>
    <col min="1" max="1" width="35.75" style="50" customWidth="1"/>
    <col min="2" max="10" width="13.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75" style="49" bestFit="1" customWidth="1"/>
  </cols>
  <sheetData>
    <row r="3" spans="1:1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>
      <c r="A25"/>
      <c r="B25"/>
      <c r="C25"/>
      <c r="D25"/>
      <c r="E25"/>
    </row>
    <row r="28" spans="1:1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topLeftCell="F582" zoomScale="80" zoomScaleNormal="80" workbookViewId="0">
      <selection activeCell="J619" sqref="J619:J622"/>
    </sheetView>
  </sheetViews>
  <sheetFormatPr defaultColWidth="4.375" defaultRowHeight="16.5" outlineLevelRow="1" outlineLevelCol="1"/>
  <cols>
    <col min="1" max="1" width="8.875" style="1" customWidth="1"/>
    <col min="2" max="4" width="11.75" style="5" hidden="1" customWidth="1" outlineLevel="1"/>
    <col min="5" max="5" width="11.75" style="6" hidden="1" customWidth="1" outlineLevel="1"/>
    <col min="6" max="6" width="11.75" style="6" customWidth="1" collapsed="1"/>
    <col min="7" max="7" width="11.75" style="6" customWidth="1"/>
    <col min="8" max="8" width="11.75" style="6" hidden="1" customWidth="1" outlineLevel="1"/>
    <col min="9" max="9" width="11.75" style="6" customWidth="1" collapsed="1"/>
    <col min="10" max="10" width="28.75" style="184" customWidth="1"/>
    <col min="11" max="12" width="9.75" style="184" hidden="1" customWidth="1" outlineLevel="1"/>
    <col min="13" max="13" width="9.75" style="184" customWidth="1" collapsed="1"/>
    <col min="14" max="14" width="19" style="184" hidden="1" customWidth="1" outlineLevel="1"/>
    <col min="15" max="16" width="8.875" style="183" hidden="1" customWidth="1" outlineLevel="1"/>
    <col min="17" max="17" width="31.25" style="183" hidden="1" customWidth="1" outlineLevel="1"/>
    <col min="18" max="18" width="24.5" style="183" hidden="1" customWidth="1" outlineLevel="1"/>
    <col min="19" max="19" width="31.25" style="183" customWidth="1" collapsed="1"/>
    <col min="20" max="20" width="17.75" style="183" hidden="1" customWidth="1" outlineLevel="1"/>
    <col min="21" max="22" width="18.125" style="185" hidden="1" customWidth="1" outlineLevel="1"/>
    <col min="23" max="23" width="18.125" style="185" customWidth="1" collapsed="1"/>
    <col min="24" max="24" width="18.125" style="185" hidden="1" customWidth="1" outlineLevel="1"/>
    <col min="25" max="25" width="14.75" style="183" hidden="1" customWidth="1" outlineLevel="1"/>
    <col min="26" max="26" width="15.75" style="2" customWidth="1" collapsed="1"/>
    <col min="27" max="28" width="15.75" style="2" hidden="1" customWidth="1" outlineLevel="1"/>
    <col min="29" max="29" width="14.75" style="14" customWidth="1" collapsed="1"/>
    <col min="30" max="30" width="14.75" style="14" customWidth="1"/>
    <col min="31" max="31" width="14.25" style="14" customWidth="1"/>
    <col min="32" max="32" width="16.875" style="4" hidden="1" customWidth="1" outlineLevel="1"/>
    <col min="33" max="33" width="16.875" style="4" customWidth="1" collapsed="1"/>
    <col min="34" max="35" width="16.875" style="4" hidden="1" customWidth="1" outlineLevel="1"/>
    <col min="36" max="36" width="16.875" style="4" customWidth="1" collapsed="1"/>
    <col min="37" max="37" width="16.875" style="4" hidden="1" customWidth="1" outlineLevel="1"/>
    <col min="38" max="38" width="15" style="4" hidden="1" customWidth="1" outlineLevel="1"/>
    <col min="39" max="39" width="15" style="4" customWidth="1" collapsed="1"/>
    <col min="40" max="40" width="16.875" style="4" hidden="1" customWidth="1" outlineLevel="1"/>
    <col min="41" max="41" width="15" style="4" customWidth="1" collapsed="1"/>
    <col min="42" max="42" width="16.875" style="4" customWidth="1"/>
    <col min="43" max="43" width="15" style="4" customWidth="1"/>
    <col min="44" max="44" width="16.875" style="4" customWidth="1"/>
    <col min="45" max="45" width="15.125" style="4" customWidth="1"/>
    <col min="46" max="46" width="16.875" style="4" customWidth="1"/>
    <col min="47" max="47" width="15" style="4" customWidth="1"/>
    <col min="48" max="48" width="16.875" style="4" customWidth="1"/>
    <col min="49" max="49" width="15" style="4" customWidth="1"/>
    <col min="50" max="50" width="16.875" style="4" customWidth="1"/>
    <col min="51" max="51" width="15" style="4" customWidth="1"/>
    <col min="52" max="52" width="16.875" style="4" customWidth="1"/>
    <col min="53" max="53" width="15" style="4" customWidth="1"/>
    <col min="54" max="54" width="16.875" style="4" customWidth="1"/>
    <col min="55" max="57" width="15" style="4" customWidth="1"/>
    <col min="58" max="58" width="16.875" style="4" customWidth="1"/>
    <col min="59" max="59" width="8.75" style="195" customWidth="1"/>
    <col min="60" max="16384" width="4.375" style="195"/>
  </cols>
  <sheetData>
    <row r="1" spans="1:58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6.25" hidden="1" outlineLevel="1">
      <c r="D2" s="328" t="s">
        <v>440</v>
      </c>
      <c r="E2" s="328"/>
      <c r="F2" s="328"/>
      <c r="G2" s="328"/>
      <c r="H2" s="328"/>
      <c r="I2" s="328"/>
      <c r="J2" s="328"/>
      <c r="K2" s="328"/>
      <c r="L2" s="328"/>
      <c r="M2" s="328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>
      <c r="D3" s="317" t="s">
        <v>638</v>
      </c>
      <c r="E3" s="318"/>
      <c r="F3" s="318"/>
      <c r="G3" s="318"/>
      <c r="H3" s="318"/>
      <c r="I3" s="318"/>
      <c r="J3" s="318"/>
      <c r="K3" s="318"/>
      <c r="L3" s="318"/>
      <c r="M3" s="318"/>
      <c r="N3" s="318"/>
      <c r="O3" s="318"/>
      <c r="P3" s="318"/>
      <c r="Q3" s="318"/>
      <c r="R3" s="319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18.75" hidden="1" outlineLevel="1">
      <c r="D4" s="320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2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2873559730</v>
      </c>
      <c r="AD4" s="42">
        <f t="shared" ref="AD4:AD16" si="1"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18.75" hidden="1" outlineLevel="1">
      <c r="D5" s="320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2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3081839442</v>
      </c>
      <c r="AD5" s="42">
        <f t="shared" si="1"/>
        <v>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18.75" hidden="1" outlineLevel="1">
      <c r="D6" s="320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2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18.75" hidden="1" outlineLevel="1">
      <c r="D7" s="320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2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18.75" hidden="1" outlineLevel="1">
      <c r="D8" s="320"/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2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18.75" hidden="1" outlineLevel="1">
      <c r="D9" s="320"/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2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909105673</v>
      </c>
      <c r="AD9" s="42">
        <f t="shared" si="1"/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18.75" hidden="1" outlineLevel="1"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2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234437986</v>
      </c>
      <c r="AD10" s="42">
        <f t="shared" si="1"/>
        <v>4010000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18.75" hidden="1" outlineLevel="1"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1"/>
      <c r="O11" s="321"/>
      <c r="P11" s="321"/>
      <c r="Q11" s="321"/>
      <c r="R11" s="322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18.75" hidden="1" outlineLevel="1">
      <c r="D12" s="320"/>
      <c r="E12" s="321"/>
      <c r="F12" s="321"/>
      <c r="G12" s="321"/>
      <c r="H12" s="321"/>
      <c r="I12" s="321"/>
      <c r="J12" s="321"/>
      <c r="K12" s="321"/>
      <c r="L12" s="321"/>
      <c r="M12" s="321"/>
      <c r="N12" s="321"/>
      <c r="O12" s="321"/>
      <c r="P12" s="321"/>
      <c r="Q12" s="321"/>
      <c r="R12" s="322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2018840642</v>
      </c>
      <c r="AD12" s="42">
        <f t="shared" si="1"/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18.75" hidden="1" outlineLevel="1"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2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hidden="1" customHeight="1" outlineLevel="1">
      <c r="D14" s="323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hidden="1" customHeight="1" outlineLevel="1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>
      <c r="W16" s="189" t="s">
        <v>317</v>
      </c>
      <c r="Z16" s="243">
        <v>16525831853</v>
      </c>
      <c r="AA16" s="243"/>
      <c r="AB16" s="243"/>
      <c r="AC16" s="243">
        <f>SUM(AC4:AC15)</f>
        <v>16529841853</v>
      </c>
      <c r="AD16" s="43">
        <f t="shared" si="1"/>
        <v>4010000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>
      <c r="U18" s="236"/>
      <c r="V18" s="236"/>
      <c r="W18" s="236"/>
      <c r="X18" s="236"/>
    </row>
    <row r="19" spans="1:60">
      <c r="U19" s="235"/>
      <c r="V19" s="235"/>
      <c r="W19" s="235"/>
      <c r="X19" s="235"/>
      <c r="AD19" s="14" t="s">
        <v>730</v>
      </c>
    </row>
    <row r="20" spans="1:60">
      <c r="E20" s="246"/>
      <c r="F20" s="246"/>
      <c r="G20" s="246"/>
      <c r="H20" s="246"/>
      <c r="I20" s="246"/>
      <c r="J20" s="6"/>
      <c r="V20" s="326"/>
      <c r="W20" s="238"/>
      <c r="X20" s="238"/>
    </row>
    <row r="21" spans="1:60" ht="17.25">
      <c r="T21" s="267"/>
      <c r="V21" s="327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45" customHeight="1" thickBot="1">
      <c r="A22" s="6">
        <f>SUBTOTAL(3,A24:A2002)</f>
        <v>76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518891837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547937986</v>
      </c>
      <c r="AD22" s="8">
        <f t="shared" si="2"/>
        <v>547937986</v>
      </c>
      <c r="AE22" s="8">
        <f t="shared" si="2"/>
        <v>0</v>
      </c>
      <c r="AF22" s="7">
        <f t="shared" si="2"/>
        <v>12036600</v>
      </c>
      <c r="AG22" s="269">
        <f t="shared" si="2"/>
        <v>12125600</v>
      </c>
      <c r="AH22" s="7">
        <f t="shared" si="2"/>
        <v>318000</v>
      </c>
      <c r="AI22" s="7">
        <f t="shared" si="2"/>
        <v>12887000</v>
      </c>
      <c r="AJ22" s="269">
        <f t="shared" si="2"/>
        <v>13796000</v>
      </c>
      <c r="AK22" s="7">
        <f t="shared" si="2"/>
        <v>0</v>
      </c>
      <c r="AL22" s="7">
        <f t="shared" si="2"/>
        <v>0</v>
      </c>
      <c r="AM22" s="269">
        <f t="shared" si="2"/>
        <v>55946986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53000000</v>
      </c>
      <c r="AR22" s="7">
        <f t="shared" si="3"/>
        <v>0</v>
      </c>
      <c r="AS22" s="7">
        <f t="shared" si="3"/>
        <v>53650000</v>
      </c>
      <c r="AT22" s="7">
        <f t="shared" si="3"/>
        <v>0</v>
      </c>
      <c r="AU22" s="7">
        <f t="shared" si="3"/>
        <v>38900000</v>
      </c>
      <c r="AV22" s="7">
        <f t="shared" si="3"/>
        <v>0</v>
      </c>
      <c r="AW22" s="7">
        <f t="shared" si="3"/>
        <v>16400000</v>
      </c>
      <c r="AX22" s="7">
        <f t="shared" si="3"/>
        <v>0</v>
      </c>
      <c r="AY22" s="7">
        <f t="shared" si="3"/>
        <v>57650000</v>
      </c>
      <c r="AZ22" s="7">
        <f t="shared" si="3"/>
        <v>0</v>
      </c>
      <c r="BA22" s="7">
        <f t="shared" si="3"/>
        <v>45900000</v>
      </c>
      <c r="BB22" s="7">
        <f t="shared" si="3"/>
        <v>0</v>
      </c>
      <c r="BC22" s="7">
        <f t="shared" si="3"/>
        <v>24400000</v>
      </c>
      <c r="BD22" s="7">
        <f t="shared" si="3"/>
        <v>0</v>
      </c>
      <c r="BE22" s="7">
        <f t="shared" si="3"/>
        <v>167010000</v>
      </c>
      <c r="BF22" s="7"/>
    </row>
    <row r="23" spans="1:60" s="204" customFormat="1" ht="42" customHeight="1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55970800</v>
      </c>
      <c r="AD34" s="298">
        <v>55970800</v>
      </c>
      <c r="AE34" s="298">
        <f t="shared" si="5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972392320</v>
      </c>
      <c r="AD41" s="298">
        <v>972392320</v>
      </c>
      <c r="AE41" s="298">
        <f t="shared" si="5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358323420</v>
      </c>
      <c r="AD71" s="298">
        <v>358323420</v>
      </c>
      <c r="AE71" s="298">
        <f t="shared" si="5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hidden="1" customHeight="1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hidden="1" customHeight="1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hidden="1" customHeight="1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hidden="1" customHeight="1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hidden="1" customHeight="1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hidden="1" customHeight="1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hidden="1" customHeight="1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hidden="1" customHeight="1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hidden="1" customHeight="1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hidden="1" customHeight="1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hidden="1" customHeight="1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hidden="1" customHeight="1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hidden="1" customHeight="1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hidden="1" customHeight="1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291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349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hidden="1" customHeight="1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291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25</v>
      </c>
      <c r="AA133" s="313"/>
      <c r="AB133" s="313"/>
      <c r="AC133" s="298">
        <f t="shared" si="6"/>
        <v>110000000</v>
      </c>
      <c r="AD133" s="298">
        <v>110000000</v>
      </c>
      <c r="AE133" s="298">
        <f t="shared" si="7"/>
        <v>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55000000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55000000</v>
      </c>
      <c r="BF133" s="301"/>
      <c r="BG133" s="303"/>
      <c r="BH133" s="304"/>
    </row>
    <row r="134" spans="1:60" s="305" customFormat="1" ht="16.5" hidden="1" customHeight="1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hidden="1" customHeight="1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hidden="1" customHeight="1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hidden="1" customHeight="1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hidden="1" customHeight="1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hidden="1" customHeight="1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hidden="1" customHeight="1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hidden="1" customHeight="1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hidden="1" customHeight="1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hidden="1" customHeight="1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hidden="1" customHeight="1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4000000</v>
      </c>
      <c r="AD344" s="298">
        <v>4000000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 t="shared" si="14"/>
        <v>63915500</v>
      </c>
      <c r="AD404" s="298">
        <v>63915500</v>
      </c>
      <c r="AE404" s="298">
        <f t="shared" si="15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 t="shared" si="14"/>
        <v>0</v>
      </c>
      <c r="AD405" s="298">
        <v>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 t="shared" si="14"/>
        <v>0</v>
      </c>
      <c r="AD406" s="298">
        <v>0</v>
      </c>
      <c r="AE406" s="298">
        <f t="shared" si="15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 t="shared" si="16"/>
        <v>100000000</v>
      </c>
      <c r="AD410" s="298">
        <v>100000000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 t="shared" si="16"/>
        <v>8000000</v>
      </c>
      <c r="AD411" s="298">
        <v>8000000</v>
      </c>
      <c r="AE411" s="298">
        <f t="shared" si="1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 t="shared" si="16"/>
        <v>12640000</v>
      </c>
      <c r="AD412" s="298">
        <v>12640000</v>
      </c>
      <c r="AE412" s="298">
        <f t="shared" si="1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3000000</v>
      </c>
      <c r="AD413" s="298">
        <v>3000000</v>
      </c>
      <c r="AE413" s="298">
        <f t="shared" si="1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 t="shared" si="16"/>
        <v>418775785</v>
      </c>
      <c r="AD414" s="298">
        <v>418775785</v>
      </c>
      <c r="AE414" s="298">
        <f t="shared" si="1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 t="shared" si="16"/>
        <v>14860000</v>
      </c>
      <c r="AD415" s="298">
        <v>14860000</v>
      </c>
      <c r="AE415" s="298">
        <f t="shared" si="1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 t="shared" si="16"/>
        <v>150000000</v>
      </c>
      <c r="AD416" s="298">
        <v>150000000</v>
      </c>
      <c r="AE416" s="298">
        <f t="shared" si="1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 t="shared" si="16"/>
        <v>49317900</v>
      </c>
      <c r="AD417" s="298">
        <v>49317900</v>
      </c>
      <c r="AE417" s="298">
        <f t="shared" si="1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 t="shared" si="16"/>
        <v>0</v>
      </c>
      <c r="AD418" s="298">
        <v>0</v>
      </c>
      <c r="AE418" s="298">
        <f t="shared" si="1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 t="shared" si="16"/>
        <v>3000000</v>
      </c>
      <c r="AD419" s="298">
        <v>3000000</v>
      </c>
      <c r="AE419" s="298">
        <f t="shared" si="1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 t="shared" si="16"/>
        <v>0</v>
      </c>
      <c r="AD421" s="298">
        <v>0</v>
      </c>
      <c r="AE421" s="298">
        <f t="shared" si="1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 t="shared" si="16"/>
        <v>5000000</v>
      </c>
      <c r="AD423" s="298">
        <v>5000000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 t="shared" si="16"/>
        <v>2000000</v>
      </c>
      <c r="AD424" s="298">
        <v>2000000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 t="shared" si="16"/>
        <v>7000000</v>
      </c>
      <c r="AD425" s="298">
        <v>7000000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 t="shared" si="16"/>
        <v>23231000</v>
      </c>
      <c r="AD426" s="298">
        <v>23231000</v>
      </c>
      <c r="AE426" s="298">
        <f t="shared" si="1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 t="shared" si="16"/>
        <v>7400000</v>
      </c>
      <c r="AD427" s="298">
        <v>7400000</v>
      </c>
      <c r="AE427" s="298">
        <f t="shared" si="1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 t="shared" si="16"/>
        <v>10000000</v>
      </c>
      <c r="AD428" s="298">
        <v>10000000</v>
      </c>
      <c r="AE428" s="298">
        <f t="shared" si="1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 t="shared" si="16"/>
        <v>11000000</v>
      </c>
      <c r="AD429" s="298">
        <v>11000000</v>
      </c>
      <c r="AE429" s="298">
        <f t="shared" si="1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 t="shared" si="16"/>
        <v>0</v>
      </c>
      <c r="AD430" s="298">
        <v>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 t="shared" si="16"/>
        <v>139543370</v>
      </c>
      <c r="AD431" s="298">
        <v>139543370</v>
      </c>
      <c r="AE431" s="298">
        <f t="shared" si="1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 t="shared" si="16"/>
        <v>10000000</v>
      </c>
      <c r="AD433" s="298">
        <v>10000000</v>
      </c>
      <c r="AE433" s="298">
        <f t="shared" si="1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 t="shared" si="16"/>
        <v>5000000</v>
      </c>
      <c r="AD434" s="298">
        <v>5000000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 t="shared" si="16"/>
        <v>6988695</v>
      </c>
      <c r="AD435" s="298">
        <v>6988695</v>
      </c>
      <c r="AE435" s="298">
        <f t="shared" si="1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 t="shared" si="16"/>
        <v>3000000</v>
      </c>
      <c r="AD436" s="298">
        <v>3000000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3000000</v>
      </c>
      <c r="AD437" s="298">
        <v>3000000</v>
      </c>
      <c r="AE437" s="298">
        <f t="shared" si="1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 t="shared" si="16"/>
        <v>2000000</v>
      </c>
      <c r="AD438" s="298">
        <v>2000000</v>
      </c>
      <c r="AE438" s="298">
        <f t="shared" si="1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 t="shared" si="16"/>
        <v>0</v>
      </c>
      <c r="AD439" s="298">
        <v>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 t="shared" si="16"/>
        <v>220817236</v>
      </c>
      <c r="AD440" s="298">
        <v>220817236</v>
      </c>
      <c r="AE440" s="298">
        <f t="shared" si="1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 t="shared" si="16"/>
        <v>15000000</v>
      </c>
      <c r="AD441" s="298">
        <v>15000000</v>
      </c>
      <c r="AE441" s="298">
        <f t="shared" si="1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 t="shared" si="16"/>
        <v>150000000</v>
      </c>
      <c r="AD442" s="298">
        <v>150000000</v>
      </c>
      <c r="AE442" s="298">
        <f t="shared" si="1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 t="shared" si="16"/>
        <v>10000000</v>
      </c>
      <c r="AD443" s="298">
        <v>10000000</v>
      </c>
      <c r="AE443" s="298">
        <f t="shared" si="1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 t="shared" si="16"/>
        <v>0</v>
      </c>
      <c r="AD444" s="298">
        <v>0</v>
      </c>
      <c r="AE444" s="298">
        <f t="shared" si="1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 t="shared" si="16"/>
        <v>66000</v>
      </c>
      <c r="AD445" s="298">
        <v>66000</v>
      </c>
      <c r="AE445" s="298">
        <f t="shared" si="1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 t="shared" si="16"/>
        <v>10000000</v>
      </c>
      <c r="AD446" s="298">
        <v>10000000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 t="shared" si="16"/>
        <v>12000000</v>
      </c>
      <c r="AD447" s="298">
        <v>12000000</v>
      </c>
      <c r="AE447" s="298">
        <f t="shared" si="1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 t="shared" si="16"/>
        <v>150298900</v>
      </c>
      <c r="AD448" s="298">
        <v>150298900</v>
      </c>
      <c r="AE448" s="298">
        <f t="shared" si="1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9000000</v>
      </c>
      <c r="AD449" s="298">
        <v>9000000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 t="shared" si="16"/>
        <v>12000000</v>
      </c>
      <c r="AD450" s="298">
        <v>12000000</v>
      </c>
      <c r="AE450" s="298">
        <f t="shared" si="1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 t="shared" si="16"/>
        <v>0</v>
      </c>
      <c r="AD451" s="298">
        <v>0</v>
      </c>
      <c r="AE451" s="298">
        <f t="shared" si="1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 t="shared" si="16"/>
        <v>0</v>
      </c>
      <c r="AD452" s="298">
        <v>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 t="shared" si="16"/>
        <v>5000000</v>
      </c>
      <c r="AD453" s="298">
        <v>5000000</v>
      </c>
      <c r="AE453" s="298">
        <f t="shared" si="1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 t="shared" si="16"/>
        <v>20000000</v>
      </c>
      <c r="AD454" s="298">
        <v>20000000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 t="shared" si="16"/>
        <v>2000000</v>
      </c>
      <c r="AD455" s="298">
        <v>2000000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 t="shared" si="16"/>
        <v>0</v>
      </c>
      <c r="AD456" s="298">
        <v>0</v>
      </c>
      <c r="AE456" s="298">
        <f t="shared" si="1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 t="shared" si="16"/>
        <v>355000000</v>
      </c>
      <c r="AD457" s="298">
        <v>355000000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 t="shared" si="16"/>
        <v>150000000</v>
      </c>
      <c r="AD458" s="298">
        <v>150000000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 t="shared" si="16"/>
        <v>10000000</v>
      </c>
      <c r="AD459" s="298">
        <v>10000000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 t="shared" si="16"/>
        <v>40000000</v>
      </c>
      <c r="AD460" s="298">
        <v>40000000</v>
      </c>
      <c r="AE460" s="298">
        <f t="shared" si="1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 t="shared" si="16"/>
        <v>150000000</v>
      </c>
      <c r="AD461" s="298">
        <v>150000000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 t="shared" si="16"/>
        <v>0</v>
      </c>
      <c r="AD462" s="298">
        <v>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 t="shared" si="16"/>
        <v>5000000</v>
      </c>
      <c r="AD463" s="298">
        <v>5000000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 t="shared" si="16"/>
        <v>60000000</v>
      </c>
      <c r="AD464" s="298">
        <v>60000000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 t="shared" si="16"/>
        <v>60000000</v>
      </c>
      <c r="AD465" s="298">
        <v>60000000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 t="shared" si="16"/>
        <v>13636634</v>
      </c>
      <c r="AD466" s="298">
        <v>13636634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 t="shared" si="16"/>
        <v>123500000</v>
      </c>
      <c r="AD467" s="298">
        <v>123500000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 t="shared" si="16"/>
        <v>0</v>
      </c>
      <c r="AD468" s="298">
        <v>0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4000000</v>
      </c>
      <c r="AD469" s="298">
        <v>4000000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 t="shared" si="16"/>
        <v>15600000</v>
      </c>
      <c r="AD470" s="298">
        <v>15600000</v>
      </c>
      <c r="AE470" s="298">
        <f t="shared" si="1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135389816</v>
      </c>
      <c r="AD471" s="298">
        <v>135389816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 t="shared" ref="AC472:AC535" si="18">AG472+AJ472+AM472+AO472+AQ472+AS472+AU472+AW472+AY472+BA472+BC472+BE472</f>
        <v>0</v>
      </c>
      <c r="AD472" s="298">
        <v>0</v>
      </c>
      <c r="AE472" s="298">
        <f t="shared" ref="AE472:AE535" si="19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 t="shared" si="18"/>
        <v>0</v>
      </c>
      <c r="AD473" s="298">
        <v>0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 t="shared" si="18"/>
        <v>50000000</v>
      </c>
      <c r="AD474" s="298">
        <v>50000000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 t="shared" si="18"/>
        <v>190000000</v>
      </c>
      <c r="AD475" s="298">
        <v>190000000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 t="shared" si="18"/>
        <v>0</v>
      </c>
      <c r="AD476" s="298">
        <v>0</v>
      </c>
      <c r="AE476" s="298">
        <f t="shared" si="19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 t="shared" si="18"/>
        <v>215000000</v>
      </c>
      <c r="AD477" s="298">
        <v>215000000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 t="shared" si="18"/>
        <v>2000000</v>
      </c>
      <c r="AD478" s="298">
        <v>2000000</v>
      </c>
      <c r="AE478" s="298">
        <f t="shared" si="19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 t="shared" si="18"/>
        <v>0</v>
      </c>
      <c r="AD479" s="298">
        <v>0</v>
      </c>
      <c r="AE479" s="298">
        <f t="shared" si="19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 t="shared" si="18"/>
        <v>0</v>
      </c>
      <c r="AD480" s="298">
        <v>0</v>
      </c>
      <c r="AE480" s="298">
        <f t="shared" si="19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 t="shared" si="18"/>
        <v>134500000</v>
      </c>
      <c r="AD481" s="298">
        <v>134500000</v>
      </c>
      <c r="AE481" s="298">
        <f t="shared" si="19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8"/>
        <v>0</v>
      </c>
      <c r="AD482" s="298">
        <v>0</v>
      </c>
      <c r="AE482" s="298">
        <f t="shared" si="19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8"/>
        <v>27318600</v>
      </c>
      <c r="AD483" s="298">
        <v>27318600</v>
      </c>
      <c r="AE483" s="298">
        <f t="shared" si="19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 t="shared" si="18"/>
        <v>10000000</v>
      </c>
      <c r="AD484" s="298">
        <v>10000000</v>
      </c>
      <c r="AE484" s="298">
        <f t="shared" si="19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 t="shared" si="18"/>
        <v>0</v>
      </c>
      <c r="AD485" s="298">
        <v>0</v>
      </c>
      <c r="AE485" s="298">
        <f t="shared" si="19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8"/>
        <v>100000000</v>
      </c>
      <c r="AD486" s="298">
        <v>100000000</v>
      </c>
      <c r="AE486" s="298">
        <f t="shared" si="19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 t="shared" si="18"/>
        <v>0</v>
      </c>
      <c r="AD487" s="298">
        <v>0</v>
      </c>
      <c r="AE487" s="298">
        <f t="shared" si="19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 t="shared" si="18"/>
        <v>41826772</v>
      </c>
      <c r="AD488" s="298">
        <v>41826772</v>
      </c>
      <c r="AE488" s="298">
        <f t="shared" si="19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 t="shared" si="18"/>
        <v>0</v>
      </c>
      <c r="AD489" s="298">
        <v>0</v>
      </c>
      <c r="AE489" s="298">
        <f t="shared" si="19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 t="shared" si="18"/>
        <v>0</v>
      </c>
      <c r="AD490" s="298">
        <v>0</v>
      </c>
      <c r="AE490" s="298">
        <f t="shared" si="19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 t="shared" si="18"/>
        <v>3930000</v>
      </c>
      <c r="AD491" s="298">
        <v>3930000</v>
      </c>
      <c r="AE491" s="298">
        <f t="shared" si="19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 t="shared" si="18"/>
        <v>8345000</v>
      </c>
      <c r="AD492" s="298">
        <v>8345000</v>
      </c>
      <c r="AE492" s="298">
        <f t="shared" si="19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 t="shared" si="18"/>
        <v>20400000</v>
      </c>
      <c r="AD493" s="298">
        <v>20400000</v>
      </c>
      <c r="AE493" s="298">
        <f t="shared" si="19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 t="shared" si="18"/>
        <v>0</v>
      </c>
      <c r="AD494" s="298">
        <v>0</v>
      </c>
      <c r="AE494" s="298">
        <f t="shared" si="19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 t="shared" si="18"/>
        <v>0</v>
      </c>
      <c r="AD495" s="298">
        <v>0</v>
      </c>
      <c r="AE495" s="298">
        <f t="shared" si="19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 t="shared" si="18"/>
        <v>0</v>
      </c>
      <c r="AD496" s="298">
        <v>0</v>
      </c>
      <c r="AE496" s="298">
        <f t="shared" si="19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 t="shared" si="18"/>
        <v>37491400</v>
      </c>
      <c r="AD497" s="298">
        <v>37491400</v>
      </c>
      <c r="AE497" s="298">
        <f t="shared" si="19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8"/>
        <v>0</v>
      </c>
      <c r="AD498" s="298">
        <v>0</v>
      </c>
      <c r="AE498" s="298">
        <f t="shared" si="19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 t="shared" si="18"/>
        <v>40000000</v>
      </c>
      <c r="AD499" s="298">
        <v>40000000</v>
      </c>
      <c r="AE499" s="298">
        <f t="shared" si="19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 t="shared" si="18"/>
        <v>0</v>
      </c>
      <c r="AD500" s="298">
        <v>0</v>
      </c>
      <c r="AE500" s="298">
        <f t="shared" si="19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 t="shared" si="18"/>
        <v>0</v>
      </c>
      <c r="AD501" s="298">
        <v>0</v>
      </c>
      <c r="AE501" s="298">
        <f t="shared" si="19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 t="shared" si="18"/>
        <v>95000000</v>
      </c>
      <c r="AD502" s="298">
        <v>95000000</v>
      </c>
      <c r="AE502" s="298">
        <f t="shared" si="19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 t="shared" si="18"/>
        <v>0</v>
      </c>
      <c r="AD503" s="298">
        <v>0</v>
      </c>
      <c r="AE503" s="298">
        <f t="shared" si="19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 t="shared" si="18"/>
        <v>0</v>
      </c>
      <c r="AD504" s="298">
        <v>0</v>
      </c>
      <c r="AE504" s="298">
        <f t="shared" si="19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 t="shared" si="18"/>
        <v>25000000</v>
      </c>
      <c r="AD505" s="298">
        <v>25000000</v>
      </c>
      <c r="AE505" s="298">
        <f t="shared" si="19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 t="shared" si="18"/>
        <v>5000000</v>
      </c>
      <c r="AD506" s="298">
        <v>5000000</v>
      </c>
      <c r="AE506" s="298">
        <f t="shared" si="19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 t="shared" si="18"/>
        <v>0</v>
      </c>
      <c r="AD507" s="298">
        <v>0</v>
      </c>
      <c r="AE507" s="298">
        <f t="shared" si="19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 t="shared" si="18"/>
        <v>0</v>
      </c>
      <c r="AD508" s="298">
        <v>0</v>
      </c>
      <c r="AE508" s="298">
        <f t="shared" si="19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 t="shared" si="18"/>
        <v>10000000</v>
      </c>
      <c r="AD509" s="298">
        <v>10000000</v>
      </c>
      <c r="AE509" s="298">
        <f t="shared" si="19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 t="shared" si="18"/>
        <v>1334000</v>
      </c>
      <c r="AD510" s="298">
        <v>1334000</v>
      </c>
      <c r="AE510" s="298">
        <f t="shared" si="19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 t="shared" si="18"/>
        <v>46773714</v>
      </c>
      <c r="AD511" s="298">
        <v>46773714</v>
      </c>
      <c r="AE511" s="298">
        <f t="shared" si="19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 t="shared" si="18"/>
        <v>50000000</v>
      </c>
      <c r="AD512" s="298">
        <v>50000000</v>
      </c>
      <c r="AE512" s="298">
        <f t="shared" si="19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8"/>
        <v>36000000</v>
      </c>
      <c r="AD513" s="298">
        <v>36000000</v>
      </c>
      <c r="AE513" s="298">
        <f t="shared" si="19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8"/>
        <v>40000000</v>
      </c>
      <c r="AD514" s="298">
        <v>40000000</v>
      </c>
      <c r="AE514" s="298">
        <f t="shared" si="19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 t="shared" si="18"/>
        <v>3000000</v>
      </c>
      <c r="AD515" s="298">
        <v>3000000</v>
      </c>
      <c r="AE515" s="298">
        <f t="shared" si="19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 t="shared" si="18"/>
        <v>5000000</v>
      </c>
      <c r="AD516" s="298">
        <v>5000000</v>
      </c>
      <c r="AE516" s="298">
        <f t="shared" si="19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8"/>
        <v>10000000</v>
      </c>
      <c r="AD517" s="298">
        <v>10000000</v>
      </c>
      <c r="AE517" s="298">
        <f t="shared" si="19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 t="shared" si="18"/>
        <v>2000000</v>
      </c>
      <c r="AD518" s="298">
        <v>2000000</v>
      </c>
      <c r="AE518" s="298">
        <f t="shared" si="19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 t="shared" si="18"/>
        <v>35000000</v>
      </c>
      <c r="AD519" s="298">
        <v>35000000</v>
      </c>
      <c r="AE519" s="298">
        <f t="shared" si="19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 t="shared" si="18"/>
        <v>0</v>
      </c>
      <c r="AD520" s="298">
        <v>0</v>
      </c>
      <c r="AE520" s="298">
        <f t="shared" si="19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8"/>
        <v>28382650</v>
      </c>
      <c r="AD521" s="298">
        <v>28382650</v>
      </c>
      <c r="AE521" s="298">
        <f t="shared" si="19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 t="shared" si="18"/>
        <v>0</v>
      </c>
      <c r="AD522" s="298">
        <v>0</v>
      </c>
      <c r="AE522" s="298">
        <f t="shared" si="19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 t="shared" si="18"/>
        <v>0</v>
      </c>
      <c r="AD523" s="298">
        <v>0</v>
      </c>
      <c r="AE523" s="298">
        <f t="shared" si="19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 t="shared" si="18"/>
        <v>18000000</v>
      </c>
      <c r="AD524" s="298">
        <v>18000000</v>
      </c>
      <c r="AE524" s="298">
        <f t="shared" si="19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 t="shared" si="18"/>
        <v>30000000</v>
      </c>
      <c r="AD525" s="298">
        <v>30000000</v>
      </c>
      <c r="AE525" s="298">
        <f t="shared" si="19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 t="shared" si="18"/>
        <v>103531330</v>
      </c>
      <c r="AD526" s="298">
        <v>103531330</v>
      </c>
      <c r="AE526" s="298">
        <f t="shared" si="19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 t="shared" si="18"/>
        <v>0</v>
      </c>
      <c r="AD527" s="298">
        <v>0</v>
      </c>
      <c r="AE527" s="298">
        <f t="shared" si="19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 t="shared" si="18"/>
        <v>10000000</v>
      </c>
      <c r="AD528" s="298">
        <v>10000000</v>
      </c>
      <c r="AE528" s="298">
        <f t="shared" si="19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 t="shared" si="18"/>
        <v>16000000</v>
      </c>
      <c r="AD529" s="298">
        <v>16000000</v>
      </c>
      <c r="AE529" s="298">
        <f t="shared" si="19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 t="shared" si="18"/>
        <v>37564200</v>
      </c>
      <c r="AD530" s="298">
        <v>37564200</v>
      </c>
      <c r="AE530" s="298">
        <f t="shared" si="19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 t="shared" si="18"/>
        <v>2400000</v>
      </c>
      <c r="AD531" s="298">
        <v>2400000</v>
      </c>
      <c r="AE531" s="298">
        <f t="shared" si="19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 t="shared" si="18"/>
        <v>90000</v>
      </c>
      <c r="AD532" s="298">
        <v>90000</v>
      </c>
      <c r="AE532" s="298">
        <f t="shared" si="19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8"/>
        <v>10440000</v>
      </c>
      <c r="AD533" s="298">
        <v>10440000</v>
      </c>
      <c r="AE533" s="298">
        <f t="shared" si="19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 t="shared" si="18"/>
        <v>6000000</v>
      </c>
      <c r="AD534" s="298">
        <v>6000000</v>
      </c>
      <c r="AE534" s="298">
        <f t="shared" si="19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 t="shared" si="18"/>
        <v>489000</v>
      </c>
      <c r="AD535" s="298">
        <v>489000</v>
      </c>
      <c r="AE535" s="298">
        <f t="shared" si="19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 t="shared" ref="AC536:AC599" si="20">AG536+AJ536+AM536+AO536+AQ536+AS536+AU536+AW536+AY536+BA536+BC536+BE536</f>
        <v>0</v>
      </c>
      <c r="AD536" s="298">
        <v>0</v>
      </c>
      <c r="AE536" s="298">
        <f t="shared" ref="AE536:AE599" si="21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 t="shared" si="20"/>
        <v>107710007</v>
      </c>
      <c r="AD537" s="298">
        <v>107710007</v>
      </c>
      <c r="AE537" s="298">
        <f t="shared" si="21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 t="shared" si="20"/>
        <v>0</v>
      </c>
      <c r="AD538" s="298">
        <v>0</v>
      </c>
      <c r="AE538" s="298">
        <f t="shared" si="21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 t="shared" si="20"/>
        <v>1000000</v>
      </c>
      <c r="AD539" s="298">
        <v>1000000</v>
      </c>
      <c r="AE539" s="298">
        <f t="shared" si="21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 t="shared" si="20"/>
        <v>5000000</v>
      </c>
      <c r="AD540" s="298">
        <v>5000000</v>
      </c>
      <c r="AE540" s="298">
        <f t="shared" si="21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 t="shared" si="20"/>
        <v>0</v>
      </c>
      <c r="AD541" s="298">
        <v>0</v>
      </c>
      <c r="AE541" s="298">
        <f t="shared" si="21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 t="shared" si="20"/>
        <v>0</v>
      </c>
      <c r="AD542" s="298">
        <v>0</v>
      </c>
      <c r="AE542" s="298">
        <f t="shared" si="21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 t="shared" si="20"/>
        <v>157500000</v>
      </c>
      <c r="AD543" s="298">
        <v>157500000</v>
      </c>
      <c r="AE543" s="298">
        <f t="shared" si="21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 t="shared" si="20"/>
        <v>5000000</v>
      </c>
      <c r="AD544" s="298">
        <v>5000000</v>
      </c>
      <c r="AE544" s="298">
        <f t="shared" si="21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20"/>
        <v>2413000</v>
      </c>
      <c r="AD545" s="298">
        <v>2413000</v>
      </c>
      <c r="AE545" s="298">
        <f t="shared" si="21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si="20"/>
        <v>0</v>
      </c>
      <c r="AD546" s="298">
        <v>0</v>
      </c>
      <c r="AE546" s="298">
        <f t="shared" si="21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188000000</v>
      </c>
      <c r="AD547" s="298">
        <v>188000000</v>
      </c>
      <c r="AE547" s="298">
        <f t="shared" si="21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20"/>
        <v>10000000</v>
      </c>
      <c r="AD548" s="298">
        <v>10000000</v>
      </c>
      <c r="AE548" s="298">
        <f t="shared" si="21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20"/>
        <v>5000000</v>
      </c>
      <c r="AD549" s="298">
        <v>5000000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1000000</v>
      </c>
      <c r="AD550" s="298">
        <v>1000000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20"/>
        <v>1800000</v>
      </c>
      <c r="AD551" s="298">
        <v>1800000</v>
      </c>
      <c r="AE551" s="298">
        <f t="shared" si="21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20"/>
        <v>436239200</v>
      </c>
      <c r="AD554" s="298">
        <v>436239200</v>
      </c>
      <c r="AE554" s="298">
        <f t="shared" si="21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20"/>
        <v>0</v>
      </c>
      <c r="AD555" s="298">
        <v>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20"/>
        <v>1250901442</v>
      </c>
      <c r="AD556" s="298">
        <v>1250901442</v>
      </c>
      <c r="AE556" s="298">
        <f t="shared" si="21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20"/>
        <v>99000000</v>
      </c>
      <c r="AD557" s="298">
        <v>99000000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20"/>
        <v>0</v>
      </c>
      <c r="AD559" s="298">
        <v>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20"/>
        <v>25000000</v>
      </c>
      <c r="AD560" s="298">
        <v>25000000</v>
      </c>
      <c r="AE560" s="298">
        <f t="shared" si="21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30000000</v>
      </c>
      <c r="AD561" s="298">
        <v>30000000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20"/>
        <v>10000000</v>
      </c>
      <c r="AD562" s="298">
        <v>10000000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20"/>
        <v>0</v>
      </c>
      <c r="AD563" s="298">
        <v>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1000000</v>
      </c>
      <c r="AD564" s="298">
        <v>1000000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20"/>
        <v>7500000</v>
      </c>
      <c r="AD565" s="298">
        <v>7500000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20"/>
        <v>7200000</v>
      </c>
      <c r="AD567" s="298">
        <v>7200000</v>
      </c>
      <c r="AE567" s="298">
        <f t="shared" si="21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20"/>
        <v>0</v>
      </c>
      <c r="AD568" s="298">
        <v>0</v>
      </c>
      <c r="AE568" s="298">
        <f t="shared" si="21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customHeight="1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20"/>
        <v>0</v>
      </c>
      <c r="AD570" s="298">
        <v>0</v>
      </c>
      <c r="AE570" s="298">
        <f t="shared" si="21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customHeight="1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369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>AG571+AJ571+AM571+AO571+AQ571+AS571+AU571+AW571+AY571+BA571+BC571+BE571</f>
        <v>4500000</v>
      </c>
      <c r="AD571" s="298">
        <v>4500000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/>
      <c r="AP571" s="301"/>
      <c r="AQ571" s="371">
        <v>1500000</v>
      </c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customHeight="1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20"/>
        <v>4000000</v>
      </c>
      <c r="AD572" s="298">
        <v>4000000</v>
      </c>
      <c r="AE572" s="298">
        <f t="shared" si="21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customHeight="1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20"/>
        <v>5000000</v>
      </c>
      <c r="AD573" s="298">
        <v>5000000</v>
      </c>
      <c r="AE573" s="298">
        <f t="shared" si="21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customHeight="1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20"/>
        <v>0</v>
      </c>
      <c r="AD574" s="298">
        <v>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customHeight="1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customHeight="1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20"/>
        <v>0</v>
      </c>
      <c r="AD576" s="298">
        <v>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customHeight="1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20"/>
        <v>60000000</v>
      </c>
      <c r="AD577" s="298">
        <v>60000000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customHeight="1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20"/>
        <v>48000000</v>
      </c>
      <c r="AD578" s="298">
        <v>48000000</v>
      </c>
      <c r="AE578" s="298">
        <f t="shared" si="21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customHeight="1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customHeight="1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customHeight="1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20"/>
        <v>10000000</v>
      </c>
      <c r="AD581" s="298">
        <v>10000000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customHeight="1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20"/>
        <v>1000000</v>
      </c>
      <c r="AD582" s="298">
        <v>1000000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customHeight="1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20"/>
        <v>1000000</v>
      </c>
      <c r="AD583" s="298">
        <v>1000000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customHeight="1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20"/>
        <v>5628000</v>
      </c>
      <c r="AD584" s="298">
        <v>5628000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customHeight="1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20"/>
        <v>4596000</v>
      </c>
      <c r="AD585" s="298">
        <v>4596000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customHeight="1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20"/>
        <v>2000000</v>
      </c>
      <c r="AD586" s="298">
        <v>2000000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customHeight="1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20"/>
        <v>0</v>
      </c>
      <c r="AD587" s="298">
        <v>0</v>
      </c>
      <c r="AE587" s="298">
        <f t="shared" si="21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customHeight="1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customHeight="1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20"/>
        <v>0</v>
      </c>
      <c r="AD589" s="298">
        <v>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customHeight="1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369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1164000</v>
      </c>
      <c r="AD590" s="298">
        <v>1164000</v>
      </c>
      <c r="AE590" s="298">
        <f t="shared" si="21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/>
      <c r="AP590" s="301"/>
      <c r="AQ590" s="372">
        <v>200000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customHeight="1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20"/>
        <v>0</v>
      </c>
      <c r="AD591" s="298">
        <v>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customHeight="1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20"/>
        <v>318000</v>
      </c>
      <c r="AD592" s="298">
        <v>318000</v>
      </c>
      <c r="AE592" s="298">
        <f t="shared" si="21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customHeight="1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20"/>
        <v>11000000</v>
      </c>
      <c r="AD593" s="298">
        <v>11000000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customHeight="1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20"/>
        <v>10720000</v>
      </c>
      <c r="AD594" s="298">
        <v>10720000</v>
      </c>
      <c r="AE594" s="298">
        <f t="shared" si="21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customHeight="1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20"/>
        <v>9000000</v>
      </c>
      <c r="AD595" s="298">
        <v>9000000</v>
      </c>
      <c r="AE595" s="298">
        <f t="shared" si="21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customHeight="1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20"/>
        <v>20000000</v>
      </c>
      <c r="AD596" s="298">
        <v>20000000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customHeight="1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customHeight="1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369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373" t="s">
        <v>28</v>
      </c>
      <c r="AA598" s="313"/>
      <c r="AB598" s="313"/>
      <c r="AC598" s="298">
        <f t="shared" si="20"/>
        <v>4010000</v>
      </c>
      <c r="AD598" s="298">
        <v>4010000</v>
      </c>
      <c r="AE598" s="298">
        <f t="shared" si="21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72">
        <v>1010000</v>
      </c>
      <c r="AP598" s="301"/>
      <c r="AQ598" s="301"/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customHeight="1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20"/>
        <v>3000000</v>
      </c>
      <c r="AD599" s="298">
        <v>3000000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customHeight="1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2">AG600+AJ600+AM600+AO600+AQ600+AS600+AU600+AW600+AY600+BA600+BC600+BE600</f>
        <v>0</v>
      </c>
      <c r="AD600" s="298">
        <v>0</v>
      </c>
      <c r="AE600" s="298">
        <f t="shared" ref="AE600:AE663" si="23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customHeight="1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0</v>
      </c>
      <c r="AD601" s="298">
        <v>0</v>
      </c>
      <c r="AE601" s="298">
        <f t="shared" si="23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customHeight="1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2"/>
        <v>0</v>
      </c>
      <c r="AD602" s="298">
        <v>0</v>
      </c>
      <c r="AE602" s="298">
        <f t="shared" si="23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customHeight="1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2"/>
        <v>35000000</v>
      </c>
      <c r="AD603" s="298">
        <v>35000000</v>
      </c>
      <c r="AE603" s="298">
        <f t="shared" si="23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customHeight="1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76363636</v>
      </c>
      <c r="AD604" s="298">
        <v>76363636</v>
      </c>
      <c r="AE604" s="298">
        <f t="shared" si="23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customHeight="1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2"/>
        <v>0</v>
      </c>
      <c r="AD605" s="298">
        <v>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customHeight="1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2"/>
        <v>0</v>
      </c>
      <c r="AD606" s="298">
        <v>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customHeight="1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2"/>
        <v>5000000</v>
      </c>
      <c r="AD607" s="298">
        <v>5000000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customHeight="1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2"/>
        <v>5000000</v>
      </c>
      <c r="AD608" s="298">
        <v>5000000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customHeight="1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2"/>
        <v>1998000</v>
      </c>
      <c r="AD609" s="298">
        <v>1998000</v>
      </c>
      <c r="AE609" s="298">
        <f t="shared" si="23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customHeight="1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2"/>
        <v>0</v>
      </c>
      <c r="AD610" s="298">
        <v>0</v>
      </c>
      <c r="AE610" s="298">
        <f t="shared" si="23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customHeight="1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2"/>
        <v>10000000</v>
      </c>
      <c r="AD611" s="298">
        <v>10000000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customHeight="1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2"/>
        <v>30853950</v>
      </c>
      <c r="AD612" s="298">
        <v>30853950</v>
      </c>
      <c r="AE612" s="298">
        <f t="shared" si="23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customHeight="1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2"/>
        <v>10000000</v>
      </c>
      <c r="AD613" s="298">
        <v>10000000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customHeight="1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2"/>
        <v>10000000</v>
      </c>
      <c r="AD614" s="298">
        <v>10000000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customHeight="1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customHeight="1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370" t="s">
        <v>872</v>
      </c>
      <c r="J616" s="369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2"/>
        <v>2000000</v>
      </c>
      <c r="AD616" s="298">
        <v>2000000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customHeight="1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2"/>
        <v>1000000</v>
      </c>
      <c r="AD617" s="298">
        <v>1000000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customHeight="1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customHeight="1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2"/>
        <v>0</v>
      </c>
      <c r="AD619" s="298">
        <v>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customHeight="1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2"/>
        <v>1028000</v>
      </c>
      <c r="AD620" s="298">
        <v>1028000</v>
      </c>
      <c r="AE620" s="298">
        <f t="shared" si="23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customHeight="1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customHeight="1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2"/>
        <v>15000000</v>
      </c>
      <c r="AD622" s="298">
        <v>15000000</v>
      </c>
      <c r="AE622" s="298">
        <f t="shared" si="23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customHeight="1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11335800</v>
      </c>
      <c r="AD623" s="298">
        <v>11335800</v>
      </c>
      <c r="AE623" s="298">
        <f t="shared" si="23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customHeight="1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2"/>
        <v>10575800</v>
      </c>
      <c r="AD624" s="298">
        <v>10575800</v>
      </c>
      <c r="AE624" s="298">
        <f t="shared" si="23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customHeight="1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2"/>
        <v>9000</v>
      </c>
      <c r="AD625" s="298">
        <v>9000</v>
      </c>
      <c r="AE625" s="298">
        <f t="shared" si="23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customHeight="1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2"/>
        <v>10000000</v>
      </c>
      <c r="AD626" s="298">
        <v>10000000</v>
      </c>
      <c r="AE626" s="298">
        <f t="shared" si="23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customHeight="1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2"/>
        <v>618000</v>
      </c>
      <c r="AD627" s="298">
        <v>618000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customHeight="1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2"/>
        <v>5000000</v>
      </c>
      <c r="AD628" s="298">
        <v>5000000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customHeight="1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customHeight="1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2"/>
        <v>640000</v>
      </c>
      <c r="AD630" s="298">
        <v>640000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customHeight="1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2"/>
        <v>3000000</v>
      </c>
      <c r="AD631" s="298">
        <v>3000000</v>
      </c>
      <c r="AE631" s="298">
        <f t="shared" si="23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customHeight="1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2"/>
        <v>21210800</v>
      </c>
      <c r="AD632" s="298">
        <v>21210800</v>
      </c>
      <c r="AE632" s="298">
        <f t="shared" si="23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customHeight="1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2"/>
        <v>13860000</v>
      </c>
      <c r="AD633" s="298">
        <v>13860000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customHeight="1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2"/>
        <v>4000000</v>
      </c>
      <c r="AD634" s="298">
        <v>4000000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customHeight="1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2"/>
        <v>6500000</v>
      </c>
      <c r="AD635" s="298">
        <v>6500000</v>
      </c>
      <c r="AE635" s="298">
        <f t="shared" si="23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customHeight="1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customHeight="1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2"/>
        <v>0</v>
      </c>
      <c r="AD637" s="298">
        <v>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customHeight="1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2"/>
        <v>19000000</v>
      </c>
      <c r="AD638" s="298">
        <v>19000000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customHeight="1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customHeight="1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2"/>
        <v>0</v>
      </c>
      <c r="AD640" s="298">
        <v>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customHeight="1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12000000</v>
      </c>
      <c r="AD641" s="298">
        <v>12000000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customHeight="1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2"/>
        <v>11000000</v>
      </c>
      <c r="AD642" s="298">
        <v>11000000</v>
      </c>
      <c r="AE642" s="298">
        <f t="shared" si="23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customHeight="1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0</v>
      </c>
      <c r="AD643" s="298">
        <v>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customHeight="1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2"/>
        <v>5940000</v>
      </c>
      <c r="AD644" s="298">
        <v>5940000</v>
      </c>
      <c r="AE644" s="298">
        <f t="shared" si="23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customHeight="1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2"/>
        <v>5069000</v>
      </c>
      <c r="AD645" s="298">
        <v>5069000</v>
      </c>
      <c r="AE645" s="298">
        <f t="shared" si="23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2"/>
        <v>125250</v>
      </c>
      <c r="AD646" s="298">
        <v>125250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2"/>
        <v>90000000</v>
      </c>
      <c r="AD647" s="298">
        <v>90000000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2"/>
        <v>45000000</v>
      </c>
      <c r="AD648" s="298">
        <v>45000000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2"/>
        <v>18000000</v>
      </c>
      <c r="AD649" s="298">
        <v>18000000</v>
      </c>
      <c r="AE649" s="298">
        <f t="shared" si="23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2"/>
        <v>0</v>
      </c>
      <c r="AD650" s="298">
        <v>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2"/>
        <v>0</v>
      </c>
      <c r="AD651" s="298">
        <v>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2"/>
        <v>130000000</v>
      </c>
      <c r="AD652" s="298">
        <v>130000000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2"/>
        <v>540000000</v>
      </c>
      <c r="AD653" s="298">
        <v>540000000</v>
      </c>
      <c r="AE653" s="298">
        <f t="shared" si="23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15000000</v>
      </c>
      <c r="AD654" s="298">
        <v>15000000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2"/>
        <v>0</v>
      </c>
      <c r="AD655" s="298">
        <v>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2"/>
        <v>0</v>
      </c>
      <c r="AD656" s="298">
        <v>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99143680</v>
      </c>
      <c r="AD657" s="298">
        <v>99143680</v>
      </c>
      <c r="AE657" s="298">
        <f t="shared" si="23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2"/>
        <v>20000000</v>
      </c>
      <c r="AD659" s="298">
        <v>20000000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2"/>
        <v>0</v>
      </c>
      <c r="AD661" s="298">
        <v>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2"/>
        <v>280000000</v>
      </c>
      <c r="AD662" s="298">
        <v>280000000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2"/>
        <v>10000000</v>
      </c>
      <c r="AD663" s="298">
        <v>10000000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4">AG664+AJ664+AM664+AO664+AQ664+AS664+AU664+AW664+AY664+BA664+BC664+BE664</f>
        <v>150000000</v>
      </c>
      <c r="AD664" s="298">
        <v>150000000</v>
      </c>
      <c r="AE664" s="298">
        <f t="shared" ref="AE664:AE727" si="25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4"/>
        <v>20000000</v>
      </c>
      <c r="AD665" s="298">
        <v>20000000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4"/>
        <v>10000000</v>
      </c>
      <c r="AD666" s="298">
        <v>10000000</v>
      </c>
      <c r="AE666" s="298">
        <f t="shared" si="25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4"/>
        <v>20000000</v>
      </c>
      <c r="AD668" s="298">
        <v>20000000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4"/>
        <v>10000000</v>
      </c>
      <c r="AD669" s="298">
        <v>10000000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600000000</v>
      </c>
      <c r="AD670" s="298">
        <v>600000000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4"/>
        <v>50000</v>
      </c>
      <c r="AD671" s="298">
        <v>50000</v>
      </c>
      <c r="AE671" s="298">
        <f t="shared" si="25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4"/>
        <v>15000000</v>
      </c>
      <c r="AD672" s="298">
        <v>15000000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4"/>
        <v>15000000</v>
      </c>
      <c r="AD673" s="298">
        <v>15000000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4"/>
        <v>200000000</v>
      </c>
      <c r="AD674" s="298">
        <v>200000000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4"/>
        <v>5000000</v>
      </c>
      <c r="AD675" s="298">
        <v>5000000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4"/>
        <v>1000000</v>
      </c>
      <c r="AD676" s="298">
        <v>1000000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4"/>
        <v>2000000</v>
      </c>
      <c r="AD677" s="298">
        <v>2000000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4"/>
        <v>50000000</v>
      </c>
      <c r="AD678" s="298">
        <v>50000000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4"/>
        <v>3500000</v>
      </c>
      <c r="AD679" s="298">
        <v>3500000</v>
      </c>
      <c r="AE679" s="298">
        <f t="shared" si="25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4"/>
        <v>70000000</v>
      </c>
      <c r="AD681" s="298">
        <v>70000000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3500000</v>
      </c>
      <c r="AD684" s="298">
        <v>3500000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4"/>
        <v>5000000</v>
      </c>
      <c r="AD685" s="298">
        <v>5000000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4"/>
        <v>0</v>
      </c>
      <c r="AD686" s="298">
        <v>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4"/>
        <v>0</v>
      </c>
      <c r="AD687" s="298">
        <v>0</v>
      </c>
      <c r="AE687" s="298">
        <f t="shared" si="25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4"/>
        <v>196791445</v>
      </c>
      <c r="AD688" s="298">
        <v>196791445</v>
      </c>
      <c r="AE688" s="298">
        <f t="shared" si="25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4"/>
        <v>0</v>
      </c>
      <c r="AD690" s="298">
        <v>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4"/>
        <v>0</v>
      </c>
      <c r="AD691" s="298">
        <v>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4"/>
        <v>3000000</v>
      </c>
      <c r="AD692" s="298">
        <v>3000000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0</v>
      </c>
      <c r="AD693" s="298">
        <v>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4"/>
        <v>0</v>
      </c>
      <c r="AD694" s="298">
        <v>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4"/>
        <v>0</v>
      </c>
      <c r="AD695" s="298">
        <v>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87000</v>
      </c>
      <c r="AD696" s="298">
        <v>87000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4"/>
        <v>6900000</v>
      </c>
      <c r="AD697" s="298">
        <v>6900000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4"/>
        <v>10000000</v>
      </c>
      <c r="AD698" s="298">
        <v>10000000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4"/>
        <v>0</v>
      </c>
      <c r="AD699" s="298">
        <v>0</v>
      </c>
      <c r="AE699" s="298">
        <f t="shared" si="25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4"/>
        <v>0</v>
      </c>
      <c r="AD700" s="298">
        <v>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4"/>
        <v>0</v>
      </c>
      <c r="AD704" s="298">
        <v>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4"/>
        <v>20000000</v>
      </c>
      <c r="AD705" s="298">
        <v>20000000</v>
      </c>
      <c r="AE705" s="298">
        <f t="shared" si="25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4"/>
        <v>1000000</v>
      </c>
      <c r="AD706" s="298">
        <v>1000000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4"/>
        <v>50000000</v>
      </c>
      <c r="AD707" s="298">
        <v>50000000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4"/>
        <v>30000000</v>
      </c>
      <c r="AD708" s="298">
        <v>30000000</v>
      </c>
      <c r="AE708" s="298">
        <f t="shared" si="25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4"/>
        <v>725800</v>
      </c>
      <c r="AD709" s="298">
        <v>725800</v>
      </c>
      <c r="AE709" s="298">
        <f t="shared" si="25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4"/>
        <v>30000000</v>
      </c>
      <c r="AD710" s="298">
        <v>30000000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4"/>
        <v>0</v>
      </c>
      <c r="AD711" s="298">
        <v>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14000000</v>
      </c>
      <c r="AD712" s="298">
        <v>14000000</v>
      </c>
      <c r="AE712" s="298">
        <f t="shared" si="25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4"/>
        <v>15000000</v>
      </c>
      <c r="AD713" s="298">
        <v>15000000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4"/>
        <v>10000000</v>
      </c>
      <c r="AD714" s="298">
        <v>10000000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4"/>
        <v>10000000</v>
      </c>
      <c r="AD715" s="298">
        <v>10000000</v>
      </c>
      <c r="AE715" s="298">
        <f t="shared" si="25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4"/>
        <v>40240000</v>
      </c>
      <c r="AD716" s="298">
        <v>40240000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4"/>
        <v>8000000</v>
      </c>
      <c r="AD717" s="298">
        <v>8000000</v>
      </c>
      <c r="AE717" s="298">
        <f t="shared" si="25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4"/>
        <v>80000000</v>
      </c>
      <c r="AD718" s="298">
        <v>80000000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4"/>
        <v>79000000</v>
      </c>
      <c r="AD719" s="298">
        <v>79000000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4"/>
        <v>3000000</v>
      </c>
      <c r="AD720" s="298">
        <v>3000000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4"/>
        <v>100000000</v>
      </c>
      <c r="AD721" s="298">
        <v>100000000</v>
      </c>
      <c r="AE721" s="298">
        <f t="shared" si="25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-357000</v>
      </c>
      <c r="AD722" s="298">
        <v>-357000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4"/>
        <v>0</v>
      </c>
      <c r="AD723" s="298">
        <v>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4"/>
        <v>200000000</v>
      </c>
      <c r="AD725" s="298">
        <v>200000000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11000000</v>
      </c>
      <c r="AD726" s="298">
        <v>11000000</v>
      </c>
      <c r="AE726" s="298">
        <f t="shared" si="25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4"/>
        <v>10000000</v>
      </c>
      <c r="AD727" s="298">
        <v>10000000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박재은"/>
      </filters>
    </filterColumn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5" priority="119" operator="containsText" text="추가">
      <formula>NOT(ISERROR(SEARCH("추가",A1)))</formula>
    </cfRule>
  </conditionalFormatting>
  <conditionalFormatting sqref="M725">
    <cfRule type="duplicateValues" dxfId="4" priority="6"/>
  </conditionalFormatting>
  <conditionalFormatting sqref="M725">
    <cfRule type="duplicateValues" dxfId="3" priority="7"/>
  </conditionalFormatting>
  <conditionalFormatting sqref="M727">
    <cfRule type="duplicateValues" dxfId="2" priority="3"/>
  </conditionalFormatting>
  <conditionalFormatting sqref="M727">
    <cfRule type="duplicateValues" dxfId="1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5.75" style="2" bestFit="1" customWidth="1"/>
    <col min="8" max="8" width="11.375" style="2" bestFit="1" customWidth="1"/>
    <col min="9" max="9" width="20.75" style="4" customWidth="1"/>
    <col min="10" max="11" width="20.75" style="51" customWidth="1"/>
    <col min="12" max="12" width="20.75" style="88" customWidth="1"/>
    <col min="13" max="13" width="18.25" style="2" customWidth="1"/>
    <col min="14" max="14" width="17.75" customWidth="1"/>
    <col min="15" max="15" width="32.25" bestFit="1" customWidth="1"/>
    <col min="16" max="16" width="30.75" customWidth="1"/>
    <col min="17" max="17" width="16.125" style="2" customWidth="1"/>
    <col min="18" max="18" width="28.125" customWidth="1"/>
  </cols>
  <sheetData>
    <row r="1" spans="1:18">
      <c r="I1" s="3"/>
      <c r="L1" s="52"/>
      <c r="R1" s="53"/>
    </row>
    <row r="2" spans="1:18" ht="34.5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899999999999999" customHeight="1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56.375" customWidth="1"/>
    <col min="15" max="15" width="18.625" customWidth="1"/>
    <col min="16" max="16" width="10.625" customWidth="1"/>
    <col min="17" max="18" width="13.875" hidden="1" customWidth="1"/>
    <col min="19" max="19" width="16" hidden="1" customWidth="1"/>
    <col min="20" max="20" width="8.25" hidden="1" customWidth="1"/>
    <col min="21" max="21" width="8.75" hidden="1" customWidth="1"/>
    <col min="22" max="22" width="21.875" bestFit="1" customWidth="1"/>
    <col min="23" max="23" width="13.875" bestFit="1" customWidth="1"/>
    <col min="24" max="24" width="12.25" bestFit="1" customWidth="1"/>
  </cols>
  <sheetData>
    <row r="2" spans="2:26" ht="17.25" thickBot="1"/>
    <row r="3" spans="2:26" ht="17.45" customHeight="1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32" t="s">
        <v>538</v>
      </c>
      <c r="U5" s="333"/>
      <c r="V5" s="196" t="s">
        <v>614</v>
      </c>
      <c r="W5" s="213" t="s">
        <v>615</v>
      </c>
      <c r="X5" s="213" t="s">
        <v>616</v>
      </c>
      <c r="Y5" s="332" t="s">
        <v>538</v>
      </c>
      <c r="Z5" s="333"/>
    </row>
    <row r="6" spans="2:26" ht="30" customHeight="1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34">
        <f>SUM(R6:S6)</f>
        <v>0</v>
      </c>
      <c r="U6" s="329"/>
      <c r="V6" s="198"/>
      <c r="W6" s="214"/>
      <c r="X6" s="214"/>
      <c r="Y6" s="334"/>
      <c r="Z6" s="329"/>
    </row>
    <row r="7" spans="2:26" ht="31.15" customHeight="1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29">
        <f t="shared" ref="T7:T15" si="3">SUM(R7:S7)</f>
        <v>0</v>
      </c>
      <c r="U7" s="330"/>
      <c r="V7" s="198"/>
      <c r="W7" s="214"/>
      <c r="X7" s="214"/>
      <c r="Y7" s="329"/>
      <c r="Z7" s="330"/>
    </row>
    <row r="8" spans="2:26" ht="31.15" customHeight="1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29">
        <f t="shared" si="3"/>
        <v>0</v>
      </c>
      <c r="U8" s="330"/>
      <c r="V8" s="198"/>
      <c r="W8" s="214"/>
      <c r="X8" s="214"/>
      <c r="Y8" s="329"/>
      <c r="Z8" s="330"/>
    </row>
    <row r="9" spans="2:26" ht="31.15" customHeight="1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29">
        <f t="shared" si="3"/>
        <v>0</v>
      </c>
      <c r="U9" s="330"/>
      <c r="V9" s="198"/>
      <c r="W9" s="214"/>
      <c r="X9" s="214"/>
      <c r="Y9" s="329"/>
      <c r="Z9" s="330"/>
    </row>
    <row r="10" spans="2:26" ht="31.15" customHeight="1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29">
        <f t="shared" si="3"/>
        <v>230000000</v>
      </c>
      <c r="U10" s="330"/>
      <c r="V10" s="198"/>
      <c r="W10" s="214"/>
      <c r="X10" s="214"/>
      <c r="Y10" s="329"/>
      <c r="Z10" s="330"/>
    </row>
    <row r="11" spans="2:26" ht="31.15" customHeight="1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29">
        <f t="shared" si="3"/>
        <v>887900000</v>
      </c>
      <c r="U11" s="330"/>
      <c r="V11" s="198"/>
      <c r="W11" s="214"/>
      <c r="X11" s="214"/>
      <c r="Y11" s="329"/>
      <c r="Z11" s="330"/>
    </row>
    <row r="12" spans="2:26" ht="31.15" customHeight="1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29">
        <f t="shared" si="3"/>
        <v>53100000</v>
      </c>
      <c r="U12" s="330"/>
      <c r="V12" s="198"/>
      <c r="W12" s="214"/>
      <c r="X12" s="214"/>
      <c r="Y12" s="329"/>
      <c r="Z12" s="330"/>
    </row>
    <row r="13" spans="2:26" ht="31.15" customHeight="1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29">
        <f t="shared" si="3"/>
        <v>0</v>
      </c>
      <c r="U13" s="330"/>
      <c r="V13" s="198"/>
      <c r="W13" s="214"/>
      <c r="X13" s="214"/>
      <c r="Y13" s="329"/>
      <c r="Z13" s="330"/>
    </row>
    <row r="14" spans="2:26" ht="31.15" customHeight="1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29">
        <f t="shared" si="3"/>
        <v>148000000</v>
      </c>
      <c r="U14" s="330"/>
      <c r="V14" s="198"/>
      <c r="W14" s="214"/>
      <c r="X14" s="214"/>
      <c r="Y14" s="329"/>
      <c r="Z14" s="330"/>
    </row>
    <row r="15" spans="2:26" ht="31.15" hidden="1" customHeight="1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55">
        <f t="shared" si="3"/>
        <v>226000000</v>
      </c>
      <c r="U15" s="356"/>
      <c r="V15" s="198"/>
      <c r="W15" s="214"/>
      <c r="X15" s="214"/>
      <c r="Y15" s="329"/>
      <c r="Z15" s="330"/>
    </row>
    <row r="16" spans="2:26" ht="31.15" customHeight="1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1">
        <f>SUM(T6:T15)</f>
        <v>1545000000</v>
      </c>
      <c r="U16" s="331"/>
      <c r="V16" s="202" t="s">
        <v>617</v>
      </c>
      <c r="W16" s="203">
        <f>SUM(W6:W15)</f>
        <v>0</v>
      </c>
      <c r="X16" s="203">
        <f>SUM(X6:X15)</f>
        <v>0</v>
      </c>
      <c r="Y16" s="331">
        <f>SUM(Y6:Y15)</f>
        <v>0</v>
      </c>
      <c r="Z16" s="331"/>
    </row>
    <row r="17" spans="2:26" ht="31.15" customHeight="1" thickBot="1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15" customHeight="1">
      <c r="N18" s="109"/>
      <c r="P18" s="124"/>
      <c r="Q18" s="89"/>
      <c r="R18" s="89"/>
      <c r="T18" s="110"/>
    </row>
    <row r="19" spans="2:26" ht="31.15" customHeight="1">
      <c r="J19" s="109"/>
      <c r="Q19" s="109"/>
      <c r="S19" s="110"/>
    </row>
    <row r="20" spans="2:26">
      <c r="F20" s="125"/>
      <c r="J20" s="125"/>
      <c r="M20" s="126"/>
      <c r="N20" s="109"/>
      <c r="Q20" s="124"/>
      <c r="R20" s="89"/>
      <c r="T20" s="110"/>
    </row>
    <row r="21" spans="2:26">
      <c r="K21" s="126"/>
      <c r="N21" s="109"/>
    </row>
    <row r="22" spans="2:26">
      <c r="E22" s="125"/>
      <c r="J22" s="125"/>
      <c r="M22" s="126"/>
      <c r="N22" s="109"/>
    </row>
    <row r="23" spans="2:26">
      <c r="N23" s="109"/>
    </row>
    <row r="24" spans="2:26">
      <c r="M24" s="126"/>
    </row>
  </sheetData>
  <autoFilter ref="B5:O19"/>
  <mergeCells count="33">
    <mergeCell ref="T14:U14"/>
    <mergeCell ref="T15:U15"/>
    <mergeCell ref="T16:U16"/>
    <mergeCell ref="T12:U12"/>
    <mergeCell ref="T13:U13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Y5:Z5"/>
    <mergeCell ref="Y6:Z6"/>
    <mergeCell ref="Y7:Z7"/>
    <mergeCell ref="Y8:Z8"/>
    <mergeCell ref="Y9:Z9"/>
    <mergeCell ref="Y15:Z15"/>
    <mergeCell ref="Y16:Z16"/>
    <mergeCell ref="Y10:Z10"/>
    <mergeCell ref="Y11:Z11"/>
    <mergeCell ref="Y12:Z12"/>
    <mergeCell ref="Y13:Z13"/>
    <mergeCell ref="Y14:Z14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35" t="s">
        <v>397</v>
      </c>
    </row>
    <row r="3" spans="2:20">
      <c r="B3" s="357" t="s">
        <v>398</v>
      </c>
      <c r="C3" s="358"/>
      <c r="D3" s="361" t="s">
        <v>760</v>
      </c>
      <c r="E3" s="362"/>
      <c r="F3" s="362"/>
      <c r="G3" s="362"/>
      <c r="H3" s="362"/>
      <c r="I3" s="362"/>
      <c r="J3" s="362"/>
      <c r="K3" s="362"/>
      <c r="L3" s="362"/>
      <c r="M3" s="362"/>
      <c r="N3" s="362"/>
      <c r="O3" s="362"/>
      <c r="P3" s="127"/>
      <c r="Q3" s="361" t="s">
        <v>399</v>
      </c>
      <c r="R3" s="363"/>
      <c r="T3" s="109"/>
    </row>
    <row r="4" spans="2:20">
      <c r="B4" s="359"/>
      <c r="C4" s="360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>
      <c r="B5" s="364" t="s">
        <v>759</v>
      </c>
      <c r="C5" s="365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>
      <c r="B6" s="366" t="s">
        <v>758</v>
      </c>
      <c r="C6" s="367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>
      <c r="I16" s="36"/>
    </row>
    <row r="17" spans="16:16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0.125" hidden="1" customWidth="1"/>
    <col min="11" max="13" width="15.75" customWidth="1" outlineLevel="1"/>
    <col min="14" max="14" width="1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53" t="s">
        <v>415</v>
      </c>
      <c r="C2" s="368" t="s">
        <v>428</v>
      </c>
      <c r="D2" s="368"/>
      <c r="E2" s="368"/>
      <c r="F2" s="368"/>
      <c r="G2" s="368" t="s">
        <v>543</v>
      </c>
      <c r="H2" s="368"/>
      <c r="I2" s="368"/>
      <c r="J2" s="368"/>
      <c r="K2" s="368" t="s">
        <v>630</v>
      </c>
      <c r="L2" s="368"/>
      <c r="M2" s="368"/>
      <c r="N2" s="368"/>
      <c r="O2" s="368" t="s">
        <v>381</v>
      </c>
      <c r="P2" s="368"/>
      <c r="Q2" s="368"/>
      <c r="R2" s="368"/>
      <c r="S2" s="368" t="s">
        <v>380</v>
      </c>
      <c r="T2" s="368"/>
      <c r="U2" s="368"/>
      <c r="V2" s="368"/>
      <c r="W2" s="368" t="s">
        <v>400</v>
      </c>
      <c r="X2" s="368"/>
      <c r="Y2" s="368"/>
      <c r="Z2" s="368"/>
      <c r="AA2" s="368" t="s">
        <v>401</v>
      </c>
      <c r="AB2" s="368"/>
      <c r="AC2" s="368"/>
      <c r="AD2" s="368"/>
      <c r="AE2" s="368" t="s">
        <v>416</v>
      </c>
      <c r="AF2" s="368"/>
      <c r="AG2" s="368"/>
      <c r="AH2" s="368"/>
      <c r="AI2" s="368" t="s">
        <v>417</v>
      </c>
      <c r="AJ2" s="368"/>
      <c r="AK2" s="368"/>
      <c r="AL2" s="368"/>
      <c r="AM2" s="368" t="s">
        <v>418</v>
      </c>
      <c r="AN2" s="368"/>
      <c r="AO2" s="368"/>
      <c r="AP2" s="368"/>
      <c r="AQ2" s="368" t="s">
        <v>419</v>
      </c>
      <c r="AR2" s="368"/>
      <c r="AS2" s="368"/>
      <c r="AT2" s="368"/>
      <c r="AU2" s="368" t="s">
        <v>420</v>
      </c>
      <c r="AV2" s="368"/>
      <c r="AW2" s="368"/>
      <c r="AX2" s="368"/>
    </row>
    <row r="3" spans="2:53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>
      <c r="B17" s="165"/>
      <c r="E17" s="166"/>
      <c r="I17" s="166"/>
      <c r="M17" s="166"/>
    </row>
    <row r="18" spans="2:13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6.5"/>
  <cols>
    <col min="1" max="1" width="24.625" customWidth="1"/>
    <col min="2" max="2" width="17.875" style="3" customWidth="1"/>
    <col min="3" max="4" width="16.625" style="3" customWidth="1"/>
    <col min="5" max="5" width="17.875" style="3" customWidth="1"/>
    <col min="6" max="9" width="16.625" style="3" bestFit="1" customWidth="1"/>
    <col min="10" max="13" width="16.625" style="3" customWidth="1"/>
    <col min="14" max="14" width="24.625" style="3" customWidth="1"/>
  </cols>
  <sheetData>
    <row r="3" spans="1:1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>
      <c r="A10" s="247" t="s">
        <v>658</v>
      </c>
      <c r="B10" s="247" t="s">
        <v>359</v>
      </c>
      <c r="C10"/>
      <c r="D10"/>
      <c r="E10"/>
    </row>
    <row r="11" spans="1:1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>
      <c r="B22"/>
      <c r="C22"/>
      <c r="D22"/>
      <c r="E22"/>
    </row>
    <row r="23" spans="1:5">
      <c r="B23"/>
      <c r="C23"/>
      <c r="D23"/>
      <c r="E23"/>
    </row>
    <row r="25" spans="1:5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6.5"/>
  <cols>
    <col min="1" max="1" width="3.5" style="16" customWidth="1"/>
    <col min="2" max="3" width="12.75" style="16" customWidth="1"/>
    <col min="4" max="4" width="12.75" style="17" customWidth="1"/>
    <col min="5" max="6" width="8" style="16"/>
    <col min="7" max="7" width="14.625" style="16" bestFit="1" customWidth="1"/>
    <col min="8" max="8" width="14.375" style="16" bestFit="1" customWidth="1"/>
    <col min="9" max="9" width="8.25" style="16" bestFit="1" customWidth="1"/>
    <col min="10" max="10" width="32" style="16" bestFit="1" customWidth="1"/>
    <col min="11" max="11" width="34.125" style="16" bestFit="1" customWidth="1"/>
    <col min="12" max="12" width="13.375" style="16" bestFit="1" customWidth="1"/>
    <col min="13" max="13" width="13" style="16" bestFit="1" customWidth="1"/>
    <col min="14" max="14" width="25.625" style="16" bestFit="1" customWidth="1"/>
    <col min="15" max="16384" width="8" style="16"/>
  </cols>
  <sheetData>
    <row r="1" spans="2:14">
      <c r="B1" s="15">
        <f>SUBTOTAL(3,B3:B41)</f>
        <v>39</v>
      </c>
    </row>
    <row r="2" spans="2:1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>
      <c r="B39" s="20" t="s">
        <v>270</v>
      </c>
      <c r="C39" s="20" t="s">
        <v>649</v>
      </c>
      <c r="D39" s="21"/>
    </row>
    <row r="40" spans="2:14">
      <c r="B40" s="20" t="s">
        <v>274</v>
      </c>
      <c r="C40" s="20" t="s">
        <v>649</v>
      </c>
      <c r="D40" s="21"/>
    </row>
    <row r="41" spans="2:14">
      <c r="B41" s="20" t="s">
        <v>650</v>
      </c>
      <c r="C41" s="20" t="s">
        <v>649</v>
      </c>
      <c r="D41" s="21"/>
    </row>
    <row r="42" spans="2:14">
      <c r="B42" s="20" t="s">
        <v>651</v>
      </c>
      <c r="C42" s="20" t="s">
        <v>649</v>
      </c>
      <c r="D42" s="21"/>
    </row>
    <row r="43" spans="2:14">
      <c r="B43" s="20" t="s">
        <v>652</v>
      </c>
      <c r="C43" s="20" t="s">
        <v>652</v>
      </c>
      <c r="D43" s="21"/>
    </row>
    <row r="44" spans="2:14">
      <c r="B44" s="20" t="s">
        <v>159</v>
      </c>
      <c r="C44" s="20" t="s">
        <v>137</v>
      </c>
      <c r="D44" s="21"/>
    </row>
    <row r="45" spans="2:14">
      <c r="B45" s="20" t="s">
        <v>535</v>
      </c>
      <c r="C45" s="20" t="s">
        <v>92</v>
      </c>
      <c r="D45" s="21"/>
    </row>
    <row r="46" spans="2:14">
      <c r="B46" s="20" t="s">
        <v>653</v>
      </c>
      <c r="C46" s="20" t="s">
        <v>17</v>
      </c>
      <c r="D46" s="21"/>
    </row>
    <row r="47" spans="2:14">
      <c r="B47" s="20" t="s">
        <v>654</v>
      </c>
      <c r="C47" s="20" t="s">
        <v>71</v>
      </c>
      <c r="D47" s="21"/>
    </row>
    <row r="48" spans="2:1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박재은</cp:lastModifiedBy>
  <dcterms:created xsi:type="dcterms:W3CDTF">2024-10-29T06:57:50Z</dcterms:created>
  <dcterms:modified xsi:type="dcterms:W3CDTF">2026-05-04T00:34:54Z</dcterms:modified>
</cp:coreProperties>
</file>