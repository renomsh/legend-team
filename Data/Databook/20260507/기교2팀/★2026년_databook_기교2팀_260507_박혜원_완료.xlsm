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hyewon7096\Desktop\박혜원-파일\02. 행정업무\기업교육2팀(구 4팀)\01. 데이터북\"/>
    </mc:Choice>
  </mc:AlternateContent>
  <bookViews>
    <workbookView xWindow="0" yWindow="0" windowWidth="23040" windowHeight="8064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25"/>
    <pivotCache cacheId="1" r:id="rId26"/>
    <pivotCache cacheId="2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17" i="15"/>
  <c r="AE417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9" i="15"/>
  <c r="AE429" i="15" s="1"/>
  <c r="AC430" i="15"/>
  <c r="AE430" i="15" s="1"/>
  <c r="AC418" i="15"/>
  <c r="AE418" i="15" s="1"/>
  <c r="AC431" i="15"/>
  <c r="AE431" i="15" s="1"/>
  <c r="AC410" i="15"/>
  <c r="AE410" i="15" s="1"/>
  <c r="AC433" i="15"/>
  <c r="AE433" i="15" s="1"/>
  <c r="AC412" i="15"/>
  <c r="AE412" i="15" s="1"/>
  <c r="AC411" i="15"/>
  <c r="AE411" i="15" s="1"/>
  <c r="AC432" i="15"/>
  <c r="AE432" i="15" s="1"/>
  <c r="AC437" i="15"/>
  <c r="AE437" i="15" s="1"/>
  <c r="AC434" i="15"/>
  <c r="AE434" i="15" s="1"/>
  <c r="AC435" i="15"/>
  <c r="AE435" i="15" s="1"/>
  <c r="AC436" i="15"/>
  <c r="AE436" i="15" s="1"/>
  <c r="AC438" i="15"/>
  <c r="AE438" i="15" s="1"/>
  <c r="AC440" i="15"/>
  <c r="AE440" i="15" s="1"/>
  <c r="AC439" i="15"/>
  <c r="AE439" i="15" s="1"/>
  <c r="AC419" i="15"/>
  <c r="AE419" i="15" s="1"/>
  <c r="AC441" i="15"/>
  <c r="AE441" i="15" s="1"/>
  <c r="AC442" i="15"/>
  <c r="AE442" i="15" s="1"/>
  <c r="AC445" i="15"/>
  <c r="AE445" i="15" s="1"/>
  <c r="AC443" i="15"/>
  <c r="AE443" i="15" s="1"/>
  <c r="AC415" i="15"/>
  <c r="AE415" i="15" s="1"/>
  <c r="AC444" i="15"/>
  <c r="AE444" i="15" s="1"/>
  <c r="AC446" i="15"/>
  <c r="AE446" i="15" s="1"/>
  <c r="AC447" i="15"/>
  <c r="AE447" i="15" s="1"/>
  <c r="AC421" i="15"/>
  <c r="AE421" i="15" s="1"/>
  <c r="AC448" i="15"/>
  <c r="AE448" i="15" s="1"/>
  <c r="AC449" i="15"/>
  <c r="AE449" i="15" s="1"/>
  <c r="AC452" i="15"/>
  <c r="AE452" i="15" s="1"/>
  <c r="AC450" i="15"/>
  <c r="AE450" i="15" s="1"/>
  <c r="AC413" i="15"/>
  <c r="AE413" i="15" s="1"/>
  <c r="AC451" i="15"/>
  <c r="AE451" i="15" s="1"/>
  <c r="AC407" i="15"/>
  <c r="AE407" i="15" s="1"/>
  <c r="AC454" i="15"/>
  <c r="AE454" i="15" s="1"/>
  <c r="AC453" i="15"/>
  <c r="AE453" i="15" s="1"/>
  <c r="AC455" i="15"/>
  <c r="AE455" i="15" s="1"/>
  <c r="AC456" i="15"/>
  <c r="AE456" i="15" s="1"/>
  <c r="AC457" i="15"/>
  <c r="AE457" i="15" s="1"/>
  <c r="AC414" i="15"/>
  <c r="AE414" i="15" s="1"/>
  <c r="AC458" i="15"/>
  <c r="AE458" i="15" s="1"/>
  <c r="AC461" i="15"/>
  <c r="AE461" i="15" s="1"/>
  <c r="AC459" i="15"/>
  <c r="AE459" i="15" s="1"/>
  <c r="AC460" i="15"/>
  <c r="AE460" i="15" s="1"/>
  <c r="AC462" i="15"/>
  <c r="AE462" i="15" s="1"/>
  <c r="AC416" i="15"/>
  <c r="AE416" i="15" s="1"/>
  <c r="AC464" i="15"/>
  <c r="AE464" i="15" s="1"/>
  <c r="AC463" i="15"/>
  <c r="AE463" i="15" s="1"/>
  <c r="AC406" i="15"/>
  <c r="AE406" i="15" s="1"/>
  <c r="AC405" i="15"/>
  <c r="AE405" i="15" s="1"/>
  <c r="AC465" i="15"/>
  <c r="AE465" i="15" s="1"/>
  <c r="AC468" i="15"/>
  <c r="AE468" i="15" s="1"/>
  <c r="AC466" i="15"/>
  <c r="AE466" i="15" s="1"/>
  <c r="AC467" i="15"/>
  <c r="AE467" i="15" s="1"/>
  <c r="AC469" i="15"/>
  <c r="AE469" i="15" s="1"/>
  <c r="AC470" i="15"/>
  <c r="AE470" i="15" s="1"/>
  <c r="AC472" i="15"/>
  <c r="AE472" i="15" s="1"/>
  <c r="AC428" i="15"/>
  <c r="AE428" i="15" s="1"/>
  <c r="AC408" i="15"/>
  <c r="AE408" i="15" s="1"/>
  <c r="AC471" i="15"/>
  <c r="AE471" i="15" s="1"/>
  <c r="AC475" i="15"/>
  <c r="AE475" i="15" s="1"/>
  <c r="AC420" i="15"/>
  <c r="AE420" i="15" s="1"/>
  <c r="AC422" i="15"/>
  <c r="AE422" i="15" s="1"/>
  <c r="AC473" i="15"/>
  <c r="AE473" i="15" s="1"/>
  <c r="AC474" i="15"/>
  <c r="AE474" i="15" s="1"/>
  <c r="AC409" i="15"/>
  <c r="AE409" i="15" s="1"/>
  <c r="AC404" i="15"/>
  <c r="AE404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<sst xmlns="http://schemas.openxmlformats.org/spreadsheetml/2006/main" count="9807" uniqueCount="876">
  <si>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</si>
  <si>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</si>
  <si>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</si>
  <si>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</si>
  <si>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</si>
  <si>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</si>
  <si>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</si>
  <si>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</si>
  <si>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</si>
  <si>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</si>
  <si>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</si>
  <si>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</si>
  <si>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</si>
  <si>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</si>
  <si>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</si>
  <si>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</si>
  <si>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</si>
  <si>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</si>
  <si>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</si>
  <si>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</si>
  <si>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</si>
  <si>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</si>
  <si>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</si>
  <si>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</si>
  <si>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</si>
  <si>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</si>
  <si>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</si>
  <si>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</si>
  <si>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</si>
  <si>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</si>
  <si>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</si>
  <si>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</si>
  <si>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</si>
  <si>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</si>
  <si>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</si>
  <si>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</si>
  <si>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</si>
  <si>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</si>
  <si>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</si>
  <si>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</si>
  <si>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</si>
  <si>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</si>
  <si>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</si>
  <si>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</si>
  <si>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</si>
  <si>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</si>
  <si>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</si>
  <si>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</si>
  <si>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</si>
  <si>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</si>
  <si>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</si>
  <si>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</si>
  <si>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</si>
  <si>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</si>
  <si>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</si>
  <si>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</si>
  <si>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</si>
  <si>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</si>
  <si>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</si>
  <si>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</si>
  <si>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</si>
  <si>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</si>
  <si>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</si>
  <si>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</si>
  <si>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</si>
  <si>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</si>
  <si>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</si>
  <si>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</si>
  <si>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</si>
  <si>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</si>
  <si>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</si>
  <si>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</si>
  <si>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</si>
  <si>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</si>
  <si>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</si>
  <si>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</si>
  <si>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</si>
  <si>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</si>
  <si>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</si>
  <si>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</si>
  <si>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</si>
  <si>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</si>
  <si>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</si>
  <si>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</si>
  <si>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</si>
  <si>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</si>
  <si>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</si>
  <si>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</si>
  <si>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</si>
  <si>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</si>
  <si>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</si>
  <si>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</si>
  <si>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</si>
  <si>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</si>
  <si>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</si>
  <si>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</si>
  <si>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</si>
  <si>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</si>
  <si>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</si>
  <si>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</si>
  <si>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</si>
  <si>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</si>
  <si>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</si>
  <si>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</si>
  <si>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</si>
  <si>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</si>
  <si>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</si>
  <si>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</si>
  <si>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</si>
  <si>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</si>
  <si>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</si>
  <si>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</si>
  <si>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</si>
  <si>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</si>
  <si>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</si>
  <si>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</si>
  <si>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</si>
  <si>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</si>
  <si>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</si>
  <si>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</si>
  <si>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</si>
  <si>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</si>
  <si>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</si>
  <si>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</si>
  <si>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</si>
  <si>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</si>
  <si>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</si>
  <si>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</si>
  <si>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</si>
  <si>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</si>
  <si>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</si>
  <si>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</si>
  <si>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</si>
  <si>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</si>
  <si>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</si>
  <si>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</si>
  <si>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</si>
  <si>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</si>
  <si>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</si>
  <si>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</si>
  <si>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</si>
  <si>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</si>
  <si>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</si>
  <si>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</si>
  <si>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</si>
  <si>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</si>
  <si>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</si>
  <si>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</si>
  <si>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</si>
  <si>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</si>
  <si>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</si>
  <si>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</si>
  <si>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</si>
  <si>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</si>
  <si>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</si>
  <si>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</si>
  <si>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</si>
  <si>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</si>
  <si>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</si>
  <si>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</si>
  <si>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</si>
  <si>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</si>
  <si>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</si>
  <si>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</si>
  <si>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</si>
  <si>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</si>
  <si>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</si>
  <si>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</si>
  <si>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</si>
  <si>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</si>
  <si>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</si>
  <si>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</si>
  <si>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</si>
  <si>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</si>
  <si>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</si>
  <si>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</si>
  <si>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</si>
  <si>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</si>
  <si>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</si>
  <si>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</si>
  <si>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</si>
  <si>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</si>
  <si>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</si>
  <si>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</si>
  <si>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</si>
  <si>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</si>
  <si>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</si>
  <si>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</si>
  <si>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</si>
  <si>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</si>
  <si>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</si>
  <si>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</si>
  <si>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</si>
  <si>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</si>
  <si>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</si>
  <si>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</si>
  <si>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</si>
  <si>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</si>
  <si>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</si>
  <si>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</si>
  <si>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</si>
  <si>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</si>
  <si>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</si>
  <si>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</si>
  <si>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</si>
  <si>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</si>
  <si>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</si>
  <si>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</si>
  <si>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</si>
  <si>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</si>
  <si>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</si>
  <si>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</si>
  <si>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</si>
  <si>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</si>
  <si>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</si>
  <si>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</si>
  <si>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</si>
  <si>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</si>
  <si>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</si>
  <si>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</si>
  <si>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</si>
  <si>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</si>
  <si>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</si>
  <si>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</si>
  <si>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</si>
  <si>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</si>
  <si>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</si>
  <si>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</si>
  <si>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</si>
  <si>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</si>
  <si>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</si>
  <si>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</si>
  <si>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</si>
  <si>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</si>
  <si>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</si>
  <si>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</si>
  <si>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</si>
  <si>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</si>
  <si>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</si>
  <si>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</si>
  <si>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</si>
  <si>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</si>
  <si>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</si>
  <si>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</si>
  <si>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</si>
  <si>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</si>
  <si>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</si>
  <si>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</si>
  <si>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</si>
  <si>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</si>
  <si>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</si>
  <si>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</si>
  <si>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</si>
  <si>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</si>
  <si>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</si>
  <si>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</si>
  <si>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</si>
  <si>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</si>
  <si>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</si>
  <si>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</si>
  <si>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</si>
  <si>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</si>
  <si>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</si>
  <si>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</si>
  <si>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</si>
  <si>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</si>
  <si>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</si>
  <si>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</si>
  <si>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</si>
  <si>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</si>
  <si>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</si>
  <si>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</si>
  <si>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</si>
  <si>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</si>
  <si>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</si>
  <si>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</si>
  <si>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</si>
  <si>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</si>
  <si>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</si>
  <si>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</si>
  <si>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</si>
  <si>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</si>
  <si>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</si>
  <si>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</si>
  <si>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</si>
  <si>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</si>
  <si>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</si>
  <si>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</si>
  <si>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</si>
  <si>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</si>
  <si>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</si>
  <si>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</si>
  <si>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</si>
  <si>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</si>
  <si>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</si>
  <si>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</si>
  <si>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</si>
  <si>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</si>
  <si>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</si>
  <si>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</si>
  <si>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</si>
  <si>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</si>
  <si>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</si>
  <si>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</si>
  <si>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</si>
  <si>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</si>
  <si>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</si>
  <si>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</si>
  <si>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</si>
  <si>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</si>
  <si>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</si>
  <si>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</si>
  <si>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</si>
  <si>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</si>
  <si>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</si>
  <si>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</si>
  <si>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</si>
  <si>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</si>
  <si>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</si>
  <si>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</si>
  <si>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</si>
  <si>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</si>
  <si>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</si>
  <si>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</si>
  <si>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</si>
  <si>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</si>
  <si>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</si>
  <si>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</si>
  <si>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</si>
  <si>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</si>
  <si>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</si>
  <si>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</si>
  <si>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</si>
  <si>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</si>
  <si>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</si>
  <si>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</si>
  <si>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</si>
  <si>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</si>
  <si>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</si>
  <si>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</si>
  <si>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</si>
  <si>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</si>
  <si>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</si>
  <si>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</si>
  <si>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</si>
  <si>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</si>
  <si>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</si>
  <si>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</si>
  <si>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</si>
  <si>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</si>
  <si>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</si>
  <si>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</si>
  <si>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</si>
  <si>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</si>
  <si>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</si>
  <si>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</si>
  <si>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</si>
  <si>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</si>
  <si>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</si>
  <si>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</si>
  <si>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</si>
  <si>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</si>
  <si>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</si>
  <si>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</si>
  <si>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</si>
  <si>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</si>
  <si>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</si>
  <si>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</si>
  <si>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</si>
  <si>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</si>
  <si>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</si>
  <si>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</si>
  <si>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</si>
  <si>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</si>
  <si>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</si>
  <si>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</si>
  <si>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</si>
  <si>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</si>
  <si>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</si>
  <si>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</si>
  <si>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</si>
  <si>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</si>
  <si>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</si>
  <si>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</si>
  <si>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</si>
  <si>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</si>
  <si>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</si>
  <si>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</si>
  <si>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</si>
  <si>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</si>
  <si>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</si>
  <si>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</si>
  <si>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</si>
  <si>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</si>
  <si>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</si>
  <si>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</si>
  <si>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</si>
  <si>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</si>
  <si>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</si>
  <si>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</si>
  <si>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</si>
  <si>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</si>
  <si>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</si>
  <si>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</si>
  <si>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</si>
  <si>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</si>
  <si>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</si>
  <si>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</si>
  <si>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</si>
  <si>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</si>
  <si>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</si>
  <si>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</si>
  <si>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</si>
  <si>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</si>
  <si>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</si>
  <si>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</si>
  <si>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</si>
  <si>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</si>
  <si>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</si>
  <si>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</si>
  <si>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</si>
  <si>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</si>
  <si>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</si>
  <si>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</si>
  <si>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</si>
  <si>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</si>
  <si>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</si>
  <si>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</si>
  <si>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</si>
  <si>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</si>
  <si>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</si>
  <si>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</si>
  <si>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</si>
  <si>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</si>
  <si>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</si>
  <si>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</si>
  <si>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</si>
  <si>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</si>
  <si>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</si>
  <si>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</si>
  <si>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</si>
  <si>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</si>
  <si>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</si>
  <si>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</si>
  <si>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</si>
  <si>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</si>
  <si>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</si>
  <si>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</si>
  <si>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</si>
  <si>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</si>
  <si>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</si>
  <si>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</si>
  <si>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</si>
  <si>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</si>
  <si>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</si>
  <si>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</si>
  <si>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</si>
  <si>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</si>
  <si>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</si>
  <si>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</si>
  <si>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</si>
  <si>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</si>
  <si>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</si>
  <si>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</si>
  <si>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</si>
  <si>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</si>
  <si>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</si>
  <si>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</si>
  <si>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</si>
  <si>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</si>
  <si>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</si>
  <si>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</si>
  <si>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</si>
  <si>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</si>
  <si>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</si>
  <si>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</si>
  <si>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</si>
  <si>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</si>
  <si>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</si>
  <si>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</si>
  <si>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</si>
  <si>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</si>
  <si>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</si>
  <si>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</si>
  <si>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</si>
  <si>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</si>
  <si>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</si>
  <si>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</si>
  <si>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</si>
  <si>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</si>
  <si>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</si>
  <si>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</si>
  <si>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</si>
  <si>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</si>
  <si>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</si>
  <si>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</si>
  <si>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</si>
  <si>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</si>
  <si>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</si>
  <si>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</si>
  <si>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</si>
  <si>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</si>
  <si>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</si>
  <si>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</si>
  <si>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</si>
  <si>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</si>
  <si>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</si>
  <si>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</si>
  <si>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</si>
  <si>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</si>
  <si>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</si>
  <si>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</si>
  <si>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</si>
  <si>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</si>
  <si>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</si>
  <si>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</si>
  <si>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</si>
  <si>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</si>
  <si>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</si>
  <si>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</si>
  <si>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</si>
  <si>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</si>
  <si>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</si>
  <si>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</si>
  <si>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</si>
  <si>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</si>
  <si>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</si>
  <si>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</si>
  <si>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</si>
  <si>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</si>
  <si>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</si>
  <si>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</si>
  <si>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</si>
  <si>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</si>
  <si>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</si>
  <si>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</si>
  <si>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</si>
  <si>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</si>
  <si>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</si>
  <si>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</si>
  <si>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</si>
  <si>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</si>
  <si>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</si>
  <si>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</si>
  <si>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</si>
  <si>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</si>
  <si>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</si>
  <si>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</si>
  <si>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</si>
  <si>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</si>
  <si>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</si>
  <si>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</si>
  <si>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</si>
  <si>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</si>
  <si>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</si>
  <si>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</si>
  <si>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</si>
  <si>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</si>
  <si>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</si>
  <si>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</si>
  <si>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</si>
  <si>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</si>
  <si>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</si>
  <si>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</si>
  <si>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</si>
  <si>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</si>
  <si>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</si>
  <si>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</si>
  <si>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</si>
  <si>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</si>
  <si>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</si>
  <si>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</si>
  <si>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</si>
  <si>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</si>
  <si>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</si>
  <si>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</si>
  <si>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</si>
  <si>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</si>
  <si>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</si>
  <si>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</si>
  <si>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</si>
  <si>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</si>
  <si>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</si>
  <si>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</si>
  <si>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</si>
  <si>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</si>
  <si>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</si>
  <si>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</si>
  <si>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</si>
  <si>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</si>
  <si>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</si>
  <si>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</si>
  <si>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</si>
  <si>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</si>
  <si>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</si>
  <si>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</si>
  <si>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</si>
  <si>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</si>
  <si>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</si>
  <si>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</si>
  <si>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</si>
  <si>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</si>
  <si>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</si>
  <si>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</si>
  <si>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</si>
  <si>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</si>
  <si>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</si>
  <si>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</si>
  <si>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</si>
  <si>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</si>
  <si>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</si>
  <si>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</si>
  <si>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</si>
  <si>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</si>
  <si>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</si>
  <si>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</si>
  <si>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</si>
  <si>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</si>
  <si>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</si>
  <si>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</si>
  <si>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</si>
  <si>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</si>
  <si>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</si>
  <si>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</si>
  <si>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</si>
  <si>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</si>
  <si>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</si>
  <si>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</si>
  <si>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</si>
  <si>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</si>
  <si>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</si>
  <si>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</si>
  <si>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</si>
  <si>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</si>
  <si>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</si>
  <si>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</si>
  <si>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</si>
  <si>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</si>
  <si>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</si>
  <si>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</si>
  <si>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</si>
  <si>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</si>
  <si>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</si>
  <si>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</si>
  <si>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</si>
  <si>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</si>
  <si>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</si>
  <si>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</si>
  <si>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</si>
  <si>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</si>
  <si>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</si>
  <si>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</si>
  <si>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</si>
  <si>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</si>
  <si>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</si>
  <si>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</si>
  <si>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</si>
  <si>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</si>
  <si>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</si>
  <si>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</si>
  <si>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</si>
  <si>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</si>
  <si>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</si>
  <si>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</si>
  <si>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</si>
  <si>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</si>
  <si>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</si>
  <si>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</si>
  <si>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</si>
  <si>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</si>
  <si>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</si>
  <si>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</si>
  <si>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</si>
  <si>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</si>
  <si>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</si>
  <si>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</si>
  <si>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</si>
  <si>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</si>
  <si>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</si>
  <si>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</si>
  <si>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</si>
  <si>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</si>
  <si>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</si>
  <si>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</si>
  <si>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</si>
  <si>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</si>
  <si>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</si>
  <si>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</si>
  <si>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</si>
  <si>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</si>
  <si>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</si>
  <si>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</si>
  <si>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</si>
  <si>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</si>
  <si>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</si>
  <si>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</si>
  <si>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</si>
  <si>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</si>
  <si>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</si>
  <si>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</si>
  <si>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</si>
  <si>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</si>
  <si>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</si>
  <si>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</si>
  <si>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</si>
  <si>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</si>
  <si>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</si>
  <si>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</si>
  <si>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</si>
  <si>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</si>
  <si>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</si>
  <si>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</si>
  <si>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</si>
  <si>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</si>
  <si>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</si>
  <si>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</si>
  <si>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</si>
  <si>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</si>
  <si>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</si>
  <si>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</si>
  <si>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</si>
  <si>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</si>
  <si>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</si>
  <si>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</si>
  <si>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</si>
  <si>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</si>
  <si>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</si>
  <si>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</si>
  <si>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</si>
  <si>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</si>
  <si>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</si>
  <si>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</si>
  <si>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</si>
  <si>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</si>
  <si>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</si>
  <si>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</si>
  <si>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</si>
  <si>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</si>
  <si>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</si>
  <si>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</si>
  <si>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</si>
  <si>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</si>
  <si>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</si>
  <si>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</si>
  <si>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</si>
  <si>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</si>
  <si>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</si>
  <si>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</si>
  <si>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</si>
  <si>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</si>
  <si>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</si>
  <si>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</si>
  <si>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</si>
  <si>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</si>
  <si>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</si>
  <si>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</si>
  <si>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</si>
  <si>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</si>
  <si>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</si>
  <si>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</si>
  <si>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</si>
  <si>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</si>
  <si>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</si>
  <si>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</si>
  <si>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</si>
  <si>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</si>
  <si>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</si>
  <si>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</si>
  <si>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</si>
  <si>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</si>
  <si>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</si>
  <si>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</si>
  <si>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</si>
  <si>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</si>
  <si>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</si>
  <si>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</si>
  <si>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</si>
  <si>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</si>
  <si>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</si>
  <si>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</si>
  <si>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</si>
  <si>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</si>
  <si>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</si>
  <si>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</si>
  <si>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</si>
  <si>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</si>
  <si>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</si>
  <si>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</si>
  <si>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</si>
  <si>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</si>
  <si>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</si>
  <si>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</si>
  <si>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</si>
  <si>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</si>
  <si>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</si>
  <si>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</si>
  <si>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</si>
  <si>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</si>
  <si>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</si>
  <si>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</si>
  <si>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</si>
  <si>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</si>
  <si>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</si>
  <si>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</si>
  <si>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</si>
  <si>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</si>
  <si>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</si>
  <si>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</si>
  <si>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</si>
  <si>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</si>
  <si>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</si>
  <si>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</si>
  <si>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</si>
  <si>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</si>
  <si>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</si>
  <si>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</si>
  <si>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</si>
  <si>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</si>
  <si>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</si>
  <si>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</si>
  <si>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</si>
  <si>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</si>
  <si>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</si>
  <si>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</si>
  <si>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</si>
  <si>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</si>
  <si>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</si>
  <si>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</si>
  <si>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</si>
  <si>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</si>
  <si>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</si>
  <si>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</si>
  <si>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</si>
  <si>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</si>
  <si>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</si>
  <si>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</si>
  <si>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</si>
  <si>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</si>
  <si>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</si>
  <si>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</si>
  <si>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</si>
  <si>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</si>
  <si>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</si>
  <si>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</si>
  <si>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</si>
  <si>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</si>
  <si>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</si>
  <si>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</si>
  <si>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</si>
  <si>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</si>
  <si>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</si>
  <si>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</si>
  <si>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</si>
  <si>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</si>
  <si>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</si>
  <si>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</si>
  <si>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</si>
  <si>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</si>
  <si>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</si>
  <si>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</si>
  <si>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</si>
  <si>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</si>
  <si>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</si>
  <si>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</si>
  <si>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</si>
  <si>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</si>
  <si>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</si>
  <si>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</si>
  <si>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</si>
  <si>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</si>
  <si>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</si>
  <si>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</si>
  <si>
    <t>8월 기성시 1~7월교육비 통합 발행</t>
    <phoneticPr fontId="2" type="noConversion"/>
  </si>
  <si>
    <t>개발 수정중으로 종료후 5월 발행</t>
    <phoneticPr fontId="2" type="noConversion"/>
  </si>
  <si>
    <t>5월 발행</t>
    <phoneticPr fontId="2" type="noConversion"/>
  </si>
  <si>
    <t>3월 예스24 과정 결과미반영으로 2분기로 이월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</si>
</sst>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176" fontId="5" fillId="4" borderId="2" xfId="8" applyFont="1" applyFill="1" applyBorder="1" applyAlignment="1" applyProtection="1">
      <alignment horizontal="right" vertical="center" shrinkToFit="1"/>
      <protection locked="0"/>
    </xf>
    <xf numFmtId="176" fontId="11" fillId="4" borderId="2" xfId="8" applyFont="1" applyFill="1" applyBorder="1" applyAlignment="1" applyProtection="1">
      <alignment horizontal="right" vertical="center" shrinkToFit="1"/>
      <protection locked="0"/>
    </xf>
    <xf numFmtId="0" fontId="11" fillId="4" borderId="3" xfId="0" applyFont="1" applyFill="1" applyBorder="1" applyAlignment="1" applyProtection="1">
      <alignment horizontal="center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1" type="button" dataOnly="0" labelOnly="1" outline="0" axis="axisCol" fieldPosition="0"/>
    </format>
    <format dxfId="12">
      <pivotArea dataOnly="0" labelOnly="1" fieldPosition="0">
        <references count="1">
          <reference field="11" count="0"/>
        </references>
      </pivotArea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1" type="button" dataOnly="0" labelOnly="1" outline="0"/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 axis="axisRow" fieldPosition="0"/>
    </format>
    <format dxfId="26">
      <pivotArea dataOnly="0" labelOnly="1" fieldPosition="0">
        <references count="1">
          <reference field="11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7">
      <pivotArea outline="0" collapsedLevelsAreSubtotals="1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10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9">
      <pivotArea collapsedLevelsAreSubtotals="1" fieldPosition="0">
        <references count="1">
          <reference field="25" count="0"/>
        </references>
      </pivotArea>
    </format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.399999999999999"/>
  <cols>
    <col min="1" max="1" width="35.69921875" style="50" customWidth="1"/>
    <col min="2" max="10" width="13.699218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69921875" style="49" bestFit="1" customWidth="1"/>
  </cols>
  <sheetData>
    <row r="3" spans="1:1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>
      <c r="A25"/>
      <c r="B25"/>
      <c r="C25"/>
      <c r="D25"/>
      <c r="E25"/>
    </row>
    <row r="28" spans="1:1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zoomScale="70" zoomScaleNormal="70" workbookViewId="0">
      <selection activeCell="AP9" sqref="AP9"/>
    </sheetView>
  </sheetViews>
  <sheetFormatPr defaultColWidth="4.3984375" defaultRowHeight="17.399999999999999" outlineLevelRow="1" outlineLevelCol="1"/>
  <cols>
    <col min="1" max="1" width="8.898437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.69921875" style="184" customWidth="1"/>
    <col min="11" max="12" width="9.69921875" style="184" hidden="1" customWidth="1" outlineLevel="1"/>
    <col min="13" max="13" width="9.69921875" style="184" customWidth="1" collapsed="1"/>
    <col min="14" max="14" width="19" style="184" hidden="1" customWidth="1" outlineLevel="1"/>
    <col min="15" max="16" width="8.8984375" style="183" hidden="1" customWidth="1" outlineLevel="1"/>
    <col min="17" max="17" width="31.19921875" style="183" hidden="1" customWidth="1" outlineLevel="1"/>
    <col min="18" max="18" width="24.5" style="183" hidden="1" customWidth="1" outlineLevel="1"/>
    <col min="19" max="19" width="31.19921875" style="183" customWidth="1" collapsed="1"/>
    <col min="20" max="20" width="17.69921875" style="183" hidden="1" customWidth="1" outlineLevel="1"/>
    <col min="21" max="22" width="18.09765625" style="185" hidden="1" customWidth="1" outlineLevel="1"/>
    <col min="23" max="23" width="18.09765625" style="185" customWidth="1" collapsed="1"/>
    <col min="24" max="24" width="18.09765625" style="185" hidden="1" customWidth="1" outlineLevel="1"/>
    <col min="25" max="25" width="14.69921875" style="183" hidden="1" customWidth="1" outlineLevel="1"/>
    <col min="26" max="26" width="15.69921875" style="2" customWidth="1" collapsed="1"/>
    <col min="27" max="28" width="15.69921875" style="2" hidden="1" customWidth="1" outlineLevel="1"/>
    <col min="29" max="29" width="14.69921875" style="14" customWidth="1" collapsed="1"/>
    <col min="30" max="30" width="14.69921875" style="14" customWidth="1"/>
    <col min="31" max="31" width="14.19921875" style="14" customWidth="1"/>
    <col min="32" max="32" width="16.8984375" style="4" hidden="1" customWidth="1" outlineLevel="1"/>
    <col min="33" max="33" width="16.8984375" style="4" hidden="1" customWidth="1" collapsed="1"/>
    <col min="34" max="35" width="16.8984375" style="4" hidden="1" customWidth="1" outlineLevel="1"/>
    <col min="36" max="36" width="16.8984375" style="4" hidden="1" customWidth="1" collapsed="1"/>
    <col min="37" max="37" width="16.8984375" style="4" hidden="1" customWidth="1" outlineLevel="1"/>
    <col min="38" max="38" width="15" style="4" hidden="1" customWidth="1" outlineLevel="1"/>
    <col min="39" max="39" width="15" style="4" hidden="1" customWidth="1" collapsed="1"/>
    <col min="40" max="40" width="16.8984375" style="4" hidden="1" customWidth="1" outlineLevel="1"/>
    <col min="41" max="41" width="15" style="4" customWidth="1" collapsed="1"/>
    <col min="42" max="42" width="16.8984375" style="4" customWidth="1"/>
    <col min="43" max="43" width="15" style="4" customWidth="1"/>
    <col min="44" max="44" width="16.8984375" style="4" customWidth="1"/>
    <col min="45" max="45" width="15.09765625" style="4" customWidth="1"/>
    <col min="46" max="46" width="16.8984375" style="4" customWidth="1"/>
    <col min="47" max="47" width="15" style="4" customWidth="1"/>
    <col min="48" max="48" width="16.8984375" style="4" customWidth="1"/>
    <col min="49" max="49" width="15" style="4" customWidth="1"/>
    <col min="50" max="50" width="16.8984375" style="4" customWidth="1"/>
    <col min="51" max="51" width="15" style="4" customWidth="1"/>
    <col min="52" max="52" width="16.8984375" style="4" customWidth="1"/>
    <col min="53" max="53" width="15" style="4" customWidth="1"/>
    <col min="54" max="54" width="16.8984375" style="4" customWidth="1"/>
    <col min="55" max="57" width="15" style="4" customWidth="1"/>
    <col min="58" max="58" width="16.8984375" style="4" customWidth="1"/>
    <col min="59" max="59" width="8.69921875" style="195" customWidth="1"/>
    <col min="60" max="16384" width="4.3984375" style="195"/>
  </cols>
  <sheetData>
    <row r="1" spans="1:58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7.6" outlineLevel="1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customHeight="1" outlineLevel="1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outlineLevel="1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2873559730</v>
      </c>
      <c r="AD4" s="42">
        <f t="shared" ref="AD4:AD16" si="1"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outlineLevel="1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3081839442</v>
      </c>
      <c r="AD5" s="42">
        <f t="shared" si="1"/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outlineLevel="1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outlineLevel="1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outlineLevel="1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outlineLevel="1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909105673</v>
      </c>
      <c r="AD9" s="42">
        <f t="shared" si="1"/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outlineLevel="1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230427986</v>
      </c>
      <c r="AD10" s="42">
        <f t="shared" si="1"/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outlineLevel="1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outlineLevel="1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2018840642</v>
      </c>
      <c r="AD12" s="42">
        <f t="shared" si="1"/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outlineLevel="1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customHeight="1" outlineLevel="1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customHeight="1" outlineLevel="1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outlineLevel="1">
      <c r="W16" s="189" t="s">
        <v>317</v>
      </c>
      <c r="Z16" s="243">
        <v>16525831853</v>
      </c>
      <c r="AA16" s="243"/>
      <c r="AB16" s="243"/>
      <c r="AC16" s="243">
        <f>SUM(AC4:AC15)</f>
        <v>16525831853</v>
      </c>
      <c r="AD16" s="43">
        <f t="shared" si="1"/>
        <v>0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outlineLevel="1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>
      <c r="U18" s="236"/>
      <c r="V18" s="236"/>
      <c r="W18" s="236"/>
      <c r="X18" s="236"/>
    </row>
    <row r="19" spans="1:60">
      <c r="U19" s="235"/>
      <c r="V19" s="235"/>
      <c r="W19" s="235"/>
      <c r="X19" s="235"/>
      <c r="AD19" s="14" t="s">
        <v>730</v>
      </c>
    </row>
    <row r="20" spans="1:60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9.2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399999999999999" customHeight="1" thickBot="1">
      <c r="A22" s="6">
        <f>SUBTOTAL(3,A24:A2002)</f>
        <v>24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1369698108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1847980836</v>
      </c>
      <c r="AD22" s="8">
        <f t="shared" si="2"/>
        <v>1847980836</v>
      </c>
      <c r="AE22" s="8">
        <f t="shared" si="2"/>
        <v>0</v>
      </c>
      <c r="AF22" s="7">
        <f t="shared" si="2"/>
        <v>70007500</v>
      </c>
      <c r="AG22" s="269">
        <f t="shared" si="2"/>
        <v>70075500</v>
      </c>
      <c r="AH22" s="7">
        <f t="shared" si="2"/>
        <v>0</v>
      </c>
      <c r="AI22" s="7">
        <f t="shared" si="2"/>
        <v>47376050</v>
      </c>
      <c r="AJ22" s="269">
        <f t="shared" si="2"/>
        <v>42952068</v>
      </c>
      <c r="AK22" s="7">
        <f t="shared" si="2"/>
        <v>0</v>
      </c>
      <c r="AL22" s="7">
        <f t="shared" si="2"/>
        <v>0</v>
      </c>
      <c r="AM22" s="269">
        <f t="shared" si="2"/>
        <v>82656543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115936634</v>
      </c>
      <c r="AR22" s="7">
        <f t="shared" si="3"/>
        <v>0</v>
      </c>
      <c r="AS22" s="7">
        <f t="shared" si="3"/>
        <v>106300000</v>
      </c>
      <c r="AT22" s="7">
        <f t="shared" si="3"/>
        <v>0</v>
      </c>
      <c r="AU22" s="7">
        <f t="shared" si="3"/>
        <v>187090000</v>
      </c>
      <c r="AV22" s="7">
        <f t="shared" si="3"/>
        <v>0</v>
      </c>
      <c r="AW22" s="7">
        <f t="shared" si="3"/>
        <v>163189816</v>
      </c>
      <c r="AX22" s="7">
        <f t="shared" si="3"/>
        <v>0</v>
      </c>
      <c r="AY22" s="7">
        <f t="shared" si="3"/>
        <v>109300000</v>
      </c>
      <c r="AZ22" s="7">
        <f t="shared" si="3"/>
        <v>0</v>
      </c>
      <c r="BA22" s="7">
        <f t="shared" si="3"/>
        <v>240800000</v>
      </c>
      <c r="BB22" s="7">
        <f t="shared" si="3"/>
        <v>0</v>
      </c>
      <c r="BC22" s="7">
        <f t="shared" si="3"/>
        <v>105283175</v>
      </c>
      <c r="BD22" s="7">
        <f t="shared" si="3"/>
        <v>0</v>
      </c>
      <c r="BE22" s="7">
        <f t="shared" si="3"/>
        <v>337590820</v>
      </c>
      <c r="BF22" s="7"/>
    </row>
    <row r="23" spans="1:60" s="204" customFormat="1" ht="42" customHeight="1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55970800</v>
      </c>
      <c r="AD34" s="298">
        <v>55970800</v>
      </c>
      <c r="AE34" s="298">
        <f t="shared" si="5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972392320</v>
      </c>
      <c r="AD41" s="298">
        <v>972392320</v>
      </c>
      <c r="AE41" s="298">
        <f t="shared" si="5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358323420</v>
      </c>
      <c r="AD71" s="298">
        <v>358323420</v>
      </c>
      <c r="AE71" s="298">
        <f t="shared" si="5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 t="shared" si="6"/>
        <v>110000000</v>
      </c>
      <c r="AD133" s="298">
        <v>110000000</v>
      </c>
      <c r="AE133" s="298">
        <f t="shared" si="7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3" si="14">AG344+AJ344+AM344+AO344+AQ344+AS344+AU344+AW344+AY344+BA344+BC344+BE344</f>
        <v>4000000</v>
      </c>
      <c r="AD344" s="298">
        <v>4000000</v>
      </c>
      <c r="AE344" s="298">
        <f t="shared" ref="AE344:AE403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>
      <c r="A404" s="285">
        <v>452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 t="s">
        <v>249</v>
      </c>
      <c r="J404" s="291" t="s">
        <v>261</v>
      </c>
      <c r="K404" s="287"/>
      <c r="L404" s="287"/>
      <c r="M404" s="287">
        <v>3872</v>
      </c>
      <c r="N404" s="287" t="s">
        <v>32</v>
      </c>
      <c r="O404" s="287" t="s">
        <v>33</v>
      </c>
      <c r="P404" s="287"/>
      <c r="Q404" s="287"/>
      <c r="R404" s="287"/>
      <c r="S404" s="292" t="s">
        <v>340</v>
      </c>
      <c r="T404" s="293"/>
      <c r="U404" s="294"/>
      <c r="V404" s="294"/>
      <c r="W404" s="295"/>
      <c r="X404" s="296"/>
      <c r="Y404" s="287"/>
      <c r="Z404" s="297" t="s">
        <v>56</v>
      </c>
      <c r="AA404" s="313"/>
      <c r="AB404" s="313"/>
      <c r="AC404" s="298">
        <f>AG404+AJ404+AM404+AO404+AQ404+AS404+AU404+AW404+AY404+BA404+BC404+BE404</f>
        <v>190000000</v>
      </c>
      <c r="AD404" s="298">
        <v>190000000</v>
      </c>
      <c r="AE404" s="298">
        <f>AC404-AD404</f>
        <v>0</v>
      </c>
      <c r="AF404" s="299"/>
      <c r="AG404" s="300"/>
      <c r="AH404" s="299"/>
      <c r="AI404" s="299"/>
      <c r="AJ404" s="300"/>
      <c r="AK404" s="299"/>
      <c r="AL404" s="301"/>
      <c r="AM404" s="314"/>
      <c r="AN404" s="301"/>
      <c r="AO404" s="369"/>
      <c r="AP404" s="301"/>
      <c r="AQ404" s="301"/>
      <c r="AR404" s="301"/>
      <c r="AS404" s="301"/>
      <c r="AT404" s="301"/>
      <c r="AU404" s="301"/>
      <c r="AV404" s="301"/>
      <c r="AW404" s="370">
        <v>190000000</v>
      </c>
      <c r="AX404" s="301"/>
      <c r="AY404" s="301"/>
      <c r="AZ404" s="301"/>
      <c r="BA404" s="370"/>
      <c r="BB404" s="301"/>
      <c r="BC404" s="301"/>
      <c r="BD404" s="301"/>
      <c r="BE404" s="301"/>
      <c r="BF404" s="301"/>
      <c r="BG404" s="303"/>
      <c r="BH404" s="304"/>
    </row>
    <row r="405" spans="1:60" s="305" customFormat="1" ht="16.5" hidden="1" customHeight="1">
      <c r="A405" s="285">
        <v>435</v>
      </c>
      <c r="B405" s="286"/>
      <c r="C405" s="286"/>
      <c r="D405" s="287" t="s">
        <v>92</v>
      </c>
      <c r="E405" s="287" t="s">
        <v>235</v>
      </c>
      <c r="F405" s="288" t="s">
        <v>92</v>
      </c>
      <c r="G405" s="289" t="s">
        <v>249</v>
      </c>
      <c r="H405" s="307"/>
      <c r="I405" s="290" t="s">
        <v>249</v>
      </c>
      <c r="J405" s="291" t="s">
        <v>557</v>
      </c>
      <c r="K405" s="287"/>
      <c r="L405" s="287"/>
      <c r="M405" s="287">
        <v>62942</v>
      </c>
      <c r="N405" s="287" t="s">
        <v>32</v>
      </c>
      <c r="O405" s="287" t="s">
        <v>33</v>
      </c>
      <c r="P405" s="287"/>
      <c r="Q405" s="287"/>
      <c r="R405" s="287"/>
      <c r="S405" s="292" t="s">
        <v>349</v>
      </c>
      <c r="T405" s="293"/>
      <c r="U405" s="294"/>
      <c r="V405" s="294"/>
      <c r="W405" s="295"/>
      <c r="X405" s="296"/>
      <c r="Y405" s="287"/>
      <c r="Z405" s="297" t="s">
        <v>618</v>
      </c>
      <c r="AA405" s="313"/>
      <c r="AB405" s="313"/>
      <c r="AC405" s="298">
        <f>AG405+AJ405+AM405+AO405+AQ405+AS405+AU405+AW405+AY405+BA405+BC405+BE405</f>
        <v>150000000</v>
      </c>
      <c r="AD405" s="298">
        <v>150000000</v>
      </c>
      <c r="AE405" s="298">
        <f>AC405-AD405</f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>
        <v>150000000</v>
      </c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customHeight="1">
      <c r="A406" s="285">
        <v>434</v>
      </c>
      <c r="B406" s="286"/>
      <c r="C406" s="286"/>
      <c r="D406" s="287" t="s">
        <v>92</v>
      </c>
      <c r="E406" s="287" t="s">
        <v>235</v>
      </c>
      <c r="F406" s="288" t="s">
        <v>92</v>
      </c>
      <c r="G406" s="289" t="s">
        <v>249</v>
      </c>
      <c r="H406" s="307"/>
      <c r="I406" s="290" t="s">
        <v>249</v>
      </c>
      <c r="J406" s="371" t="s">
        <v>557</v>
      </c>
      <c r="K406" s="287"/>
      <c r="L406" s="287"/>
      <c r="M406" s="287">
        <v>10806</v>
      </c>
      <c r="N406" s="287" t="s">
        <v>32</v>
      </c>
      <c r="O406" s="287" t="s">
        <v>43</v>
      </c>
      <c r="P406" s="287"/>
      <c r="Q406" s="287"/>
      <c r="R406" s="287" t="s">
        <v>29</v>
      </c>
      <c r="S406" s="292" t="s">
        <v>29</v>
      </c>
      <c r="T406" s="293" t="s">
        <v>798</v>
      </c>
      <c r="U406" s="294"/>
      <c r="V406" s="294">
        <v>0</v>
      </c>
      <c r="W406" s="295">
        <v>297616430</v>
      </c>
      <c r="X406" s="296"/>
      <c r="Y406" s="287" t="s">
        <v>28</v>
      </c>
      <c r="Z406" s="297" t="s">
        <v>28</v>
      </c>
      <c r="AA406" s="313"/>
      <c r="AB406" s="313"/>
      <c r="AC406" s="298">
        <f>AG406+AJ406+AM406+AO406+AQ406+AS406+AU406+AW406+AY406+BA406+BC406+BE406</f>
        <v>355000000</v>
      </c>
      <c r="AD406" s="298">
        <v>355000000</v>
      </c>
      <c r="AE406" s="298">
        <f>AC406-AD406</f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69">
        <v>62000000</v>
      </c>
      <c r="AP406" s="370" t="s">
        <v>875</v>
      </c>
      <c r="AQ406" s="301"/>
      <c r="AR406" s="301"/>
      <c r="AS406" s="301"/>
      <c r="AT406" s="301"/>
      <c r="AU406" s="370">
        <v>90000000</v>
      </c>
      <c r="AV406" s="301"/>
      <c r="AW406" s="301"/>
      <c r="AX406" s="301"/>
      <c r="AY406" s="301"/>
      <c r="AZ406" s="301"/>
      <c r="BA406" s="370">
        <v>100000000</v>
      </c>
      <c r="BB406" s="301"/>
      <c r="BC406" s="301"/>
      <c r="BD406" s="301"/>
      <c r="BE406" s="370">
        <v>103000000</v>
      </c>
      <c r="BF406" s="301"/>
      <c r="BG406" s="303"/>
      <c r="BH406" s="304"/>
    </row>
    <row r="407" spans="1:60" s="305" customFormat="1" ht="16.5" hidden="1" customHeight="1">
      <c r="A407" s="285">
        <v>419</v>
      </c>
      <c r="B407" s="286"/>
      <c r="C407" s="286"/>
      <c r="D407" s="287" t="s">
        <v>92</v>
      </c>
      <c r="E407" s="287" t="s">
        <v>249</v>
      </c>
      <c r="F407" s="288" t="s">
        <v>92</v>
      </c>
      <c r="G407" s="289" t="s">
        <v>249</v>
      </c>
      <c r="H407" s="307"/>
      <c r="I407" s="290" t="s">
        <v>249</v>
      </c>
      <c r="J407" s="291" t="s">
        <v>77</v>
      </c>
      <c r="K407" s="287"/>
      <c r="L407" s="287"/>
      <c r="M407" s="287">
        <v>10065</v>
      </c>
      <c r="N407" s="287" t="s">
        <v>35</v>
      </c>
      <c r="O407" s="287" t="s">
        <v>33</v>
      </c>
      <c r="P407" s="287"/>
      <c r="Q407" s="287"/>
      <c r="R407" s="287"/>
      <c r="S407" s="292" t="s">
        <v>340</v>
      </c>
      <c r="T407" s="293"/>
      <c r="U407" s="294"/>
      <c r="V407" s="294"/>
      <c r="W407" s="295"/>
      <c r="X407" s="296"/>
      <c r="Y407" s="287"/>
      <c r="Z407" s="297" t="s">
        <v>56</v>
      </c>
      <c r="AA407" s="313"/>
      <c r="AB407" s="313"/>
      <c r="AC407" s="298">
        <f>AG407+AJ407+AM407+AO407+AQ407+AS407+AU407+AW407+AY407+BA407+BC407+BE407</f>
        <v>150000000</v>
      </c>
      <c r="AD407" s="298">
        <v>150000000</v>
      </c>
      <c r="AE407" s="298">
        <f>AC407-AD407</f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>
        <v>75000000</v>
      </c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>
        <v>75000000</v>
      </c>
      <c r="BF407" s="301"/>
      <c r="BG407" s="303"/>
      <c r="BH407" s="304"/>
    </row>
    <row r="408" spans="1:60" s="305" customFormat="1" ht="16.5" customHeight="1">
      <c r="A408" s="285">
        <v>444</v>
      </c>
      <c r="B408" s="286"/>
      <c r="C408" s="286"/>
      <c r="D408" s="287" t="s">
        <v>92</v>
      </c>
      <c r="E408" s="287" t="s">
        <v>249</v>
      </c>
      <c r="F408" s="288" t="s">
        <v>92</v>
      </c>
      <c r="G408" s="289" t="s">
        <v>249</v>
      </c>
      <c r="H408" s="307"/>
      <c r="I408" s="290" t="s">
        <v>249</v>
      </c>
      <c r="J408" s="291" t="s">
        <v>90</v>
      </c>
      <c r="K408" s="287"/>
      <c r="L408" s="287"/>
      <c r="M408" s="287">
        <v>4352</v>
      </c>
      <c r="N408" s="287" t="s">
        <v>32</v>
      </c>
      <c r="O408" s="287" t="s">
        <v>43</v>
      </c>
      <c r="P408" s="287"/>
      <c r="Q408" s="287" t="s">
        <v>49</v>
      </c>
      <c r="R408" s="287" t="s">
        <v>29</v>
      </c>
      <c r="S408" s="292" t="s">
        <v>29</v>
      </c>
      <c r="T408" s="293"/>
      <c r="U408" s="294">
        <v>158400000</v>
      </c>
      <c r="V408" s="294">
        <v>119555000</v>
      </c>
      <c r="W408" s="295">
        <v>119555000</v>
      </c>
      <c r="X408" s="296"/>
      <c r="Y408" s="287" t="s">
        <v>28</v>
      </c>
      <c r="Z408" s="297" t="s">
        <v>28</v>
      </c>
      <c r="AA408" s="313"/>
      <c r="AB408" s="313"/>
      <c r="AC408" s="298">
        <f>AG408+AJ408+AM408+AO408+AQ408+AS408+AU408+AW408+AY408+BA408+BC408+BE408</f>
        <v>123500000</v>
      </c>
      <c r="AD408" s="298">
        <v>123500000</v>
      </c>
      <c r="AE408" s="298">
        <f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 t="s">
        <v>807</v>
      </c>
      <c r="AO408" s="302">
        <v>61750000</v>
      </c>
      <c r="AP408" s="301" t="s">
        <v>868</v>
      </c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>
        <v>61750000</v>
      </c>
      <c r="BF408" s="301" t="s">
        <v>869</v>
      </c>
      <c r="BG408" s="303"/>
      <c r="BH408" s="304"/>
    </row>
    <row r="409" spans="1:60" s="305" customFormat="1" ht="16.5" customHeight="1">
      <c r="A409" s="285">
        <v>451</v>
      </c>
      <c r="B409" s="286"/>
      <c r="C409" s="286"/>
      <c r="D409" s="287" t="s">
        <v>92</v>
      </c>
      <c r="E409" s="287" t="s">
        <v>249</v>
      </c>
      <c r="F409" s="288" t="s">
        <v>92</v>
      </c>
      <c r="G409" s="289" t="s">
        <v>249</v>
      </c>
      <c r="H409" s="307"/>
      <c r="I409" s="290" t="s">
        <v>249</v>
      </c>
      <c r="J409" s="371" t="s">
        <v>261</v>
      </c>
      <c r="K409" s="287"/>
      <c r="L409" s="287"/>
      <c r="M409" s="287">
        <v>3872</v>
      </c>
      <c r="N409" s="287" t="s">
        <v>32</v>
      </c>
      <c r="O409" s="287" t="s">
        <v>43</v>
      </c>
      <c r="P409" s="287"/>
      <c r="Q409" s="287"/>
      <c r="R409" s="287"/>
      <c r="S409" s="292" t="s">
        <v>340</v>
      </c>
      <c r="T409" s="293"/>
      <c r="U409" s="294"/>
      <c r="V409" s="294"/>
      <c r="W409" s="295"/>
      <c r="X409" s="296"/>
      <c r="Y409" s="287" t="s">
        <v>28</v>
      </c>
      <c r="Z409" s="297" t="s">
        <v>28</v>
      </c>
      <c r="AA409" s="313"/>
      <c r="AB409" s="313"/>
      <c r="AC409" s="298">
        <f>AG409+AJ409+AM409+AO409+AQ409+AS409+AU409+AW409+AY409+BA409+BC409+BE409</f>
        <v>47059400</v>
      </c>
      <c r="AD409" s="298">
        <v>50000000</v>
      </c>
      <c r="AE409" s="298">
        <f>AC409-AD409</f>
        <v>-2940600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69">
        <v>47059400</v>
      </c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70"/>
      <c r="BB409" s="370" t="s">
        <v>874</v>
      </c>
      <c r="BC409" s="301"/>
      <c r="BD409" s="301"/>
      <c r="BE409" s="301"/>
      <c r="BF409" s="301"/>
      <c r="BG409" s="303"/>
      <c r="BH409" s="304"/>
    </row>
    <row r="410" spans="1:60" s="305" customFormat="1" ht="16.5" customHeight="1">
      <c r="A410" s="285">
        <v>391</v>
      </c>
      <c r="B410" s="286"/>
      <c r="C410" s="286"/>
      <c r="D410" s="287" t="s">
        <v>92</v>
      </c>
      <c r="E410" s="287" t="s">
        <v>184</v>
      </c>
      <c r="F410" s="288" t="s">
        <v>92</v>
      </c>
      <c r="G410" s="289" t="s">
        <v>249</v>
      </c>
      <c r="H410" s="307"/>
      <c r="I410" s="290" t="s">
        <v>249</v>
      </c>
      <c r="J410" s="291" t="s">
        <v>756</v>
      </c>
      <c r="K410" s="287"/>
      <c r="L410" s="287"/>
      <c r="M410" s="287">
        <v>2702</v>
      </c>
      <c r="N410" s="287" t="s">
        <v>23</v>
      </c>
      <c r="O410" s="287" t="s">
        <v>33</v>
      </c>
      <c r="P410" s="287" t="s">
        <v>44</v>
      </c>
      <c r="Q410" s="287" t="s">
        <v>19</v>
      </c>
      <c r="R410" s="287" t="s">
        <v>29</v>
      </c>
      <c r="S410" s="292" t="s">
        <v>29</v>
      </c>
      <c r="T410" s="293" t="s">
        <v>798</v>
      </c>
      <c r="U410" s="294"/>
      <c r="V410" s="294">
        <v>0</v>
      </c>
      <c r="W410" s="295"/>
      <c r="X410" s="296"/>
      <c r="Y410" s="287" t="s">
        <v>26</v>
      </c>
      <c r="Z410" s="297" t="s">
        <v>28</v>
      </c>
      <c r="AA410" s="313"/>
      <c r="AB410" s="313"/>
      <c r="AC410" s="298">
        <f>AG410+AJ410+AM410+AO410+AQ410+AS410+AU410+AW410+AY410+BA410+BC410+BE410</f>
        <v>418775785</v>
      </c>
      <c r="AD410" s="298">
        <v>418775785</v>
      </c>
      <c r="AE410" s="298">
        <f>AC410-AD410</f>
        <v>0</v>
      </c>
      <c r="AF410" s="299"/>
      <c r="AG410" s="300"/>
      <c r="AH410" s="299"/>
      <c r="AI410" s="299">
        <v>0</v>
      </c>
      <c r="AJ410" s="300"/>
      <c r="AK410" s="299" t="s">
        <v>789</v>
      </c>
      <c r="AL410" s="301"/>
      <c r="AM410" s="314">
        <v>28775785</v>
      </c>
      <c r="AN410" s="301"/>
      <c r="AO410" s="302">
        <v>32000000</v>
      </c>
      <c r="AP410" s="301"/>
      <c r="AQ410" s="301">
        <v>30000000</v>
      </c>
      <c r="AR410" s="301" t="s">
        <v>867</v>
      </c>
      <c r="AS410" s="301">
        <v>30000000</v>
      </c>
      <c r="AT410" s="301" t="s">
        <v>867</v>
      </c>
      <c r="AU410" s="301">
        <v>40000000</v>
      </c>
      <c r="AV410" s="301" t="s">
        <v>867</v>
      </c>
      <c r="AW410" s="301">
        <v>48000000</v>
      </c>
      <c r="AX410" s="301" t="s">
        <v>867</v>
      </c>
      <c r="AY410" s="301">
        <v>50000000</v>
      </c>
      <c r="AZ410" s="301"/>
      <c r="BA410" s="301">
        <v>50000000</v>
      </c>
      <c r="BB410" s="301"/>
      <c r="BC410" s="301">
        <v>50000000</v>
      </c>
      <c r="BD410" s="301"/>
      <c r="BE410" s="301">
        <v>60000000</v>
      </c>
      <c r="BF410" s="301"/>
      <c r="BG410" s="303"/>
      <c r="BH410" s="304"/>
    </row>
    <row r="411" spans="1:60" s="305" customFormat="1" ht="16.5" customHeight="1">
      <c r="A411" s="285">
        <v>394</v>
      </c>
      <c r="B411" s="286"/>
      <c r="C411" s="286"/>
      <c r="D411" s="287" t="s">
        <v>92</v>
      </c>
      <c r="E411" s="287" t="s">
        <v>249</v>
      </c>
      <c r="F411" s="288" t="s">
        <v>92</v>
      </c>
      <c r="G411" s="289" t="s">
        <v>249</v>
      </c>
      <c r="H411" s="307"/>
      <c r="I411" s="290" t="s">
        <v>249</v>
      </c>
      <c r="J411" s="291" t="s">
        <v>251</v>
      </c>
      <c r="K411" s="287"/>
      <c r="L411" s="287"/>
      <c r="M411" s="287">
        <v>50138</v>
      </c>
      <c r="N411" s="287" t="s">
        <v>35</v>
      </c>
      <c r="O411" s="287" t="s">
        <v>43</v>
      </c>
      <c r="P411" s="287" t="s">
        <v>44</v>
      </c>
      <c r="Q411" s="287" t="s">
        <v>49</v>
      </c>
      <c r="R411" s="287" t="s">
        <v>29</v>
      </c>
      <c r="S411" s="292" t="s">
        <v>29</v>
      </c>
      <c r="T411" s="293" t="s">
        <v>798</v>
      </c>
      <c r="U411" s="294">
        <v>42489078</v>
      </c>
      <c r="V411" s="294">
        <v>91954620</v>
      </c>
      <c r="W411" s="295">
        <v>43162357</v>
      </c>
      <c r="X411" s="296"/>
      <c r="Y411" s="287" t="s">
        <v>28</v>
      </c>
      <c r="Z411" s="297" t="s">
        <v>28</v>
      </c>
      <c r="AA411" s="313"/>
      <c r="AB411" s="313"/>
      <c r="AC411" s="298">
        <f>AG411+AJ411+AM411+AO411+AQ411+AS411+AU411+AW411+AY411+BA411+BC411+BE411</f>
        <v>49317900</v>
      </c>
      <c r="AD411" s="298">
        <v>49317900</v>
      </c>
      <c r="AE411" s="298">
        <f>AC411-AD411</f>
        <v>0</v>
      </c>
      <c r="AF411" s="299"/>
      <c r="AG411" s="300"/>
      <c r="AH411" s="299"/>
      <c r="AI411" s="299">
        <v>3736200</v>
      </c>
      <c r="AJ411" s="300">
        <v>15000</v>
      </c>
      <c r="AK411" s="299"/>
      <c r="AL411" s="301"/>
      <c r="AM411" s="314">
        <v>5302900</v>
      </c>
      <c r="AN411" s="301"/>
      <c r="AO411" s="302">
        <v>25000000</v>
      </c>
      <c r="AP411" s="301"/>
      <c r="AQ411" s="301">
        <v>2000000</v>
      </c>
      <c r="AR411" s="301"/>
      <c r="AS411" s="301">
        <v>2000000</v>
      </c>
      <c r="AT411" s="301"/>
      <c r="AU411" s="301">
        <v>2000000</v>
      </c>
      <c r="AV411" s="301"/>
      <c r="AW411" s="301">
        <v>2000000</v>
      </c>
      <c r="AX411" s="301"/>
      <c r="AY411" s="301">
        <v>2000000</v>
      </c>
      <c r="AZ411" s="301"/>
      <c r="BA411" s="301">
        <v>3000000</v>
      </c>
      <c r="BB411" s="301"/>
      <c r="BC411" s="301">
        <v>3000000</v>
      </c>
      <c r="BD411" s="301"/>
      <c r="BE411" s="301">
        <v>3000000</v>
      </c>
      <c r="BF411" s="301"/>
      <c r="BG411" s="303"/>
      <c r="BH411" s="304"/>
    </row>
    <row r="412" spans="1:60" s="305" customFormat="1" ht="16.5" hidden="1" customHeight="1">
      <c r="A412" s="285">
        <v>393</v>
      </c>
      <c r="B412" s="286"/>
      <c r="C412" s="286"/>
      <c r="D412" s="287" t="s">
        <v>92</v>
      </c>
      <c r="E412" s="287" t="s">
        <v>184</v>
      </c>
      <c r="F412" s="288" t="s">
        <v>92</v>
      </c>
      <c r="G412" s="289" t="s">
        <v>249</v>
      </c>
      <c r="H412" s="307"/>
      <c r="I412" s="290" t="s">
        <v>249</v>
      </c>
      <c r="J412" s="291" t="s">
        <v>756</v>
      </c>
      <c r="K412" s="287"/>
      <c r="L412" s="287"/>
      <c r="M412" s="287">
        <v>2702</v>
      </c>
      <c r="N412" s="287" t="s">
        <v>23</v>
      </c>
      <c r="O412" s="287" t="s">
        <v>33</v>
      </c>
      <c r="P412" s="287" t="s">
        <v>44</v>
      </c>
      <c r="Q412" s="287" t="s">
        <v>19</v>
      </c>
      <c r="R412" s="287"/>
      <c r="S412" s="292" t="s">
        <v>340</v>
      </c>
      <c r="T412" s="293"/>
      <c r="U412" s="294"/>
      <c r="V412" s="294"/>
      <c r="W412" s="295"/>
      <c r="X412" s="296"/>
      <c r="Y412" s="287"/>
      <c r="Z412" s="297" t="s">
        <v>56</v>
      </c>
      <c r="AA412" s="313"/>
      <c r="AB412" s="313"/>
      <c r="AC412" s="298">
        <f>AG412+AJ412+AM412+AO412+AQ412+AS412+AU412+AW412+AY412+BA412+BC412+BE412</f>
        <v>150000000</v>
      </c>
      <c r="AD412" s="298">
        <v>150000000</v>
      </c>
      <c r="AE412" s="298">
        <f>AC412-AD412</f>
        <v>0</v>
      </c>
      <c r="AF412" s="299"/>
      <c r="AG412" s="300"/>
      <c r="AH412" s="299"/>
      <c r="AI412" s="299"/>
      <c r="AJ412" s="300"/>
      <c r="AK412" s="299"/>
      <c r="AL412" s="301"/>
      <c r="AM412" s="314"/>
      <c r="AN412" s="301"/>
      <c r="AO412" s="302">
        <v>20000000</v>
      </c>
      <c r="AP412" s="301"/>
      <c r="AQ412" s="301">
        <v>20000000</v>
      </c>
      <c r="AR412" s="301"/>
      <c r="AS412" s="301">
        <v>20000000</v>
      </c>
      <c r="AT412" s="301"/>
      <c r="AU412" s="301">
        <v>20000000</v>
      </c>
      <c r="AV412" s="301"/>
      <c r="AW412" s="301">
        <v>20000000</v>
      </c>
      <c r="AX412" s="301"/>
      <c r="AY412" s="301">
        <v>20000000</v>
      </c>
      <c r="AZ412" s="301"/>
      <c r="BA412" s="301">
        <v>20000000</v>
      </c>
      <c r="BB412" s="301"/>
      <c r="BC412" s="301">
        <v>10000000</v>
      </c>
      <c r="BD412" s="301"/>
      <c r="BE412" s="301"/>
      <c r="BF412" s="301"/>
      <c r="BG412" s="303"/>
      <c r="BH412" s="304"/>
    </row>
    <row r="413" spans="1:60" s="305" customFormat="1" ht="16.5" customHeight="1">
      <c r="A413" s="285">
        <v>417</v>
      </c>
      <c r="B413" s="286"/>
      <c r="C413" s="286"/>
      <c r="D413" s="287" t="s">
        <v>92</v>
      </c>
      <c r="E413" s="287" t="s">
        <v>249</v>
      </c>
      <c r="F413" s="288" t="s">
        <v>92</v>
      </c>
      <c r="G413" s="289" t="s">
        <v>249</v>
      </c>
      <c r="H413" s="307"/>
      <c r="I413" s="290" t="s">
        <v>249</v>
      </c>
      <c r="J413" s="291" t="s">
        <v>77</v>
      </c>
      <c r="K413" s="287"/>
      <c r="L413" s="287"/>
      <c r="M413" s="287">
        <v>10065</v>
      </c>
      <c r="N413" s="287" t="s">
        <v>35</v>
      </c>
      <c r="O413" s="287" t="s">
        <v>43</v>
      </c>
      <c r="P413" s="287"/>
      <c r="Q413" s="287" t="s">
        <v>49</v>
      </c>
      <c r="R413" s="287" t="s">
        <v>29</v>
      </c>
      <c r="S413" s="292" t="s">
        <v>29</v>
      </c>
      <c r="T413" s="293"/>
      <c r="U413" s="294">
        <v>220143958</v>
      </c>
      <c r="V413" s="294">
        <v>216620206</v>
      </c>
      <c r="W413" s="295">
        <v>216673200</v>
      </c>
      <c r="X413" s="296"/>
      <c r="Y413" s="287" t="s">
        <v>28</v>
      </c>
      <c r="Z413" s="297" t="s">
        <v>28</v>
      </c>
      <c r="AA413" s="313"/>
      <c r="AB413" s="313"/>
      <c r="AC413" s="298">
        <f>AG413+AJ413+AM413+AO413+AQ413+AS413+AU413+AW413+AY413+BA413+BC413+BE413</f>
        <v>220817236</v>
      </c>
      <c r="AD413" s="298">
        <v>220817236</v>
      </c>
      <c r="AE413" s="298">
        <f>AC413-AD413</f>
        <v>0</v>
      </c>
      <c r="AF413" s="299">
        <v>23359800</v>
      </c>
      <c r="AG413" s="300">
        <v>23359800</v>
      </c>
      <c r="AH413" s="299" t="s">
        <v>762</v>
      </c>
      <c r="AI413" s="299">
        <v>18068000</v>
      </c>
      <c r="AJ413" s="300">
        <v>17251818</v>
      </c>
      <c r="AK413" s="299"/>
      <c r="AL413" s="301"/>
      <c r="AM413" s="314">
        <v>18205618</v>
      </c>
      <c r="AN413" s="301"/>
      <c r="AO413" s="302">
        <v>18000000</v>
      </c>
      <c r="AP413" s="301"/>
      <c r="AQ413" s="301">
        <v>18000000</v>
      </c>
      <c r="AR413" s="301"/>
      <c r="AS413" s="301">
        <v>18000000</v>
      </c>
      <c r="AT413" s="301"/>
      <c r="AU413" s="301">
        <v>18000000</v>
      </c>
      <c r="AV413" s="301"/>
      <c r="AW413" s="301">
        <v>18000000</v>
      </c>
      <c r="AX413" s="301"/>
      <c r="AY413" s="301">
        <v>18000000</v>
      </c>
      <c r="AZ413" s="301"/>
      <c r="BA413" s="301">
        <v>18000000</v>
      </c>
      <c r="BB413" s="301"/>
      <c r="BC413" s="301">
        <v>18000000</v>
      </c>
      <c r="BD413" s="301"/>
      <c r="BE413" s="301">
        <v>18000000</v>
      </c>
      <c r="BF413" s="301"/>
      <c r="BG413" s="303"/>
      <c r="BH413" s="304"/>
    </row>
    <row r="414" spans="1:60" s="305" customFormat="1" ht="16.5" customHeight="1">
      <c r="A414" s="285">
        <v>425</v>
      </c>
      <c r="B414" s="286"/>
      <c r="C414" s="286"/>
      <c r="D414" s="287" t="s">
        <v>92</v>
      </c>
      <c r="E414" s="287" t="s">
        <v>249</v>
      </c>
      <c r="F414" s="288" t="s">
        <v>92</v>
      </c>
      <c r="G414" s="289" t="s">
        <v>249</v>
      </c>
      <c r="H414" s="307"/>
      <c r="I414" s="290" t="s">
        <v>249</v>
      </c>
      <c r="J414" s="291" t="s">
        <v>255</v>
      </c>
      <c r="K414" s="287"/>
      <c r="L414" s="287"/>
      <c r="M414" s="287">
        <v>62036</v>
      </c>
      <c r="N414" s="287" t="s">
        <v>23</v>
      </c>
      <c r="O414" s="287" t="s">
        <v>43</v>
      </c>
      <c r="P414" s="287"/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>
        <v>121463500</v>
      </c>
      <c r="X414" s="296"/>
      <c r="Y414" s="287" t="s">
        <v>28</v>
      </c>
      <c r="Z414" s="297" t="s">
        <v>28</v>
      </c>
      <c r="AA414" s="313"/>
      <c r="AB414" s="313"/>
      <c r="AC414" s="298">
        <f>AG414+AJ414+AM414+AO414+AQ414+AS414+AU414+AW414+AY414+BA414+BC414+BE414</f>
        <v>150298900</v>
      </c>
      <c r="AD414" s="298">
        <v>150298900</v>
      </c>
      <c r="AE414" s="298">
        <f>AC414-AD414</f>
        <v>0</v>
      </c>
      <c r="AF414" s="299">
        <v>11239700</v>
      </c>
      <c r="AG414" s="300">
        <v>11239700</v>
      </c>
      <c r="AH414" s="299"/>
      <c r="AI414" s="299">
        <v>7365400</v>
      </c>
      <c r="AJ414" s="300">
        <v>7365400</v>
      </c>
      <c r="AK414" s="299" t="s">
        <v>790</v>
      </c>
      <c r="AL414" s="301"/>
      <c r="AM414" s="314">
        <v>8393800</v>
      </c>
      <c r="AN414" s="301"/>
      <c r="AO414" s="302">
        <v>12300000</v>
      </c>
      <c r="AP414" s="301"/>
      <c r="AQ414" s="301">
        <v>13000000</v>
      </c>
      <c r="AR414" s="301"/>
      <c r="AS414" s="301">
        <v>14000000</v>
      </c>
      <c r="AT414" s="301"/>
      <c r="AU414" s="301">
        <v>14000000</v>
      </c>
      <c r="AV414" s="301"/>
      <c r="AW414" s="301">
        <v>14000000</v>
      </c>
      <c r="AX414" s="301"/>
      <c r="AY414" s="301">
        <v>14000000</v>
      </c>
      <c r="AZ414" s="301"/>
      <c r="BA414" s="301">
        <v>14000000</v>
      </c>
      <c r="BB414" s="301"/>
      <c r="BC414" s="301">
        <v>14000000</v>
      </c>
      <c r="BD414" s="301"/>
      <c r="BE414" s="301">
        <v>14000000</v>
      </c>
      <c r="BF414" s="301"/>
      <c r="BG414" s="303"/>
      <c r="BH414" s="304"/>
    </row>
    <row r="415" spans="1:60" s="305" customFormat="1" ht="16.5" customHeight="1">
      <c r="A415" s="285">
        <v>408</v>
      </c>
      <c r="B415" s="286"/>
      <c r="C415" s="286"/>
      <c r="D415" s="287" t="s">
        <v>92</v>
      </c>
      <c r="E415" s="287" t="s">
        <v>249</v>
      </c>
      <c r="F415" s="288" t="s">
        <v>92</v>
      </c>
      <c r="G415" s="289" t="s">
        <v>249</v>
      </c>
      <c r="H415" s="307"/>
      <c r="I415" s="290" t="s">
        <v>249</v>
      </c>
      <c r="J415" s="371" t="s">
        <v>510</v>
      </c>
      <c r="K415" s="287"/>
      <c r="L415" s="287"/>
      <c r="M415" s="287">
        <v>61682</v>
      </c>
      <c r="N415" s="287" t="s">
        <v>23</v>
      </c>
      <c r="O415" s="287" t="s">
        <v>43</v>
      </c>
      <c r="P415" s="287"/>
      <c r="Q415" s="287"/>
      <c r="R415" s="287" t="s">
        <v>29</v>
      </c>
      <c r="S415" s="292" t="s">
        <v>29</v>
      </c>
      <c r="T415" s="293" t="s">
        <v>798</v>
      </c>
      <c r="U415" s="294"/>
      <c r="V415" s="294">
        <v>0</v>
      </c>
      <c r="W415" s="295">
        <v>134497700</v>
      </c>
      <c r="X415" s="296"/>
      <c r="Y415" s="287" t="s">
        <v>28</v>
      </c>
      <c r="Z415" s="297" t="s">
        <v>28</v>
      </c>
      <c r="AA415" s="313"/>
      <c r="AB415" s="313"/>
      <c r="AC415" s="298">
        <f>AG415+AJ415+AM415+AO415+AQ415+AS415+AU415+AW415+AY415+BA415+BC415+BE415</f>
        <v>140284190</v>
      </c>
      <c r="AD415" s="298">
        <v>139543370</v>
      </c>
      <c r="AE415" s="298">
        <f>AC415-AD415</f>
        <v>740820</v>
      </c>
      <c r="AF415" s="299">
        <v>19658750</v>
      </c>
      <c r="AG415" s="300">
        <v>19726750</v>
      </c>
      <c r="AH415" s="299"/>
      <c r="AI415" s="299">
        <v>8821060</v>
      </c>
      <c r="AJ415" s="300">
        <v>8934460</v>
      </c>
      <c r="AK415" s="299"/>
      <c r="AL415" s="301"/>
      <c r="AM415" s="314">
        <v>11882160</v>
      </c>
      <c r="AN415" s="301"/>
      <c r="AO415" s="302">
        <v>11000000</v>
      </c>
      <c r="AP415" s="301"/>
      <c r="AQ415" s="301">
        <v>11000000</v>
      </c>
      <c r="AR415" s="301"/>
      <c r="AS415" s="301">
        <v>11000000</v>
      </c>
      <c r="AT415" s="301"/>
      <c r="AU415" s="301">
        <v>11000000</v>
      </c>
      <c r="AV415" s="301"/>
      <c r="AW415" s="301">
        <v>11000000</v>
      </c>
      <c r="AX415" s="301"/>
      <c r="AY415" s="301">
        <v>11000000</v>
      </c>
      <c r="AZ415" s="301"/>
      <c r="BA415" s="301">
        <v>11000000</v>
      </c>
      <c r="BB415" s="301"/>
      <c r="BC415" s="301">
        <v>11000000</v>
      </c>
      <c r="BD415" s="301"/>
      <c r="BE415" s="370">
        <v>11740820</v>
      </c>
      <c r="BF415" s="301"/>
      <c r="BG415" s="303"/>
      <c r="BH415" s="304"/>
    </row>
    <row r="416" spans="1:60" s="305" customFormat="1" ht="16.5" customHeight="1">
      <c r="A416" s="285">
        <v>431</v>
      </c>
      <c r="B416" s="286"/>
      <c r="C416" s="286"/>
      <c r="D416" s="287" t="s">
        <v>92</v>
      </c>
      <c r="E416" s="287" t="s">
        <v>193</v>
      </c>
      <c r="F416" s="288" t="s">
        <v>92</v>
      </c>
      <c r="G416" s="289" t="s">
        <v>249</v>
      </c>
      <c r="H416" s="307"/>
      <c r="I416" s="290" t="s">
        <v>249</v>
      </c>
      <c r="J416" s="371" t="s">
        <v>575</v>
      </c>
      <c r="K416" s="287"/>
      <c r="L416" s="287"/>
      <c r="M416" s="287">
        <v>16029</v>
      </c>
      <c r="N416" s="287" t="s">
        <v>40</v>
      </c>
      <c r="O416" s="287" t="s">
        <v>43</v>
      </c>
      <c r="P416" s="287"/>
      <c r="Q416" s="287" t="s">
        <v>27</v>
      </c>
      <c r="R416" s="287" t="s">
        <v>349</v>
      </c>
      <c r="S416" s="292" t="s">
        <v>349</v>
      </c>
      <c r="T416" s="293"/>
      <c r="U416" s="294"/>
      <c r="V416" s="294">
        <v>40650000</v>
      </c>
      <c r="W416" s="295">
        <v>62282000</v>
      </c>
      <c r="X416" s="296"/>
      <c r="Y416" s="287" t="s">
        <v>28</v>
      </c>
      <c r="Z416" s="297" t="s">
        <v>28</v>
      </c>
      <c r="AA416" s="313"/>
      <c r="AB416" s="313"/>
      <c r="AC416" s="298">
        <f>AG416+AJ416+AM416+AO416+AQ416+AS416+AU416+AW416+AY416+BA416+BC416+BE416</f>
        <v>22300000</v>
      </c>
      <c r="AD416" s="298">
        <v>20000000</v>
      </c>
      <c r="AE416" s="298">
        <f>AC416-AD416</f>
        <v>2300000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69">
        <v>10300000</v>
      </c>
      <c r="AP416" s="301"/>
      <c r="AQ416" s="301">
        <v>7000000</v>
      </c>
      <c r="AR416" s="301"/>
      <c r="AS416" s="301">
        <v>5000000</v>
      </c>
      <c r="AT416" s="301"/>
      <c r="AU416" s="301"/>
      <c r="AV416" s="301"/>
      <c r="AW416" s="301"/>
      <c r="AX416" s="301"/>
      <c r="AY416" s="301"/>
      <c r="AZ416" s="301"/>
      <c r="BA416" s="301"/>
      <c r="BB416" s="301"/>
      <c r="BC416" s="301"/>
      <c r="BD416" s="301"/>
      <c r="BE416" s="301"/>
      <c r="BF416" s="301"/>
      <c r="BG416" s="303"/>
      <c r="BH416" s="304"/>
    </row>
    <row r="417" spans="1:60" s="305" customFormat="1" ht="16.5" customHeight="1">
      <c r="A417" s="285">
        <v>381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 t="s">
        <v>249</v>
      </c>
      <c r="J417" s="291" t="s">
        <v>250</v>
      </c>
      <c r="K417" s="287"/>
      <c r="L417" s="287"/>
      <c r="M417" s="287">
        <v>28404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40583970</v>
      </c>
      <c r="V417" s="294">
        <v>38949800</v>
      </c>
      <c r="W417" s="295">
        <v>81262540</v>
      </c>
      <c r="X417" s="296"/>
      <c r="Y417" s="287" t="s">
        <v>28</v>
      </c>
      <c r="Z417" s="297" t="s">
        <v>28</v>
      </c>
      <c r="AA417" s="313"/>
      <c r="AB417" s="313"/>
      <c r="AC417" s="298">
        <f>AG417+AJ417+AM417+AO417+AQ417+AS417+AU417+AW417+AY417+BA417+BC417+BE417</f>
        <v>63915500</v>
      </c>
      <c r="AD417" s="298">
        <v>63915500</v>
      </c>
      <c r="AE417" s="298">
        <f>AC417-AD417</f>
        <v>0</v>
      </c>
      <c r="AF417" s="299">
        <v>3019700</v>
      </c>
      <c r="AG417" s="300">
        <v>3019700</v>
      </c>
      <c r="AH417" s="299"/>
      <c r="AI417" s="299">
        <v>2567300</v>
      </c>
      <c r="AJ417" s="300">
        <v>2567300</v>
      </c>
      <c r="AK417" s="299"/>
      <c r="AL417" s="301"/>
      <c r="AM417" s="314">
        <v>3631400</v>
      </c>
      <c r="AN417" s="301"/>
      <c r="AO417" s="302">
        <v>3697100</v>
      </c>
      <c r="AP417" s="301"/>
      <c r="AQ417" s="301">
        <v>5000000</v>
      </c>
      <c r="AR417" s="301"/>
      <c r="AS417" s="301">
        <v>6000000</v>
      </c>
      <c r="AT417" s="301"/>
      <c r="AU417" s="301">
        <v>6000000</v>
      </c>
      <c r="AV417" s="301"/>
      <c r="AW417" s="301">
        <v>6000000</v>
      </c>
      <c r="AX417" s="301"/>
      <c r="AY417" s="301">
        <v>5000000</v>
      </c>
      <c r="AZ417" s="301"/>
      <c r="BA417" s="301">
        <v>5000000</v>
      </c>
      <c r="BB417" s="301"/>
      <c r="BC417" s="301">
        <v>5000000</v>
      </c>
      <c r="BD417" s="301"/>
      <c r="BE417" s="301">
        <v>13000000</v>
      </c>
      <c r="BF417" s="301"/>
      <c r="BG417" s="303"/>
      <c r="BH417" s="304"/>
    </row>
    <row r="418" spans="1:60" s="305" customFormat="1" ht="16.5" customHeight="1">
      <c r="A418" s="285">
        <v>389</v>
      </c>
      <c r="B418" s="286"/>
      <c r="C418" s="286"/>
      <c r="D418" s="287" t="s">
        <v>92</v>
      </c>
      <c r="E418" s="287" t="s">
        <v>102</v>
      </c>
      <c r="F418" s="288" t="s">
        <v>92</v>
      </c>
      <c r="G418" s="289" t="s">
        <v>249</v>
      </c>
      <c r="H418" s="307"/>
      <c r="I418" s="290" t="s">
        <v>249</v>
      </c>
      <c r="J418" s="371" t="s">
        <v>572</v>
      </c>
      <c r="K418" s="287"/>
      <c r="L418" s="287"/>
      <c r="M418" s="287">
        <v>11047</v>
      </c>
      <c r="N418" s="287" t="s">
        <v>23</v>
      </c>
      <c r="O418" s="287" t="s">
        <v>43</v>
      </c>
      <c r="P418" s="287"/>
      <c r="Q418" s="287"/>
      <c r="R418" s="287" t="s">
        <v>340</v>
      </c>
      <c r="S418" s="292" t="s">
        <v>340</v>
      </c>
      <c r="T418" s="293"/>
      <c r="U418" s="294"/>
      <c r="V418" s="294"/>
      <c r="W418" s="295">
        <v>58311000</v>
      </c>
      <c r="X418" s="296"/>
      <c r="Y418" s="287" t="s">
        <v>28</v>
      </c>
      <c r="Z418" s="297" t="s">
        <v>28</v>
      </c>
      <c r="AA418" s="313"/>
      <c r="AB418" s="313"/>
      <c r="AC418" s="298">
        <f>AG418+AJ418+AM418+AO418+AQ418+AS418+AU418+AW418+AY418+BA418+BC418+BE418</f>
        <v>12640000</v>
      </c>
      <c r="AD418" s="298">
        <v>12640000</v>
      </c>
      <c r="AE418" s="298">
        <f>AC418-AD418</f>
        <v>0</v>
      </c>
      <c r="AF418" s="299"/>
      <c r="AG418" s="300"/>
      <c r="AH418" s="299"/>
      <c r="AI418" s="299">
        <v>2850000</v>
      </c>
      <c r="AJ418" s="300">
        <v>2850000</v>
      </c>
      <c r="AK418" s="299"/>
      <c r="AL418" s="301"/>
      <c r="AM418" s="314"/>
      <c r="AN418" s="301"/>
      <c r="AO418" s="369"/>
      <c r="AP418" s="301"/>
      <c r="AQ418" s="369">
        <v>2500000</v>
      </c>
      <c r="AR418" s="301"/>
      <c r="AS418" s="370"/>
      <c r="AT418" s="301"/>
      <c r="AU418" s="370">
        <v>2290000</v>
      </c>
      <c r="AV418" s="301"/>
      <c r="AW418" s="301"/>
      <c r="AX418" s="301"/>
      <c r="AY418" s="301">
        <v>2500000</v>
      </c>
      <c r="AZ418" s="301"/>
      <c r="BA418" s="301"/>
      <c r="BB418" s="301"/>
      <c r="BC418" s="301"/>
      <c r="BD418" s="301"/>
      <c r="BE418" s="301">
        <v>2500000</v>
      </c>
      <c r="BF418" s="301"/>
      <c r="BG418" s="303"/>
      <c r="BH418" s="304"/>
    </row>
    <row r="419" spans="1:60" s="305" customFormat="1" ht="16.5" customHeight="1">
      <c r="A419" s="285">
        <v>403</v>
      </c>
      <c r="B419" s="286"/>
      <c r="C419" s="286"/>
      <c r="D419" s="287" t="s">
        <v>92</v>
      </c>
      <c r="E419" s="287" t="s">
        <v>249</v>
      </c>
      <c r="F419" s="288" t="s">
        <v>92</v>
      </c>
      <c r="G419" s="289" t="s">
        <v>249</v>
      </c>
      <c r="H419" s="307"/>
      <c r="I419" s="290" t="s">
        <v>249</v>
      </c>
      <c r="J419" s="291" t="s">
        <v>506</v>
      </c>
      <c r="K419" s="287"/>
      <c r="L419" s="287"/>
      <c r="M419" s="287">
        <v>4994</v>
      </c>
      <c r="N419" s="287" t="s">
        <v>40</v>
      </c>
      <c r="O419" s="287" t="s">
        <v>43</v>
      </c>
      <c r="P419" s="287" t="s">
        <v>44</v>
      </c>
      <c r="Q419" s="287" t="s">
        <v>49</v>
      </c>
      <c r="R419" s="287" t="s">
        <v>29</v>
      </c>
      <c r="S419" s="292" t="s">
        <v>29</v>
      </c>
      <c r="T419" s="293" t="s">
        <v>798</v>
      </c>
      <c r="U419" s="294">
        <v>55474800</v>
      </c>
      <c r="V419" s="294">
        <v>68213400</v>
      </c>
      <c r="W419" s="295">
        <v>19779900</v>
      </c>
      <c r="X419" s="296"/>
      <c r="Y419" s="287" t="s">
        <v>28</v>
      </c>
      <c r="Z419" s="297" t="s">
        <v>28</v>
      </c>
      <c r="AA419" s="313"/>
      <c r="AB419" s="313"/>
      <c r="AC419" s="298">
        <f>AG419+AJ419+AM419+AO419+AQ419+AS419+AU419+AW419+AY419+BA419+BC419+BE419</f>
        <v>23231000</v>
      </c>
      <c r="AD419" s="298">
        <v>23231000</v>
      </c>
      <c r="AE419" s="298">
        <f>AC419-AD419</f>
        <v>0</v>
      </c>
      <c r="AF419" s="299">
        <v>1055000</v>
      </c>
      <c r="AG419" s="300">
        <v>1055000</v>
      </c>
      <c r="AH419" s="299"/>
      <c r="AI419" s="299">
        <v>2110000</v>
      </c>
      <c r="AJ419" s="300">
        <v>2110000</v>
      </c>
      <c r="AK419" s="299"/>
      <c r="AL419" s="301"/>
      <c r="AM419" s="314">
        <v>1066000</v>
      </c>
      <c r="AN419" s="301"/>
      <c r="AO419" s="302">
        <v>2000000</v>
      </c>
      <c r="AP419" s="301"/>
      <c r="AQ419" s="301">
        <v>2000000</v>
      </c>
      <c r="AR419" s="301"/>
      <c r="AS419" s="301">
        <v>2000000</v>
      </c>
      <c r="AT419" s="301"/>
      <c r="AU419" s="301">
        <v>2000000</v>
      </c>
      <c r="AV419" s="301"/>
      <c r="AW419" s="301">
        <v>2000000</v>
      </c>
      <c r="AX419" s="301"/>
      <c r="AY419" s="301">
        <v>2000000</v>
      </c>
      <c r="AZ419" s="301"/>
      <c r="BA419" s="301">
        <v>2000000</v>
      </c>
      <c r="BB419" s="301"/>
      <c r="BC419" s="301">
        <v>2000000</v>
      </c>
      <c r="BD419" s="301"/>
      <c r="BE419" s="301">
        <v>3000000</v>
      </c>
      <c r="BF419" s="301"/>
      <c r="BG419" s="303"/>
      <c r="BH419" s="304"/>
    </row>
    <row r="420" spans="1:60" s="305" customFormat="1" ht="16.5" customHeight="1">
      <c r="A420" s="285">
        <v>447</v>
      </c>
      <c r="B420" s="286"/>
      <c r="C420" s="286"/>
      <c r="D420" s="287" t="s">
        <v>92</v>
      </c>
      <c r="E420" s="287" t="s">
        <v>249</v>
      </c>
      <c r="F420" s="288" t="s">
        <v>92</v>
      </c>
      <c r="G420" s="289" t="s">
        <v>249</v>
      </c>
      <c r="H420" s="307"/>
      <c r="I420" s="290" t="s">
        <v>249</v>
      </c>
      <c r="J420" s="291" t="s">
        <v>260</v>
      </c>
      <c r="K420" s="287"/>
      <c r="L420" s="287"/>
      <c r="M420" s="287">
        <v>45607</v>
      </c>
      <c r="N420" s="287" t="s">
        <v>32</v>
      </c>
      <c r="O420" s="287" t="s">
        <v>43</v>
      </c>
      <c r="P420" s="287" t="s">
        <v>44</v>
      </c>
      <c r="Q420" s="287" t="s">
        <v>46</v>
      </c>
      <c r="R420" s="287" t="s">
        <v>347</v>
      </c>
      <c r="S420" s="292" t="s">
        <v>750</v>
      </c>
      <c r="T420" s="293"/>
      <c r="U420" s="294"/>
      <c r="V420" s="294">
        <v>43454545</v>
      </c>
      <c r="W420" s="295">
        <v>11700000</v>
      </c>
      <c r="X420" s="296"/>
      <c r="Y420" s="287" t="s">
        <v>28</v>
      </c>
      <c r="Z420" s="297" t="s">
        <v>28</v>
      </c>
      <c r="AA420" s="313"/>
      <c r="AB420" s="313"/>
      <c r="AC420" s="298">
        <f>AG420+AJ420+AM420+AO420+AQ420+AS420+AU420+AW420+AY420+BA420+BC420+BE420</f>
        <v>15600000</v>
      </c>
      <c r="AD420" s="298">
        <v>15600000</v>
      </c>
      <c r="AE420" s="298">
        <f>AC420-AD420</f>
        <v>0</v>
      </c>
      <c r="AF420" s="299"/>
      <c r="AG420" s="300"/>
      <c r="AH420" s="299"/>
      <c r="AI420" s="299">
        <v>1300000</v>
      </c>
      <c r="AJ420" s="300">
        <v>1300000</v>
      </c>
      <c r="AK420" s="299"/>
      <c r="AL420" s="301"/>
      <c r="AM420" s="314">
        <v>1300000</v>
      </c>
      <c r="AN420" s="301"/>
      <c r="AO420" s="302">
        <v>1300000</v>
      </c>
      <c r="AP420" s="301"/>
      <c r="AQ420" s="301">
        <v>1300000</v>
      </c>
      <c r="AR420" s="301"/>
      <c r="AS420" s="301">
        <v>1300000</v>
      </c>
      <c r="AT420" s="301"/>
      <c r="AU420" s="301">
        <v>1300000</v>
      </c>
      <c r="AV420" s="301"/>
      <c r="AW420" s="301">
        <v>1300000</v>
      </c>
      <c r="AX420" s="301"/>
      <c r="AY420" s="301">
        <v>1300000</v>
      </c>
      <c r="AZ420" s="301"/>
      <c r="BA420" s="301">
        <v>1300000</v>
      </c>
      <c r="BB420" s="301"/>
      <c r="BC420" s="301">
        <v>1300000</v>
      </c>
      <c r="BD420" s="301"/>
      <c r="BE420" s="301">
        <v>2600000</v>
      </c>
      <c r="BF420" s="301"/>
      <c r="BG420" s="303"/>
      <c r="BH420" s="304"/>
    </row>
    <row r="421" spans="1:60" s="305" customFormat="1" ht="16.5" customHeight="1">
      <c r="A421" s="285">
        <v>412</v>
      </c>
      <c r="B421" s="286"/>
      <c r="C421" s="286"/>
      <c r="D421" s="287" t="s">
        <v>92</v>
      </c>
      <c r="E421" s="287" t="s">
        <v>249</v>
      </c>
      <c r="F421" s="288" t="s">
        <v>92</v>
      </c>
      <c r="G421" s="289" t="s">
        <v>249</v>
      </c>
      <c r="H421" s="307"/>
      <c r="I421" s="290" t="s">
        <v>249</v>
      </c>
      <c r="J421" s="371" t="s">
        <v>510</v>
      </c>
      <c r="K421" s="287"/>
      <c r="L421" s="287"/>
      <c r="M421" s="287">
        <v>61682</v>
      </c>
      <c r="N421" s="287" t="s">
        <v>23</v>
      </c>
      <c r="O421" s="287" t="s">
        <v>43</v>
      </c>
      <c r="P421" s="287" t="s">
        <v>44</v>
      </c>
      <c r="Q421" s="287"/>
      <c r="R421" s="287" t="s">
        <v>338</v>
      </c>
      <c r="S421" s="292" t="s">
        <v>753</v>
      </c>
      <c r="T421" s="293"/>
      <c r="U421" s="294"/>
      <c r="V421" s="294">
        <v>0</v>
      </c>
      <c r="W421" s="295">
        <v>10119070</v>
      </c>
      <c r="X421" s="296"/>
      <c r="Y421" s="287" t="s">
        <v>28</v>
      </c>
      <c r="Z421" s="297" t="s">
        <v>28</v>
      </c>
      <c r="AA421" s="313"/>
      <c r="AB421" s="313"/>
      <c r="AC421" s="298">
        <f>AG421+AJ421+AM421+AO421+AQ421+AS421+AU421+AW421+AY421+BA421+BC421+BE421</f>
        <v>6888475</v>
      </c>
      <c r="AD421" s="298">
        <v>6988695</v>
      </c>
      <c r="AE421" s="298">
        <f>AC421-AD421</f>
        <v>-100220</v>
      </c>
      <c r="AF421" s="299">
        <v>548550</v>
      </c>
      <c r="AG421" s="300">
        <v>548550</v>
      </c>
      <c r="AH421" s="299"/>
      <c r="AI421" s="299">
        <v>558090</v>
      </c>
      <c r="AJ421" s="300">
        <v>558090</v>
      </c>
      <c r="AK421" s="299"/>
      <c r="AL421" s="301"/>
      <c r="AM421" s="314">
        <v>398880</v>
      </c>
      <c r="AN421" s="301"/>
      <c r="AO421" s="369">
        <v>399780</v>
      </c>
      <c r="AP421" s="301"/>
      <c r="AQ421" s="301">
        <v>500000</v>
      </c>
      <c r="AR421" s="301"/>
      <c r="AS421" s="301">
        <v>500000</v>
      </c>
      <c r="AT421" s="301"/>
      <c r="AU421" s="301">
        <v>500000</v>
      </c>
      <c r="AV421" s="301"/>
      <c r="AW421" s="301">
        <v>500000</v>
      </c>
      <c r="AX421" s="301"/>
      <c r="AY421" s="301">
        <v>500000</v>
      </c>
      <c r="AZ421" s="301"/>
      <c r="BA421" s="301">
        <v>500000</v>
      </c>
      <c r="BB421" s="301"/>
      <c r="BC421" s="301">
        <v>983175</v>
      </c>
      <c r="BD421" s="301"/>
      <c r="BE421" s="301">
        <v>1000000</v>
      </c>
      <c r="BF421" s="301"/>
      <c r="BG421" s="303"/>
      <c r="BH421" s="304"/>
    </row>
    <row r="422" spans="1:60" s="305" customFormat="1" ht="16.5" customHeight="1">
      <c r="A422" s="285">
        <v>448</v>
      </c>
      <c r="B422" s="286"/>
      <c r="C422" s="286"/>
      <c r="D422" s="287" t="s">
        <v>92</v>
      </c>
      <c r="E422" s="287" t="s">
        <v>249</v>
      </c>
      <c r="F422" s="288" t="s">
        <v>92</v>
      </c>
      <c r="G422" s="289" t="s">
        <v>249</v>
      </c>
      <c r="H422" s="307"/>
      <c r="I422" s="290" t="s">
        <v>249</v>
      </c>
      <c r="J422" s="371" t="s">
        <v>261</v>
      </c>
      <c r="K422" s="287"/>
      <c r="L422" s="287"/>
      <c r="M422" s="287">
        <v>3872</v>
      </c>
      <c r="N422" s="287" t="s">
        <v>32</v>
      </c>
      <c r="O422" s="287" t="s">
        <v>43</v>
      </c>
      <c r="P422" s="287" t="s">
        <v>98</v>
      </c>
      <c r="Q422" s="287" t="s">
        <v>19</v>
      </c>
      <c r="R422" s="287" t="s">
        <v>29</v>
      </c>
      <c r="S422" s="292" t="s">
        <v>29</v>
      </c>
      <c r="T422" s="293" t="s">
        <v>798</v>
      </c>
      <c r="U422" s="294"/>
      <c r="V422" s="294">
        <v>0</v>
      </c>
      <c r="W422" s="295">
        <v>48984820</v>
      </c>
      <c r="X422" s="296"/>
      <c r="Y422" s="287" t="s">
        <v>28</v>
      </c>
      <c r="Z422" s="297" t="s">
        <v>28</v>
      </c>
      <c r="AA422" s="313"/>
      <c r="AB422" s="313"/>
      <c r="AC422" s="298">
        <f>AG422+AJ422+AM422+AO422+AQ422+AS422+AU422+AW422+AY422+BA422+BC422+BE422</f>
        <v>135389816</v>
      </c>
      <c r="AD422" s="298">
        <v>135389816</v>
      </c>
      <c r="AE422" s="298">
        <f>AC422-AD422</f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 t="s">
        <v>808</v>
      </c>
      <c r="AO422" s="369"/>
      <c r="AP422" s="370" t="s">
        <v>872</v>
      </c>
      <c r="AQ422" s="301"/>
      <c r="AR422" s="301"/>
      <c r="AS422" s="370"/>
      <c r="AT422" s="301"/>
      <c r="AU422" s="301"/>
      <c r="AV422" s="301"/>
      <c r="AW422" s="370">
        <v>60389816</v>
      </c>
      <c r="AX422" s="301"/>
      <c r="AY422" s="370"/>
      <c r="AZ422" s="301"/>
      <c r="BA422" s="370">
        <v>36000000</v>
      </c>
      <c r="BB422" s="301"/>
      <c r="BC422" s="301"/>
      <c r="BD422" s="301"/>
      <c r="BE422" s="301">
        <v>39000000</v>
      </c>
      <c r="BF422" s="301"/>
      <c r="BG422" s="303"/>
      <c r="BH422" s="304"/>
    </row>
    <row r="423" spans="1:60" s="305" customFormat="1" ht="16.5" hidden="1" customHeight="1">
      <c r="A423" s="285">
        <v>382</v>
      </c>
      <c r="B423" s="286"/>
      <c r="C423" s="286"/>
      <c r="D423" s="287" t="s">
        <v>92</v>
      </c>
      <c r="E423" s="287" t="s">
        <v>249</v>
      </c>
      <c r="F423" s="288" t="s">
        <v>92</v>
      </c>
      <c r="G423" s="289" t="s">
        <v>249</v>
      </c>
      <c r="H423" s="307"/>
      <c r="I423" s="290" t="s">
        <v>249</v>
      </c>
      <c r="J423" s="291" t="s">
        <v>250</v>
      </c>
      <c r="K423" s="287"/>
      <c r="L423" s="287"/>
      <c r="M423" s="287">
        <v>28404</v>
      </c>
      <c r="N423" s="287" t="s">
        <v>35</v>
      </c>
      <c r="O423" s="287" t="s">
        <v>43</v>
      </c>
      <c r="P423" s="287" t="s">
        <v>44</v>
      </c>
      <c r="Q423" s="287" t="s">
        <v>30</v>
      </c>
      <c r="R423" s="287" t="s">
        <v>31</v>
      </c>
      <c r="S423" s="292" t="s">
        <v>31</v>
      </c>
      <c r="T423" s="293"/>
      <c r="U423" s="294"/>
      <c r="V423" s="294">
        <v>16790000</v>
      </c>
      <c r="W423" s="295"/>
      <c r="X423" s="296"/>
      <c r="Y423" s="287" t="s">
        <v>21</v>
      </c>
      <c r="Z423" s="297" t="s">
        <v>21</v>
      </c>
      <c r="AA423" s="313"/>
      <c r="AB423" s="313"/>
      <c r="AC423" s="298">
        <f>AG423+AJ423+AM423+AO423+AQ423+AS423+AU423+AW423+AY423+BA423+BC423+BE423</f>
        <v>0</v>
      </c>
      <c r="AD423" s="298">
        <v>0</v>
      </c>
      <c r="AE423" s="298">
        <f>AC423-AD423</f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01"/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/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>
      <c r="A424" s="285">
        <v>383</v>
      </c>
      <c r="B424" s="286"/>
      <c r="C424" s="286"/>
      <c r="D424" s="287"/>
      <c r="E424" s="287"/>
      <c r="F424" s="288" t="s">
        <v>92</v>
      </c>
      <c r="G424" s="289" t="s">
        <v>249</v>
      </c>
      <c r="H424" s="307"/>
      <c r="I424" s="290" t="s">
        <v>249</v>
      </c>
      <c r="J424" s="291" t="s">
        <v>250</v>
      </c>
      <c r="K424" s="287"/>
      <c r="L424" s="287"/>
      <c r="M424" s="287">
        <v>28404</v>
      </c>
      <c r="N424" s="287" t="s">
        <v>35</v>
      </c>
      <c r="O424" s="287" t="s">
        <v>43</v>
      </c>
      <c r="P424" s="287"/>
      <c r="Q424" s="287"/>
      <c r="R424" s="287"/>
      <c r="S424" s="292" t="s">
        <v>752</v>
      </c>
      <c r="T424" s="293"/>
      <c r="U424" s="294"/>
      <c r="V424" s="294"/>
      <c r="W424" s="295">
        <v>909091</v>
      </c>
      <c r="X424" s="296"/>
      <c r="Y424" s="287"/>
      <c r="Z424" s="297" t="s">
        <v>656</v>
      </c>
      <c r="AA424" s="313"/>
      <c r="AB424" s="313"/>
      <c r="AC424" s="298">
        <f>AG424+AJ424+AM424+AO424+AQ424+AS424+AU424+AW424+AY424+BA424+BC424+BE424</f>
        <v>0</v>
      </c>
      <c r="AD424" s="298">
        <v>0</v>
      </c>
      <c r="AE424" s="298">
        <f>AC424-AD424</f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/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>
      <c r="A425" s="285">
        <v>384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 t="s">
        <v>249</v>
      </c>
      <c r="J425" s="291" t="s">
        <v>103</v>
      </c>
      <c r="K425" s="287"/>
      <c r="L425" s="287"/>
      <c r="M425" s="287">
        <v>268</v>
      </c>
      <c r="N425" s="287" t="s">
        <v>23</v>
      </c>
      <c r="O425" s="287" t="s">
        <v>33</v>
      </c>
      <c r="P425" s="287" t="s">
        <v>93</v>
      </c>
      <c r="Q425" s="287"/>
      <c r="R425" s="287" t="s">
        <v>341</v>
      </c>
      <c r="S425" s="292" t="s">
        <v>341</v>
      </c>
      <c r="T425" s="293"/>
      <c r="U425" s="294"/>
      <c r="V425" s="294">
        <v>0</v>
      </c>
      <c r="W425" s="295"/>
      <c r="X425" s="296"/>
      <c r="Y425" s="287" t="s">
        <v>26</v>
      </c>
      <c r="Z425" s="297" t="s">
        <v>544</v>
      </c>
      <c r="AA425" s="313"/>
      <c r="AB425" s="313"/>
      <c r="AC425" s="298">
        <f>AG425+AJ425+AM425+AO425+AQ425+AS425+AU425+AW425+AY425+BA425+BC425+BE425</f>
        <v>0</v>
      </c>
      <c r="AD425" s="298">
        <v>0</v>
      </c>
      <c r="AE425" s="298">
        <f>AC425-AD425</f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/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>
      <c r="A426" s="285">
        <v>385</v>
      </c>
      <c r="B426" s="286"/>
      <c r="C426" s="286"/>
      <c r="D426" s="287" t="s">
        <v>92</v>
      </c>
      <c r="E426" s="287" t="s">
        <v>102</v>
      </c>
      <c r="F426" s="288" t="s">
        <v>92</v>
      </c>
      <c r="G426" s="289" t="s">
        <v>249</v>
      </c>
      <c r="H426" s="307"/>
      <c r="I426" s="290" t="s">
        <v>249</v>
      </c>
      <c r="J426" s="291" t="s">
        <v>103</v>
      </c>
      <c r="K426" s="287"/>
      <c r="L426" s="287"/>
      <c r="M426" s="287">
        <v>268</v>
      </c>
      <c r="N426" s="287" t="s">
        <v>23</v>
      </c>
      <c r="O426" s="287" t="s">
        <v>33</v>
      </c>
      <c r="P426" s="287" t="s">
        <v>93</v>
      </c>
      <c r="Q426" s="287"/>
      <c r="R426" s="287" t="s">
        <v>221</v>
      </c>
      <c r="S426" s="292" t="s">
        <v>745</v>
      </c>
      <c r="T426" s="293"/>
      <c r="U426" s="294"/>
      <c r="V426" s="294">
        <v>0</v>
      </c>
      <c r="W426" s="295"/>
      <c r="X426" s="296"/>
      <c r="Y426" s="287" t="s">
        <v>25</v>
      </c>
      <c r="Z426" s="297" t="s">
        <v>544</v>
      </c>
      <c r="AA426" s="313"/>
      <c r="AB426" s="313"/>
      <c r="AC426" s="298">
        <f>AG426+AJ426+AM426+AO426+AQ426+AS426+AU426+AW426+AY426+BA426+BC426+BE426</f>
        <v>0</v>
      </c>
      <c r="AD426" s="298">
        <v>0</v>
      </c>
      <c r="AE426" s="298">
        <f>AC426-AD426</f>
        <v>0</v>
      </c>
      <c r="AF426" s="299"/>
      <c r="AG426" s="300"/>
      <c r="AH426" s="299"/>
      <c r="AI426" s="299"/>
      <c r="AJ426" s="300"/>
      <c r="AK426" s="299"/>
      <c r="AL426" s="301"/>
      <c r="AM426" s="314"/>
      <c r="AN426" s="301"/>
      <c r="AO426" s="302"/>
      <c r="AP426" s="301"/>
      <c r="AQ426" s="301"/>
      <c r="AR426" s="301"/>
      <c r="AS426" s="301"/>
      <c r="AT426" s="301"/>
      <c r="AU426" s="301"/>
      <c r="AV426" s="301"/>
      <c r="AW426" s="301"/>
      <c r="AX426" s="301"/>
      <c r="AY426" s="301"/>
      <c r="AZ426" s="301"/>
      <c r="BA426" s="301"/>
      <c r="BB426" s="301"/>
      <c r="BC426" s="301"/>
      <c r="BD426" s="301"/>
      <c r="BE426" s="301"/>
      <c r="BF426" s="301"/>
      <c r="BG426" s="303"/>
      <c r="BH426" s="304"/>
    </row>
    <row r="427" spans="1:60" s="305" customFormat="1" ht="16.5" hidden="1" customHeight="1">
      <c r="A427" s="285">
        <v>386</v>
      </c>
      <c r="B427" s="286"/>
      <c r="C427" s="286"/>
      <c r="D427" s="287" t="s">
        <v>92</v>
      </c>
      <c r="E427" s="287" t="s">
        <v>102</v>
      </c>
      <c r="F427" s="288" t="s">
        <v>92</v>
      </c>
      <c r="G427" s="289" t="s">
        <v>249</v>
      </c>
      <c r="H427" s="307"/>
      <c r="I427" s="290" t="s">
        <v>249</v>
      </c>
      <c r="J427" s="291" t="s">
        <v>103</v>
      </c>
      <c r="K427" s="287"/>
      <c r="L427" s="287"/>
      <c r="M427" s="287">
        <v>268</v>
      </c>
      <c r="N427" s="287" t="s">
        <v>23</v>
      </c>
      <c r="O427" s="287" t="s">
        <v>33</v>
      </c>
      <c r="P427" s="287" t="s">
        <v>98</v>
      </c>
      <c r="Q427" s="287" t="s">
        <v>41</v>
      </c>
      <c r="R427" s="287" t="s">
        <v>339</v>
      </c>
      <c r="S427" s="292" t="s">
        <v>746</v>
      </c>
      <c r="T427" s="293"/>
      <c r="U427" s="294">
        <v>1000000</v>
      </c>
      <c r="V427" s="294">
        <v>0</v>
      </c>
      <c r="W427" s="295"/>
      <c r="X427" s="296"/>
      <c r="Y427" s="287" t="s">
        <v>22</v>
      </c>
      <c r="Z427" s="297" t="s">
        <v>544</v>
      </c>
      <c r="AA427" s="313"/>
      <c r="AB427" s="313"/>
      <c r="AC427" s="298">
        <f>AG427+AJ427+AM427+AO427+AQ427+AS427+AU427+AW427+AY427+BA427+BC427+BE427</f>
        <v>0</v>
      </c>
      <c r="AD427" s="298">
        <v>0</v>
      </c>
      <c r="AE427" s="298">
        <f>AC427-AD427</f>
        <v>0</v>
      </c>
      <c r="AF427" s="299"/>
      <c r="AG427" s="300"/>
      <c r="AH427" s="299"/>
      <c r="AI427" s="299"/>
      <c r="AJ427" s="300"/>
      <c r="AK427" s="299"/>
      <c r="AL427" s="301"/>
      <c r="AM427" s="314"/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customHeight="1">
      <c r="A428" s="285">
        <v>443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 t="s">
        <v>249</v>
      </c>
      <c r="J428" s="371" t="s">
        <v>817</v>
      </c>
      <c r="K428" s="287"/>
      <c r="L428" s="287"/>
      <c r="M428" s="287">
        <v>43610</v>
      </c>
      <c r="N428" s="287" t="s">
        <v>32</v>
      </c>
      <c r="O428" s="287" t="s">
        <v>43</v>
      </c>
      <c r="P428" s="287"/>
      <c r="Q428" s="287" t="s">
        <v>27</v>
      </c>
      <c r="R428" s="287" t="s">
        <v>221</v>
      </c>
      <c r="S428" s="292" t="s">
        <v>745</v>
      </c>
      <c r="T428" s="293"/>
      <c r="U428" s="294" t="s">
        <v>97</v>
      </c>
      <c r="V428" s="294">
        <v>5895455</v>
      </c>
      <c r="W428" s="295"/>
      <c r="X428" s="296"/>
      <c r="Y428" s="287"/>
      <c r="Z428" s="297" t="s">
        <v>28</v>
      </c>
      <c r="AA428" s="313"/>
      <c r="AB428" s="313"/>
      <c r="AC428" s="298">
        <f>AG428+AJ428+AM428+AO428+AQ428+AS428+AU428+AW428+AY428+BA428+BC428+BE428</f>
        <v>13636634</v>
      </c>
      <c r="AD428" s="298">
        <v>13636634</v>
      </c>
      <c r="AE428" s="298">
        <f>AC428-AD428</f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 t="s">
        <v>806</v>
      </c>
      <c r="AO428" s="369"/>
      <c r="AP428" s="370" t="s">
        <v>873</v>
      </c>
      <c r="AQ428" s="369">
        <v>13636634</v>
      </c>
      <c r="AR428" s="301"/>
      <c r="AS428" s="301"/>
      <c r="AT428" s="301"/>
      <c r="AU428" s="301"/>
      <c r="AV428" s="301"/>
      <c r="AW428" s="301"/>
      <c r="AX428" s="301"/>
      <c r="AY428" s="301"/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>
      <c r="A429" s="285">
        <v>387</v>
      </c>
      <c r="B429" s="286"/>
      <c r="C429" s="286"/>
      <c r="D429" s="287" t="s">
        <v>92</v>
      </c>
      <c r="E429" s="287" t="s">
        <v>102</v>
      </c>
      <c r="F429" s="288" t="s">
        <v>92</v>
      </c>
      <c r="G429" s="289" t="s">
        <v>249</v>
      </c>
      <c r="H429" s="307"/>
      <c r="I429" s="290" t="s">
        <v>249</v>
      </c>
      <c r="J429" s="291" t="s">
        <v>104</v>
      </c>
      <c r="K429" s="287"/>
      <c r="L429" s="287"/>
      <c r="M429" s="287">
        <v>268</v>
      </c>
      <c r="N429" s="287" t="s">
        <v>23</v>
      </c>
      <c r="O429" s="287" t="s">
        <v>33</v>
      </c>
      <c r="P429" s="287"/>
      <c r="Q429" s="287" t="s">
        <v>27</v>
      </c>
      <c r="R429" s="287" t="s">
        <v>340</v>
      </c>
      <c r="S429" s="292" t="s">
        <v>340</v>
      </c>
      <c r="T429" s="293"/>
      <c r="U429" s="294">
        <v>46459091</v>
      </c>
      <c r="V429" s="294">
        <v>0</v>
      </c>
      <c r="W429" s="295"/>
      <c r="X429" s="296"/>
      <c r="Y429" s="287" t="s">
        <v>544</v>
      </c>
      <c r="Z429" s="297" t="s">
        <v>26</v>
      </c>
      <c r="AA429" s="313"/>
      <c r="AB429" s="313"/>
      <c r="AC429" s="298">
        <f>AG429+AJ429+AM429+AO429+AQ429+AS429+AU429+AW429+AY429+BA429+BC429+BE429</f>
        <v>100000000</v>
      </c>
      <c r="AD429" s="298">
        <v>100000000</v>
      </c>
      <c r="AE429" s="298">
        <f>AC429-AD429</f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100000000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>
      <c r="A430" s="285">
        <v>388</v>
      </c>
      <c r="B430" s="286"/>
      <c r="C430" s="286"/>
      <c r="D430" s="287" t="s">
        <v>92</v>
      </c>
      <c r="E430" s="287" t="s">
        <v>102</v>
      </c>
      <c r="F430" s="288" t="s">
        <v>92</v>
      </c>
      <c r="G430" s="289" t="s">
        <v>249</v>
      </c>
      <c r="H430" s="307"/>
      <c r="I430" s="290" t="s">
        <v>249</v>
      </c>
      <c r="J430" s="291" t="s">
        <v>105</v>
      </c>
      <c r="K430" s="287"/>
      <c r="L430" s="287"/>
      <c r="M430" s="287">
        <v>268</v>
      </c>
      <c r="N430" s="287" t="s">
        <v>23</v>
      </c>
      <c r="O430" s="287" t="s">
        <v>43</v>
      </c>
      <c r="P430" s="287" t="s">
        <v>98</v>
      </c>
      <c r="Q430" s="287"/>
      <c r="R430" s="287" t="s">
        <v>340</v>
      </c>
      <c r="S430" s="292" t="s">
        <v>340</v>
      </c>
      <c r="T430" s="293"/>
      <c r="U430" s="294"/>
      <c r="V430" s="294">
        <v>0</v>
      </c>
      <c r="W430" s="295">
        <v>12955000</v>
      </c>
      <c r="X430" s="296"/>
      <c r="Y430" s="287" t="s">
        <v>28</v>
      </c>
      <c r="Z430" s="297" t="s">
        <v>25</v>
      </c>
      <c r="AA430" s="313"/>
      <c r="AB430" s="313"/>
      <c r="AC430" s="298">
        <f>AG430+AJ430+AM430+AO430+AQ430+AS430+AU430+AW430+AY430+BA430+BC430+BE430</f>
        <v>8000000</v>
      </c>
      <c r="AD430" s="298">
        <v>8000000</v>
      </c>
      <c r="AE430" s="298">
        <f>AC430-AD430</f>
        <v>0</v>
      </c>
      <c r="AF430" s="299"/>
      <c r="AG430" s="300"/>
      <c r="AH430" s="299"/>
      <c r="AI430" s="299">
        <v>3000000</v>
      </c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>
        <v>3000000</v>
      </c>
      <c r="AT430" s="301"/>
      <c r="AU430" s="301"/>
      <c r="AV430" s="301"/>
      <c r="AW430" s="301"/>
      <c r="AX430" s="301"/>
      <c r="AY430" s="301"/>
      <c r="AZ430" s="301"/>
      <c r="BA430" s="301">
        <v>5000000</v>
      </c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>
      <c r="A431" s="285">
        <v>390</v>
      </c>
      <c r="B431" s="286"/>
      <c r="C431" s="286"/>
      <c r="D431" s="287" t="s">
        <v>92</v>
      </c>
      <c r="E431" s="287" t="s">
        <v>102</v>
      </c>
      <c r="F431" s="288" t="s">
        <v>92</v>
      </c>
      <c r="G431" s="289" t="s">
        <v>249</v>
      </c>
      <c r="H431" s="307"/>
      <c r="I431" s="290" t="s">
        <v>249</v>
      </c>
      <c r="J431" s="291" t="s">
        <v>572</v>
      </c>
      <c r="K431" s="287"/>
      <c r="L431" s="287"/>
      <c r="M431" s="287">
        <v>11047</v>
      </c>
      <c r="N431" s="287" t="s">
        <v>23</v>
      </c>
      <c r="O431" s="287" t="s">
        <v>43</v>
      </c>
      <c r="P431" s="287" t="s">
        <v>98</v>
      </c>
      <c r="Q431" s="287"/>
      <c r="R431" s="287" t="s">
        <v>342</v>
      </c>
      <c r="S431" s="292" t="s">
        <v>741</v>
      </c>
      <c r="T431" s="293"/>
      <c r="U431" s="294"/>
      <c r="V431" s="294"/>
      <c r="W431" s="295">
        <v>2700000</v>
      </c>
      <c r="X431" s="296"/>
      <c r="Y431" s="287" t="s">
        <v>28</v>
      </c>
      <c r="Z431" s="297" t="s">
        <v>25</v>
      </c>
      <c r="AA431" s="313"/>
      <c r="AB431" s="313"/>
      <c r="AC431" s="298">
        <f>AG431+AJ431+AM431+AO431+AQ431+AS431+AU431+AW431+AY431+BA431+BC431+BE431</f>
        <v>3000000</v>
      </c>
      <c r="AD431" s="298">
        <v>3000000</v>
      </c>
      <c r="AE431" s="298">
        <f>AC431-AD431</f>
        <v>0</v>
      </c>
      <c r="AF431" s="299"/>
      <c r="AG431" s="300"/>
      <c r="AH431" s="299"/>
      <c r="AI431" s="299"/>
      <c r="AJ431" s="300"/>
      <c r="AK431" s="299"/>
      <c r="AL431" s="301"/>
      <c r="AM431" s="314"/>
      <c r="AN431" s="301"/>
      <c r="AO431" s="302"/>
      <c r="AP431" s="301"/>
      <c r="AQ431" s="316">
        <v>3000000</v>
      </c>
      <c r="AR431" s="301"/>
      <c r="AS431" s="301"/>
      <c r="AT431" s="301"/>
      <c r="AU431" s="301"/>
      <c r="AV431" s="301"/>
      <c r="AW431" s="301"/>
      <c r="AX431" s="301"/>
      <c r="AY431" s="301"/>
      <c r="AZ431" s="301"/>
      <c r="BA431" s="301"/>
      <c r="BB431" s="301"/>
      <c r="BC431" s="301"/>
      <c r="BD431" s="301"/>
      <c r="BE431" s="301"/>
      <c r="BF431" s="301"/>
      <c r="BG431" s="303"/>
      <c r="BH431" s="304"/>
    </row>
    <row r="432" spans="1:60" s="305" customFormat="1" ht="16.5" hidden="1" customHeight="1">
      <c r="A432" s="285">
        <v>395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 t="s">
        <v>249</v>
      </c>
      <c r="J432" s="291" t="s">
        <v>251</v>
      </c>
      <c r="K432" s="287"/>
      <c r="L432" s="287"/>
      <c r="M432" s="287">
        <v>50138</v>
      </c>
      <c r="N432" s="287" t="s">
        <v>35</v>
      </c>
      <c r="O432" s="287" t="s">
        <v>33</v>
      </c>
      <c r="P432" s="287"/>
      <c r="Q432" s="287" t="s">
        <v>19</v>
      </c>
      <c r="R432" s="287" t="s">
        <v>20</v>
      </c>
      <c r="S432" s="292" t="s">
        <v>20</v>
      </c>
      <c r="T432" s="293"/>
      <c r="U432" s="294">
        <v>3033260</v>
      </c>
      <c r="V432" s="294">
        <v>0</v>
      </c>
      <c r="W432" s="295"/>
      <c r="X432" s="296"/>
      <c r="Y432" s="287" t="s">
        <v>22</v>
      </c>
      <c r="Z432" s="297" t="s">
        <v>22</v>
      </c>
      <c r="AA432" s="313"/>
      <c r="AB432" s="313"/>
      <c r="AC432" s="298">
        <f>AG432+AJ432+AM432+AO432+AQ432+AS432+AU432+AW432+AY432+BA432+BC432+BE432</f>
        <v>0</v>
      </c>
      <c r="AD432" s="298">
        <v>0</v>
      </c>
      <c r="AE432" s="298">
        <f>AC432-AD432</f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customHeight="1">
      <c r="A433" s="285">
        <v>392</v>
      </c>
      <c r="B433" s="286"/>
      <c r="C433" s="286"/>
      <c r="D433" s="287" t="s">
        <v>92</v>
      </c>
      <c r="E433" s="287" t="s">
        <v>184</v>
      </c>
      <c r="F433" s="288" t="s">
        <v>92</v>
      </c>
      <c r="G433" s="289" t="s">
        <v>249</v>
      </c>
      <c r="H433" s="307"/>
      <c r="I433" s="290" t="s">
        <v>249</v>
      </c>
      <c r="J433" s="291" t="s">
        <v>756</v>
      </c>
      <c r="K433" s="287"/>
      <c r="L433" s="287"/>
      <c r="M433" s="287">
        <v>2702</v>
      </c>
      <c r="N433" s="287" t="s">
        <v>23</v>
      </c>
      <c r="O433" s="287" t="s">
        <v>33</v>
      </c>
      <c r="P433" s="287" t="s">
        <v>44</v>
      </c>
      <c r="Q433" s="287" t="s">
        <v>19</v>
      </c>
      <c r="R433" s="287"/>
      <c r="S433" s="292" t="s">
        <v>340</v>
      </c>
      <c r="T433" s="293"/>
      <c r="U433" s="294"/>
      <c r="V433" s="294"/>
      <c r="W433" s="295"/>
      <c r="X433" s="296"/>
      <c r="Y433" s="287"/>
      <c r="Z433" s="297" t="s">
        <v>28</v>
      </c>
      <c r="AA433" s="313"/>
      <c r="AB433" s="313"/>
      <c r="AC433" s="298">
        <f>AG433+AJ433+AM433+AO433+AQ433+AS433+AU433+AW433+AY433+BA433+BC433+BE433</f>
        <v>14860000</v>
      </c>
      <c r="AD433" s="298">
        <v>14860000</v>
      </c>
      <c r="AE433" s="298">
        <f>AC433-AD433</f>
        <v>0</v>
      </c>
      <c r="AF433" s="299">
        <v>7360000</v>
      </c>
      <c r="AG433" s="300">
        <v>7360000</v>
      </c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7500000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>
      <c r="A434" s="285">
        <v>397</v>
      </c>
      <c r="B434" s="286"/>
      <c r="C434" s="286"/>
      <c r="D434" s="287" t="s">
        <v>92</v>
      </c>
      <c r="E434" s="287" t="s">
        <v>102</v>
      </c>
      <c r="F434" s="288" t="s">
        <v>92</v>
      </c>
      <c r="G434" s="289" t="s">
        <v>249</v>
      </c>
      <c r="H434" s="307"/>
      <c r="I434" s="290" t="s">
        <v>249</v>
      </c>
      <c r="J434" s="291" t="s">
        <v>111</v>
      </c>
      <c r="K434" s="287"/>
      <c r="L434" s="287"/>
      <c r="M434" s="287">
        <v>6106</v>
      </c>
      <c r="N434" s="287" t="s">
        <v>40</v>
      </c>
      <c r="O434" s="287" t="s">
        <v>33</v>
      </c>
      <c r="P434" s="287" t="s">
        <v>44</v>
      </c>
      <c r="Q434" s="287" t="s">
        <v>49</v>
      </c>
      <c r="R434" s="287" t="s">
        <v>29</v>
      </c>
      <c r="S434" s="292" t="s">
        <v>29</v>
      </c>
      <c r="T434" s="293"/>
      <c r="U434" s="294">
        <v>38524786</v>
      </c>
      <c r="V434" s="294">
        <v>25417180</v>
      </c>
      <c r="W434" s="295"/>
      <c r="X434" s="296"/>
      <c r="Y434" s="287" t="s">
        <v>56</v>
      </c>
      <c r="Z434" s="297" t="s">
        <v>544</v>
      </c>
      <c r="AA434" s="313"/>
      <c r="AB434" s="313"/>
      <c r="AC434" s="298">
        <f>AG434+AJ434+AM434+AO434+AQ434+AS434+AU434+AW434+AY434+BA434+BC434+BE434</f>
        <v>0</v>
      </c>
      <c r="AD434" s="298">
        <v>0</v>
      </c>
      <c r="AE434" s="298">
        <f>AC434-AD434</f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/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>
      <c r="A435" s="285">
        <v>398</v>
      </c>
      <c r="B435" s="286"/>
      <c r="C435" s="286"/>
      <c r="D435" s="287" t="s">
        <v>92</v>
      </c>
      <c r="E435" s="287" t="s">
        <v>102</v>
      </c>
      <c r="F435" s="288" t="s">
        <v>92</v>
      </c>
      <c r="G435" s="289" t="s">
        <v>249</v>
      </c>
      <c r="H435" s="307"/>
      <c r="I435" s="290" t="s">
        <v>249</v>
      </c>
      <c r="J435" s="291" t="s">
        <v>111</v>
      </c>
      <c r="K435" s="287"/>
      <c r="L435" s="287"/>
      <c r="M435" s="287">
        <v>6106</v>
      </c>
      <c r="N435" s="287" t="s">
        <v>40</v>
      </c>
      <c r="O435" s="287" t="s">
        <v>33</v>
      </c>
      <c r="P435" s="287" t="s">
        <v>44</v>
      </c>
      <c r="Q435" s="287" t="s">
        <v>30</v>
      </c>
      <c r="R435" s="287" t="s">
        <v>31</v>
      </c>
      <c r="S435" s="292" t="s">
        <v>31</v>
      </c>
      <c r="T435" s="293"/>
      <c r="U435" s="294">
        <v>43187000</v>
      </c>
      <c r="V435" s="294">
        <v>48901000</v>
      </c>
      <c r="W435" s="295"/>
      <c r="X435" s="296"/>
      <c r="Y435" s="287" t="s">
        <v>56</v>
      </c>
      <c r="Z435" s="297" t="s">
        <v>544</v>
      </c>
      <c r="AA435" s="313"/>
      <c r="AB435" s="313"/>
      <c r="AC435" s="298">
        <f>AG435+AJ435+AM435+AO435+AQ435+AS435+AU435+AW435+AY435+BA435+BC435+BE435</f>
        <v>0</v>
      </c>
      <c r="AD435" s="298">
        <v>0</v>
      </c>
      <c r="AE435" s="298">
        <f>AC435-AD435</f>
        <v>0</v>
      </c>
      <c r="AF435" s="299"/>
      <c r="AG435" s="300"/>
      <c r="AH435" s="299"/>
      <c r="AI435" s="299"/>
      <c r="AJ435" s="300"/>
      <c r="AK435" s="299"/>
      <c r="AL435" s="301"/>
      <c r="AM435" s="314"/>
      <c r="AN435" s="301"/>
      <c r="AO435" s="302"/>
      <c r="AP435" s="301"/>
      <c r="AQ435" s="301"/>
      <c r="AR435" s="301"/>
      <c r="AS435" s="301"/>
      <c r="AT435" s="301"/>
      <c r="AU435" s="301"/>
      <c r="AV435" s="301"/>
      <c r="AW435" s="301"/>
      <c r="AX435" s="301"/>
      <c r="AY435" s="301"/>
      <c r="AZ435" s="301"/>
      <c r="BA435" s="301"/>
      <c r="BB435" s="301"/>
      <c r="BC435" s="301"/>
      <c r="BD435" s="301"/>
      <c r="BE435" s="301"/>
      <c r="BF435" s="301"/>
      <c r="BG435" s="303"/>
      <c r="BH435" s="304"/>
    </row>
    <row r="436" spans="1:60" s="305" customFormat="1" ht="16.5" hidden="1" customHeight="1">
      <c r="A436" s="285">
        <v>399</v>
      </c>
      <c r="B436" s="286"/>
      <c r="C436" s="286"/>
      <c r="D436" s="287" t="s">
        <v>92</v>
      </c>
      <c r="E436" s="287" t="s">
        <v>102</v>
      </c>
      <c r="F436" s="288" t="s">
        <v>92</v>
      </c>
      <c r="G436" s="289" t="s">
        <v>249</v>
      </c>
      <c r="H436" s="307"/>
      <c r="I436" s="290" t="s">
        <v>249</v>
      </c>
      <c r="J436" s="291" t="s">
        <v>111</v>
      </c>
      <c r="K436" s="287"/>
      <c r="L436" s="287"/>
      <c r="M436" s="287">
        <v>6106</v>
      </c>
      <c r="N436" s="287" t="s">
        <v>40</v>
      </c>
      <c r="O436" s="287" t="s">
        <v>33</v>
      </c>
      <c r="P436" s="287"/>
      <c r="Q436" s="287" t="s">
        <v>36</v>
      </c>
      <c r="R436" s="287" t="s">
        <v>341</v>
      </c>
      <c r="S436" s="292" t="s">
        <v>341</v>
      </c>
      <c r="T436" s="293"/>
      <c r="U436" s="294"/>
      <c r="V436" s="294">
        <v>12000000</v>
      </c>
      <c r="W436" s="295"/>
      <c r="X436" s="296"/>
      <c r="Y436" s="287" t="s">
        <v>26</v>
      </c>
      <c r="Z436" s="297" t="s">
        <v>544</v>
      </c>
      <c r="AA436" s="313"/>
      <c r="AB436" s="313"/>
      <c r="AC436" s="298">
        <f>AG436+AJ436+AM436+AO436+AQ436+AS436+AU436+AW436+AY436+BA436+BC436+BE436</f>
        <v>0</v>
      </c>
      <c r="AD436" s="298">
        <v>0</v>
      </c>
      <c r="AE436" s="298">
        <f>AC436-AD436</f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/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>
      <c r="A437" s="285">
        <v>396</v>
      </c>
      <c r="B437" s="286"/>
      <c r="C437" s="286"/>
      <c r="D437" s="287" t="s">
        <v>92</v>
      </c>
      <c r="E437" s="287" t="s">
        <v>102</v>
      </c>
      <c r="F437" s="288" t="s">
        <v>92</v>
      </c>
      <c r="G437" s="289" t="s">
        <v>249</v>
      </c>
      <c r="H437" s="307"/>
      <c r="I437" s="290" t="s">
        <v>249</v>
      </c>
      <c r="J437" s="291" t="s">
        <v>110</v>
      </c>
      <c r="K437" s="287"/>
      <c r="L437" s="287"/>
      <c r="M437" s="287">
        <v>11188</v>
      </c>
      <c r="N437" s="287" t="s">
        <v>23</v>
      </c>
      <c r="O437" s="287" t="s">
        <v>43</v>
      </c>
      <c r="P437" s="287" t="s">
        <v>98</v>
      </c>
      <c r="Q437" s="287"/>
      <c r="R437" s="287" t="s">
        <v>340</v>
      </c>
      <c r="S437" s="292" t="s">
        <v>340</v>
      </c>
      <c r="T437" s="293"/>
      <c r="U437" s="294"/>
      <c r="V437" s="294">
        <v>2255000</v>
      </c>
      <c r="W437" s="295">
        <v>4250000</v>
      </c>
      <c r="X437" s="296"/>
      <c r="Y437" s="287" t="s">
        <v>28</v>
      </c>
      <c r="Z437" s="297" t="s">
        <v>25</v>
      </c>
      <c r="AA437" s="313"/>
      <c r="AB437" s="313"/>
      <c r="AC437" s="298">
        <f>AG437+AJ437+AM437+AO437+AQ437+AS437+AU437+AW437+AY437+BA437+BC437+BE437</f>
        <v>3000000</v>
      </c>
      <c r="AD437" s="298">
        <v>3000000</v>
      </c>
      <c r="AE437" s="298">
        <f>AC437-AD437</f>
        <v>0</v>
      </c>
      <c r="AF437" s="299"/>
      <c r="AG437" s="300"/>
      <c r="AH437" s="299"/>
      <c r="AI437" s="299">
        <v>2000000</v>
      </c>
      <c r="AJ437" s="300"/>
      <c r="AK437" s="299"/>
      <c r="AL437" s="301"/>
      <c r="AM437" s="314"/>
      <c r="AN437" s="301"/>
      <c r="AO437" s="302"/>
      <c r="AP437" s="301"/>
      <c r="AQ437" s="316">
        <v>1000000</v>
      </c>
      <c r="AR437" s="301"/>
      <c r="AS437" s="301">
        <v>1000000</v>
      </c>
      <c r="AT437" s="301"/>
      <c r="AU437" s="301"/>
      <c r="AV437" s="301"/>
      <c r="AW437" s="301"/>
      <c r="AX437" s="301"/>
      <c r="AY437" s="301"/>
      <c r="AZ437" s="301"/>
      <c r="BA437" s="301">
        <v>1000000</v>
      </c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>
      <c r="A438" s="285">
        <v>400</v>
      </c>
      <c r="B438" s="286"/>
      <c r="C438" s="286"/>
      <c r="D438" s="287" t="s">
        <v>92</v>
      </c>
      <c r="E438" s="287" t="s">
        <v>102</v>
      </c>
      <c r="F438" s="288" t="s">
        <v>92</v>
      </c>
      <c r="G438" s="289" t="s">
        <v>249</v>
      </c>
      <c r="H438" s="307"/>
      <c r="I438" s="290" t="s">
        <v>249</v>
      </c>
      <c r="J438" s="291" t="s">
        <v>111</v>
      </c>
      <c r="K438" s="287"/>
      <c r="L438" s="287"/>
      <c r="M438" s="287">
        <v>6106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28760000</v>
      </c>
      <c r="W438" s="295">
        <v>6700000</v>
      </c>
      <c r="X438" s="296"/>
      <c r="Y438" s="287" t="s">
        <v>28</v>
      </c>
      <c r="Z438" s="297" t="s">
        <v>25</v>
      </c>
      <c r="AA438" s="313"/>
      <c r="AB438" s="313"/>
      <c r="AC438" s="298">
        <f>AG438+AJ438+AM438+AO438+AQ438+AS438+AU438+AW438+AY438+BA438+BC438+BE438</f>
        <v>5000000</v>
      </c>
      <c r="AD438" s="298">
        <v>5000000</v>
      </c>
      <c r="AE438" s="298">
        <f>AC438-AD438</f>
        <v>0</v>
      </c>
      <c r="AF438" s="299"/>
      <c r="AG438" s="300"/>
      <c r="AH438" s="299"/>
      <c r="AI438" s="299"/>
      <c r="AJ438" s="300"/>
      <c r="AK438" s="299"/>
      <c r="AL438" s="301"/>
      <c r="AM438" s="314"/>
      <c r="AN438" s="301"/>
      <c r="AO438" s="302"/>
      <c r="AP438" s="301"/>
      <c r="AQ438" s="316">
        <v>2000000</v>
      </c>
      <c r="AR438" s="301"/>
      <c r="AS438" s="301"/>
      <c r="AT438" s="301"/>
      <c r="AU438" s="301"/>
      <c r="AV438" s="301"/>
      <c r="AW438" s="301"/>
      <c r="AX438" s="301"/>
      <c r="AY438" s="301"/>
      <c r="AZ438" s="301"/>
      <c r="BA438" s="301">
        <v>3000000</v>
      </c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>
      <c r="A439" s="285">
        <v>402</v>
      </c>
      <c r="B439" s="286"/>
      <c r="C439" s="286"/>
      <c r="D439" s="287" t="s">
        <v>92</v>
      </c>
      <c r="E439" s="287" t="s">
        <v>102</v>
      </c>
      <c r="F439" s="288" t="s">
        <v>92</v>
      </c>
      <c r="G439" s="289" t="s">
        <v>249</v>
      </c>
      <c r="H439" s="307"/>
      <c r="I439" s="290" t="s">
        <v>249</v>
      </c>
      <c r="J439" s="291" t="s">
        <v>111</v>
      </c>
      <c r="K439" s="287"/>
      <c r="L439" s="287"/>
      <c r="M439" s="287">
        <v>6106</v>
      </c>
      <c r="N439" s="287" t="s">
        <v>40</v>
      </c>
      <c r="O439" s="287" t="s">
        <v>43</v>
      </c>
      <c r="P439" s="287"/>
      <c r="Q439" s="287" t="s">
        <v>24</v>
      </c>
      <c r="R439" s="287" t="s">
        <v>221</v>
      </c>
      <c r="S439" s="292" t="s">
        <v>745</v>
      </c>
      <c r="T439" s="293"/>
      <c r="U439" s="294"/>
      <c r="V439" s="294">
        <v>7000000</v>
      </c>
      <c r="W439" s="295">
        <v>1500000</v>
      </c>
      <c r="X439" s="296"/>
      <c r="Y439" s="287" t="s">
        <v>25</v>
      </c>
      <c r="Z439" s="297" t="s">
        <v>544</v>
      </c>
      <c r="AA439" s="313"/>
      <c r="AB439" s="313"/>
      <c r="AC439" s="298">
        <f>AG439+AJ439+AM439+AO439+AQ439+AS439+AU439+AW439+AY439+BA439+BC439+BE439</f>
        <v>7000000</v>
      </c>
      <c r="AD439" s="298">
        <v>7000000</v>
      </c>
      <c r="AE439" s="298">
        <f>AC439-AD439</f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>
        <v>7000000</v>
      </c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>
      <c r="A440" s="285">
        <v>401</v>
      </c>
      <c r="B440" s="286"/>
      <c r="C440" s="286"/>
      <c r="D440" s="287" t="s">
        <v>92</v>
      </c>
      <c r="E440" s="287" t="s">
        <v>102</v>
      </c>
      <c r="F440" s="288" t="s">
        <v>92</v>
      </c>
      <c r="G440" s="289" t="s">
        <v>249</v>
      </c>
      <c r="H440" s="307"/>
      <c r="I440" s="290" t="s">
        <v>249</v>
      </c>
      <c r="J440" s="291" t="s">
        <v>111</v>
      </c>
      <c r="K440" s="287"/>
      <c r="L440" s="287"/>
      <c r="M440" s="287">
        <v>6106</v>
      </c>
      <c r="N440" s="287" t="s">
        <v>40</v>
      </c>
      <c r="O440" s="287" t="s">
        <v>33</v>
      </c>
      <c r="P440" s="287" t="s">
        <v>44</v>
      </c>
      <c r="Q440" s="287" t="s">
        <v>45</v>
      </c>
      <c r="R440" s="287" t="s">
        <v>342</v>
      </c>
      <c r="S440" s="292" t="s">
        <v>741</v>
      </c>
      <c r="T440" s="293"/>
      <c r="U440" s="294"/>
      <c r="V440" s="294">
        <v>1000000</v>
      </c>
      <c r="W440" s="295"/>
      <c r="X440" s="296"/>
      <c r="Y440" s="287" t="s">
        <v>26</v>
      </c>
      <c r="Z440" s="297" t="s">
        <v>26</v>
      </c>
      <c r="AA440" s="313"/>
      <c r="AB440" s="313"/>
      <c r="AC440" s="298">
        <f>AG440+AJ440+AM440+AO440+AQ440+AS440+AU440+AW440+AY440+BA440+BC440+BE440</f>
        <v>2000000</v>
      </c>
      <c r="AD440" s="298">
        <v>2000000</v>
      </c>
      <c r="AE440" s="298">
        <f>AC440-AD440</f>
        <v>0</v>
      </c>
      <c r="AF440" s="299"/>
      <c r="AG440" s="300"/>
      <c r="AH440" s="299"/>
      <c r="AI440" s="299"/>
      <c r="AJ440" s="300"/>
      <c r="AK440" s="299"/>
      <c r="AL440" s="301"/>
      <c r="AM440" s="314"/>
      <c r="AN440" s="301"/>
      <c r="AO440" s="302"/>
      <c r="AP440" s="301"/>
      <c r="AQ440" s="301"/>
      <c r="AR440" s="301"/>
      <c r="AS440" s="301"/>
      <c r="AT440" s="301"/>
      <c r="AU440" s="301"/>
      <c r="AV440" s="301"/>
      <c r="AW440" s="301"/>
      <c r="AX440" s="301"/>
      <c r="AY440" s="301">
        <v>2000000</v>
      </c>
      <c r="AZ440" s="301"/>
      <c r="BA440" s="301"/>
      <c r="BB440" s="301"/>
      <c r="BC440" s="301"/>
      <c r="BD440" s="301"/>
      <c r="BE440" s="301"/>
      <c r="BF440" s="301"/>
      <c r="BG440" s="303"/>
      <c r="BH440" s="304"/>
    </row>
    <row r="441" spans="1:60" s="305" customFormat="1" ht="16.5" customHeight="1">
      <c r="A441" s="285">
        <v>404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 t="s">
        <v>249</v>
      </c>
      <c r="J441" s="291" t="s">
        <v>506</v>
      </c>
      <c r="K441" s="287"/>
      <c r="L441" s="287"/>
      <c r="M441" s="287">
        <v>4994</v>
      </c>
      <c r="N441" s="287" t="s">
        <v>40</v>
      </c>
      <c r="O441" s="287" t="s">
        <v>43</v>
      </c>
      <c r="P441" s="287" t="s">
        <v>44</v>
      </c>
      <c r="Q441" s="287" t="s">
        <v>27</v>
      </c>
      <c r="R441" s="287" t="s">
        <v>340</v>
      </c>
      <c r="S441" s="292" t="s">
        <v>340</v>
      </c>
      <c r="T441" s="293"/>
      <c r="U441" s="294">
        <v>7800000</v>
      </c>
      <c r="V441" s="294">
        <v>3000000</v>
      </c>
      <c r="W441" s="295">
        <v>7400000</v>
      </c>
      <c r="X441" s="296"/>
      <c r="Y441" s="287" t="s">
        <v>28</v>
      </c>
      <c r="Z441" s="297" t="s">
        <v>28</v>
      </c>
      <c r="AA441" s="313"/>
      <c r="AB441" s="313"/>
      <c r="AC441" s="298">
        <f>AG441+AJ441+AM441+AO441+AQ441+AS441+AU441+AW441+AY441+BA441+BC441+BE441</f>
        <v>7400000</v>
      </c>
      <c r="AD441" s="298">
        <v>7400000</v>
      </c>
      <c r="AE441" s="298">
        <f>AC441-AD441</f>
        <v>0</v>
      </c>
      <c r="AF441" s="299">
        <v>3700000</v>
      </c>
      <c r="AG441" s="300">
        <v>3700000</v>
      </c>
      <c r="AH441" s="299"/>
      <c r="AI441" s="299"/>
      <c r="AJ441" s="300"/>
      <c r="AK441" s="299"/>
      <c r="AL441" s="301"/>
      <c r="AM441" s="314">
        <v>3700000</v>
      </c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/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>
      <c r="A442" s="285">
        <v>405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 t="s">
        <v>249</v>
      </c>
      <c r="J442" s="291" t="s">
        <v>506</v>
      </c>
      <c r="K442" s="287"/>
      <c r="L442" s="287"/>
      <c r="M442" s="287">
        <v>4994</v>
      </c>
      <c r="N442" s="287" t="s">
        <v>40</v>
      </c>
      <c r="O442" s="287" t="s">
        <v>43</v>
      </c>
      <c r="P442" s="287" t="s">
        <v>44</v>
      </c>
      <c r="Q442" s="287" t="s">
        <v>27</v>
      </c>
      <c r="R442" s="287" t="s">
        <v>221</v>
      </c>
      <c r="S442" s="292" t="s">
        <v>745</v>
      </c>
      <c r="T442" s="293"/>
      <c r="U442" s="294"/>
      <c r="V442" s="294"/>
      <c r="W442" s="295">
        <v>10516364</v>
      </c>
      <c r="X442" s="296"/>
      <c r="Y442" s="287" t="s">
        <v>28</v>
      </c>
      <c r="Z442" s="297" t="s">
        <v>26</v>
      </c>
      <c r="AA442" s="313"/>
      <c r="AB442" s="313"/>
      <c r="AC442" s="298">
        <f>AG442+AJ442+AM442+AO442+AQ442+AS442+AU442+AW442+AY442+BA442+BC442+BE442</f>
        <v>10000000</v>
      </c>
      <c r="AD442" s="298">
        <v>10000000</v>
      </c>
      <c r="AE442" s="298">
        <f>AC442-AD442</f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/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>
        <v>10000000</v>
      </c>
      <c r="AZ442" s="301"/>
      <c r="BA442" s="301"/>
      <c r="BB442" s="301"/>
      <c r="BC442" s="301"/>
      <c r="BD442" s="301"/>
      <c r="BE442" s="301"/>
      <c r="BF442" s="301"/>
      <c r="BG442" s="303"/>
      <c r="BH442" s="304"/>
    </row>
    <row r="443" spans="1:60" s="305" customFormat="1" ht="16.5" hidden="1" customHeight="1">
      <c r="A443" s="285">
        <v>407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 t="s">
        <v>249</v>
      </c>
      <c r="J443" s="291" t="s">
        <v>215</v>
      </c>
      <c r="K443" s="287"/>
      <c r="L443" s="287"/>
      <c r="M443" s="287">
        <v>60055</v>
      </c>
      <c r="N443" s="287" t="s">
        <v>40</v>
      </c>
      <c r="O443" s="287" t="s">
        <v>43</v>
      </c>
      <c r="P443" s="287"/>
      <c r="Q443" s="287" t="s">
        <v>48</v>
      </c>
      <c r="R443" s="287" t="s">
        <v>563</v>
      </c>
      <c r="S443" s="292" t="s">
        <v>739</v>
      </c>
      <c r="T443" s="293"/>
      <c r="U443" s="294"/>
      <c r="V443" s="294">
        <v>14140000</v>
      </c>
      <c r="W443" s="295"/>
      <c r="X443" s="296"/>
      <c r="Y443" s="287" t="s">
        <v>21</v>
      </c>
      <c r="Z443" s="297" t="s">
        <v>618</v>
      </c>
      <c r="AA443" s="313"/>
      <c r="AB443" s="313"/>
      <c r="AC443" s="298">
        <f>AG443+AJ443+AM443+AO443+AQ443+AS443+AU443+AW443+AY443+BA443+BC443+BE443</f>
        <v>0</v>
      </c>
      <c r="AD443" s="298">
        <v>0</v>
      </c>
      <c r="AE443" s="298">
        <f>AC443-AD443</f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01"/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/>
      <c r="BF443" s="301"/>
      <c r="BG443" s="303"/>
      <c r="BH443" s="304"/>
    </row>
    <row r="444" spans="1:60" s="305" customFormat="1" ht="16.5" hidden="1" customHeight="1">
      <c r="A444" s="285">
        <v>409</v>
      </c>
      <c r="B444" s="286"/>
      <c r="C444" s="286"/>
      <c r="D444" s="287" t="s">
        <v>92</v>
      </c>
      <c r="E444" s="287" t="s">
        <v>249</v>
      </c>
      <c r="F444" s="288" t="s">
        <v>92</v>
      </c>
      <c r="G444" s="289" t="s">
        <v>249</v>
      </c>
      <c r="H444" s="307"/>
      <c r="I444" s="290" t="s">
        <v>249</v>
      </c>
      <c r="J444" s="291" t="s">
        <v>510</v>
      </c>
      <c r="K444" s="287"/>
      <c r="L444" s="287"/>
      <c r="M444" s="287">
        <v>61682</v>
      </c>
      <c r="N444" s="287" t="s">
        <v>23</v>
      </c>
      <c r="O444" s="287" t="s">
        <v>43</v>
      </c>
      <c r="P444" s="287" t="s">
        <v>44</v>
      </c>
      <c r="Q444" s="287" t="s">
        <v>30</v>
      </c>
      <c r="R444" s="287" t="s">
        <v>31</v>
      </c>
      <c r="S444" s="292" t="s">
        <v>31</v>
      </c>
      <c r="T444" s="293"/>
      <c r="U444" s="294">
        <v>200000</v>
      </c>
      <c r="V444" s="294">
        <v>0</v>
      </c>
      <c r="W444" s="295">
        <v>6625660</v>
      </c>
      <c r="X444" s="296"/>
      <c r="Y444" s="287" t="s">
        <v>28</v>
      </c>
      <c r="Z444" s="297" t="s">
        <v>618</v>
      </c>
      <c r="AA444" s="313"/>
      <c r="AB444" s="313"/>
      <c r="AC444" s="298">
        <f>AG444+AJ444+AM444+AO444+AQ444+AS444+AU444+AW444+AY444+BA444+BC444+BE444</f>
        <v>0</v>
      </c>
      <c r="AD444" s="298">
        <v>0</v>
      </c>
      <c r="AE444" s="298">
        <f>AC444-AD444</f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>
      <c r="A445" s="285">
        <v>406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 t="s">
        <v>249</v>
      </c>
      <c r="J445" s="291" t="s">
        <v>591</v>
      </c>
      <c r="K445" s="287"/>
      <c r="L445" s="287"/>
      <c r="M445" s="287">
        <v>4994</v>
      </c>
      <c r="N445" s="287" t="s">
        <v>40</v>
      </c>
      <c r="O445" s="287" t="s">
        <v>43</v>
      </c>
      <c r="P445" s="287" t="s">
        <v>44</v>
      </c>
      <c r="Q445" s="287" t="s">
        <v>49</v>
      </c>
      <c r="R445" s="287" t="s">
        <v>563</v>
      </c>
      <c r="S445" s="292" t="s">
        <v>739</v>
      </c>
      <c r="T445" s="293"/>
      <c r="U445" s="294"/>
      <c r="V445" s="294"/>
      <c r="W445" s="295">
        <v>10500000</v>
      </c>
      <c r="X445" s="296"/>
      <c r="Y445" s="287" t="s">
        <v>28</v>
      </c>
      <c r="Z445" s="297" t="s">
        <v>25</v>
      </c>
      <c r="AA445" s="313"/>
      <c r="AB445" s="313"/>
      <c r="AC445" s="298">
        <f>AG445+AJ445+AM445+AO445+AQ445+AS445+AU445+AW445+AY445+BA445+BC445+BE445</f>
        <v>11000000</v>
      </c>
      <c r="AD445" s="298">
        <v>11000000</v>
      </c>
      <c r="AE445" s="298">
        <f>AC445-AD445</f>
        <v>0</v>
      </c>
      <c r="AF445" s="299"/>
      <c r="AG445" s="300"/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>
        <v>11000000</v>
      </c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>
      <c r="A446" s="285">
        <v>410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 t="s">
        <v>249</v>
      </c>
      <c r="J446" s="291" t="s">
        <v>510</v>
      </c>
      <c r="K446" s="287"/>
      <c r="L446" s="287"/>
      <c r="M446" s="287">
        <v>61682</v>
      </c>
      <c r="N446" s="287" t="s">
        <v>23</v>
      </c>
      <c r="O446" s="287" t="s">
        <v>33</v>
      </c>
      <c r="P446" s="287"/>
      <c r="Q446" s="287"/>
      <c r="R446" s="287" t="s">
        <v>349</v>
      </c>
      <c r="S446" s="292" t="s">
        <v>349</v>
      </c>
      <c r="T446" s="293"/>
      <c r="U446" s="294"/>
      <c r="V446" s="294">
        <v>0</v>
      </c>
      <c r="W446" s="295"/>
      <c r="X446" s="296"/>
      <c r="Y446" s="287" t="s">
        <v>26</v>
      </c>
      <c r="Z446" s="297" t="s">
        <v>26</v>
      </c>
      <c r="AA446" s="313"/>
      <c r="AB446" s="313"/>
      <c r="AC446" s="298">
        <f>AG446+AJ446+AM446+AO446+AQ446+AS446+AU446+AW446+AY446+BA446+BC446+BE446</f>
        <v>10000000</v>
      </c>
      <c r="AD446" s="298">
        <v>10000000</v>
      </c>
      <c r="AE446" s="298">
        <f>AC446-AD446</f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>
        <v>10000000</v>
      </c>
      <c r="AT446" s="301"/>
      <c r="AU446" s="301"/>
      <c r="AV446" s="301"/>
      <c r="AW446" s="301"/>
      <c r="AX446" s="301"/>
      <c r="AY446" s="301"/>
      <c r="AZ446" s="301"/>
      <c r="BA446" s="301"/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>
      <c r="A447" s="285">
        <v>411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 t="s">
        <v>249</v>
      </c>
      <c r="J447" s="291" t="s">
        <v>510</v>
      </c>
      <c r="K447" s="287"/>
      <c r="L447" s="287"/>
      <c r="M447" s="287">
        <v>61682</v>
      </c>
      <c r="N447" s="287" t="s">
        <v>23</v>
      </c>
      <c r="O447" s="287" t="s">
        <v>33</v>
      </c>
      <c r="P447" s="287"/>
      <c r="Q447" s="287"/>
      <c r="R447" s="287" t="s">
        <v>346</v>
      </c>
      <c r="S447" s="292" t="s">
        <v>752</v>
      </c>
      <c r="T447" s="293"/>
      <c r="U447" s="294"/>
      <c r="V447" s="294">
        <v>0</v>
      </c>
      <c r="W447" s="295"/>
      <c r="X447" s="296"/>
      <c r="Y447" s="287" t="s">
        <v>25</v>
      </c>
      <c r="Z447" s="297" t="s">
        <v>26</v>
      </c>
      <c r="AA447" s="313"/>
      <c r="AB447" s="313"/>
      <c r="AC447" s="298">
        <f>AG447+AJ447+AM447+AO447+AQ447+AS447+AU447+AW447+AY447+BA447+BC447+BE447</f>
        <v>5000000</v>
      </c>
      <c r="AD447" s="298">
        <v>5000000</v>
      </c>
      <c r="AE447" s="298">
        <f>AC447-AD447</f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>
        <v>5000000</v>
      </c>
      <c r="BB447" s="301"/>
      <c r="BC447" s="301"/>
      <c r="BD447" s="301"/>
      <c r="BE447" s="301"/>
      <c r="BF447" s="301"/>
      <c r="BG447" s="303"/>
      <c r="BH447" s="304"/>
    </row>
    <row r="448" spans="1:60" s="305" customFormat="1" ht="16.5" customHeight="1">
      <c r="A448" s="285">
        <v>413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 t="s">
        <v>249</v>
      </c>
      <c r="J448" s="291" t="s">
        <v>491</v>
      </c>
      <c r="K448" s="287"/>
      <c r="L448" s="287"/>
      <c r="M448" s="287">
        <v>28925</v>
      </c>
      <c r="N448" s="287" t="s">
        <v>23</v>
      </c>
      <c r="O448" s="287" t="s">
        <v>43</v>
      </c>
      <c r="P448" s="287" t="s">
        <v>44</v>
      </c>
      <c r="Q448" s="287" t="s">
        <v>30</v>
      </c>
      <c r="R448" s="287" t="s">
        <v>31</v>
      </c>
      <c r="S448" s="292" t="s">
        <v>31</v>
      </c>
      <c r="T448" s="293"/>
      <c r="U448" s="294">
        <v>740000</v>
      </c>
      <c r="V448" s="294">
        <v>2810000</v>
      </c>
      <c r="W448" s="295">
        <v>1760000</v>
      </c>
      <c r="X448" s="296"/>
      <c r="Y448" s="287" t="s">
        <v>25</v>
      </c>
      <c r="Z448" s="297" t="s">
        <v>28</v>
      </c>
      <c r="AA448" s="313"/>
      <c r="AB448" s="313"/>
      <c r="AC448" s="298">
        <f>AG448+AJ448+AM448+AO448+AQ448+AS448+AU448+AW448+AY448+BA448+BC448+BE448</f>
        <v>3000000</v>
      </c>
      <c r="AD448" s="298">
        <v>3000000</v>
      </c>
      <c r="AE448" s="298">
        <f>AC448-AD448</f>
        <v>0</v>
      </c>
      <c r="AF448" s="299"/>
      <c r="AG448" s="300"/>
      <c r="AH448" s="299"/>
      <c r="AI448" s="299"/>
      <c r="AJ448" s="300"/>
      <c r="AK448" s="299"/>
      <c r="AL448" s="301"/>
      <c r="AM448" s="314"/>
      <c r="AN448" s="301"/>
      <c r="AO448" s="302"/>
      <c r="AP448" s="301"/>
      <c r="AQ448" s="301"/>
      <c r="AR448" s="301"/>
      <c r="AS448" s="301"/>
      <c r="AT448" s="301"/>
      <c r="AU448" s="301"/>
      <c r="AV448" s="301"/>
      <c r="AW448" s="301"/>
      <c r="AX448" s="301"/>
      <c r="AY448" s="301">
        <v>3000000</v>
      </c>
      <c r="AZ448" s="301"/>
      <c r="BA448" s="301"/>
      <c r="BB448" s="301"/>
      <c r="BC448" s="301"/>
      <c r="BD448" s="301"/>
      <c r="BE448" s="301"/>
      <c r="BF448" s="301"/>
      <c r="BG448" s="303"/>
      <c r="BH448" s="304"/>
    </row>
    <row r="449" spans="1:60" s="305" customFormat="1" ht="16.5" customHeight="1">
      <c r="A449" s="285">
        <v>414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 t="s">
        <v>249</v>
      </c>
      <c r="J449" s="291" t="s">
        <v>494</v>
      </c>
      <c r="K449" s="287"/>
      <c r="L449" s="287"/>
      <c r="M449" s="287">
        <v>30706</v>
      </c>
      <c r="N449" s="287" t="s">
        <v>40</v>
      </c>
      <c r="O449" s="287" t="s">
        <v>43</v>
      </c>
      <c r="P449" s="287" t="s">
        <v>44</v>
      </c>
      <c r="Q449" s="287" t="s">
        <v>19</v>
      </c>
      <c r="R449" s="287" t="s">
        <v>20</v>
      </c>
      <c r="S449" s="292" t="s">
        <v>20</v>
      </c>
      <c r="T449" s="293"/>
      <c r="U449" s="294">
        <v>3190000</v>
      </c>
      <c r="V449" s="294">
        <v>2686500</v>
      </c>
      <c r="W449" s="295">
        <v>2487500</v>
      </c>
      <c r="X449" s="296"/>
      <c r="Y449" s="287" t="s">
        <v>28</v>
      </c>
      <c r="Z449" s="297" t="s">
        <v>28</v>
      </c>
      <c r="AA449" s="313"/>
      <c r="AB449" s="313"/>
      <c r="AC449" s="298">
        <f>AG449+AJ449+AM449+AO449+AQ449+AS449+AU449+AW449+AY449+BA449+BC449+BE449</f>
        <v>3000000</v>
      </c>
      <c r="AD449" s="298">
        <v>3000000</v>
      </c>
      <c r="AE449" s="298">
        <f>AC449-AD449</f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3000000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>
      <c r="A450" s="285">
        <v>416</v>
      </c>
      <c r="B450" s="286"/>
      <c r="C450" s="286"/>
      <c r="D450" s="287" t="s">
        <v>92</v>
      </c>
      <c r="E450" s="287" t="s">
        <v>249</v>
      </c>
      <c r="F450" s="288" t="s">
        <v>92</v>
      </c>
      <c r="G450" s="289" t="s">
        <v>249</v>
      </c>
      <c r="H450" s="307"/>
      <c r="I450" s="290" t="s">
        <v>249</v>
      </c>
      <c r="J450" s="291" t="s">
        <v>253</v>
      </c>
      <c r="K450" s="287"/>
      <c r="L450" s="287"/>
      <c r="M450" s="287">
        <v>60189</v>
      </c>
      <c r="N450" s="287" t="s">
        <v>40</v>
      </c>
      <c r="O450" s="287" t="s">
        <v>43</v>
      </c>
      <c r="P450" s="287"/>
      <c r="Q450" s="287" t="s">
        <v>48</v>
      </c>
      <c r="R450" s="287" t="s">
        <v>685</v>
      </c>
      <c r="S450" s="292" t="s">
        <v>739</v>
      </c>
      <c r="T450" s="293"/>
      <c r="U450" s="294"/>
      <c r="V450" s="294">
        <v>0</v>
      </c>
      <c r="W450" s="295"/>
      <c r="X450" s="296"/>
      <c r="Y450" s="287" t="s">
        <v>21</v>
      </c>
      <c r="Z450" s="297" t="s">
        <v>618</v>
      </c>
      <c r="AA450" s="313"/>
      <c r="AB450" s="313"/>
      <c r="AC450" s="298">
        <f>AG450+AJ450+AM450+AO450+AQ450+AS450+AU450+AW450+AY450+BA450+BC450+BE450</f>
        <v>0</v>
      </c>
      <c r="AD450" s="298">
        <v>0</v>
      </c>
      <c r="AE450" s="298">
        <f>AC450-AD450</f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/>
      <c r="AR450" s="301"/>
      <c r="AS450" s="301"/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>
      <c r="A451" s="285">
        <v>418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 t="s">
        <v>249</v>
      </c>
      <c r="J451" s="291" t="s">
        <v>77</v>
      </c>
      <c r="K451" s="287"/>
      <c r="L451" s="287"/>
      <c r="M451" s="287">
        <v>10065</v>
      </c>
      <c r="N451" s="287" t="s">
        <v>35</v>
      </c>
      <c r="O451" s="287" t="s">
        <v>33</v>
      </c>
      <c r="P451" s="287"/>
      <c r="Q451" s="287"/>
      <c r="R451" s="287"/>
      <c r="S451" s="292" t="s">
        <v>31</v>
      </c>
      <c r="T451" s="293"/>
      <c r="U451" s="294"/>
      <c r="V451" s="294"/>
      <c r="W451" s="295"/>
      <c r="X451" s="296"/>
      <c r="Y451" s="287"/>
      <c r="Z451" s="297" t="s">
        <v>544</v>
      </c>
      <c r="AA451" s="313"/>
      <c r="AB451" s="313"/>
      <c r="AC451" s="298">
        <f>AG451+AJ451+AM451+AO451+AQ451+AS451+AU451+AW451+AY451+BA451+BC451+BE451</f>
        <v>15000000</v>
      </c>
      <c r="AD451" s="298">
        <v>15000000</v>
      </c>
      <c r="AE451" s="298">
        <f>AC451-AD451</f>
        <v>0</v>
      </c>
      <c r="AF451" s="299"/>
      <c r="AG451" s="300"/>
      <c r="AH451" s="299"/>
      <c r="AI451" s="299">
        <v>15000000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>
        <v>15000000</v>
      </c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>
      <c r="A452" s="285">
        <v>415</v>
      </c>
      <c r="B452" s="286"/>
      <c r="C452" s="286"/>
      <c r="D452" s="287" t="s">
        <v>92</v>
      </c>
      <c r="E452" s="287" t="s">
        <v>249</v>
      </c>
      <c r="F452" s="288" t="s">
        <v>92</v>
      </c>
      <c r="G452" s="289" t="s">
        <v>249</v>
      </c>
      <c r="H452" s="307"/>
      <c r="I452" s="290" t="s">
        <v>249</v>
      </c>
      <c r="J452" s="291" t="s">
        <v>494</v>
      </c>
      <c r="K452" s="287"/>
      <c r="L452" s="287"/>
      <c r="M452" s="287">
        <v>30706</v>
      </c>
      <c r="N452" s="287" t="s">
        <v>40</v>
      </c>
      <c r="O452" s="287" t="s">
        <v>43</v>
      </c>
      <c r="P452" s="287" t="s">
        <v>44</v>
      </c>
      <c r="Q452" s="287" t="s">
        <v>27</v>
      </c>
      <c r="R452" s="287" t="s">
        <v>340</v>
      </c>
      <c r="S452" s="292" t="s">
        <v>340</v>
      </c>
      <c r="T452" s="293"/>
      <c r="U452" s="294"/>
      <c r="V452" s="294">
        <v>3850000</v>
      </c>
      <c r="W452" s="295">
        <v>3500000</v>
      </c>
      <c r="X452" s="296"/>
      <c r="Y452" s="287" t="s">
        <v>28</v>
      </c>
      <c r="Z452" s="297" t="s">
        <v>25</v>
      </c>
      <c r="AA452" s="313"/>
      <c r="AB452" s="313"/>
      <c r="AC452" s="298">
        <f>AG452+AJ452+AM452+AO452+AQ452+AS452+AU452+AW452+AY452+BA452+BC452+BE452</f>
        <v>2000000</v>
      </c>
      <c r="AD452" s="298">
        <v>2000000</v>
      </c>
      <c r="AE452" s="298">
        <f>AC452-AD452</f>
        <v>0</v>
      </c>
      <c r="AF452" s="299"/>
      <c r="AG452" s="300"/>
      <c r="AH452" s="299"/>
      <c r="AI452" s="299">
        <v>2000000</v>
      </c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>
        <v>2000000</v>
      </c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>
      <c r="A453" s="285">
        <v>421</v>
      </c>
      <c r="B453" s="286"/>
      <c r="C453" s="286"/>
      <c r="D453" s="287"/>
      <c r="E453" s="287"/>
      <c r="F453" s="288" t="s">
        <v>92</v>
      </c>
      <c r="G453" s="289" t="s">
        <v>249</v>
      </c>
      <c r="H453" s="307"/>
      <c r="I453" s="290" t="s">
        <v>249</v>
      </c>
      <c r="J453" s="291" t="s">
        <v>77</v>
      </c>
      <c r="K453" s="287"/>
      <c r="L453" s="287"/>
      <c r="M453" s="287">
        <v>10065</v>
      </c>
      <c r="N453" s="287" t="s">
        <v>35</v>
      </c>
      <c r="O453" s="287" t="s">
        <v>43</v>
      </c>
      <c r="P453" s="287"/>
      <c r="Q453" s="287"/>
      <c r="R453" s="287"/>
      <c r="S453" s="292" t="s">
        <v>750</v>
      </c>
      <c r="T453" s="293"/>
      <c r="U453" s="294"/>
      <c r="V453" s="294"/>
      <c r="W453" s="295">
        <v>2252000</v>
      </c>
      <c r="X453" s="296"/>
      <c r="Y453" s="287"/>
      <c r="Z453" s="297" t="s">
        <v>656</v>
      </c>
      <c r="AA453" s="313"/>
      <c r="AB453" s="313"/>
      <c r="AC453" s="298">
        <f>AG453+AJ453+AM453+AO453+AQ453+AS453+AU453+AW453+AY453+BA453+BC453+BE453</f>
        <v>0</v>
      </c>
      <c r="AD453" s="298">
        <v>0</v>
      </c>
      <c r="AE453" s="298">
        <f>AC453-AD453</f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/>
      <c r="BF453" s="301"/>
      <c r="BG453" s="303"/>
      <c r="BH453" s="304"/>
    </row>
    <row r="454" spans="1:60" s="305" customFormat="1" ht="16.5" hidden="1" customHeight="1">
      <c r="A454" s="285">
        <v>420</v>
      </c>
      <c r="B454" s="286"/>
      <c r="C454" s="286"/>
      <c r="D454" s="287" t="s">
        <v>92</v>
      </c>
      <c r="E454" s="287" t="s">
        <v>249</v>
      </c>
      <c r="F454" s="288" t="s">
        <v>92</v>
      </c>
      <c r="G454" s="289" t="s">
        <v>249</v>
      </c>
      <c r="H454" s="307"/>
      <c r="I454" s="290" t="s">
        <v>249</v>
      </c>
      <c r="J454" s="291" t="s">
        <v>77</v>
      </c>
      <c r="K454" s="287"/>
      <c r="L454" s="287"/>
      <c r="M454" s="287">
        <v>10065</v>
      </c>
      <c r="N454" s="287" t="s">
        <v>35</v>
      </c>
      <c r="O454" s="287" t="s">
        <v>43</v>
      </c>
      <c r="P454" s="287"/>
      <c r="Q454" s="287" t="s">
        <v>24</v>
      </c>
      <c r="R454" s="287" t="s">
        <v>221</v>
      </c>
      <c r="S454" s="292" t="s">
        <v>745</v>
      </c>
      <c r="T454" s="293"/>
      <c r="U454" s="294">
        <v>20650000</v>
      </c>
      <c r="V454" s="294">
        <v>14020364</v>
      </c>
      <c r="W454" s="295">
        <v>10000000</v>
      </c>
      <c r="X454" s="296"/>
      <c r="Y454" s="287" t="s">
        <v>28</v>
      </c>
      <c r="Z454" s="297" t="s">
        <v>26</v>
      </c>
      <c r="AA454" s="313"/>
      <c r="AB454" s="313"/>
      <c r="AC454" s="298">
        <f>AG454+AJ454+AM454+AO454+AQ454+AS454+AU454+AW454+AY454+BA454+BC454+BE454</f>
        <v>10000000</v>
      </c>
      <c r="AD454" s="298">
        <v>10000000</v>
      </c>
      <c r="AE454" s="298">
        <f>AC454-AD454</f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/>
      <c r="AP454" s="301"/>
      <c r="AQ454" s="316">
        <v>7000000</v>
      </c>
      <c r="AR454" s="301"/>
      <c r="AS454" s="301"/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>
        <v>3000000</v>
      </c>
      <c r="BF454" s="301"/>
      <c r="BG454" s="303"/>
      <c r="BH454" s="304"/>
    </row>
    <row r="455" spans="1:60" s="305" customFormat="1" ht="16.5" customHeight="1">
      <c r="A455" s="285">
        <v>422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 t="s">
        <v>249</v>
      </c>
      <c r="J455" s="291" t="s">
        <v>761</v>
      </c>
      <c r="K455" s="287"/>
      <c r="L455" s="287"/>
      <c r="M455" s="287">
        <v>59325</v>
      </c>
      <c r="N455" s="287" t="s">
        <v>35</v>
      </c>
      <c r="O455" s="287" t="s">
        <v>43</v>
      </c>
      <c r="P455" s="287"/>
      <c r="Q455" s="287"/>
      <c r="R455" s="287"/>
      <c r="S455" s="292" t="s">
        <v>20</v>
      </c>
      <c r="T455" s="293"/>
      <c r="U455" s="294"/>
      <c r="V455" s="294"/>
      <c r="W455" s="295"/>
      <c r="X455" s="296"/>
      <c r="Y455" s="287"/>
      <c r="Z455" s="297" t="s">
        <v>28</v>
      </c>
      <c r="AA455" s="313"/>
      <c r="AB455" s="313"/>
      <c r="AC455" s="298">
        <f>AG455+AJ455+AM455+AO455+AQ455+AS455+AU455+AW455+AY455+BA455+BC455+BE455</f>
        <v>66000</v>
      </c>
      <c r="AD455" s="298">
        <v>66000</v>
      </c>
      <c r="AE455" s="298">
        <f>AC455-AD455</f>
        <v>0</v>
      </c>
      <c r="AF455" s="299">
        <v>66000</v>
      </c>
      <c r="AG455" s="300">
        <v>66000</v>
      </c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/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>
      <c r="A456" s="285">
        <v>423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 t="s">
        <v>249</v>
      </c>
      <c r="J456" s="291" t="s">
        <v>171</v>
      </c>
      <c r="K456" s="287"/>
      <c r="L456" s="287"/>
      <c r="M456" s="287">
        <v>16145</v>
      </c>
      <c r="N456" s="287" t="s">
        <v>23</v>
      </c>
      <c r="O456" s="287" t="s">
        <v>43</v>
      </c>
      <c r="P456" s="287" t="s">
        <v>43</v>
      </c>
      <c r="Q456" s="287" t="s">
        <v>19</v>
      </c>
      <c r="R456" s="287" t="s">
        <v>20</v>
      </c>
      <c r="S456" s="292" t="s">
        <v>20</v>
      </c>
      <c r="T456" s="293"/>
      <c r="U456" s="294">
        <v>7646000</v>
      </c>
      <c r="V456" s="294">
        <v>7646000</v>
      </c>
      <c r="W456" s="295">
        <v>8394000</v>
      </c>
      <c r="X456" s="296"/>
      <c r="Y456" s="287" t="s">
        <v>28</v>
      </c>
      <c r="Z456" s="297" t="s">
        <v>25</v>
      </c>
      <c r="AA456" s="313"/>
      <c r="AB456" s="313"/>
      <c r="AC456" s="298">
        <f>AG456+AJ456+AM456+AO456+AQ456+AS456+AU456+AW456+AY456+BA456+BC456+BE456</f>
        <v>10000000</v>
      </c>
      <c r="AD456" s="298">
        <v>10000000</v>
      </c>
      <c r="AE456" s="298">
        <f>AC456-AD456</f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>
        <v>10000000</v>
      </c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>
      <c r="A457" s="285">
        <v>424</v>
      </c>
      <c r="B457" s="286"/>
      <c r="C457" s="286"/>
      <c r="D457" s="287" t="s">
        <v>92</v>
      </c>
      <c r="E457" s="287" t="s">
        <v>249</v>
      </c>
      <c r="F457" s="288" t="s">
        <v>92</v>
      </c>
      <c r="G457" s="289" t="s">
        <v>249</v>
      </c>
      <c r="H457" s="307"/>
      <c r="I457" s="290" t="s">
        <v>249</v>
      </c>
      <c r="J457" s="291" t="s">
        <v>474</v>
      </c>
      <c r="K457" s="287"/>
      <c r="L457" s="287"/>
      <c r="M457" s="287">
        <v>19769</v>
      </c>
      <c r="N457" s="287" t="s">
        <v>40</v>
      </c>
      <c r="O457" s="287" t="s">
        <v>43</v>
      </c>
      <c r="P457" s="287" t="s">
        <v>44</v>
      </c>
      <c r="Q457" s="287" t="s">
        <v>30</v>
      </c>
      <c r="R457" s="287" t="s">
        <v>20</v>
      </c>
      <c r="S457" s="292" t="s">
        <v>20</v>
      </c>
      <c r="T457" s="293"/>
      <c r="U457" s="294">
        <v>11680000</v>
      </c>
      <c r="V457" s="294">
        <v>12655000</v>
      </c>
      <c r="W457" s="295">
        <v>19682500</v>
      </c>
      <c r="X457" s="296"/>
      <c r="Y457" s="287" t="s">
        <v>28</v>
      </c>
      <c r="Z457" s="297" t="s">
        <v>25</v>
      </c>
      <c r="AA457" s="313"/>
      <c r="AB457" s="313"/>
      <c r="AC457" s="298">
        <f>AG457+AJ457+AM457+AO457+AQ457+AS457+AU457+AW457+AY457+BA457+BC457+BE457</f>
        <v>12000000</v>
      </c>
      <c r="AD457" s="298">
        <v>12000000</v>
      </c>
      <c r="AE457" s="298">
        <f>AC457-AD457</f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/>
      <c r="AP457" s="301"/>
      <c r="AQ457" s="301"/>
      <c r="AR457" s="301"/>
      <c r="AS457" s="301"/>
      <c r="AT457" s="301"/>
      <c r="AU457" s="301"/>
      <c r="AV457" s="301"/>
      <c r="AW457" s="301"/>
      <c r="AX457" s="301"/>
      <c r="AY457" s="301"/>
      <c r="AZ457" s="301"/>
      <c r="BA457" s="301"/>
      <c r="BB457" s="301"/>
      <c r="BC457" s="301"/>
      <c r="BD457" s="301"/>
      <c r="BE457" s="301">
        <v>12000000</v>
      </c>
      <c r="BF457" s="301"/>
      <c r="BG457" s="303"/>
      <c r="BH457" s="304"/>
    </row>
    <row r="458" spans="1:60" s="305" customFormat="1" ht="16.5" hidden="1" customHeight="1">
      <c r="A458" s="285">
        <v>426</v>
      </c>
      <c r="B458" s="286"/>
      <c r="C458" s="286"/>
      <c r="D458" s="287" t="s">
        <v>92</v>
      </c>
      <c r="E458" s="287" t="s">
        <v>249</v>
      </c>
      <c r="F458" s="288" t="s">
        <v>92</v>
      </c>
      <c r="G458" s="289" t="s">
        <v>249</v>
      </c>
      <c r="H458" s="307"/>
      <c r="I458" s="290" t="s">
        <v>249</v>
      </c>
      <c r="J458" s="291" t="s">
        <v>255</v>
      </c>
      <c r="K458" s="287"/>
      <c r="L458" s="287"/>
      <c r="M458" s="287">
        <v>62036</v>
      </c>
      <c r="N458" s="287" t="s">
        <v>23</v>
      </c>
      <c r="O458" s="287" t="s">
        <v>33</v>
      </c>
      <c r="P458" s="287"/>
      <c r="Q458" s="287" t="s">
        <v>19</v>
      </c>
      <c r="R458" s="287" t="s">
        <v>20</v>
      </c>
      <c r="S458" s="292" t="s">
        <v>20</v>
      </c>
      <c r="T458" s="293"/>
      <c r="U458" s="294" t="s">
        <v>97</v>
      </c>
      <c r="V458" s="294"/>
      <c r="W458" s="295"/>
      <c r="X458" s="296"/>
      <c r="Y458" s="287" t="s">
        <v>28</v>
      </c>
      <c r="Z458" s="297" t="s">
        <v>25</v>
      </c>
      <c r="AA458" s="313"/>
      <c r="AB458" s="313"/>
      <c r="AC458" s="298">
        <f>AG458+AJ458+AM458+AO458+AQ458+AS458+AU458+AW458+AY458+BA458+BC458+BE458</f>
        <v>9000000</v>
      </c>
      <c r="AD458" s="298">
        <v>9000000</v>
      </c>
      <c r="AE458" s="298">
        <f>AC458-AD458</f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/>
      <c r="AP458" s="301"/>
      <c r="AQ458" s="301">
        <v>9000000</v>
      </c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>
      <c r="A459" s="285">
        <v>428</v>
      </c>
      <c r="B459" s="286"/>
      <c r="C459" s="286"/>
      <c r="D459" s="287" t="s">
        <v>92</v>
      </c>
      <c r="E459" s="287" t="s">
        <v>249</v>
      </c>
      <c r="F459" s="288" t="s">
        <v>92</v>
      </c>
      <c r="G459" s="289" t="s">
        <v>249</v>
      </c>
      <c r="H459" s="307"/>
      <c r="I459" s="290" t="s">
        <v>249</v>
      </c>
      <c r="J459" s="291" t="s">
        <v>255</v>
      </c>
      <c r="K459" s="287"/>
      <c r="L459" s="287"/>
      <c r="M459" s="287">
        <v>62036</v>
      </c>
      <c r="N459" s="287" t="s">
        <v>23</v>
      </c>
      <c r="O459" s="287" t="s">
        <v>33</v>
      </c>
      <c r="P459" s="287"/>
      <c r="Q459" s="287" t="s">
        <v>45</v>
      </c>
      <c r="R459" s="287" t="s">
        <v>342</v>
      </c>
      <c r="S459" s="292" t="s">
        <v>741</v>
      </c>
      <c r="T459" s="293"/>
      <c r="U459" s="294"/>
      <c r="V459" s="294">
        <v>1200000</v>
      </c>
      <c r="W459" s="295"/>
      <c r="X459" s="296"/>
      <c r="Y459" s="287" t="s">
        <v>26</v>
      </c>
      <c r="Z459" s="297" t="s">
        <v>544</v>
      </c>
      <c r="AA459" s="313"/>
      <c r="AB459" s="313"/>
      <c r="AC459" s="298">
        <f>AG459+AJ459+AM459+AO459+AQ459+AS459+AU459+AW459+AY459+BA459+BC459+BE459</f>
        <v>0</v>
      </c>
      <c r="AD459" s="298">
        <v>0</v>
      </c>
      <c r="AE459" s="298">
        <f>AC459-AD459</f>
        <v>0</v>
      </c>
      <c r="AF459" s="299"/>
      <c r="AG459" s="300"/>
      <c r="AH459" s="299"/>
      <c r="AI459" s="299">
        <v>10000000</v>
      </c>
      <c r="AJ459" s="300"/>
      <c r="AK459" s="299"/>
      <c r="AL459" s="301"/>
      <c r="AM459" s="314"/>
      <c r="AN459" s="301"/>
      <c r="AO459" s="302"/>
      <c r="AP459" s="301"/>
      <c r="AQ459" s="301"/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/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>
      <c r="A460" s="285">
        <v>429</v>
      </c>
      <c r="B460" s="286"/>
      <c r="C460" s="286"/>
      <c r="D460" s="287" t="s">
        <v>92</v>
      </c>
      <c r="E460" s="287" t="s">
        <v>184</v>
      </c>
      <c r="F460" s="288" t="s">
        <v>92</v>
      </c>
      <c r="G460" s="289" t="s">
        <v>249</v>
      </c>
      <c r="H460" s="307"/>
      <c r="I460" s="290" t="s">
        <v>249</v>
      </c>
      <c r="J460" s="291" t="s">
        <v>527</v>
      </c>
      <c r="K460" s="287"/>
      <c r="L460" s="287"/>
      <c r="M460" s="287">
        <v>9287</v>
      </c>
      <c r="N460" s="287" t="s">
        <v>40</v>
      </c>
      <c r="O460" s="287" t="s">
        <v>33</v>
      </c>
      <c r="P460" s="287" t="s">
        <v>44</v>
      </c>
      <c r="Q460" s="287" t="s">
        <v>49</v>
      </c>
      <c r="R460" s="287" t="s">
        <v>29</v>
      </c>
      <c r="S460" s="292" t="s">
        <v>29</v>
      </c>
      <c r="T460" s="293"/>
      <c r="U460" s="294">
        <v>1018000</v>
      </c>
      <c r="V460" s="294">
        <v>0</v>
      </c>
      <c r="W460" s="295"/>
      <c r="X460" s="296"/>
      <c r="Y460" s="287" t="s">
        <v>22</v>
      </c>
      <c r="Z460" s="297" t="s">
        <v>618</v>
      </c>
      <c r="AA460" s="313"/>
      <c r="AB460" s="313"/>
      <c r="AC460" s="298">
        <f>AG460+AJ460+AM460+AO460+AQ460+AS460+AU460+AW460+AY460+BA460+BC460+BE460</f>
        <v>0</v>
      </c>
      <c r="AD460" s="298">
        <v>0</v>
      </c>
      <c r="AE460" s="298">
        <f>AC460-AD460</f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01"/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/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customHeight="1">
      <c r="A461" s="285">
        <v>427</v>
      </c>
      <c r="B461" s="286"/>
      <c r="C461" s="286"/>
      <c r="D461" s="287"/>
      <c r="E461" s="287"/>
      <c r="F461" s="288" t="s">
        <v>92</v>
      </c>
      <c r="G461" s="289" t="s">
        <v>249</v>
      </c>
      <c r="H461" s="307"/>
      <c r="I461" s="290" t="s">
        <v>249</v>
      </c>
      <c r="J461" s="291" t="s">
        <v>255</v>
      </c>
      <c r="K461" s="287"/>
      <c r="L461" s="287"/>
      <c r="M461" s="287">
        <v>62036</v>
      </c>
      <c r="N461" s="287" t="s">
        <v>23</v>
      </c>
      <c r="O461" s="287" t="s">
        <v>43</v>
      </c>
      <c r="P461" s="287"/>
      <c r="Q461" s="287"/>
      <c r="R461" s="287"/>
      <c r="S461" s="292" t="s">
        <v>349</v>
      </c>
      <c r="T461" s="293"/>
      <c r="U461" s="294"/>
      <c r="V461" s="294"/>
      <c r="W461" s="295">
        <v>1500000</v>
      </c>
      <c r="X461" s="296"/>
      <c r="Y461" s="287"/>
      <c r="Z461" s="297" t="s">
        <v>28</v>
      </c>
      <c r="AA461" s="313"/>
      <c r="AB461" s="313"/>
      <c r="AC461" s="298">
        <f>AG461+AJ461+AM461+AO461+AQ461+AS461+AU461+AW461+AY461+BA461+BC461+BE461</f>
        <v>12000000</v>
      </c>
      <c r="AD461" s="298">
        <v>12000000</v>
      </c>
      <c r="AE461" s="298">
        <f>AC461-AD461</f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7000000</v>
      </c>
      <c r="AR461" s="301"/>
      <c r="AS461" s="301">
        <v>5000000</v>
      </c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/>
      <c r="BF461" s="301"/>
      <c r="BG461" s="303"/>
      <c r="BH461" s="304"/>
    </row>
    <row r="462" spans="1:60" s="305" customFormat="1" ht="16.5" customHeight="1">
      <c r="A462" s="285">
        <v>430</v>
      </c>
      <c r="B462" s="286"/>
      <c r="C462" s="286"/>
      <c r="D462" s="287" t="s">
        <v>92</v>
      </c>
      <c r="E462" s="287" t="s">
        <v>193</v>
      </c>
      <c r="F462" s="288" t="s">
        <v>92</v>
      </c>
      <c r="G462" s="289" t="s">
        <v>249</v>
      </c>
      <c r="H462" s="307"/>
      <c r="I462" s="290" t="s">
        <v>249</v>
      </c>
      <c r="J462" s="291" t="s">
        <v>575</v>
      </c>
      <c r="K462" s="287"/>
      <c r="L462" s="287"/>
      <c r="M462" s="287">
        <v>16029</v>
      </c>
      <c r="N462" s="287" t="s">
        <v>40</v>
      </c>
      <c r="O462" s="287" t="s">
        <v>43</v>
      </c>
      <c r="P462" s="287"/>
      <c r="Q462" s="287"/>
      <c r="R462" s="287" t="s">
        <v>31</v>
      </c>
      <c r="S462" s="292" t="s">
        <v>31</v>
      </c>
      <c r="T462" s="293"/>
      <c r="U462" s="294"/>
      <c r="V462" s="294">
        <v>5505000</v>
      </c>
      <c r="W462" s="295">
        <v>5734000</v>
      </c>
      <c r="X462" s="296"/>
      <c r="Y462" s="287" t="s">
        <v>28</v>
      </c>
      <c r="Z462" s="297" t="s">
        <v>28</v>
      </c>
      <c r="AA462" s="313"/>
      <c r="AB462" s="313"/>
      <c r="AC462" s="298">
        <f>AG462+AJ462+AM462+AO462+AQ462+AS462+AU462+AW462+AY462+BA462+BC462+BE462</f>
        <v>5000000</v>
      </c>
      <c r="AD462" s="298">
        <v>5000000</v>
      </c>
      <c r="AE462" s="298">
        <f>AC462-AD462</f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>
        <v>5000000</v>
      </c>
      <c r="BF462" s="301"/>
      <c r="BG462" s="303"/>
      <c r="BH462" s="304"/>
    </row>
    <row r="463" spans="1:60" s="305" customFormat="1" ht="16.5" hidden="1" customHeight="1">
      <c r="A463" s="285">
        <v>433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 t="s">
        <v>249</v>
      </c>
      <c r="J463" s="291" t="s">
        <v>256</v>
      </c>
      <c r="K463" s="287"/>
      <c r="L463" s="287"/>
      <c r="M463" s="287">
        <v>4643</v>
      </c>
      <c r="N463" s="287" t="s">
        <v>23</v>
      </c>
      <c r="O463" s="287" t="s">
        <v>33</v>
      </c>
      <c r="P463" s="287"/>
      <c r="Q463" s="287" t="s">
        <v>36</v>
      </c>
      <c r="R463" s="287" t="s">
        <v>341</v>
      </c>
      <c r="S463" s="292" t="s">
        <v>341</v>
      </c>
      <c r="T463" s="293"/>
      <c r="U463" s="294"/>
      <c r="V463" s="294">
        <v>6490029</v>
      </c>
      <c r="W463" s="295"/>
      <c r="X463" s="296"/>
      <c r="Y463" s="287" t="s">
        <v>21</v>
      </c>
      <c r="Z463" s="297" t="s">
        <v>618</v>
      </c>
      <c r="AA463" s="313"/>
      <c r="AB463" s="313"/>
      <c r="AC463" s="298">
        <f>AG463+AJ463+AM463+AO463+AQ463+AS463+AU463+AW463+AY463+BA463+BC463+BE463</f>
        <v>0</v>
      </c>
      <c r="AD463" s="298">
        <v>0</v>
      </c>
      <c r="AE463" s="298">
        <f>AC463-AD463</f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/>
      <c r="BD463" s="301"/>
      <c r="BE463" s="301"/>
      <c r="BF463" s="301"/>
      <c r="BG463" s="303"/>
      <c r="BH463" s="304"/>
    </row>
    <row r="464" spans="1:60" s="305" customFormat="1" ht="16.5" hidden="1" customHeight="1">
      <c r="A464" s="285">
        <v>432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 t="s">
        <v>249</v>
      </c>
      <c r="J464" s="291" t="s">
        <v>256</v>
      </c>
      <c r="K464" s="287"/>
      <c r="L464" s="287"/>
      <c r="M464" s="287">
        <v>4643</v>
      </c>
      <c r="N464" s="287" t="s">
        <v>23</v>
      </c>
      <c r="O464" s="287" t="s">
        <v>43</v>
      </c>
      <c r="P464" s="287"/>
      <c r="Q464" s="287"/>
      <c r="R464" s="287" t="s">
        <v>20</v>
      </c>
      <c r="S464" s="292" t="s">
        <v>20</v>
      </c>
      <c r="T464" s="293"/>
      <c r="U464" s="294"/>
      <c r="V464" s="294"/>
      <c r="W464" s="295">
        <v>548000</v>
      </c>
      <c r="X464" s="296"/>
      <c r="Y464" s="287" t="s">
        <v>28</v>
      </c>
      <c r="Z464" s="297" t="s">
        <v>25</v>
      </c>
      <c r="AA464" s="313"/>
      <c r="AB464" s="313"/>
      <c r="AC464" s="298">
        <f>AG464+AJ464+AM464+AO464+AQ464+AS464+AU464+AW464+AY464+BA464+BC464+BE464</f>
        <v>2000000</v>
      </c>
      <c r="AD464" s="298">
        <v>2000000</v>
      </c>
      <c r="AE464" s="298">
        <f>AC464-AD464</f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01"/>
      <c r="AR464" s="301"/>
      <c r="AS464" s="301"/>
      <c r="AT464" s="301"/>
      <c r="AU464" s="301"/>
      <c r="AV464" s="301"/>
      <c r="AW464" s="301">
        <v>2000000</v>
      </c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>
      <c r="A465" s="285">
        <v>436</v>
      </c>
      <c r="B465" s="286"/>
      <c r="C465" s="286"/>
      <c r="D465" s="287" t="s">
        <v>92</v>
      </c>
      <c r="E465" s="287" t="s">
        <v>102</v>
      </c>
      <c r="F465" s="288" t="s">
        <v>92</v>
      </c>
      <c r="G465" s="289" t="s">
        <v>249</v>
      </c>
      <c r="H465" s="307"/>
      <c r="I465" s="290" t="s">
        <v>249</v>
      </c>
      <c r="J465" s="291" t="s">
        <v>115</v>
      </c>
      <c r="K465" s="287"/>
      <c r="L465" s="287"/>
      <c r="M465" s="287">
        <v>45918</v>
      </c>
      <c r="N465" s="287" t="s">
        <v>23</v>
      </c>
      <c r="O465" s="287" t="s">
        <v>43</v>
      </c>
      <c r="P465" s="287" t="s">
        <v>98</v>
      </c>
      <c r="Q465" s="287" t="s">
        <v>27</v>
      </c>
      <c r="R465" s="287" t="s">
        <v>340</v>
      </c>
      <c r="S465" s="292" t="s">
        <v>340</v>
      </c>
      <c r="T465" s="293"/>
      <c r="U465" s="294">
        <v>4465000</v>
      </c>
      <c r="V465" s="294">
        <v>0</v>
      </c>
      <c r="W465" s="295"/>
      <c r="X465" s="296"/>
      <c r="Y465" s="287" t="s">
        <v>26</v>
      </c>
      <c r="Z465" s="297" t="s">
        <v>26</v>
      </c>
      <c r="AA465" s="313"/>
      <c r="AB465" s="313"/>
      <c r="AC465" s="298">
        <f>AG465+AJ465+AM465+AO465+AQ465+AS465+AU465+AW465+AY465+BA465+BC465+BE465</f>
        <v>10000000</v>
      </c>
      <c r="AD465" s="298">
        <v>10000000</v>
      </c>
      <c r="AE465" s="298">
        <f>AC465-AD465</f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>
        <v>5000000</v>
      </c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>
        <v>5000000</v>
      </c>
      <c r="BB465" s="301"/>
      <c r="BC465" s="301"/>
      <c r="BD465" s="301"/>
      <c r="BE465" s="301"/>
      <c r="BF465" s="301"/>
      <c r="BG465" s="303"/>
      <c r="BH465" s="304"/>
    </row>
    <row r="466" spans="1:60" s="305" customFormat="1" ht="16.5" hidden="1" customHeight="1">
      <c r="A466" s="285">
        <v>438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 t="s">
        <v>249</v>
      </c>
      <c r="J466" s="291" t="s">
        <v>259</v>
      </c>
      <c r="K466" s="287"/>
      <c r="L466" s="287"/>
      <c r="M466" s="287">
        <v>1524</v>
      </c>
      <c r="N466" s="287" t="s">
        <v>32</v>
      </c>
      <c r="O466" s="287" t="s">
        <v>33</v>
      </c>
      <c r="P466" s="287"/>
      <c r="Q466" s="287"/>
      <c r="R466" s="287"/>
      <c r="S466" s="292" t="s">
        <v>29</v>
      </c>
      <c r="T466" s="293"/>
      <c r="U466" s="294"/>
      <c r="V466" s="294">
        <v>0</v>
      </c>
      <c r="W466" s="295"/>
      <c r="X466" s="296"/>
      <c r="Y466" s="287" t="s">
        <v>26</v>
      </c>
      <c r="Z466" s="297" t="s">
        <v>618</v>
      </c>
      <c r="AA466" s="313"/>
      <c r="AB466" s="313"/>
      <c r="AC466" s="298">
        <f>AG466+AJ466+AM466+AO466+AQ466+AS466+AU466+AW466+AY466+BA466+BC466+BE466</f>
        <v>150000000</v>
      </c>
      <c r="AD466" s="298">
        <v>150000000</v>
      </c>
      <c r="AE466" s="298">
        <f>AC466-AD466</f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/>
      <c r="AO466" s="302"/>
      <c r="AP466" s="301"/>
      <c r="AQ466" s="301">
        <v>100000000</v>
      </c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>
        <v>50000000</v>
      </c>
      <c r="BF466" s="301"/>
      <c r="BG466" s="303"/>
      <c r="BH466" s="304"/>
    </row>
    <row r="467" spans="1:60" s="305" customFormat="1" ht="16.5" hidden="1" customHeight="1">
      <c r="A467" s="285">
        <v>439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 t="s">
        <v>249</v>
      </c>
      <c r="J467" s="291" t="s">
        <v>259</v>
      </c>
      <c r="K467" s="287"/>
      <c r="L467" s="287"/>
      <c r="M467" s="287">
        <v>1524</v>
      </c>
      <c r="N467" s="287" t="s">
        <v>32</v>
      </c>
      <c r="O467" s="287" t="s">
        <v>33</v>
      </c>
      <c r="P467" s="287"/>
      <c r="Q467" s="287" t="s">
        <v>19</v>
      </c>
      <c r="R467" s="287" t="s">
        <v>31</v>
      </c>
      <c r="S467" s="292" t="s">
        <v>31</v>
      </c>
      <c r="T467" s="293"/>
      <c r="U467" s="294"/>
      <c r="V467" s="294">
        <v>0</v>
      </c>
      <c r="W467" s="295"/>
      <c r="X467" s="296"/>
      <c r="Y467" s="287" t="s">
        <v>26</v>
      </c>
      <c r="Z467" s="297" t="s">
        <v>618</v>
      </c>
      <c r="AA467" s="313"/>
      <c r="AB467" s="313"/>
      <c r="AC467" s="298">
        <f>AG467+AJ467+AM467+AO467+AQ467+AS467+AU467+AW467+AY467+BA467+BC467+BE467</f>
        <v>0</v>
      </c>
      <c r="AD467" s="298">
        <v>0</v>
      </c>
      <c r="AE467" s="298">
        <f>AC467-AD467</f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/>
      <c r="AO467" s="302"/>
      <c r="AP467" s="301"/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/>
      <c r="BF467" s="301"/>
      <c r="BG467" s="303"/>
      <c r="BH467" s="304"/>
    </row>
    <row r="468" spans="1:60" s="305" customFormat="1" ht="16.5" hidden="1" customHeight="1">
      <c r="A468" s="285">
        <v>437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 t="s">
        <v>249</v>
      </c>
      <c r="J468" s="291" t="s">
        <v>258</v>
      </c>
      <c r="K468" s="287"/>
      <c r="L468" s="287"/>
      <c r="M468" s="287">
        <v>3813</v>
      </c>
      <c r="N468" s="287" t="s">
        <v>23</v>
      </c>
      <c r="O468" s="287" t="s">
        <v>33</v>
      </c>
      <c r="P468" s="287"/>
      <c r="Q468" s="287" t="s">
        <v>19</v>
      </c>
      <c r="R468" s="287" t="s">
        <v>340</v>
      </c>
      <c r="S468" s="292" t="s">
        <v>340</v>
      </c>
      <c r="T468" s="293"/>
      <c r="U468" s="294"/>
      <c r="V468" s="294">
        <v>0</v>
      </c>
      <c r="W468" s="295"/>
      <c r="X468" s="296"/>
      <c r="Y468" s="287" t="s">
        <v>25</v>
      </c>
      <c r="Z468" s="297" t="s">
        <v>26</v>
      </c>
      <c r="AA468" s="313"/>
      <c r="AB468" s="313"/>
      <c r="AC468" s="298">
        <f>AG468+AJ468+AM468+AO468+AQ468+AS468+AU468+AW468+AY468+BA468+BC468+BE468</f>
        <v>40000000</v>
      </c>
      <c r="AD468" s="298">
        <v>40000000</v>
      </c>
      <c r="AE468" s="298">
        <f>AC468-AD468</f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16">
        <v>20000000</v>
      </c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>
        <v>20000000</v>
      </c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>
      <c r="A469" s="285">
        <v>440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 t="s">
        <v>249</v>
      </c>
      <c r="J469" s="291" t="s">
        <v>328</v>
      </c>
      <c r="K469" s="287"/>
      <c r="L469" s="287"/>
      <c r="M469" s="287">
        <v>43133</v>
      </c>
      <c r="N469" s="287" t="s">
        <v>32</v>
      </c>
      <c r="O469" s="287" t="s">
        <v>33</v>
      </c>
      <c r="P469" s="287" t="s">
        <v>44</v>
      </c>
      <c r="Q469" s="287" t="s">
        <v>30</v>
      </c>
      <c r="R469" s="287" t="s">
        <v>31</v>
      </c>
      <c r="S469" s="292" t="s">
        <v>31</v>
      </c>
      <c r="T469" s="293"/>
      <c r="U469" s="294">
        <v>5696000</v>
      </c>
      <c r="V469" s="294">
        <v>5180000</v>
      </c>
      <c r="W469" s="295"/>
      <c r="X469" s="296"/>
      <c r="Y469" s="287" t="s">
        <v>25</v>
      </c>
      <c r="Z469" s="297" t="s">
        <v>26</v>
      </c>
      <c r="AA469" s="313"/>
      <c r="AB469" s="313"/>
      <c r="AC469" s="298">
        <f>AG469+AJ469+AM469+AO469+AQ469+AS469+AU469+AW469+AY469+BA469+BC469+BE469</f>
        <v>5000000</v>
      </c>
      <c r="AD469" s="298">
        <v>5000000</v>
      </c>
      <c r="AE469" s="298">
        <f>AC469-AD469</f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/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>
        <v>5000000</v>
      </c>
      <c r="BD469" s="301"/>
      <c r="BE469" s="301"/>
      <c r="BF469" s="301"/>
      <c r="BG469" s="303"/>
      <c r="BH469" s="304"/>
    </row>
    <row r="470" spans="1:60" s="305" customFormat="1" ht="16.5" hidden="1" customHeight="1">
      <c r="A470" s="285">
        <v>441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 t="s">
        <v>249</v>
      </c>
      <c r="J470" s="291" t="s">
        <v>328</v>
      </c>
      <c r="K470" s="287"/>
      <c r="L470" s="287"/>
      <c r="M470" s="287">
        <v>43133</v>
      </c>
      <c r="N470" s="287" t="s">
        <v>32</v>
      </c>
      <c r="O470" s="287" t="s">
        <v>33</v>
      </c>
      <c r="P470" s="287" t="s">
        <v>93</v>
      </c>
      <c r="Q470" s="287" t="s">
        <v>24</v>
      </c>
      <c r="R470" s="287" t="s">
        <v>221</v>
      </c>
      <c r="S470" s="292" t="s">
        <v>745</v>
      </c>
      <c r="T470" s="293"/>
      <c r="U470" s="294">
        <v>58000000</v>
      </c>
      <c r="V470" s="294">
        <v>93000000</v>
      </c>
      <c r="W470" s="295">
        <v>71000000</v>
      </c>
      <c r="X470" s="296"/>
      <c r="Y470" s="287" t="s">
        <v>28</v>
      </c>
      <c r="Z470" s="297" t="s">
        <v>25</v>
      </c>
      <c r="AA470" s="313"/>
      <c r="AB470" s="313"/>
      <c r="AC470" s="298">
        <f>AG470+AJ470+AM470+AO470+AQ470+AS470+AU470+AW470+AY470+BA470+BC470+BE470</f>
        <v>60000000</v>
      </c>
      <c r="AD470" s="298">
        <v>60000000</v>
      </c>
      <c r="AE470" s="298">
        <f>AC470-AD470</f>
        <v>0</v>
      </c>
      <c r="AF470" s="299"/>
      <c r="AG470" s="300"/>
      <c r="AH470" s="299"/>
      <c r="AI470" s="299"/>
      <c r="AJ470" s="300"/>
      <c r="AK470" s="299"/>
      <c r="AL470" s="301"/>
      <c r="AM470" s="314"/>
      <c r="AN470" s="301"/>
      <c r="AO470" s="302"/>
      <c r="AP470" s="301"/>
      <c r="AQ470" s="316">
        <v>60000000</v>
      </c>
      <c r="AR470" s="301"/>
      <c r="AS470" s="301"/>
      <c r="AT470" s="301"/>
      <c r="AU470" s="301"/>
      <c r="AV470" s="301"/>
      <c r="AW470" s="301"/>
      <c r="AX470" s="301"/>
      <c r="AY470" s="301"/>
      <c r="AZ470" s="301"/>
      <c r="BA470" s="301"/>
      <c r="BB470" s="301"/>
      <c r="BC470" s="301"/>
      <c r="BD470" s="301"/>
      <c r="BE470" s="301"/>
      <c r="BF470" s="301"/>
      <c r="BG470" s="303"/>
      <c r="BH470" s="304"/>
    </row>
    <row r="471" spans="1:60" s="305" customFormat="1" ht="16.5" hidden="1" customHeight="1">
      <c r="A471" s="285">
        <v>445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 t="s">
        <v>249</v>
      </c>
      <c r="J471" s="291" t="s">
        <v>90</v>
      </c>
      <c r="K471" s="287"/>
      <c r="L471" s="287"/>
      <c r="M471" s="287">
        <v>4352</v>
      </c>
      <c r="N471" s="287" t="s">
        <v>32</v>
      </c>
      <c r="O471" s="287" t="s">
        <v>43</v>
      </c>
      <c r="P471" s="287"/>
      <c r="Q471" s="287" t="s">
        <v>24</v>
      </c>
      <c r="R471" s="287" t="s">
        <v>221</v>
      </c>
      <c r="S471" s="292" t="s">
        <v>745</v>
      </c>
      <c r="T471" s="293"/>
      <c r="U471" s="294">
        <v>7800000</v>
      </c>
      <c r="V471" s="294">
        <v>0</v>
      </c>
      <c r="W471" s="295"/>
      <c r="X471" s="296"/>
      <c r="Y471" s="287" t="s">
        <v>22</v>
      </c>
      <c r="Z471" s="297" t="s">
        <v>22</v>
      </c>
      <c r="AA471" s="313"/>
      <c r="AB471" s="313"/>
      <c r="AC471" s="298">
        <f>AG471+AJ471+AM471+AO471+AQ471+AS471+AU471+AW471+AY471+BA471+BC471+BE471</f>
        <v>0</v>
      </c>
      <c r="AD471" s="298">
        <v>0</v>
      </c>
      <c r="AE471" s="298">
        <f>AC471-AD471</f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/>
      <c r="AO471" s="302"/>
      <c r="AP471" s="301"/>
      <c r="AQ471" s="301"/>
      <c r="AR471" s="301"/>
      <c r="AS471" s="301"/>
      <c r="AT471" s="301"/>
      <c r="AU471" s="301"/>
      <c r="AV471" s="301"/>
      <c r="AW471" s="301"/>
      <c r="AX471" s="301"/>
      <c r="AY471" s="301"/>
      <c r="AZ471" s="301"/>
      <c r="BA471" s="301"/>
      <c r="BB471" s="301"/>
      <c r="BC471" s="301"/>
      <c r="BD471" s="301"/>
      <c r="BE471" s="301"/>
      <c r="BF471" s="301"/>
      <c r="BG471" s="303"/>
      <c r="BH471" s="304"/>
    </row>
    <row r="472" spans="1:60" s="305" customFormat="1" ht="16.5" hidden="1" customHeight="1">
      <c r="A472" s="285">
        <v>442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 t="s">
        <v>249</v>
      </c>
      <c r="J472" s="291" t="s">
        <v>328</v>
      </c>
      <c r="K472" s="287"/>
      <c r="L472" s="287"/>
      <c r="M472" s="287">
        <v>43133</v>
      </c>
      <c r="N472" s="287" t="s">
        <v>32</v>
      </c>
      <c r="O472" s="287" t="s">
        <v>33</v>
      </c>
      <c r="P472" s="287"/>
      <c r="Q472" s="287" t="s">
        <v>24</v>
      </c>
      <c r="R472" s="287" t="s">
        <v>221</v>
      </c>
      <c r="S472" s="292" t="s">
        <v>745</v>
      </c>
      <c r="T472" s="293"/>
      <c r="U472" s="294"/>
      <c r="V472" s="294">
        <v>0</v>
      </c>
      <c r="W472" s="295">
        <v>0</v>
      </c>
      <c r="X472" s="296"/>
      <c r="Y472" s="287" t="s">
        <v>25</v>
      </c>
      <c r="Z472" s="297" t="s">
        <v>25</v>
      </c>
      <c r="AA472" s="313"/>
      <c r="AB472" s="313"/>
      <c r="AC472" s="298">
        <f>AG472+AJ472+AM472+AO472+AQ472+AS472+AU472+AW472+AY472+BA472+BC472+BE472</f>
        <v>60000000</v>
      </c>
      <c r="AD472" s="298">
        <v>60000000</v>
      </c>
      <c r="AE472" s="298">
        <f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>
        <v>60000000</v>
      </c>
      <c r="BF472" s="301"/>
      <c r="BG472" s="303"/>
      <c r="BH472" s="304"/>
    </row>
    <row r="473" spans="1:60" s="305" customFormat="1" ht="16.5" hidden="1" customHeight="1">
      <c r="A473" s="285">
        <v>449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 t="s">
        <v>249</v>
      </c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/>
      <c r="Q473" s="287" t="s">
        <v>19</v>
      </c>
      <c r="R473" s="287" t="s">
        <v>20</v>
      </c>
      <c r="S473" s="292" t="s">
        <v>20</v>
      </c>
      <c r="T473" s="293"/>
      <c r="U473" s="294">
        <v>3398500</v>
      </c>
      <c r="V473" s="294">
        <v>3189000</v>
      </c>
      <c r="W473" s="295">
        <v>6447000</v>
      </c>
      <c r="X473" s="296"/>
      <c r="Y473" s="287" t="s">
        <v>22</v>
      </c>
      <c r="Z473" s="297" t="s">
        <v>618</v>
      </c>
      <c r="AA473" s="313"/>
      <c r="AB473" s="313"/>
      <c r="AC473" s="298">
        <f>AG473+AJ473+AM473+AO473+AQ473+AS473+AU473+AW473+AY473+BA473+BC473+BE473</f>
        <v>0</v>
      </c>
      <c r="AD473" s="298">
        <v>0</v>
      </c>
      <c r="AE473" s="298">
        <f>AC473-AD473</f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>
      <c r="A474" s="285">
        <v>450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 t="s">
        <v>249</v>
      </c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 t="s">
        <v>98</v>
      </c>
      <c r="Q474" s="287" t="s">
        <v>19</v>
      </c>
      <c r="R474" s="287" t="s">
        <v>31</v>
      </c>
      <c r="S474" s="292" t="s">
        <v>31</v>
      </c>
      <c r="T474" s="293"/>
      <c r="U474" s="294">
        <v>14432440</v>
      </c>
      <c r="V474" s="294">
        <v>0</v>
      </c>
      <c r="W474" s="295">
        <v>13772000</v>
      </c>
      <c r="X474" s="296"/>
      <c r="Y474" s="287" t="s">
        <v>28</v>
      </c>
      <c r="Z474" s="297" t="s">
        <v>618</v>
      </c>
      <c r="AA474" s="313"/>
      <c r="AB474" s="313"/>
      <c r="AC474" s="298">
        <f>AG474+AJ474+AM474+AO474+AQ474+AS474+AU474+AW474+AY474+BA474+BC474+BE474</f>
        <v>0</v>
      </c>
      <c r="AD474" s="298">
        <v>0</v>
      </c>
      <c r="AE474" s="298">
        <f>AC474-AD474</f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/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customHeight="1">
      <c r="A475" s="285">
        <v>446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 t="s">
        <v>249</v>
      </c>
      <c r="J475" s="291" t="s">
        <v>260</v>
      </c>
      <c r="K475" s="287"/>
      <c r="L475" s="287"/>
      <c r="M475" s="287">
        <v>45607</v>
      </c>
      <c r="N475" s="287" t="s">
        <v>32</v>
      </c>
      <c r="O475" s="287" t="s">
        <v>43</v>
      </c>
      <c r="P475" s="287"/>
      <c r="Q475" s="287"/>
      <c r="R475" s="287" t="s">
        <v>221</v>
      </c>
      <c r="S475" s="292" t="s">
        <v>745</v>
      </c>
      <c r="T475" s="293"/>
      <c r="U475" s="294"/>
      <c r="V475" s="294">
        <v>0</v>
      </c>
      <c r="W475" s="295">
        <v>125409091</v>
      </c>
      <c r="X475" s="296"/>
      <c r="Y475" s="287" t="s">
        <v>28</v>
      </c>
      <c r="Z475" s="297" t="s">
        <v>28</v>
      </c>
      <c r="AA475" s="313"/>
      <c r="AB475" s="313"/>
      <c r="AC475" s="298">
        <f>AG475+AJ475+AM475+AO475+AQ475+AS475+AU475+AW475+AY475+BA475+BC475+BE475</f>
        <v>4000000</v>
      </c>
      <c r="AD475" s="298">
        <v>4000000</v>
      </c>
      <c r="AE475" s="298">
        <f>AC475-AD475</f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/>
      <c r="AP475" s="301"/>
      <c r="AQ475" s="301"/>
      <c r="AR475" s="301"/>
      <c r="AS475" s="301">
        <v>4000000</v>
      </c>
      <c r="AT475" s="301"/>
      <c r="AU475" s="301"/>
      <c r="AV475" s="301"/>
      <c r="AW475" s="301"/>
      <c r="AX475" s="301"/>
      <c r="AY475" s="301"/>
      <c r="AZ475" s="301"/>
      <c r="BA475" s="301"/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 t="s">
        <v>249</v>
      </c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>AG476+AJ476+AM476+AO476+AQ476+AS476+AU476+AW476+AY476+BA476+BC476+BE476</f>
        <v>0</v>
      </c>
      <c r="AD476" s="298">
        <v>0</v>
      </c>
      <c r="AE476" s="298">
        <f>AC476-AD476</f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 t="s">
        <v>249</v>
      </c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>AG477+AJ477+AM477+AO477+AQ477+AS477+AU477+AW477+AY477+BA477+BC477+BE477</f>
        <v>215000000</v>
      </c>
      <c r="AD477" s="298">
        <v>215000000</v>
      </c>
      <c r="AE477" s="298">
        <f>AC477-AD477</f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 t="shared" ref="AC472:AC535" si="16">AG478+AJ478+AM478+AO478+AQ478+AS478+AU478+AW478+AY478+BA478+BC478+BE478</f>
        <v>2000000</v>
      </c>
      <c r="AD478" s="298">
        <v>2000000</v>
      </c>
      <c r="AE478" s="298">
        <f t="shared" ref="AE472:AE535" si="17">AC478-AD478</f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 t="shared" si="16"/>
        <v>0</v>
      </c>
      <c r="AD479" s="298">
        <v>0</v>
      </c>
      <c r="AE479" s="298">
        <f t="shared" si="17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 t="shared" si="16"/>
        <v>0</v>
      </c>
      <c r="AD480" s="298">
        <v>0</v>
      </c>
      <c r="AE480" s="298">
        <f t="shared" si="17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 t="shared" si="16"/>
        <v>134500000</v>
      </c>
      <c r="AD481" s="298">
        <v>134500000</v>
      </c>
      <c r="AE481" s="298">
        <f t="shared" si="17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6"/>
        <v>0</v>
      </c>
      <c r="AD482" s="298">
        <v>0</v>
      </c>
      <c r="AE482" s="298">
        <f t="shared" si="17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6"/>
        <v>27318600</v>
      </c>
      <c r="AD483" s="298">
        <v>27318600</v>
      </c>
      <c r="AE483" s="298">
        <f t="shared" si="17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 t="shared" si="16"/>
        <v>10000000</v>
      </c>
      <c r="AD484" s="298">
        <v>10000000</v>
      </c>
      <c r="AE484" s="298">
        <f t="shared" si="17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 t="shared" si="16"/>
        <v>0</v>
      </c>
      <c r="AD485" s="298">
        <v>0</v>
      </c>
      <c r="AE485" s="298">
        <f t="shared" si="17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6"/>
        <v>100000000</v>
      </c>
      <c r="AD486" s="298">
        <v>100000000</v>
      </c>
      <c r="AE486" s="298">
        <f t="shared" si="17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 t="shared" si="16"/>
        <v>0</v>
      </c>
      <c r="AD487" s="298">
        <v>0</v>
      </c>
      <c r="AE487" s="298">
        <f t="shared" si="17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 t="shared" si="16"/>
        <v>41826772</v>
      </c>
      <c r="AD488" s="298">
        <v>41826772</v>
      </c>
      <c r="AE488" s="298">
        <f t="shared" si="17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 t="shared" si="16"/>
        <v>0</v>
      </c>
      <c r="AD489" s="298">
        <v>0</v>
      </c>
      <c r="AE489" s="298">
        <f t="shared" si="17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 t="shared" si="16"/>
        <v>0</v>
      </c>
      <c r="AD490" s="298">
        <v>0</v>
      </c>
      <c r="AE490" s="298">
        <f t="shared" si="17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 t="shared" si="16"/>
        <v>3930000</v>
      </c>
      <c r="AD491" s="298">
        <v>3930000</v>
      </c>
      <c r="AE491" s="298">
        <f t="shared" si="17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 t="shared" si="16"/>
        <v>8345000</v>
      </c>
      <c r="AD492" s="298">
        <v>8345000</v>
      </c>
      <c r="AE492" s="298">
        <f t="shared" si="17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 t="shared" si="16"/>
        <v>20400000</v>
      </c>
      <c r="AD493" s="298">
        <v>20400000</v>
      </c>
      <c r="AE493" s="298">
        <f t="shared" si="17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 t="shared" si="16"/>
        <v>0</v>
      </c>
      <c r="AD494" s="298">
        <v>0</v>
      </c>
      <c r="AE494" s="298">
        <f t="shared" si="17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 t="shared" si="16"/>
        <v>0</v>
      </c>
      <c r="AD495" s="298">
        <v>0</v>
      </c>
      <c r="AE495" s="298">
        <f t="shared" si="17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 t="shared" si="16"/>
        <v>0</v>
      </c>
      <c r="AD496" s="298">
        <v>0</v>
      </c>
      <c r="AE496" s="298">
        <f t="shared" si="17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 t="shared" si="16"/>
        <v>37491400</v>
      </c>
      <c r="AD497" s="298">
        <v>37491400</v>
      </c>
      <c r="AE497" s="298">
        <f t="shared" si="17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6"/>
        <v>0</v>
      </c>
      <c r="AD498" s="298">
        <v>0</v>
      </c>
      <c r="AE498" s="298">
        <f t="shared" si="17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 t="shared" si="16"/>
        <v>40000000</v>
      </c>
      <c r="AD499" s="298">
        <v>40000000</v>
      </c>
      <c r="AE499" s="298">
        <f t="shared" si="17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 t="shared" si="16"/>
        <v>0</v>
      </c>
      <c r="AD500" s="298">
        <v>0</v>
      </c>
      <c r="AE500" s="298">
        <f t="shared" si="17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 t="shared" si="16"/>
        <v>0</v>
      </c>
      <c r="AD501" s="298">
        <v>0</v>
      </c>
      <c r="AE501" s="298">
        <f t="shared" si="17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 t="shared" si="16"/>
        <v>95000000</v>
      </c>
      <c r="AD502" s="298">
        <v>95000000</v>
      </c>
      <c r="AE502" s="298">
        <f t="shared" si="17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 t="shared" si="16"/>
        <v>0</v>
      </c>
      <c r="AD503" s="298">
        <v>0</v>
      </c>
      <c r="AE503" s="298">
        <f t="shared" si="17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 t="shared" si="16"/>
        <v>0</v>
      </c>
      <c r="AD504" s="298">
        <v>0</v>
      </c>
      <c r="AE504" s="298">
        <f t="shared" si="17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 t="shared" si="16"/>
        <v>25000000</v>
      </c>
      <c r="AD505" s="298">
        <v>25000000</v>
      </c>
      <c r="AE505" s="298">
        <f t="shared" si="17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 t="shared" si="16"/>
        <v>5000000</v>
      </c>
      <c r="AD506" s="298">
        <v>5000000</v>
      </c>
      <c r="AE506" s="298">
        <f t="shared" si="17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 t="shared" si="16"/>
        <v>0</v>
      </c>
      <c r="AD507" s="298">
        <v>0</v>
      </c>
      <c r="AE507" s="298">
        <f t="shared" si="17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 t="shared" si="16"/>
        <v>0</v>
      </c>
      <c r="AD508" s="298">
        <v>0</v>
      </c>
      <c r="AE508" s="298">
        <f t="shared" si="17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 t="shared" si="16"/>
        <v>10000000</v>
      </c>
      <c r="AD509" s="298">
        <v>10000000</v>
      </c>
      <c r="AE509" s="298">
        <f t="shared" si="17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 t="shared" si="16"/>
        <v>1334000</v>
      </c>
      <c r="AD510" s="298">
        <v>1334000</v>
      </c>
      <c r="AE510" s="298">
        <f t="shared" si="17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 t="shared" si="16"/>
        <v>46773714</v>
      </c>
      <c r="AD511" s="298">
        <v>46773714</v>
      </c>
      <c r="AE511" s="298">
        <f t="shared" si="17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 t="shared" si="16"/>
        <v>50000000</v>
      </c>
      <c r="AD512" s="298">
        <v>50000000</v>
      </c>
      <c r="AE512" s="298">
        <f t="shared" si="17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6"/>
        <v>36000000</v>
      </c>
      <c r="AD513" s="298">
        <v>36000000</v>
      </c>
      <c r="AE513" s="298">
        <f t="shared" si="17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6"/>
        <v>40000000</v>
      </c>
      <c r="AD514" s="298">
        <v>40000000</v>
      </c>
      <c r="AE514" s="298">
        <f t="shared" si="17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 t="shared" si="16"/>
        <v>3000000</v>
      </c>
      <c r="AD515" s="298">
        <v>3000000</v>
      </c>
      <c r="AE515" s="298">
        <f t="shared" si="17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 t="shared" si="16"/>
        <v>5000000</v>
      </c>
      <c r="AD516" s="298">
        <v>5000000</v>
      </c>
      <c r="AE516" s="298">
        <f t="shared" si="17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6"/>
        <v>10000000</v>
      </c>
      <c r="AD517" s="298">
        <v>10000000</v>
      </c>
      <c r="AE517" s="298">
        <f t="shared" si="17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 t="shared" si="16"/>
        <v>2000000</v>
      </c>
      <c r="AD518" s="298">
        <v>2000000</v>
      </c>
      <c r="AE518" s="298">
        <f t="shared" si="17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 t="shared" si="16"/>
        <v>35000000</v>
      </c>
      <c r="AD519" s="298">
        <v>35000000</v>
      </c>
      <c r="AE519" s="298">
        <f t="shared" si="17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 t="shared" si="16"/>
        <v>0</v>
      </c>
      <c r="AD520" s="298">
        <v>0</v>
      </c>
      <c r="AE520" s="298">
        <f t="shared" si="17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6"/>
        <v>28382650</v>
      </c>
      <c r="AD521" s="298">
        <v>28382650</v>
      </c>
      <c r="AE521" s="298">
        <f t="shared" si="17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 t="shared" si="16"/>
        <v>0</v>
      </c>
      <c r="AD522" s="298">
        <v>0</v>
      </c>
      <c r="AE522" s="298">
        <f t="shared" si="17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 t="shared" si="16"/>
        <v>0</v>
      </c>
      <c r="AD523" s="298">
        <v>0</v>
      </c>
      <c r="AE523" s="298">
        <f t="shared" si="17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 t="shared" si="16"/>
        <v>18000000</v>
      </c>
      <c r="AD524" s="298">
        <v>18000000</v>
      </c>
      <c r="AE524" s="298">
        <f t="shared" si="17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 t="shared" si="16"/>
        <v>30000000</v>
      </c>
      <c r="AD525" s="298">
        <v>30000000</v>
      </c>
      <c r="AE525" s="298">
        <f t="shared" si="17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 t="shared" si="16"/>
        <v>103531330</v>
      </c>
      <c r="AD526" s="298">
        <v>103531330</v>
      </c>
      <c r="AE526" s="298">
        <f t="shared" si="17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 t="shared" si="16"/>
        <v>0</v>
      </c>
      <c r="AD527" s="298">
        <v>0</v>
      </c>
      <c r="AE527" s="298">
        <f t="shared" si="17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 t="shared" si="16"/>
        <v>10000000</v>
      </c>
      <c r="AD528" s="298">
        <v>10000000</v>
      </c>
      <c r="AE528" s="298">
        <f t="shared" si="17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 t="shared" si="16"/>
        <v>16000000</v>
      </c>
      <c r="AD529" s="298">
        <v>16000000</v>
      </c>
      <c r="AE529" s="298">
        <f t="shared" si="17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 t="shared" si="16"/>
        <v>37564200</v>
      </c>
      <c r="AD530" s="298">
        <v>37564200</v>
      </c>
      <c r="AE530" s="298">
        <f t="shared" si="17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 t="shared" si="16"/>
        <v>2400000</v>
      </c>
      <c r="AD531" s="298">
        <v>2400000</v>
      </c>
      <c r="AE531" s="298">
        <f t="shared" si="17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 t="shared" si="16"/>
        <v>90000</v>
      </c>
      <c r="AD532" s="298">
        <v>90000</v>
      </c>
      <c r="AE532" s="298">
        <f t="shared" si="17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6"/>
        <v>10440000</v>
      </c>
      <c r="AD533" s="298">
        <v>10440000</v>
      </c>
      <c r="AE533" s="298">
        <f t="shared" si="17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 t="shared" si="16"/>
        <v>6000000</v>
      </c>
      <c r="AD534" s="298">
        <v>6000000</v>
      </c>
      <c r="AE534" s="298">
        <f t="shared" si="17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 t="shared" si="16"/>
        <v>489000</v>
      </c>
      <c r="AD535" s="298">
        <v>489000</v>
      </c>
      <c r="AE535" s="298">
        <f t="shared" si="17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 t="shared" ref="AC536:AC599" si="18">AG536+AJ536+AM536+AO536+AQ536+AS536+AU536+AW536+AY536+BA536+BC536+BE536</f>
        <v>0</v>
      </c>
      <c r="AD536" s="298">
        <v>0</v>
      </c>
      <c r="AE536" s="298">
        <f t="shared" ref="AE536:AE599" si="19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 t="shared" si="18"/>
        <v>107710007</v>
      </c>
      <c r="AD537" s="298">
        <v>107710007</v>
      </c>
      <c r="AE537" s="298">
        <f t="shared" si="19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 t="shared" si="18"/>
        <v>0</v>
      </c>
      <c r="AD538" s="298">
        <v>0</v>
      </c>
      <c r="AE538" s="298">
        <f t="shared" si="19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 t="shared" si="18"/>
        <v>1000000</v>
      </c>
      <c r="AD539" s="298">
        <v>1000000</v>
      </c>
      <c r="AE539" s="298">
        <f t="shared" si="19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 t="shared" si="18"/>
        <v>5000000</v>
      </c>
      <c r="AD540" s="298">
        <v>5000000</v>
      </c>
      <c r="AE540" s="298">
        <f t="shared" si="19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 t="shared" si="18"/>
        <v>0</v>
      </c>
      <c r="AD541" s="298">
        <v>0</v>
      </c>
      <c r="AE541" s="298">
        <f t="shared" si="19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 t="shared" si="18"/>
        <v>0</v>
      </c>
      <c r="AD542" s="298">
        <v>0</v>
      </c>
      <c r="AE542" s="298">
        <f t="shared" si="19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 t="shared" si="18"/>
        <v>157500000</v>
      </c>
      <c r="AD543" s="298">
        <v>157500000</v>
      </c>
      <c r="AE543" s="298">
        <f t="shared" si="19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 t="shared" si="18"/>
        <v>5000000</v>
      </c>
      <c r="AD544" s="298">
        <v>5000000</v>
      </c>
      <c r="AE544" s="298">
        <f t="shared" si="19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18"/>
        <v>2413000</v>
      </c>
      <c r="AD545" s="298">
        <v>2413000</v>
      </c>
      <c r="AE545" s="298">
        <f t="shared" si="19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si="18"/>
        <v>0</v>
      </c>
      <c r="AD546" s="298">
        <v>0</v>
      </c>
      <c r="AE546" s="298">
        <f t="shared" si="19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18"/>
        <v>188000000</v>
      </c>
      <c r="AD547" s="298">
        <v>188000000</v>
      </c>
      <c r="AE547" s="298">
        <f t="shared" si="19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18"/>
        <v>10000000</v>
      </c>
      <c r="AD548" s="298">
        <v>10000000</v>
      </c>
      <c r="AE548" s="298">
        <f t="shared" si="19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18"/>
        <v>5000000</v>
      </c>
      <c r="AD549" s="298">
        <v>5000000</v>
      </c>
      <c r="AE549" s="298">
        <f t="shared" si="19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18"/>
        <v>1000000</v>
      </c>
      <c r="AD550" s="298">
        <v>1000000</v>
      </c>
      <c r="AE550" s="298">
        <f t="shared" si="19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18"/>
        <v>1800000</v>
      </c>
      <c r="AD551" s="298">
        <v>1800000</v>
      </c>
      <c r="AE551" s="298">
        <f t="shared" si="19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18"/>
        <v>0</v>
      </c>
      <c r="AD552" s="298">
        <v>0</v>
      </c>
      <c r="AE552" s="298">
        <f t="shared" si="19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18"/>
        <v>0</v>
      </c>
      <c r="AD553" s="298">
        <v>0</v>
      </c>
      <c r="AE553" s="298">
        <f t="shared" si="19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18"/>
        <v>436239200</v>
      </c>
      <c r="AD554" s="298">
        <v>436239200</v>
      </c>
      <c r="AE554" s="298">
        <f t="shared" si="19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18"/>
        <v>0</v>
      </c>
      <c r="AD555" s="298">
        <v>0</v>
      </c>
      <c r="AE555" s="298">
        <f t="shared" si="19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18"/>
        <v>1250901442</v>
      </c>
      <c r="AD556" s="298">
        <v>1250901442</v>
      </c>
      <c r="AE556" s="298">
        <f t="shared" si="19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18"/>
        <v>99000000</v>
      </c>
      <c r="AD557" s="298">
        <v>99000000</v>
      </c>
      <c r="AE557" s="298">
        <f t="shared" si="19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18"/>
        <v>0</v>
      </c>
      <c r="AD558" s="298">
        <v>0</v>
      </c>
      <c r="AE558" s="298">
        <f t="shared" si="19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18"/>
        <v>0</v>
      </c>
      <c r="AD559" s="298">
        <v>0</v>
      </c>
      <c r="AE559" s="298">
        <f t="shared" si="19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18"/>
        <v>25000000</v>
      </c>
      <c r="AD560" s="298">
        <v>25000000</v>
      </c>
      <c r="AE560" s="298">
        <f t="shared" si="19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18"/>
        <v>30000000</v>
      </c>
      <c r="AD561" s="298">
        <v>30000000</v>
      </c>
      <c r="AE561" s="298">
        <f t="shared" si="19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18"/>
        <v>10000000</v>
      </c>
      <c r="AD562" s="298">
        <v>10000000</v>
      </c>
      <c r="AE562" s="298">
        <f t="shared" si="19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18"/>
        <v>0</v>
      </c>
      <c r="AD563" s="298">
        <v>0</v>
      </c>
      <c r="AE563" s="298">
        <f t="shared" si="19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18"/>
        <v>1000000</v>
      </c>
      <c r="AD564" s="298">
        <v>1000000</v>
      </c>
      <c r="AE564" s="298">
        <f t="shared" si="19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18"/>
        <v>7500000</v>
      </c>
      <c r="AD565" s="298">
        <v>7500000</v>
      </c>
      <c r="AE565" s="298">
        <f t="shared" si="19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18"/>
        <v>0</v>
      </c>
      <c r="AD566" s="298">
        <v>0</v>
      </c>
      <c r="AE566" s="298">
        <f t="shared" si="19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18"/>
        <v>7200000</v>
      </c>
      <c r="AD567" s="298">
        <v>7200000</v>
      </c>
      <c r="AE567" s="298">
        <f t="shared" si="19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18"/>
        <v>0</v>
      </c>
      <c r="AD568" s="298">
        <v>0</v>
      </c>
      <c r="AE568" s="298">
        <f t="shared" si="19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18"/>
        <v>0</v>
      </c>
      <c r="AD569" s="298">
        <v>0</v>
      </c>
      <c r="AE569" s="298">
        <f t="shared" si="19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18"/>
        <v>0</v>
      </c>
      <c r="AD570" s="298">
        <v>0</v>
      </c>
      <c r="AE570" s="298">
        <f t="shared" si="19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 t="shared" si="18"/>
        <v>4500000</v>
      </c>
      <c r="AD571" s="298">
        <v>4500000</v>
      </c>
      <c r="AE571" s="298">
        <f t="shared" si="19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18"/>
        <v>4000000</v>
      </c>
      <c r="AD572" s="298">
        <v>4000000</v>
      </c>
      <c r="AE572" s="298">
        <f t="shared" si="19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18"/>
        <v>5000000</v>
      </c>
      <c r="AD573" s="298">
        <v>5000000</v>
      </c>
      <c r="AE573" s="298">
        <f t="shared" si="19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18"/>
        <v>0</v>
      </c>
      <c r="AD574" s="298">
        <v>0</v>
      </c>
      <c r="AE574" s="298">
        <f t="shared" si="19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18"/>
        <v>0</v>
      </c>
      <c r="AD575" s="298">
        <v>0</v>
      </c>
      <c r="AE575" s="298">
        <f t="shared" si="19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18"/>
        <v>0</v>
      </c>
      <c r="AD576" s="298">
        <v>0</v>
      </c>
      <c r="AE576" s="298">
        <f t="shared" si="19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18"/>
        <v>60000000</v>
      </c>
      <c r="AD577" s="298">
        <v>60000000</v>
      </c>
      <c r="AE577" s="298">
        <f t="shared" si="19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18"/>
        <v>48000000</v>
      </c>
      <c r="AD578" s="298">
        <v>48000000</v>
      </c>
      <c r="AE578" s="298">
        <f t="shared" si="19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18"/>
        <v>0</v>
      </c>
      <c r="AD579" s="298">
        <v>0</v>
      </c>
      <c r="AE579" s="298">
        <f t="shared" si="19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18"/>
        <v>0</v>
      </c>
      <c r="AD580" s="298">
        <v>0</v>
      </c>
      <c r="AE580" s="298">
        <f t="shared" si="19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18"/>
        <v>10000000</v>
      </c>
      <c r="AD581" s="298">
        <v>10000000</v>
      </c>
      <c r="AE581" s="298">
        <f t="shared" si="19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18"/>
        <v>1000000</v>
      </c>
      <c r="AD582" s="298">
        <v>1000000</v>
      </c>
      <c r="AE582" s="298">
        <f t="shared" si="19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18"/>
        <v>1000000</v>
      </c>
      <c r="AD583" s="298">
        <v>1000000</v>
      </c>
      <c r="AE583" s="298">
        <f t="shared" si="19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18"/>
        <v>5628000</v>
      </c>
      <c r="AD584" s="298">
        <v>5628000</v>
      </c>
      <c r="AE584" s="298">
        <f t="shared" si="19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18"/>
        <v>4596000</v>
      </c>
      <c r="AD585" s="298">
        <v>4596000</v>
      </c>
      <c r="AE585" s="298">
        <f t="shared" si="19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18"/>
        <v>2000000</v>
      </c>
      <c r="AD586" s="298">
        <v>2000000</v>
      </c>
      <c r="AE586" s="298">
        <f t="shared" si="19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18"/>
        <v>0</v>
      </c>
      <c r="AD587" s="298">
        <v>0</v>
      </c>
      <c r="AE587" s="298">
        <f t="shared" si="19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18"/>
        <v>0</v>
      </c>
      <c r="AD588" s="298">
        <v>0</v>
      </c>
      <c r="AE588" s="298">
        <f t="shared" si="19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18"/>
        <v>0</v>
      </c>
      <c r="AD589" s="298">
        <v>0</v>
      </c>
      <c r="AE589" s="298">
        <f t="shared" si="19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18"/>
        <v>1164000</v>
      </c>
      <c r="AD590" s="298">
        <v>1164000</v>
      </c>
      <c r="AE590" s="298">
        <f t="shared" si="19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18"/>
        <v>0</v>
      </c>
      <c r="AD591" s="298">
        <v>0</v>
      </c>
      <c r="AE591" s="298">
        <f t="shared" si="19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18"/>
        <v>318000</v>
      </c>
      <c r="AD592" s="298">
        <v>318000</v>
      </c>
      <c r="AE592" s="298">
        <f t="shared" si="19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18"/>
        <v>11000000</v>
      </c>
      <c r="AD593" s="298">
        <v>11000000</v>
      </c>
      <c r="AE593" s="298">
        <f t="shared" si="19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18"/>
        <v>10720000</v>
      </c>
      <c r="AD594" s="298">
        <v>10720000</v>
      </c>
      <c r="AE594" s="298">
        <f t="shared" si="19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18"/>
        <v>9000000</v>
      </c>
      <c r="AD595" s="298">
        <v>9000000</v>
      </c>
      <c r="AE595" s="298">
        <f t="shared" si="19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18"/>
        <v>20000000</v>
      </c>
      <c r="AD596" s="298">
        <v>20000000</v>
      </c>
      <c r="AE596" s="298">
        <f t="shared" si="19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18"/>
        <v>0</v>
      </c>
      <c r="AD597" s="298">
        <v>0</v>
      </c>
      <c r="AE597" s="298">
        <f t="shared" si="19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 t="shared" si="18"/>
        <v>4010000</v>
      </c>
      <c r="AD598" s="298">
        <v>4010000</v>
      </c>
      <c r="AE598" s="298">
        <f t="shared" si="19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18"/>
        <v>3000000</v>
      </c>
      <c r="AD599" s="298">
        <v>3000000</v>
      </c>
      <c r="AE599" s="298">
        <f t="shared" si="19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0">AG600+AJ600+AM600+AO600+AQ600+AS600+AU600+AW600+AY600+BA600+BC600+BE600</f>
        <v>0</v>
      </c>
      <c r="AD600" s="298">
        <v>0</v>
      </c>
      <c r="AE600" s="298">
        <f t="shared" ref="AE600:AE663" si="21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0"/>
        <v>0</v>
      </c>
      <c r="AD601" s="298">
        <v>0</v>
      </c>
      <c r="AE601" s="298">
        <f t="shared" si="21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0"/>
        <v>0</v>
      </c>
      <c r="AD602" s="298">
        <v>0</v>
      </c>
      <c r="AE602" s="298">
        <f t="shared" si="21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0"/>
        <v>35000000</v>
      </c>
      <c r="AD603" s="298">
        <v>35000000</v>
      </c>
      <c r="AE603" s="298">
        <f t="shared" si="21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0"/>
        <v>76363636</v>
      </c>
      <c r="AD604" s="298">
        <v>76363636</v>
      </c>
      <c r="AE604" s="298">
        <f t="shared" si="21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0"/>
        <v>0</v>
      </c>
      <c r="AD605" s="298">
        <v>0</v>
      </c>
      <c r="AE605" s="298">
        <f t="shared" si="21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0"/>
        <v>0</v>
      </c>
      <c r="AD606" s="298">
        <v>0</v>
      </c>
      <c r="AE606" s="298">
        <f t="shared" si="21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0"/>
        <v>5000000</v>
      </c>
      <c r="AD607" s="298">
        <v>5000000</v>
      </c>
      <c r="AE607" s="298">
        <f t="shared" si="21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0"/>
        <v>5000000</v>
      </c>
      <c r="AD608" s="298">
        <v>5000000</v>
      </c>
      <c r="AE608" s="298">
        <f t="shared" si="21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0"/>
        <v>1998000</v>
      </c>
      <c r="AD609" s="298">
        <v>1998000</v>
      </c>
      <c r="AE609" s="298">
        <f t="shared" si="21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0"/>
        <v>0</v>
      </c>
      <c r="AD610" s="298">
        <v>0</v>
      </c>
      <c r="AE610" s="298">
        <f t="shared" si="21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0"/>
        <v>10000000</v>
      </c>
      <c r="AD611" s="298">
        <v>10000000</v>
      </c>
      <c r="AE611" s="298">
        <f t="shared" si="21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0"/>
        <v>30853950</v>
      </c>
      <c r="AD612" s="298">
        <v>30853950</v>
      </c>
      <c r="AE612" s="298">
        <f t="shared" si="21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0"/>
        <v>10000000</v>
      </c>
      <c r="AD613" s="298">
        <v>10000000</v>
      </c>
      <c r="AE613" s="298">
        <f t="shared" si="21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0"/>
        <v>10000000</v>
      </c>
      <c r="AD614" s="298">
        <v>10000000</v>
      </c>
      <c r="AE614" s="298">
        <f t="shared" si="21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0"/>
        <v>0</v>
      </c>
      <c r="AD615" s="298">
        <v>0</v>
      </c>
      <c r="AE615" s="298">
        <f t="shared" si="21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0"/>
        <v>2000000</v>
      </c>
      <c r="AD616" s="298">
        <v>2000000</v>
      </c>
      <c r="AE616" s="298">
        <f t="shared" si="21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0"/>
        <v>1000000</v>
      </c>
      <c r="AD617" s="298">
        <v>1000000</v>
      </c>
      <c r="AE617" s="298">
        <f t="shared" si="21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0"/>
        <v>0</v>
      </c>
      <c r="AD618" s="298">
        <v>0</v>
      </c>
      <c r="AE618" s="298">
        <f t="shared" si="21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0"/>
        <v>0</v>
      </c>
      <c r="AD619" s="298">
        <v>0</v>
      </c>
      <c r="AE619" s="298">
        <f t="shared" si="21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0"/>
        <v>1028000</v>
      </c>
      <c r="AD620" s="298">
        <v>1028000</v>
      </c>
      <c r="AE620" s="298">
        <f t="shared" si="21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0"/>
        <v>0</v>
      </c>
      <c r="AD621" s="298">
        <v>0</v>
      </c>
      <c r="AE621" s="298">
        <f t="shared" si="21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0"/>
        <v>15000000</v>
      </c>
      <c r="AD622" s="298">
        <v>15000000</v>
      </c>
      <c r="AE622" s="298">
        <f t="shared" si="21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0"/>
        <v>11335800</v>
      </c>
      <c r="AD623" s="298">
        <v>11335800</v>
      </c>
      <c r="AE623" s="298">
        <f t="shared" si="21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0"/>
        <v>10575800</v>
      </c>
      <c r="AD624" s="298">
        <v>10575800</v>
      </c>
      <c r="AE624" s="298">
        <f t="shared" si="21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0"/>
        <v>9000</v>
      </c>
      <c r="AD625" s="298">
        <v>9000</v>
      </c>
      <c r="AE625" s="298">
        <f t="shared" si="21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0"/>
        <v>10000000</v>
      </c>
      <c r="AD626" s="298">
        <v>10000000</v>
      </c>
      <c r="AE626" s="298">
        <f t="shared" si="21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0"/>
        <v>618000</v>
      </c>
      <c r="AD627" s="298">
        <v>618000</v>
      </c>
      <c r="AE627" s="298">
        <f t="shared" si="21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0"/>
        <v>5000000</v>
      </c>
      <c r="AD628" s="298">
        <v>5000000</v>
      </c>
      <c r="AE628" s="298">
        <f t="shared" si="21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0"/>
        <v>0</v>
      </c>
      <c r="AD629" s="298">
        <v>0</v>
      </c>
      <c r="AE629" s="298">
        <f t="shared" si="21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0"/>
        <v>640000</v>
      </c>
      <c r="AD630" s="298">
        <v>640000</v>
      </c>
      <c r="AE630" s="298">
        <f t="shared" si="21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0"/>
        <v>3000000</v>
      </c>
      <c r="AD631" s="298">
        <v>3000000</v>
      </c>
      <c r="AE631" s="298">
        <f t="shared" si="21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0"/>
        <v>21210800</v>
      </c>
      <c r="AD632" s="298">
        <v>21210800</v>
      </c>
      <c r="AE632" s="298">
        <f t="shared" si="21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0"/>
        <v>13860000</v>
      </c>
      <c r="AD633" s="298">
        <v>13860000</v>
      </c>
      <c r="AE633" s="298">
        <f t="shared" si="21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0"/>
        <v>4000000</v>
      </c>
      <c r="AD634" s="298">
        <v>4000000</v>
      </c>
      <c r="AE634" s="298">
        <f t="shared" si="21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0"/>
        <v>6500000</v>
      </c>
      <c r="AD635" s="298">
        <v>6500000</v>
      </c>
      <c r="AE635" s="298">
        <f t="shared" si="21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0"/>
        <v>0</v>
      </c>
      <c r="AD636" s="298">
        <v>0</v>
      </c>
      <c r="AE636" s="298">
        <f t="shared" si="21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0"/>
        <v>0</v>
      </c>
      <c r="AD637" s="298">
        <v>0</v>
      </c>
      <c r="AE637" s="298">
        <f t="shared" si="21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0"/>
        <v>19000000</v>
      </c>
      <c r="AD638" s="298">
        <v>19000000</v>
      </c>
      <c r="AE638" s="298">
        <f t="shared" si="21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0"/>
        <v>0</v>
      </c>
      <c r="AD639" s="298">
        <v>0</v>
      </c>
      <c r="AE639" s="298">
        <f t="shared" si="21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0"/>
        <v>0</v>
      </c>
      <c r="AD640" s="298">
        <v>0</v>
      </c>
      <c r="AE640" s="298">
        <f t="shared" si="21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0"/>
        <v>12000000</v>
      </c>
      <c r="AD641" s="298">
        <v>12000000</v>
      </c>
      <c r="AE641" s="298">
        <f t="shared" si="21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0"/>
        <v>11000000</v>
      </c>
      <c r="AD642" s="298">
        <v>11000000</v>
      </c>
      <c r="AE642" s="298">
        <f t="shared" si="21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0"/>
        <v>0</v>
      </c>
      <c r="AD643" s="298">
        <v>0</v>
      </c>
      <c r="AE643" s="298">
        <f t="shared" si="21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0"/>
        <v>5940000</v>
      </c>
      <c r="AD644" s="298">
        <v>5940000</v>
      </c>
      <c r="AE644" s="298">
        <f t="shared" si="21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0"/>
        <v>5069000</v>
      </c>
      <c r="AD645" s="298">
        <v>5069000</v>
      </c>
      <c r="AE645" s="298">
        <f t="shared" si="21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0"/>
        <v>125250</v>
      </c>
      <c r="AD646" s="298">
        <v>125250</v>
      </c>
      <c r="AE646" s="298">
        <f t="shared" si="21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0"/>
        <v>90000000</v>
      </c>
      <c r="AD647" s="298">
        <v>90000000</v>
      </c>
      <c r="AE647" s="298">
        <f t="shared" si="21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0"/>
        <v>45000000</v>
      </c>
      <c r="AD648" s="298">
        <v>45000000</v>
      </c>
      <c r="AE648" s="298">
        <f t="shared" si="21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0"/>
        <v>18000000</v>
      </c>
      <c r="AD649" s="298">
        <v>18000000</v>
      </c>
      <c r="AE649" s="298">
        <f t="shared" si="21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0"/>
        <v>0</v>
      </c>
      <c r="AD650" s="298">
        <v>0</v>
      </c>
      <c r="AE650" s="298">
        <f t="shared" si="21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0"/>
        <v>0</v>
      </c>
      <c r="AD651" s="298">
        <v>0</v>
      </c>
      <c r="AE651" s="298">
        <f t="shared" si="21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0"/>
        <v>130000000</v>
      </c>
      <c r="AD652" s="298">
        <v>130000000</v>
      </c>
      <c r="AE652" s="298">
        <f t="shared" si="21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0"/>
        <v>540000000</v>
      </c>
      <c r="AD653" s="298">
        <v>540000000</v>
      </c>
      <c r="AE653" s="298">
        <f t="shared" si="21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0"/>
        <v>15000000</v>
      </c>
      <c r="AD654" s="298">
        <v>15000000</v>
      </c>
      <c r="AE654" s="298">
        <f t="shared" si="21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0"/>
        <v>0</v>
      </c>
      <c r="AD655" s="298">
        <v>0</v>
      </c>
      <c r="AE655" s="298">
        <f t="shared" si="21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0"/>
        <v>0</v>
      </c>
      <c r="AD656" s="298">
        <v>0</v>
      </c>
      <c r="AE656" s="298">
        <f t="shared" si="21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0"/>
        <v>99143680</v>
      </c>
      <c r="AD657" s="298">
        <v>99143680</v>
      </c>
      <c r="AE657" s="298">
        <f t="shared" si="21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0"/>
        <v>0</v>
      </c>
      <c r="AD658" s="298">
        <v>0</v>
      </c>
      <c r="AE658" s="298">
        <f t="shared" si="21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0"/>
        <v>20000000</v>
      </c>
      <c r="AD659" s="298">
        <v>20000000</v>
      </c>
      <c r="AE659" s="298">
        <f t="shared" si="21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0"/>
        <v>0</v>
      </c>
      <c r="AD660" s="298">
        <v>0</v>
      </c>
      <c r="AE660" s="298">
        <f t="shared" si="21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0"/>
        <v>0</v>
      </c>
      <c r="AD661" s="298">
        <v>0</v>
      </c>
      <c r="AE661" s="298">
        <f t="shared" si="21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0"/>
        <v>280000000</v>
      </c>
      <c r="AD662" s="298">
        <v>280000000</v>
      </c>
      <c r="AE662" s="298">
        <f t="shared" si="21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0"/>
        <v>10000000</v>
      </c>
      <c r="AD663" s="298">
        <v>10000000</v>
      </c>
      <c r="AE663" s="298">
        <f t="shared" si="21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2">AG664+AJ664+AM664+AO664+AQ664+AS664+AU664+AW664+AY664+BA664+BC664+BE664</f>
        <v>150000000</v>
      </c>
      <c r="AD664" s="298">
        <v>150000000</v>
      </c>
      <c r="AE664" s="298">
        <f t="shared" ref="AE664:AE727" si="23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2"/>
        <v>20000000</v>
      </c>
      <c r="AD665" s="298">
        <v>20000000</v>
      </c>
      <c r="AE665" s="298">
        <f t="shared" si="23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2"/>
        <v>10000000</v>
      </c>
      <c r="AD666" s="298">
        <v>10000000</v>
      </c>
      <c r="AE666" s="298">
        <f t="shared" si="23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2"/>
        <v>0</v>
      </c>
      <c r="AD667" s="298">
        <v>0</v>
      </c>
      <c r="AE667" s="298">
        <f t="shared" si="23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2"/>
        <v>20000000</v>
      </c>
      <c r="AD668" s="298">
        <v>20000000</v>
      </c>
      <c r="AE668" s="298">
        <f t="shared" si="23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2"/>
        <v>10000000</v>
      </c>
      <c r="AD669" s="298">
        <v>10000000</v>
      </c>
      <c r="AE669" s="298">
        <f t="shared" si="23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2"/>
        <v>600000000</v>
      </c>
      <c r="AD670" s="298">
        <v>600000000</v>
      </c>
      <c r="AE670" s="298">
        <f t="shared" si="23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2"/>
        <v>50000</v>
      </c>
      <c r="AD671" s="298">
        <v>50000</v>
      </c>
      <c r="AE671" s="298">
        <f t="shared" si="23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2"/>
        <v>15000000</v>
      </c>
      <c r="AD672" s="298">
        <v>15000000</v>
      </c>
      <c r="AE672" s="298">
        <f t="shared" si="23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2"/>
        <v>15000000</v>
      </c>
      <c r="AD673" s="298">
        <v>15000000</v>
      </c>
      <c r="AE673" s="298">
        <f t="shared" si="23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2"/>
        <v>200000000</v>
      </c>
      <c r="AD674" s="298">
        <v>200000000</v>
      </c>
      <c r="AE674" s="298">
        <f t="shared" si="23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2"/>
        <v>5000000</v>
      </c>
      <c r="AD675" s="298">
        <v>5000000</v>
      </c>
      <c r="AE675" s="298">
        <f t="shared" si="23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2"/>
        <v>1000000</v>
      </c>
      <c r="AD676" s="298">
        <v>1000000</v>
      </c>
      <c r="AE676" s="298">
        <f t="shared" si="23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2"/>
        <v>2000000</v>
      </c>
      <c r="AD677" s="298">
        <v>2000000</v>
      </c>
      <c r="AE677" s="298">
        <f t="shared" si="23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2"/>
        <v>50000000</v>
      </c>
      <c r="AD678" s="298">
        <v>50000000</v>
      </c>
      <c r="AE678" s="298">
        <f t="shared" si="23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2"/>
        <v>3500000</v>
      </c>
      <c r="AD679" s="298">
        <v>3500000</v>
      </c>
      <c r="AE679" s="298">
        <f t="shared" si="23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2"/>
        <v>0</v>
      </c>
      <c r="AD680" s="298">
        <v>0</v>
      </c>
      <c r="AE680" s="298">
        <f t="shared" si="23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2"/>
        <v>70000000</v>
      </c>
      <c r="AD681" s="298">
        <v>70000000</v>
      </c>
      <c r="AE681" s="298">
        <f t="shared" si="23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2"/>
        <v>0</v>
      </c>
      <c r="AD682" s="298">
        <v>0</v>
      </c>
      <c r="AE682" s="298">
        <f t="shared" si="23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2"/>
        <v>20000000</v>
      </c>
      <c r="AD683" s="298">
        <v>20000000</v>
      </c>
      <c r="AE683" s="298">
        <f t="shared" si="23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2"/>
        <v>3500000</v>
      </c>
      <c r="AD684" s="298">
        <v>3500000</v>
      </c>
      <c r="AE684" s="298">
        <f t="shared" si="23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2"/>
        <v>5000000</v>
      </c>
      <c r="AD685" s="298">
        <v>5000000</v>
      </c>
      <c r="AE685" s="298">
        <f t="shared" si="23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2"/>
        <v>0</v>
      </c>
      <c r="AD686" s="298">
        <v>0</v>
      </c>
      <c r="AE686" s="298">
        <f t="shared" si="23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2"/>
        <v>0</v>
      </c>
      <c r="AD687" s="298">
        <v>0</v>
      </c>
      <c r="AE687" s="298">
        <f t="shared" si="23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2"/>
        <v>196791445</v>
      </c>
      <c r="AD688" s="298">
        <v>196791445</v>
      </c>
      <c r="AE688" s="298">
        <f t="shared" si="23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2"/>
        <v>0</v>
      </c>
      <c r="AD689" s="298">
        <v>0</v>
      </c>
      <c r="AE689" s="298">
        <f t="shared" si="23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2"/>
        <v>0</v>
      </c>
      <c r="AD690" s="298">
        <v>0</v>
      </c>
      <c r="AE690" s="298">
        <f t="shared" si="23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2"/>
        <v>0</v>
      </c>
      <c r="AD691" s="298">
        <v>0</v>
      </c>
      <c r="AE691" s="298">
        <f t="shared" si="23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2"/>
        <v>3000000</v>
      </c>
      <c r="AD692" s="298">
        <v>3000000</v>
      </c>
      <c r="AE692" s="298">
        <f t="shared" si="23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2"/>
        <v>0</v>
      </c>
      <c r="AD693" s="298">
        <v>0</v>
      </c>
      <c r="AE693" s="298">
        <f t="shared" si="23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2"/>
        <v>0</v>
      </c>
      <c r="AD694" s="298">
        <v>0</v>
      </c>
      <c r="AE694" s="298">
        <f t="shared" si="23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2"/>
        <v>0</v>
      </c>
      <c r="AD695" s="298">
        <v>0</v>
      </c>
      <c r="AE695" s="298">
        <f t="shared" si="23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2"/>
        <v>87000</v>
      </c>
      <c r="AD696" s="298">
        <v>87000</v>
      </c>
      <c r="AE696" s="298">
        <f t="shared" si="23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2"/>
        <v>6900000</v>
      </c>
      <c r="AD697" s="298">
        <v>6900000</v>
      </c>
      <c r="AE697" s="298">
        <f t="shared" si="23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2"/>
        <v>10000000</v>
      </c>
      <c r="AD698" s="298">
        <v>10000000</v>
      </c>
      <c r="AE698" s="298">
        <f t="shared" si="23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2"/>
        <v>0</v>
      </c>
      <c r="AD699" s="298">
        <v>0</v>
      </c>
      <c r="AE699" s="298">
        <f t="shared" si="23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2"/>
        <v>0</v>
      </c>
      <c r="AD700" s="298">
        <v>0</v>
      </c>
      <c r="AE700" s="298">
        <f t="shared" si="23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2"/>
        <v>0</v>
      </c>
      <c r="AD701" s="298">
        <v>0</v>
      </c>
      <c r="AE701" s="298">
        <f t="shared" si="23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2"/>
        <v>0</v>
      </c>
      <c r="AD702" s="298">
        <v>0</v>
      </c>
      <c r="AE702" s="298">
        <f t="shared" si="23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2"/>
        <v>0</v>
      </c>
      <c r="AD703" s="298">
        <v>0</v>
      </c>
      <c r="AE703" s="298">
        <f t="shared" si="23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2"/>
        <v>0</v>
      </c>
      <c r="AD704" s="298">
        <v>0</v>
      </c>
      <c r="AE704" s="298">
        <f t="shared" si="23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2"/>
        <v>20000000</v>
      </c>
      <c r="AD705" s="298">
        <v>20000000</v>
      </c>
      <c r="AE705" s="298">
        <f t="shared" si="23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2"/>
        <v>1000000</v>
      </c>
      <c r="AD706" s="298">
        <v>1000000</v>
      </c>
      <c r="AE706" s="298">
        <f t="shared" si="23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2"/>
        <v>50000000</v>
      </c>
      <c r="AD707" s="298">
        <v>50000000</v>
      </c>
      <c r="AE707" s="298">
        <f t="shared" si="23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2"/>
        <v>30000000</v>
      </c>
      <c r="AD708" s="298">
        <v>30000000</v>
      </c>
      <c r="AE708" s="298">
        <f t="shared" si="23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2"/>
        <v>725800</v>
      </c>
      <c r="AD709" s="298">
        <v>725800</v>
      </c>
      <c r="AE709" s="298">
        <f t="shared" si="23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2"/>
        <v>30000000</v>
      </c>
      <c r="AD710" s="298">
        <v>30000000</v>
      </c>
      <c r="AE710" s="298">
        <f t="shared" si="23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2"/>
        <v>0</v>
      </c>
      <c r="AD711" s="298">
        <v>0</v>
      </c>
      <c r="AE711" s="298">
        <f t="shared" si="23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2"/>
        <v>14000000</v>
      </c>
      <c r="AD712" s="298">
        <v>14000000</v>
      </c>
      <c r="AE712" s="298">
        <f t="shared" si="23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2"/>
        <v>15000000</v>
      </c>
      <c r="AD713" s="298">
        <v>15000000</v>
      </c>
      <c r="AE713" s="298">
        <f t="shared" si="23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2"/>
        <v>10000000</v>
      </c>
      <c r="AD714" s="298">
        <v>10000000</v>
      </c>
      <c r="AE714" s="298">
        <f t="shared" si="23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2"/>
        <v>10000000</v>
      </c>
      <c r="AD715" s="298">
        <v>10000000</v>
      </c>
      <c r="AE715" s="298">
        <f t="shared" si="23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2"/>
        <v>40240000</v>
      </c>
      <c r="AD716" s="298">
        <v>40240000</v>
      </c>
      <c r="AE716" s="298">
        <f t="shared" si="23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2"/>
        <v>8000000</v>
      </c>
      <c r="AD717" s="298">
        <v>8000000</v>
      </c>
      <c r="AE717" s="298">
        <f t="shared" si="23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2"/>
        <v>80000000</v>
      </c>
      <c r="AD718" s="298">
        <v>80000000</v>
      </c>
      <c r="AE718" s="298">
        <f t="shared" si="23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2"/>
        <v>79000000</v>
      </c>
      <c r="AD719" s="298">
        <v>79000000</v>
      </c>
      <c r="AE719" s="298">
        <f t="shared" si="23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2"/>
        <v>3000000</v>
      </c>
      <c r="AD720" s="298">
        <v>3000000</v>
      </c>
      <c r="AE720" s="298">
        <f t="shared" si="23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2"/>
        <v>100000000</v>
      </c>
      <c r="AD721" s="298">
        <v>100000000</v>
      </c>
      <c r="AE721" s="298">
        <f t="shared" si="23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2"/>
        <v>-357000</v>
      </c>
      <c r="AD722" s="298">
        <v>-357000</v>
      </c>
      <c r="AE722" s="298">
        <f t="shared" si="23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2"/>
        <v>0</v>
      </c>
      <c r="AD723" s="298">
        <v>0</v>
      </c>
      <c r="AE723" s="298">
        <f t="shared" si="23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2"/>
        <v>0</v>
      </c>
      <c r="AD724" s="298">
        <v>0</v>
      </c>
      <c r="AE724" s="298">
        <f t="shared" si="23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2"/>
        <v>200000000</v>
      </c>
      <c r="AD725" s="298">
        <v>200000000</v>
      </c>
      <c r="AE725" s="298">
        <f t="shared" si="23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2"/>
        <v>11000000</v>
      </c>
      <c r="AD726" s="298">
        <v>11000000</v>
      </c>
      <c r="AE726" s="298">
        <f t="shared" si="23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2"/>
        <v>10000000</v>
      </c>
      <c r="AD727" s="298">
        <v>10000000</v>
      </c>
      <c r="AE727" s="298">
        <f t="shared" si="23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박혜원"/>
      </filters>
    </filterColumn>
    <filterColumn colId="25">
      <filters>
        <filter val="01 확정"/>
      </filters>
    </filterColumn>
    <sortState ref="A406:BF475">
      <sortCondition descending="1" ref="AO23:AO727"/>
    </sortState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5" priority="119" operator="containsText" text="추가">
      <formula>NOT(ISERROR(SEARCH("추가",A1)))</formula>
    </cfRule>
  </conditionalFormatting>
  <conditionalFormatting sqref="M725">
    <cfRule type="duplicateValues" dxfId="4" priority="6"/>
  </conditionalFormatting>
  <conditionalFormatting sqref="M725">
    <cfRule type="duplicateValues" dxfId="3" priority="7"/>
  </conditionalFormatting>
  <conditionalFormatting sqref="M727">
    <cfRule type="duplicateValues" dxfId="2" priority="3"/>
  </conditionalFormatting>
  <conditionalFormatting sqref="M727">
    <cfRule type="duplicateValues" dxfId="1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69921875" defaultRowHeight="17.399999999999999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51" customWidth="1"/>
    <col min="12" max="12" width="20.69921875" style="88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>
      <c r="I1" s="3"/>
      <c r="L1" s="52"/>
      <c r="R1" s="53"/>
    </row>
    <row r="2" spans="1:18" ht="38.4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95" customHeight="1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.399999999999999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6" max="16" width="10.59765625" customWidth="1"/>
    <col min="17" max="18" width="13.8984375" hidden="1" customWidth="1"/>
    <col min="19" max="19" width="16" hidden="1" customWidth="1"/>
    <col min="20" max="20" width="8.19921875" hidden="1" customWidth="1"/>
    <col min="21" max="21" width="8.69921875" hidden="1" customWidth="1"/>
    <col min="22" max="22" width="21.8984375" bestFit="1" customWidth="1"/>
    <col min="23" max="23" width="13.8984375" bestFit="1" customWidth="1"/>
    <col min="24" max="24" width="12.19921875" bestFit="1" customWidth="1"/>
  </cols>
  <sheetData>
    <row r="2" spans="2:26" ht="18" thickBot="1"/>
    <row r="3" spans="2:26" ht="17.399999999999999" customHeight="1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2" customHeight="1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2" customHeight="1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2" customHeight="1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2" customHeight="1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2" customHeight="1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2" customHeight="1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2" customHeight="1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2" customHeight="1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2" hidden="1" customHeight="1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2" customHeight="1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2" customHeight="1" thickBot="1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2" customHeight="1">
      <c r="N18" s="109"/>
      <c r="P18" s="124"/>
      <c r="Q18" s="89"/>
      <c r="R18" s="89"/>
      <c r="T18" s="110"/>
    </row>
    <row r="19" spans="2:26" ht="31.2" customHeight="1">
      <c r="J19" s="109"/>
      <c r="Q19" s="109"/>
      <c r="S19" s="110"/>
    </row>
    <row r="20" spans="2:26">
      <c r="F20" s="125"/>
      <c r="J20" s="125"/>
      <c r="M20" s="126"/>
      <c r="N20" s="109"/>
      <c r="Q20" s="124"/>
      <c r="R20" s="89"/>
      <c r="T20" s="110"/>
    </row>
    <row r="21" spans="2:26">
      <c r="K21" s="126"/>
      <c r="N21" s="109"/>
    </row>
    <row r="22" spans="2:26">
      <c r="E22" s="125"/>
      <c r="J22" s="125"/>
      <c r="M22" s="126"/>
      <c r="N22" s="109"/>
    </row>
    <row r="23" spans="2:26">
      <c r="N23" s="109"/>
    </row>
    <row r="24" spans="2:26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.399999999999999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>
      <c r="R2" s="35" t="s">
        <v>397</v>
      </c>
    </row>
    <row r="3" spans="2:20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>
      <c r="I16" s="36"/>
    </row>
    <row r="17" spans="16:16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.399999999999999" outlineLevelCol="1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>
      <c r="B17" s="165"/>
      <c r="E17" s="166"/>
      <c r="I17" s="166"/>
      <c r="M17" s="166"/>
    </row>
    <row r="18" spans="2:13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.399999999999999"/>
  <cols>
    <col min="1" max="1" width="24.59765625" customWidth="1"/>
    <col min="2" max="2" width="17.8984375" style="3" customWidth="1"/>
    <col min="3" max="4" width="16.59765625" style="3" customWidth="1"/>
    <col min="5" max="5" width="17.8984375" style="3" customWidth="1"/>
    <col min="6" max="9" width="16.59765625" style="3" bestFit="1" customWidth="1"/>
    <col min="10" max="13" width="16.59765625" style="3" customWidth="1"/>
    <col min="14" max="14" width="24.59765625" style="3" customWidth="1"/>
  </cols>
  <sheetData>
    <row r="3" spans="1:1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>
      <c r="A10" s="247" t="s">
        <v>658</v>
      </c>
      <c r="B10" s="247" t="s">
        <v>359</v>
      </c>
      <c r="C10"/>
      <c r="D10"/>
      <c r="E10"/>
    </row>
    <row r="11" spans="1:1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>
      <c r="B22"/>
      <c r="C22"/>
      <c r="D22"/>
      <c r="E22"/>
    </row>
    <row r="23" spans="1:5">
      <c r="B23"/>
      <c r="C23"/>
      <c r="D23"/>
      <c r="E23"/>
    </row>
    <row r="25" spans="1:5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.399999999999999"/>
  <cols>
    <col min="1" max="1" width="3.5" style="16" customWidth="1"/>
    <col min="2" max="3" width="12.69921875" style="16" customWidth="1"/>
    <col min="4" max="4" width="12.69921875" style="17" customWidth="1"/>
    <col min="5" max="6" width="8" style="16"/>
    <col min="7" max="7" width="14.59765625" style="16" bestFit="1" customWidth="1"/>
    <col min="8" max="8" width="14.3984375" style="16" bestFit="1" customWidth="1"/>
    <col min="9" max="9" width="8.19921875" style="16" bestFit="1" customWidth="1"/>
    <col min="10" max="10" width="32" style="16" bestFit="1" customWidth="1"/>
    <col min="11" max="11" width="34.09765625" style="16" bestFit="1" customWidth="1"/>
    <col min="12" max="12" width="13.3984375" style="16" bestFit="1" customWidth="1"/>
    <col min="13" max="13" width="13" style="16" bestFit="1" customWidth="1"/>
    <col min="14" max="14" width="25.59765625" style="16" bestFit="1" customWidth="1"/>
    <col min="15" max="16384" width="8" style="16"/>
  </cols>
  <sheetData>
    <row r="1" spans="2:14">
      <c r="B1" s="15">
        <f>SUBTOTAL(3,B3:B41)</f>
        <v>39</v>
      </c>
    </row>
    <row r="2" spans="2:1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>
      <c r="B39" s="20" t="s">
        <v>270</v>
      </c>
      <c r="C39" s="20" t="s">
        <v>649</v>
      </c>
      <c r="D39" s="21"/>
    </row>
    <row r="40" spans="2:14">
      <c r="B40" s="20" t="s">
        <v>274</v>
      </c>
      <c r="C40" s="20" t="s">
        <v>649</v>
      </c>
      <c r="D40" s="21"/>
    </row>
    <row r="41" spans="2:14">
      <c r="B41" s="20" t="s">
        <v>650</v>
      </c>
      <c r="C41" s="20" t="s">
        <v>649</v>
      </c>
      <c r="D41" s="21"/>
    </row>
    <row r="42" spans="2:14">
      <c r="B42" s="20" t="s">
        <v>651</v>
      </c>
      <c r="C42" s="20" t="s">
        <v>649</v>
      </c>
      <c r="D42" s="21"/>
    </row>
    <row r="43" spans="2:14">
      <c r="B43" s="20" t="s">
        <v>652</v>
      </c>
      <c r="C43" s="20" t="s">
        <v>652</v>
      </c>
      <c r="D43" s="21"/>
    </row>
    <row r="44" spans="2:14">
      <c r="B44" s="20" t="s">
        <v>159</v>
      </c>
      <c r="C44" s="20" t="s">
        <v>137</v>
      </c>
      <c r="D44" s="21"/>
    </row>
    <row r="45" spans="2:14">
      <c r="B45" s="20" t="s">
        <v>535</v>
      </c>
      <c r="C45" s="20" t="s">
        <v>92</v>
      </c>
      <c r="D45" s="21"/>
    </row>
    <row r="46" spans="2:14">
      <c r="B46" s="20" t="s">
        <v>653</v>
      </c>
      <c r="C46" s="20" t="s">
        <v>17</v>
      </c>
      <c r="D46" s="21"/>
    </row>
    <row r="47" spans="2:14">
      <c r="B47" s="20" t="s">
        <v>654</v>
      </c>
      <c r="C47" s="20" t="s">
        <v>71</v>
      </c>
      <c r="D47" s="21"/>
    </row>
    <row r="48" spans="2:1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.399999999999999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박혜원</cp:lastModifiedBy>
  <dcterms:created xsi:type="dcterms:W3CDTF">2024-10-29T06:57:50Z</dcterms:created>
  <dcterms:modified xsi:type="dcterms:W3CDTF">2026-05-03T17:15:18Z</dcterms:modified>
</cp:coreProperties>
</file>